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42D84B59-5824-49C6-996E-591941049F4F}" xr6:coauthVersionLast="47" xr6:coauthVersionMax="47" xr10:uidLastSave="{00000000-0000-0000-0000-000000000000}"/>
  <bookViews>
    <workbookView xWindow="28680" yWindow="-120" windowWidth="38640" windowHeight="21120" activeTab="4" xr2:uid="{00000000-000D-0000-FFFF-FFFF00000000}"/>
  </bookViews>
  <sheets>
    <sheet name="Lisez-moi" sheetId="1" r:id="rId1"/>
    <sheet name="Donnees" sheetId="2" r:id="rId2"/>
    <sheet name="Dictionnaire" sheetId="3" r:id="rId3"/>
    <sheet name="1_Exploration" sheetId="4" r:id="rId4"/>
    <sheet name="2_Description" sheetId="5" r:id="rId5"/>
    <sheet name="3_Frequence" sheetId="6" r:id="rId6"/>
    <sheet name="4_Facteurs" sheetId="7" r:id="rId7"/>
    <sheet name="5_Comparaison" sheetId="8" r:id="rId8"/>
    <sheet name="6_Tableaux" sheetId="9" r:id="rId9"/>
    <sheet name="7_Graphiques" sheetId="10" r:id="rId10"/>
    <sheet name="8_Synthese" sheetId="11" r:id="rId11"/>
    <sheet name="Fisher_2x2" sheetId="12" r:id="rId12"/>
    <sheet name="Fisher_Q5" sheetId="13" r:id="rId13"/>
    <sheet name="Fisher_Q8" sheetId="14" r:id="rId14"/>
  </sheets>
  <definedNames>
    <definedName name="_xlnm._FilterDatabase" localSheetId="1" hidden="1">Donnees!$A$1:$AB$401</definedName>
  </definedNames>
  <calcPr calcId="191029"/>
</workbook>
</file>

<file path=xl/calcChain.xml><?xml version="1.0" encoding="utf-8"?>
<calcChain xmlns="http://schemas.openxmlformats.org/spreadsheetml/2006/main">
  <c r="E35" i="4" l="1"/>
  <c r="G35" i="4"/>
  <c r="D35" i="4"/>
  <c r="C35" i="4"/>
  <c r="C13" i="4"/>
  <c r="C87" i="9"/>
  <c r="B87" i="9"/>
  <c r="C86" i="9"/>
  <c r="B86" i="9"/>
  <c r="C85" i="9"/>
  <c r="B85" i="9"/>
  <c r="C84" i="9"/>
  <c r="B84" i="9"/>
  <c r="C80" i="9"/>
  <c r="B80" i="9"/>
  <c r="C79" i="9"/>
  <c r="B79" i="9"/>
  <c r="C78" i="9"/>
  <c r="B78" i="9"/>
  <c r="C77" i="9"/>
  <c r="B77" i="9"/>
  <c r="B76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57" i="9"/>
  <c r="A57" i="9"/>
  <c r="B56" i="9"/>
  <c r="A56" i="9"/>
  <c r="B55" i="9"/>
  <c r="A55" i="9"/>
  <c r="C54" i="9"/>
  <c r="B54" i="9"/>
  <c r="A54" i="9"/>
  <c r="B53" i="9"/>
  <c r="A53" i="9"/>
  <c r="B52" i="9"/>
  <c r="A52" i="9"/>
  <c r="B51" i="9"/>
  <c r="A51" i="9"/>
  <c r="B47" i="9"/>
  <c r="A47" i="9"/>
  <c r="B46" i="9"/>
  <c r="A46" i="9"/>
  <c r="B45" i="9"/>
  <c r="A45" i="9"/>
  <c r="D44" i="9"/>
  <c r="B44" i="9"/>
  <c r="A44" i="9"/>
  <c r="B43" i="9"/>
  <c r="A43" i="9"/>
  <c r="B42" i="9"/>
  <c r="A42" i="9"/>
  <c r="B41" i="9"/>
  <c r="A41" i="9"/>
  <c r="B40" i="9"/>
  <c r="A40" i="9"/>
  <c r="B39" i="9"/>
  <c r="A39" i="9"/>
  <c r="B38" i="9"/>
  <c r="A38" i="9"/>
  <c r="A34" i="9"/>
  <c r="A33" i="9"/>
  <c r="F32" i="9"/>
  <c r="B32" i="9"/>
  <c r="A32" i="9"/>
  <c r="A31" i="9"/>
  <c r="B27" i="9"/>
  <c r="A27" i="9"/>
  <c r="B26" i="9"/>
  <c r="A26" i="9"/>
  <c r="D25" i="9"/>
  <c r="B25" i="9"/>
  <c r="A25" i="9"/>
  <c r="B24" i="9"/>
  <c r="A24" i="9"/>
  <c r="B23" i="9"/>
  <c r="A23" i="9"/>
  <c r="B22" i="9"/>
  <c r="A22" i="9"/>
  <c r="B21" i="9"/>
  <c r="A21" i="9"/>
  <c r="B20" i="9"/>
  <c r="A20" i="9"/>
  <c r="B19" i="9"/>
  <c r="A19" i="9"/>
  <c r="D18" i="9"/>
  <c r="B18" i="9"/>
  <c r="A18" i="9"/>
  <c r="B17" i="9"/>
  <c r="A17" i="9"/>
  <c r="B16" i="9"/>
  <c r="A16" i="9"/>
  <c r="B15" i="9"/>
  <c r="A15" i="9"/>
  <c r="B14" i="9"/>
  <c r="A14" i="9"/>
  <c r="B13" i="9"/>
  <c r="A13" i="9"/>
  <c r="B12" i="9"/>
  <c r="A12" i="9"/>
  <c r="B11" i="9"/>
  <c r="A11" i="9"/>
  <c r="B10" i="9"/>
  <c r="A10" i="9"/>
  <c r="B9" i="9"/>
  <c r="A9" i="9"/>
  <c r="B8" i="9"/>
  <c r="A8" i="9"/>
  <c r="B7" i="9"/>
  <c r="A7" i="9"/>
  <c r="B6" i="9"/>
  <c r="A6" i="9"/>
  <c r="B47" i="8"/>
  <c r="O36" i="8" s="1"/>
  <c r="C41" i="8"/>
  <c r="R37" i="8" s="1"/>
  <c r="B41" i="8"/>
  <c r="R36" i="8" s="1"/>
  <c r="C40" i="8" a="1"/>
  <c r="C40" i="8"/>
  <c r="B40" i="8" a="1"/>
  <c r="B40" i="8" s="1"/>
  <c r="C39" i="8" a="1"/>
  <c r="C39" i="8" s="1"/>
  <c r="B39" i="8" a="1"/>
  <c r="B39" i="8" s="1"/>
  <c r="C38" i="8" a="1"/>
  <c r="C38" i="8" s="1"/>
  <c r="B38" i="8" a="1"/>
  <c r="B38" i="8" s="1"/>
  <c r="J37" i="8"/>
  <c r="C37" i="8" a="1"/>
  <c r="C37" i="8" s="1"/>
  <c r="B37" i="8" a="1"/>
  <c r="B37" i="8"/>
  <c r="J36" i="8"/>
  <c r="C36" i="8" a="1"/>
  <c r="C36" i="8" s="1"/>
  <c r="B36" i="8" a="1"/>
  <c r="B36" i="8" s="1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B15" i="8"/>
  <c r="J14" i="8"/>
  <c r="J13" i="8"/>
  <c r="J12" i="8"/>
  <c r="J11" i="8"/>
  <c r="B11" i="8"/>
  <c r="J10" i="8"/>
  <c r="J9" i="8"/>
  <c r="B23" i="8" s="1"/>
  <c r="B24" i="8" s="1"/>
  <c r="J8" i="8"/>
  <c r="E8" i="8" a="1"/>
  <c r="E8" i="8" s="1"/>
  <c r="D8" i="8"/>
  <c r="C8" i="8"/>
  <c r="B8" i="8"/>
  <c r="J7" i="8"/>
  <c r="E7" i="8" a="1"/>
  <c r="E7" i="8" s="1"/>
  <c r="C7" i="8"/>
  <c r="B7" i="8"/>
  <c r="C76" i="9" s="1"/>
  <c r="C85" i="7"/>
  <c r="D73" i="9" s="1"/>
  <c r="B85" i="7"/>
  <c r="D84" i="7"/>
  <c r="C84" i="7"/>
  <c r="B84" i="7"/>
  <c r="D53" i="7"/>
  <c r="C8" i="12" s="1"/>
  <c r="B53" i="7"/>
  <c r="G52" i="7" s="1"/>
  <c r="F52" i="7"/>
  <c r="E68" i="9" s="1"/>
  <c r="E52" i="7"/>
  <c r="C52" i="7"/>
  <c r="D68" i="9" s="1"/>
  <c r="B52" i="7"/>
  <c r="D52" i="7" s="1"/>
  <c r="C51" i="7"/>
  <c r="B51" i="7"/>
  <c r="D51" i="7" s="1"/>
  <c r="C45" i="7"/>
  <c r="B45" i="7"/>
  <c r="C44" i="7"/>
  <c r="B44" i="7"/>
  <c r="C43" i="7"/>
  <c r="B43" i="7"/>
  <c r="C42" i="7"/>
  <c r="B42" i="7"/>
  <c r="C41" i="7"/>
  <c r="B41" i="7"/>
  <c r="C11" i="6"/>
  <c r="C57" i="9" s="1"/>
  <c r="C10" i="6"/>
  <c r="C56" i="9" s="1"/>
  <c r="C9" i="6"/>
  <c r="C8" i="6"/>
  <c r="D7" i="6" s="1"/>
  <c r="D53" i="9" s="1"/>
  <c r="C7" i="6"/>
  <c r="C53" i="9" s="1"/>
  <c r="C6" i="6"/>
  <c r="C5" i="6"/>
  <c r="C51" i="9" s="1"/>
  <c r="G54" i="5"/>
  <c r="G34" i="9" s="1"/>
  <c r="F54" i="5"/>
  <c r="F34" i="9" s="1"/>
  <c r="E54" i="5"/>
  <c r="E34" i="9" s="1"/>
  <c r="D54" i="5"/>
  <c r="D34" i="9" s="1"/>
  <c r="C54" i="5"/>
  <c r="C34" i="9" s="1"/>
  <c r="B54" i="5"/>
  <c r="B34" i="9" s="1"/>
  <c r="G53" i="5"/>
  <c r="G33" i="9" s="1"/>
  <c r="F53" i="5"/>
  <c r="F33" i="9" s="1"/>
  <c r="E53" i="5"/>
  <c r="E33" i="9" s="1"/>
  <c r="D53" i="5"/>
  <c r="D33" i="9" s="1"/>
  <c r="C53" i="5"/>
  <c r="C33" i="9" s="1"/>
  <c r="B53" i="5"/>
  <c r="B33" i="9" s="1"/>
  <c r="G52" i="5"/>
  <c r="G32" i="9" s="1"/>
  <c r="F52" i="5"/>
  <c r="E52" i="5"/>
  <c r="E32" i="9" s="1"/>
  <c r="D52" i="5"/>
  <c r="D32" i="9" s="1"/>
  <c r="C52" i="5"/>
  <c r="B52" i="5"/>
  <c r="G51" i="5"/>
  <c r="G31" i="9" s="1"/>
  <c r="F51" i="5"/>
  <c r="F31" i="9" s="1"/>
  <c r="E51" i="5"/>
  <c r="E31" i="9" s="1"/>
  <c r="D51" i="5"/>
  <c r="D31" i="9" s="1"/>
  <c r="C51" i="5"/>
  <c r="C31" i="9" s="1"/>
  <c r="B51" i="5"/>
  <c r="B31" i="9" s="1"/>
  <c r="C47" i="5"/>
  <c r="C27" i="9" s="1"/>
  <c r="C46" i="5"/>
  <c r="C26" i="9" s="1"/>
  <c r="C45" i="5"/>
  <c r="C25" i="9" s="1"/>
  <c r="C44" i="5"/>
  <c r="C24" i="9" s="1"/>
  <c r="C43" i="5"/>
  <c r="C23" i="9" s="1"/>
  <c r="C42" i="5"/>
  <c r="C41" i="5"/>
  <c r="C21" i="9" s="1"/>
  <c r="C40" i="5"/>
  <c r="C20" i="9" s="1"/>
  <c r="C39" i="5"/>
  <c r="C38" i="5"/>
  <c r="C18" i="9" s="1"/>
  <c r="C37" i="5"/>
  <c r="C17" i="9" s="1"/>
  <c r="C36" i="5"/>
  <c r="C16" i="9" s="1"/>
  <c r="C35" i="5"/>
  <c r="C15" i="9" s="1"/>
  <c r="C34" i="5"/>
  <c r="C14" i="9" s="1"/>
  <c r="C33" i="5"/>
  <c r="C13" i="9" s="1"/>
  <c r="C32" i="5"/>
  <c r="C12" i="9" s="1"/>
  <c r="C31" i="5"/>
  <c r="C11" i="9" s="1"/>
  <c r="C30" i="5"/>
  <c r="C10" i="9" s="1"/>
  <c r="F22" i="5"/>
  <c r="G22" i="5" s="1"/>
  <c r="D22" i="5"/>
  <c r="G21" i="5"/>
  <c r="F21" i="5"/>
  <c r="D21" i="5"/>
  <c r="F20" i="5"/>
  <c r="G20" i="5" s="1"/>
  <c r="D20" i="5"/>
  <c r="G19" i="5"/>
  <c r="F19" i="5"/>
  <c r="D19" i="5"/>
  <c r="F18" i="5"/>
  <c r="D18" i="5" s="1"/>
  <c r="G17" i="5"/>
  <c r="F17" i="5"/>
  <c r="D17" i="5"/>
  <c r="F16" i="5"/>
  <c r="D16" i="5" s="1"/>
  <c r="G15" i="5"/>
  <c r="F15" i="5"/>
  <c r="D15" i="5"/>
  <c r="F14" i="5"/>
  <c r="G14" i="5" s="1"/>
  <c r="D14" i="5"/>
  <c r="G13" i="5"/>
  <c r="F13" i="5"/>
  <c r="D13" i="5"/>
  <c r="F12" i="5"/>
  <c r="G12" i="5" s="1"/>
  <c r="D12" i="5"/>
  <c r="F11" i="5"/>
  <c r="D11" i="5" s="1"/>
  <c r="B11" i="5"/>
  <c r="F10" i="5"/>
  <c r="G10" i="5" s="1"/>
  <c r="B10" i="5"/>
  <c r="F9" i="5"/>
  <c r="G9" i="5" s="1"/>
  <c r="D9" i="5"/>
  <c r="B9" i="5"/>
  <c r="F8" i="5"/>
  <c r="G8" i="5" s="1"/>
  <c r="D8" i="5"/>
  <c r="B8" i="5"/>
  <c r="A12" i="5" s="1"/>
  <c r="G7" i="5"/>
  <c r="F7" i="5"/>
  <c r="D7" i="5" s="1"/>
  <c r="B7" i="5"/>
  <c r="B6" i="5"/>
  <c r="H51" i="4"/>
  <c r="G51" i="4"/>
  <c r="F51" i="4"/>
  <c r="E51" i="4"/>
  <c r="D51" i="4"/>
  <c r="C51" i="4"/>
  <c r="B51" i="4"/>
  <c r="A51" i="4"/>
  <c r="H50" i="4"/>
  <c r="G50" i="4"/>
  <c r="F50" i="4"/>
  <c r="E50" i="4"/>
  <c r="D50" i="4"/>
  <c r="C50" i="4"/>
  <c r="B50" i="4"/>
  <c r="A50" i="4"/>
  <c r="H49" i="4"/>
  <c r="G49" i="4"/>
  <c r="F49" i="4"/>
  <c r="E49" i="4"/>
  <c r="D49" i="4"/>
  <c r="C49" i="4"/>
  <c r="B49" i="4"/>
  <c r="A49" i="4"/>
  <c r="H48" i="4"/>
  <c r="G48" i="4"/>
  <c r="F48" i="4"/>
  <c r="E48" i="4"/>
  <c r="D48" i="4"/>
  <c r="C48" i="4"/>
  <c r="B48" i="4"/>
  <c r="A48" i="4"/>
  <c r="H47" i="4"/>
  <c r="G47" i="4"/>
  <c r="F47" i="4"/>
  <c r="E47" i="4"/>
  <c r="D47" i="4"/>
  <c r="C47" i="4"/>
  <c r="B47" i="4"/>
  <c r="A47" i="4"/>
  <c r="H46" i="4"/>
  <c r="G46" i="4"/>
  <c r="F46" i="4"/>
  <c r="E46" i="4"/>
  <c r="D46" i="4"/>
  <c r="C46" i="4"/>
  <c r="B46" i="4"/>
  <c r="A46" i="4"/>
  <c r="H42" i="4"/>
  <c r="G42" i="4"/>
  <c r="F42" i="4"/>
  <c r="E42" i="4"/>
  <c r="D42" i="4"/>
  <c r="C42" i="4"/>
  <c r="B42" i="4"/>
  <c r="H41" i="4"/>
  <c r="G41" i="4"/>
  <c r="F41" i="4"/>
  <c r="E41" i="4"/>
  <c r="D41" i="4"/>
  <c r="C41" i="4"/>
  <c r="B41" i="4"/>
  <c r="H40" i="4"/>
  <c r="G40" i="4"/>
  <c r="F40" i="4"/>
  <c r="E40" i="4"/>
  <c r="D40" i="4"/>
  <c r="C40" i="4"/>
  <c r="B40" i="4"/>
  <c r="H39" i="4"/>
  <c r="G39" i="4"/>
  <c r="F39" i="4"/>
  <c r="E39" i="4"/>
  <c r="D39" i="4"/>
  <c r="C39" i="4"/>
  <c r="B39" i="4"/>
  <c r="H38" i="4"/>
  <c r="G38" i="4"/>
  <c r="F38" i="4"/>
  <c r="E38" i="4"/>
  <c r="D38" i="4"/>
  <c r="C38" i="4"/>
  <c r="B38" i="4"/>
  <c r="H37" i="4"/>
  <c r="G37" i="4"/>
  <c r="F37" i="4"/>
  <c r="E37" i="4"/>
  <c r="D37" i="4"/>
  <c r="C37" i="4"/>
  <c r="B37" i="4"/>
  <c r="H36" i="4"/>
  <c r="G36" i="4"/>
  <c r="F36" i="4"/>
  <c r="E36" i="4"/>
  <c r="D36" i="4"/>
  <c r="C36" i="4"/>
  <c r="B36" i="4"/>
  <c r="H35" i="4"/>
  <c r="F35" i="4"/>
  <c r="B35" i="4"/>
  <c r="E31" i="4"/>
  <c r="D31" i="4"/>
  <c r="C31" i="4"/>
  <c r="D30" i="4"/>
  <c r="C30" i="4"/>
  <c r="D29" i="4"/>
  <c r="E29" i="4" s="1"/>
  <c r="C29" i="4"/>
  <c r="D28" i="4"/>
  <c r="E28" i="4" s="1"/>
  <c r="C28" i="4"/>
  <c r="E27" i="4"/>
  <c r="D27" i="4"/>
  <c r="C27" i="4"/>
  <c r="D26" i="4"/>
  <c r="E26" i="4" s="1"/>
  <c r="C26" i="4"/>
  <c r="E25" i="4"/>
  <c r="D25" i="4"/>
  <c r="C25" i="4"/>
  <c r="D24" i="4"/>
  <c r="C24" i="4"/>
  <c r="D23" i="4"/>
  <c r="E23" i="4" s="1"/>
  <c r="C23" i="4"/>
  <c r="D22" i="4"/>
  <c r="E22" i="4" s="1"/>
  <c r="C22" i="4"/>
  <c r="D21" i="4"/>
  <c r="E21" i="4" s="1"/>
  <c r="C21" i="4"/>
  <c r="D20" i="4"/>
  <c r="E20" i="4" s="1"/>
  <c r="C20" i="4"/>
  <c r="D19" i="4"/>
  <c r="C19" i="4"/>
  <c r="D18" i="4"/>
  <c r="E18" i="4" s="1"/>
  <c r="C18" i="4"/>
  <c r="E17" i="4"/>
  <c r="D17" i="4"/>
  <c r="C17" i="4"/>
  <c r="D16" i="4"/>
  <c r="E16" i="4" s="1"/>
  <c r="C16" i="4"/>
  <c r="E15" i="4"/>
  <c r="D15" i="4"/>
  <c r="C15" i="4"/>
  <c r="D14" i="4"/>
  <c r="C14" i="4"/>
  <c r="D13" i="4"/>
  <c r="E13" i="4" s="1"/>
  <c r="D12" i="4"/>
  <c r="E12" i="4" s="1"/>
  <c r="C12" i="4"/>
  <c r="E11" i="4"/>
  <c r="D11" i="4"/>
  <c r="C11" i="4"/>
  <c r="D10" i="4"/>
  <c r="E10" i="4" s="1"/>
  <c r="C10" i="4"/>
  <c r="B6" i="4"/>
  <c r="B5" i="4"/>
  <c r="E30" i="4" s="1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AB401" i="2"/>
  <c r="AA401" i="2"/>
  <c r="Z401" i="2"/>
  <c r="Y401" i="2"/>
  <c r="X401" i="2"/>
  <c r="W401" i="2"/>
  <c r="AB400" i="2"/>
  <c r="AA400" i="2"/>
  <c r="Z400" i="2"/>
  <c r="Y400" i="2"/>
  <c r="X400" i="2"/>
  <c r="W400" i="2"/>
  <c r="AB399" i="2"/>
  <c r="AA399" i="2"/>
  <c r="Z399" i="2"/>
  <c r="Y399" i="2"/>
  <c r="X399" i="2"/>
  <c r="W399" i="2"/>
  <c r="AB398" i="2"/>
  <c r="AA398" i="2"/>
  <c r="Z398" i="2"/>
  <c r="Y398" i="2"/>
  <c r="X398" i="2"/>
  <c r="W398" i="2"/>
  <c r="AB397" i="2"/>
  <c r="AA397" i="2"/>
  <c r="Z397" i="2"/>
  <c r="Y397" i="2"/>
  <c r="X397" i="2"/>
  <c r="W397" i="2"/>
  <c r="AB396" i="2"/>
  <c r="AA396" i="2"/>
  <c r="Z396" i="2"/>
  <c r="Y396" i="2"/>
  <c r="X396" i="2"/>
  <c r="W396" i="2"/>
  <c r="AB395" i="2"/>
  <c r="AA395" i="2"/>
  <c r="Z395" i="2"/>
  <c r="Y395" i="2"/>
  <c r="X395" i="2"/>
  <c r="W395" i="2"/>
  <c r="AB394" i="2"/>
  <c r="AA394" i="2"/>
  <c r="Z394" i="2"/>
  <c r="Y394" i="2"/>
  <c r="X394" i="2"/>
  <c r="W394" i="2"/>
  <c r="AB393" i="2"/>
  <c r="AA393" i="2"/>
  <c r="Z393" i="2"/>
  <c r="Y393" i="2"/>
  <c r="X393" i="2"/>
  <c r="W393" i="2"/>
  <c r="AB392" i="2"/>
  <c r="AA392" i="2"/>
  <c r="Z392" i="2"/>
  <c r="Y392" i="2"/>
  <c r="X392" i="2"/>
  <c r="W392" i="2"/>
  <c r="AB391" i="2"/>
  <c r="AA391" i="2"/>
  <c r="Z391" i="2"/>
  <c r="Y391" i="2"/>
  <c r="X391" i="2"/>
  <c r="W391" i="2"/>
  <c r="AB390" i="2"/>
  <c r="AA390" i="2"/>
  <c r="Z390" i="2"/>
  <c r="Y390" i="2"/>
  <c r="X390" i="2"/>
  <c r="W390" i="2"/>
  <c r="AB389" i="2"/>
  <c r="AA389" i="2"/>
  <c r="Z389" i="2"/>
  <c r="Y389" i="2"/>
  <c r="X389" i="2"/>
  <c r="W389" i="2"/>
  <c r="AB388" i="2"/>
  <c r="AA388" i="2"/>
  <c r="Z388" i="2"/>
  <c r="Y388" i="2"/>
  <c r="X388" i="2"/>
  <c r="W388" i="2"/>
  <c r="AB387" i="2"/>
  <c r="AA387" i="2"/>
  <c r="Z387" i="2"/>
  <c r="Y387" i="2"/>
  <c r="X387" i="2"/>
  <c r="W387" i="2"/>
  <c r="AB386" i="2"/>
  <c r="AA386" i="2"/>
  <c r="Z386" i="2"/>
  <c r="Y386" i="2"/>
  <c r="X386" i="2"/>
  <c r="W386" i="2"/>
  <c r="AB385" i="2"/>
  <c r="AA385" i="2"/>
  <c r="Z385" i="2"/>
  <c r="Y385" i="2"/>
  <c r="X385" i="2"/>
  <c r="W385" i="2"/>
  <c r="AB384" i="2"/>
  <c r="AA384" i="2"/>
  <c r="Z384" i="2"/>
  <c r="Y384" i="2"/>
  <c r="X384" i="2"/>
  <c r="W384" i="2"/>
  <c r="AB383" i="2"/>
  <c r="AA383" i="2"/>
  <c r="Z383" i="2"/>
  <c r="Y383" i="2"/>
  <c r="X383" i="2"/>
  <c r="W383" i="2"/>
  <c r="AB382" i="2"/>
  <c r="AA382" i="2"/>
  <c r="Z382" i="2"/>
  <c r="Y382" i="2"/>
  <c r="X382" i="2"/>
  <c r="W382" i="2"/>
  <c r="AB381" i="2"/>
  <c r="AA381" i="2"/>
  <c r="Z381" i="2"/>
  <c r="Y381" i="2"/>
  <c r="X381" i="2"/>
  <c r="W381" i="2"/>
  <c r="AB380" i="2"/>
  <c r="AA380" i="2"/>
  <c r="Z380" i="2"/>
  <c r="Y380" i="2"/>
  <c r="X380" i="2"/>
  <c r="W380" i="2"/>
  <c r="AB379" i="2"/>
  <c r="AA379" i="2"/>
  <c r="Z379" i="2"/>
  <c r="Y379" i="2"/>
  <c r="X379" i="2"/>
  <c r="W379" i="2"/>
  <c r="AB378" i="2"/>
  <c r="AA378" i="2"/>
  <c r="Z378" i="2"/>
  <c r="Y378" i="2"/>
  <c r="X378" i="2"/>
  <c r="W378" i="2"/>
  <c r="AB377" i="2"/>
  <c r="AA377" i="2"/>
  <c r="Z377" i="2"/>
  <c r="Y377" i="2"/>
  <c r="X377" i="2"/>
  <c r="W377" i="2"/>
  <c r="AB376" i="2"/>
  <c r="AA376" i="2"/>
  <c r="Z376" i="2"/>
  <c r="Y376" i="2"/>
  <c r="X376" i="2"/>
  <c r="W376" i="2"/>
  <c r="AB375" i="2"/>
  <c r="AA375" i="2"/>
  <c r="Z375" i="2"/>
  <c r="Y375" i="2"/>
  <c r="X375" i="2"/>
  <c r="W375" i="2"/>
  <c r="AB374" i="2"/>
  <c r="AA374" i="2"/>
  <c r="Z374" i="2"/>
  <c r="Y374" i="2"/>
  <c r="X374" i="2"/>
  <c r="W374" i="2"/>
  <c r="AB373" i="2"/>
  <c r="AA373" i="2"/>
  <c r="Z373" i="2"/>
  <c r="Y373" i="2"/>
  <c r="X373" i="2"/>
  <c r="W373" i="2"/>
  <c r="AB372" i="2"/>
  <c r="AA372" i="2"/>
  <c r="Z372" i="2"/>
  <c r="Y372" i="2"/>
  <c r="X372" i="2"/>
  <c r="W372" i="2"/>
  <c r="AB371" i="2"/>
  <c r="AA371" i="2"/>
  <c r="Z371" i="2"/>
  <c r="Y371" i="2"/>
  <c r="X371" i="2"/>
  <c r="W371" i="2"/>
  <c r="AB370" i="2"/>
  <c r="AA370" i="2"/>
  <c r="Z370" i="2"/>
  <c r="Y370" i="2"/>
  <c r="X370" i="2"/>
  <c r="W370" i="2"/>
  <c r="AB369" i="2"/>
  <c r="AA369" i="2"/>
  <c r="Z369" i="2"/>
  <c r="Y369" i="2"/>
  <c r="X369" i="2"/>
  <c r="W369" i="2"/>
  <c r="AB368" i="2"/>
  <c r="AA368" i="2"/>
  <c r="Z368" i="2"/>
  <c r="Y368" i="2"/>
  <c r="X368" i="2"/>
  <c r="W368" i="2"/>
  <c r="AB367" i="2"/>
  <c r="AA367" i="2"/>
  <c r="Z367" i="2"/>
  <c r="Y367" i="2"/>
  <c r="X367" i="2"/>
  <c r="W367" i="2"/>
  <c r="AB366" i="2"/>
  <c r="AA366" i="2"/>
  <c r="Z366" i="2"/>
  <c r="Y366" i="2"/>
  <c r="X366" i="2"/>
  <c r="W366" i="2"/>
  <c r="AB365" i="2"/>
  <c r="AA365" i="2"/>
  <c r="Z365" i="2"/>
  <c r="Y365" i="2"/>
  <c r="X365" i="2"/>
  <c r="W365" i="2"/>
  <c r="AB364" i="2"/>
  <c r="AA364" i="2"/>
  <c r="Z364" i="2"/>
  <c r="Y364" i="2"/>
  <c r="X364" i="2"/>
  <c r="W364" i="2"/>
  <c r="AB363" i="2"/>
  <c r="AA363" i="2"/>
  <c r="Z363" i="2"/>
  <c r="Y363" i="2"/>
  <c r="X363" i="2"/>
  <c r="W363" i="2"/>
  <c r="AB362" i="2"/>
  <c r="AA362" i="2"/>
  <c r="Z362" i="2"/>
  <c r="Y362" i="2"/>
  <c r="X362" i="2"/>
  <c r="W362" i="2"/>
  <c r="AB361" i="2"/>
  <c r="AA361" i="2"/>
  <c r="Z361" i="2"/>
  <c r="Y361" i="2"/>
  <c r="X361" i="2"/>
  <c r="W361" i="2"/>
  <c r="AB360" i="2"/>
  <c r="AA360" i="2"/>
  <c r="Z360" i="2"/>
  <c r="Y360" i="2"/>
  <c r="X360" i="2"/>
  <c r="W360" i="2"/>
  <c r="AB359" i="2"/>
  <c r="AA359" i="2"/>
  <c r="Z359" i="2"/>
  <c r="Y359" i="2"/>
  <c r="X359" i="2"/>
  <c r="W359" i="2"/>
  <c r="AB358" i="2"/>
  <c r="AA358" i="2"/>
  <c r="Z358" i="2"/>
  <c r="Y358" i="2"/>
  <c r="X358" i="2"/>
  <c r="W358" i="2"/>
  <c r="AB357" i="2"/>
  <c r="AA357" i="2"/>
  <c r="Z357" i="2"/>
  <c r="Y357" i="2"/>
  <c r="X357" i="2"/>
  <c r="W357" i="2"/>
  <c r="AB356" i="2"/>
  <c r="AA356" i="2"/>
  <c r="Z356" i="2"/>
  <c r="Y356" i="2"/>
  <c r="X356" i="2"/>
  <c r="W356" i="2"/>
  <c r="AB355" i="2"/>
  <c r="AA355" i="2"/>
  <c r="Z355" i="2"/>
  <c r="Y355" i="2"/>
  <c r="X355" i="2"/>
  <c r="W355" i="2"/>
  <c r="AB354" i="2"/>
  <c r="AA354" i="2"/>
  <c r="Z354" i="2"/>
  <c r="Y354" i="2"/>
  <c r="X354" i="2"/>
  <c r="W354" i="2"/>
  <c r="AB353" i="2"/>
  <c r="AA353" i="2"/>
  <c r="Z353" i="2"/>
  <c r="Y353" i="2"/>
  <c r="X353" i="2"/>
  <c r="W353" i="2"/>
  <c r="AB352" i="2"/>
  <c r="AA352" i="2"/>
  <c r="Z352" i="2"/>
  <c r="Y352" i="2"/>
  <c r="X352" i="2"/>
  <c r="W352" i="2"/>
  <c r="AB351" i="2"/>
  <c r="AA351" i="2"/>
  <c r="Z351" i="2"/>
  <c r="Y351" i="2"/>
  <c r="X351" i="2"/>
  <c r="W351" i="2"/>
  <c r="AB350" i="2"/>
  <c r="AA350" i="2"/>
  <c r="Z350" i="2"/>
  <c r="Y350" i="2"/>
  <c r="X350" i="2"/>
  <c r="W350" i="2"/>
  <c r="AB349" i="2"/>
  <c r="AA349" i="2"/>
  <c r="Z349" i="2"/>
  <c r="Y349" i="2"/>
  <c r="X349" i="2"/>
  <c r="W349" i="2"/>
  <c r="AB348" i="2"/>
  <c r="AA348" i="2"/>
  <c r="Z348" i="2"/>
  <c r="Y348" i="2"/>
  <c r="X348" i="2"/>
  <c r="W348" i="2"/>
  <c r="AB347" i="2"/>
  <c r="AA347" i="2"/>
  <c r="Z347" i="2"/>
  <c r="Y347" i="2"/>
  <c r="X347" i="2"/>
  <c r="W347" i="2"/>
  <c r="AB346" i="2"/>
  <c r="AA346" i="2"/>
  <c r="Z346" i="2"/>
  <c r="Y346" i="2"/>
  <c r="X346" i="2"/>
  <c r="W346" i="2"/>
  <c r="AB345" i="2"/>
  <c r="AA345" i="2"/>
  <c r="Z345" i="2"/>
  <c r="Y345" i="2"/>
  <c r="X345" i="2"/>
  <c r="W345" i="2"/>
  <c r="AB344" i="2"/>
  <c r="AA344" i="2"/>
  <c r="Z344" i="2"/>
  <c r="Y344" i="2"/>
  <c r="X344" i="2"/>
  <c r="W344" i="2"/>
  <c r="AB343" i="2"/>
  <c r="AA343" i="2"/>
  <c r="Z343" i="2"/>
  <c r="Y343" i="2"/>
  <c r="X343" i="2"/>
  <c r="W343" i="2"/>
  <c r="AB342" i="2"/>
  <c r="AA342" i="2"/>
  <c r="Z342" i="2"/>
  <c r="Y342" i="2"/>
  <c r="X342" i="2"/>
  <c r="W342" i="2"/>
  <c r="AB341" i="2"/>
  <c r="AA341" i="2"/>
  <c r="Z341" i="2"/>
  <c r="Y341" i="2"/>
  <c r="X341" i="2"/>
  <c r="W341" i="2"/>
  <c r="AB340" i="2"/>
  <c r="AA340" i="2"/>
  <c r="Z340" i="2"/>
  <c r="Y340" i="2"/>
  <c r="X340" i="2"/>
  <c r="W340" i="2"/>
  <c r="AB339" i="2"/>
  <c r="AA339" i="2"/>
  <c r="Z339" i="2"/>
  <c r="Y339" i="2"/>
  <c r="X339" i="2"/>
  <c r="W339" i="2"/>
  <c r="AB338" i="2"/>
  <c r="AA338" i="2"/>
  <c r="Z338" i="2"/>
  <c r="Y338" i="2"/>
  <c r="X338" i="2"/>
  <c r="W338" i="2"/>
  <c r="AB337" i="2"/>
  <c r="AA337" i="2"/>
  <c r="Z337" i="2"/>
  <c r="Y337" i="2"/>
  <c r="X337" i="2"/>
  <c r="W337" i="2"/>
  <c r="AB336" i="2"/>
  <c r="AA336" i="2"/>
  <c r="Z336" i="2"/>
  <c r="Y336" i="2"/>
  <c r="X336" i="2"/>
  <c r="W336" i="2"/>
  <c r="AB335" i="2"/>
  <c r="AA335" i="2"/>
  <c r="Z335" i="2"/>
  <c r="Y335" i="2"/>
  <c r="X335" i="2"/>
  <c r="W335" i="2"/>
  <c r="AB334" i="2"/>
  <c r="AA334" i="2"/>
  <c r="Z334" i="2"/>
  <c r="Y334" i="2"/>
  <c r="X334" i="2"/>
  <c r="W334" i="2"/>
  <c r="AB333" i="2"/>
  <c r="AA333" i="2"/>
  <c r="Z333" i="2"/>
  <c r="Y333" i="2"/>
  <c r="X333" i="2"/>
  <c r="W333" i="2"/>
  <c r="AB332" i="2"/>
  <c r="AA332" i="2"/>
  <c r="Z332" i="2"/>
  <c r="Y332" i="2"/>
  <c r="X332" i="2"/>
  <c r="W332" i="2"/>
  <c r="AB331" i="2"/>
  <c r="AA331" i="2"/>
  <c r="Z331" i="2"/>
  <c r="Y331" i="2"/>
  <c r="X331" i="2"/>
  <c r="W331" i="2"/>
  <c r="AB330" i="2"/>
  <c r="AA330" i="2"/>
  <c r="Z330" i="2"/>
  <c r="Y330" i="2"/>
  <c r="X330" i="2"/>
  <c r="W330" i="2"/>
  <c r="AB329" i="2"/>
  <c r="AA329" i="2"/>
  <c r="Z329" i="2"/>
  <c r="Y329" i="2"/>
  <c r="X329" i="2"/>
  <c r="W329" i="2"/>
  <c r="AB328" i="2"/>
  <c r="AA328" i="2"/>
  <c r="Z328" i="2"/>
  <c r="Y328" i="2"/>
  <c r="X328" i="2"/>
  <c r="W328" i="2"/>
  <c r="AB327" i="2"/>
  <c r="AA327" i="2"/>
  <c r="Z327" i="2"/>
  <c r="Y327" i="2"/>
  <c r="X327" i="2"/>
  <c r="W327" i="2"/>
  <c r="AB326" i="2"/>
  <c r="AA326" i="2"/>
  <c r="Z326" i="2"/>
  <c r="Y326" i="2"/>
  <c r="X326" i="2"/>
  <c r="W326" i="2"/>
  <c r="AB325" i="2"/>
  <c r="AA325" i="2"/>
  <c r="Z325" i="2"/>
  <c r="Y325" i="2"/>
  <c r="X325" i="2"/>
  <c r="W325" i="2"/>
  <c r="AB324" i="2"/>
  <c r="AA324" i="2"/>
  <c r="Z324" i="2"/>
  <c r="Y324" i="2"/>
  <c r="X324" i="2"/>
  <c r="W324" i="2"/>
  <c r="AB323" i="2"/>
  <c r="AA323" i="2"/>
  <c r="Z323" i="2"/>
  <c r="Y323" i="2"/>
  <c r="X323" i="2"/>
  <c r="W323" i="2"/>
  <c r="AB322" i="2"/>
  <c r="AA322" i="2"/>
  <c r="Z322" i="2"/>
  <c r="Y322" i="2"/>
  <c r="X322" i="2"/>
  <c r="W322" i="2"/>
  <c r="AB321" i="2"/>
  <c r="AA321" i="2"/>
  <c r="Z321" i="2"/>
  <c r="Y321" i="2"/>
  <c r="X321" i="2"/>
  <c r="W321" i="2"/>
  <c r="AB320" i="2"/>
  <c r="AA320" i="2"/>
  <c r="Z320" i="2"/>
  <c r="Y320" i="2"/>
  <c r="X320" i="2"/>
  <c r="W320" i="2"/>
  <c r="AB319" i="2"/>
  <c r="AA319" i="2"/>
  <c r="Z319" i="2"/>
  <c r="Y319" i="2"/>
  <c r="X319" i="2"/>
  <c r="W319" i="2"/>
  <c r="AB318" i="2"/>
  <c r="AA318" i="2"/>
  <c r="Z318" i="2"/>
  <c r="Y318" i="2"/>
  <c r="X318" i="2"/>
  <c r="W318" i="2"/>
  <c r="AB317" i="2"/>
  <c r="AA317" i="2"/>
  <c r="Z317" i="2"/>
  <c r="Y317" i="2"/>
  <c r="X317" i="2"/>
  <c r="W317" i="2"/>
  <c r="AB316" i="2"/>
  <c r="AA316" i="2"/>
  <c r="Z316" i="2"/>
  <c r="Y316" i="2"/>
  <c r="X316" i="2"/>
  <c r="W316" i="2"/>
  <c r="AB315" i="2"/>
  <c r="AA315" i="2"/>
  <c r="Z315" i="2"/>
  <c r="Y315" i="2"/>
  <c r="X315" i="2"/>
  <c r="W315" i="2"/>
  <c r="AB314" i="2"/>
  <c r="AA314" i="2"/>
  <c r="Z314" i="2"/>
  <c r="Y314" i="2"/>
  <c r="X314" i="2"/>
  <c r="W314" i="2"/>
  <c r="AB313" i="2"/>
  <c r="AA313" i="2"/>
  <c r="Z313" i="2"/>
  <c r="Y313" i="2"/>
  <c r="X313" i="2"/>
  <c r="W313" i="2"/>
  <c r="AB312" i="2"/>
  <c r="AA312" i="2"/>
  <c r="Z312" i="2"/>
  <c r="Y312" i="2"/>
  <c r="X312" i="2"/>
  <c r="W312" i="2"/>
  <c r="AB311" i="2"/>
  <c r="AA311" i="2"/>
  <c r="Z311" i="2"/>
  <c r="Y311" i="2"/>
  <c r="X311" i="2"/>
  <c r="W311" i="2"/>
  <c r="AB310" i="2"/>
  <c r="AA310" i="2"/>
  <c r="Z310" i="2"/>
  <c r="Y310" i="2"/>
  <c r="X310" i="2"/>
  <c r="W310" i="2"/>
  <c r="AB309" i="2"/>
  <c r="AA309" i="2"/>
  <c r="Z309" i="2"/>
  <c r="Y309" i="2"/>
  <c r="X309" i="2"/>
  <c r="W309" i="2"/>
  <c r="AB308" i="2"/>
  <c r="AA308" i="2"/>
  <c r="Z308" i="2"/>
  <c r="Y308" i="2"/>
  <c r="X308" i="2"/>
  <c r="W308" i="2"/>
  <c r="AB307" i="2"/>
  <c r="AA307" i="2"/>
  <c r="Z307" i="2"/>
  <c r="Y307" i="2"/>
  <c r="X307" i="2"/>
  <c r="W307" i="2"/>
  <c r="AB306" i="2"/>
  <c r="AA306" i="2"/>
  <c r="Z306" i="2"/>
  <c r="Y306" i="2"/>
  <c r="X306" i="2"/>
  <c r="W306" i="2"/>
  <c r="AB305" i="2"/>
  <c r="AA305" i="2"/>
  <c r="Z305" i="2"/>
  <c r="Y305" i="2"/>
  <c r="X305" i="2"/>
  <c r="W305" i="2"/>
  <c r="AB304" i="2"/>
  <c r="AA304" i="2"/>
  <c r="Z304" i="2"/>
  <c r="Y304" i="2"/>
  <c r="X304" i="2"/>
  <c r="W304" i="2"/>
  <c r="AB303" i="2"/>
  <c r="AA303" i="2"/>
  <c r="Z303" i="2"/>
  <c r="Y303" i="2"/>
  <c r="X303" i="2"/>
  <c r="W303" i="2"/>
  <c r="AB302" i="2"/>
  <c r="AA302" i="2"/>
  <c r="Z302" i="2"/>
  <c r="Y302" i="2"/>
  <c r="X302" i="2"/>
  <c r="W302" i="2"/>
  <c r="AB301" i="2"/>
  <c r="AA301" i="2"/>
  <c r="Z301" i="2"/>
  <c r="Y301" i="2"/>
  <c r="X301" i="2"/>
  <c r="W301" i="2"/>
  <c r="AB300" i="2"/>
  <c r="AA300" i="2"/>
  <c r="Z300" i="2"/>
  <c r="Y300" i="2"/>
  <c r="X300" i="2"/>
  <c r="W300" i="2"/>
  <c r="AB299" i="2"/>
  <c r="AA299" i="2"/>
  <c r="Z299" i="2"/>
  <c r="Y299" i="2"/>
  <c r="X299" i="2"/>
  <c r="W299" i="2"/>
  <c r="AB298" i="2"/>
  <c r="AA298" i="2"/>
  <c r="Z298" i="2"/>
  <c r="Y298" i="2"/>
  <c r="X298" i="2"/>
  <c r="W298" i="2"/>
  <c r="AB297" i="2"/>
  <c r="AA297" i="2"/>
  <c r="Z297" i="2"/>
  <c r="Y297" i="2"/>
  <c r="X297" i="2"/>
  <c r="W297" i="2"/>
  <c r="AB296" i="2"/>
  <c r="AA296" i="2"/>
  <c r="Z296" i="2"/>
  <c r="Y296" i="2"/>
  <c r="X296" i="2"/>
  <c r="W296" i="2"/>
  <c r="AB295" i="2"/>
  <c r="AA295" i="2"/>
  <c r="Z295" i="2"/>
  <c r="Y295" i="2"/>
  <c r="X295" i="2"/>
  <c r="W295" i="2"/>
  <c r="AB294" i="2"/>
  <c r="AA294" i="2"/>
  <c r="Z294" i="2"/>
  <c r="Y294" i="2"/>
  <c r="X294" i="2"/>
  <c r="W294" i="2"/>
  <c r="AB293" i="2"/>
  <c r="AA293" i="2"/>
  <c r="Z293" i="2"/>
  <c r="Y293" i="2"/>
  <c r="X293" i="2"/>
  <c r="W293" i="2"/>
  <c r="AB292" i="2"/>
  <c r="AA292" i="2"/>
  <c r="Z292" i="2"/>
  <c r="Y292" i="2"/>
  <c r="X292" i="2"/>
  <c r="W292" i="2"/>
  <c r="AB291" i="2"/>
  <c r="AA291" i="2"/>
  <c r="Z291" i="2"/>
  <c r="Y291" i="2"/>
  <c r="X291" i="2"/>
  <c r="W291" i="2"/>
  <c r="AB290" i="2"/>
  <c r="AA290" i="2"/>
  <c r="Z290" i="2"/>
  <c r="Y290" i="2"/>
  <c r="X290" i="2"/>
  <c r="W290" i="2"/>
  <c r="AB289" i="2"/>
  <c r="AA289" i="2"/>
  <c r="Z289" i="2"/>
  <c r="Y289" i="2"/>
  <c r="X289" i="2"/>
  <c r="W289" i="2"/>
  <c r="AB288" i="2"/>
  <c r="AA288" i="2"/>
  <c r="Z288" i="2"/>
  <c r="Y288" i="2"/>
  <c r="X288" i="2"/>
  <c r="W288" i="2"/>
  <c r="AB287" i="2"/>
  <c r="AA287" i="2"/>
  <c r="Z287" i="2"/>
  <c r="Y287" i="2"/>
  <c r="X287" i="2"/>
  <c r="W287" i="2"/>
  <c r="AB286" i="2"/>
  <c r="AA286" i="2"/>
  <c r="Z286" i="2"/>
  <c r="Y286" i="2"/>
  <c r="X286" i="2"/>
  <c r="W286" i="2"/>
  <c r="AB285" i="2"/>
  <c r="AA285" i="2"/>
  <c r="Z285" i="2"/>
  <c r="Y285" i="2"/>
  <c r="X285" i="2"/>
  <c r="W285" i="2"/>
  <c r="AB284" i="2"/>
  <c r="AA284" i="2"/>
  <c r="Z284" i="2"/>
  <c r="Y284" i="2"/>
  <c r="X284" i="2"/>
  <c r="W284" i="2"/>
  <c r="AB283" i="2"/>
  <c r="AA283" i="2"/>
  <c r="Z283" i="2"/>
  <c r="Y283" i="2"/>
  <c r="X283" i="2"/>
  <c r="W283" i="2"/>
  <c r="AB282" i="2"/>
  <c r="AA282" i="2"/>
  <c r="Z282" i="2"/>
  <c r="Y282" i="2"/>
  <c r="X282" i="2"/>
  <c r="W282" i="2"/>
  <c r="AB281" i="2"/>
  <c r="AA281" i="2"/>
  <c r="Z281" i="2"/>
  <c r="Y281" i="2"/>
  <c r="X281" i="2"/>
  <c r="W281" i="2"/>
  <c r="AB280" i="2"/>
  <c r="AA280" i="2"/>
  <c r="Z280" i="2"/>
  <c r="Y280" i="2"/>
  <c r="X280" i="2"/>
  <c r="W280" i="2"/>
  <c r="AB279" i="2"/>
  <c r="AA279" i="2"/>
  <c r="Z279" i="2"/>
  <c r="Y279" i="2"/>
  <c r="X279" i="2"/>
  <c r="W279" i="2"/>
  <c r="AB278" i="2"/>
  <c r="AA278" i="2"/>
  <c r="Z278" i="2"/>
  <c r="Y278" i="2"/>
  <c r="X278" i="2"/>
  <c r="W278" i="2"/>
  <c r="AB277" i="2"/>
  <c r="AA277" i="2"/>
  <c r="Z277" i="2"/>
  <c r="Y277" i="2"/>
  <c r="X277" i="2"/>
  <c r="W277" i="2"/>
  <c r="AB276" i="2"/>
  <c r="AA276" i="2"/>
  <c r="Z276" i="2"/>
  <c r="Y276" i="2"/>
  <c r="X276" i="2"/>
  <c r="W276" i="2"/>
  <c r="AB275" i="2"/>
  <c r="AA275" i="2"/>
  <c r="Z275" i="2"/>
  <c r="Y275" i="2"/>
  <c r="X275" i="2"/>
  <c r="W275" i="2"/>
  <c r="AB274" i="2"/>
  <c r="AA274" i="2"/>
  <c r="Z274" i="2"/>
  <c r="Y274" i="2"/>
  <c r="X274" i="2"/>
  <c r="W274" i="2"/>
  <c r="AB273" i="2"/>
  <c r="AA273" i="2"/>
  <c r="Z273" i="2"/>
  <c r="Y273" i="2"/>
  <c r="X273" i="2"/>
  <c r="W273" i="2"/>
  <c r="AB272" i="2"/>
  <c r="AA272" i="2"/>
  <c r="Z272" i="2"/>
  <c r="Y272" i="2"/>
  <c r="X272" i="2"/>
  <c r="W272" i="2"/>
  <c r="AB271" i="2"/>
  <c r="AA271" i="2"/>
  <c r="Z271" i="2"/>
  <c r="Y271" i="2"/>
  <c r="X271" i="2"/>
  <c r="W271" i="2"/>
  <c r="AB270" i="2"/>
  <c r="AA270" i="2"/>
  <c r="Z270" i="2"/>
  <c r="Y270" i="2"/>
  <c r="X270" i="2"/>
  <c r="W270" i="2"/>
  <c r="AB269" i="2"/>
  <c r="AA269" i="2"/>
  <c r="Z269" i="2"/>
  <c r="Y269" i="2"/>
  <c r="X269" i="2"/>
  <c r="W269" i="2"/>
  <c r="AB268" i="2"/>
  <c r="AA268" i="2"/>
  <c r="Z268" i="2"/>
  <c r="Y268" i="2"/>
  <c r="X268" i="2"/>
  <c r="W268" i="2"/>
  <c r="AB267" i="2"/>
  <c r="AA267" i="2"/>
  <c r="Z267" i="2"/>
  <c r="Y267" i="2"/>
  <c r="X267" i="2"/>
  <c r="W267" i="2"/>
  <c r="AB266" i="2"/>
  <c r="AA266" i="2"/>
  <c r="Z266" i="2"/>
  <c r="Y266" i="2"/>
  <c r="X266" i="2"/>
  <c r="W266" i="2"/>
  <c r="AB265" i="2"/>
  <c r="AA265" i="2"/>
  <c r="Z265" i="2"/>
  <c r="Y265" i="2"/>
  <c r="X265" i="2"/>
  <c r="W265" i="2"/>
  <c r="AB264" i="2"/>
  <c r="AA264" i="2"/>
  <c r="Z264" i="2"/>
  <c r="Y264" i="2"/>
  <c r="X264" i="2"/>
  <c r="W264" i="2"/>
  <c r="AB263" i="2"/>
  <c r="AA263" i="2"/>
  <c r="Z263" i="2"/>
  <c r="Y263" i="2"/>
  <c r="X263" i="2"/>
  <c r="W263" i="2"/>
  <c r="AB262" i="2"/>
  <c r="AA262" i="2"/>
  <c r="Z262" i="2"/>
  <c r="Y262" i="2"/>
  <c r="X262" i="2"/>
  <c r="W262" i="2"/>
  <c r="AB261" i="2"/>
  <c r="AA261" i="2"/>
  <c r="Z261" i="2"/>
  <c r="Y261" i="2"/>
  <c r="X261" i="2"/>
  <c r="W261" i="2"/>
  <c r="AB260" i="2"/>
  <c r="AA260" i="2"/>
  <c r="Z260" i="2"/>
  <c r="Y260" i="2"/>
  <c r="X260" i="2"/>
  <c r="W260" i="2"/>
  <c r="AB259" i="2"/>
  <c r="AA259" i="2"/>
  <c r="Z259" i="2"/>
  <c r="Y259" i="2"/>
  <c r="X259" i="2"/>
  <c r="W259" i="2"/>
  <c r="AB258" i="2"/>
  <c r="AA258" i="2"/>
  <c r="Z258" i="2"/>
  <c r="Y258" i="2"/>
  <c r="X258" i="2"/>
  <c r="W258" i="2"/>
  <c r="AB257" i="2"/>
  <c r="AA257" i="2"/>
  <c r="Z257" i="2"/>
  <c r="Y257" i="2"/>
  <c r="X257" i="2"/>
  <c r="W257" i="2"/>
  <c r="AB256" i="2"/>
  <c r="AA256" i="2"/>
  <c r="Z256" i="2"/>
  <c r="Y256" i="2"/>
  <c r="X256" i="2"/>
  <c r="W256" i="2"/>
  <c r="AB255" i="2"/>
  <c r="AA255" i="2"/>
  <c r="Z255" i="2"/>
  <c r="Y255" i="2"/>
  <c r="X255" i="2"/>
  <c r="W255" i="2"/>
  <c r="AB254" i="2"/>
  <c r="AA254" i="2"/>
  <c r="Z254" i="2"/>
  <c r="Y254" i="2"/>
  <c r="X254" i="2"/>
  <c r="W254" i="2"/>
  <c r="AB253" i="2"/>
  <c r="AA253" i="2"/>
  <c r="Z253" i="2"/>
  <c r="Y253" i="2"/>
  <c r="X253" i="2"/>
  <c r="W253" i="2"/>
  <c r="AB252" i="2"/>
  <c r="AA252" i="2"/>
  <c r="Z252" i="2"/>
  <c r="Y252" i="2"/>
  <c r="X252" i="2"/>
  <c r="W252" i="2"/>
  <c r="AB251" i="2"/>
  <c r="AA251" i="2"/>
  <c r="Z251" i="2"/>
  <c r="Y251" i="2"/>
  <c r="X251" i="2"/>
  <c r="W251" i="2"/>
  <c r="AB250" i="2"/>
  <c r="AA250" i="2"/>
  <c r="Z250" i="2"/>
  <c r="Y250" i="2"/>
  <c r="X250" i="2"/>
  <c r="W250" i="2"/>
  <c r="AB249" i="2"/>
  <c r="AA249" i="2"/>
  <c r="Z249" i="2"/>
  <c r="Y249" i="2"/>
  <c r="X249" i="2"/>
  <c r="W249" i="2"/>
  <c r="AB248" i="2"/>
  <c r="AA248" i="2"/>
  <c r="Z248" i="2"/>
  <c r="Y248" i="2"/>
  <c r="X248" i="2"/>
  <c r="W248" i="2"/>
  <c r="AB247" i="2"/>
  <c r="AA247" i="2"/>
  <c r="Z247" i="2"/>
  <c r="Y247" i="2"/>
  <c r="X247" i="2"/>
  <c r="W247" i="2"/>
  <c r="AB246" i="2"/>
  <c r="AA246" i="2"/>
  <c r="Z246" i="2"/>
  <c r="Y246" i="2"/>
  <c r="X246" i="2"/>
  <c r="W246" i="2"/>
  <c r="AB245" i="2"/>
  <c r="AA245" i="2"/>
  <c r="Z245" i="2"/>
  <c r="Y245" i="2"/>
  <c r="X245" i="2"/>
  <c r="W245" i="2"/>
  <c r="AB244" i="2"/>
  <c r="AA244" i="2"/>
  <c r="Z244" i="2"/>
  <c r="Y244" i="2"/>
  <c r="X244" i="2"/>
  <c r="W244" i="2"/>
  <c r="AB243" i="2"/>
  <c r="AA243" i="2"/>
  <c r="Z243" i="2"/>
  <c r="Y243" i="2"/>
  <c r="X243" i="2"/>
  <c r="W243" i="2"/>
  <c r="AB242" i="2"/>
  <c r="AA242" i="2"/>
  <c r="Z242" i="2"/>
  <c r="Y242" i="2"/>
  <c r="X242" i="2"/>
  <c r="W242" i="2"/>
  <c r="AB241" i="2"/>
  <c r="AA241" i="2"/>
  <c r="Z241" i="2"/>
  <c r="Y241" i="2"/>
  <c r="X241" i="2"/>
  <c r="W241" i="2"/>
  <c r="AB240" i="2"/>
  <c r="AA240" i="2"/>
  <c r="Z240" i="2"/>
  <c r="Y240" i="2"/>
  <c r="X240" i="2"/>
  <c r="W240" i="2"/>
  <c r="AB239" i="2"/>
  <c r="AA239" i="2"/>
  <c r="Z239" i="2"/>
  <c r="Y239" i="2"/>
  <c r="X239" i="2"/>
  <c r="W239" i="2"/>
  <c r="AB238" i="2"/>
  <c r="AA238" i="2"/>
  <c r="Z238" i="2"/>
  <c r="Y238" i="2"/>
  <c r="X238" i="2"/>
  <c r="W238" i="2"/>
  <c r="AB237" i="2"/>
  <c r="AA237" i="2"/>
  <c r="Z237" i="2"/>
  <c r="Y237" i="2"/>
  <c r="X237" i="2"/>
  <c r="W237" i="2"/>
  <c r="AB236" i="2"/>
  <c r="AA236" i="2"/>
  <c r="Z236" i="2"/>
  <c r="Y236" i="2"/>
  <c r="X236" i="2"/>
  <c r="W236" i="2"/>
  <c r="AB235" i="2"/>
  <c r="AA235" i="2"/>
  <c r="Z235" i="2"/>
  <c r="Y235" i="2"/>
  <c r="X235" i="2"/>
  <c r="W235" i="2"/>
  <c r="AB234" i="2"/>
  <c r="AA234" i="2"/>
  <c r="Z234" i="2"/>
  <c r="Y234" i="2"/>
  <c r="X234" i="2"/>
  <c r="W234" i="2"/>
  <c r="AB233" i="2"/>
  <c r="AA233" i="2"/>
  <c r="Z233" i="2"/>
  <c r="Y233" i="2"/>
  <c r="X233" i="2"/>
  <c r="W233" i="2"/>
  <c r="AB232" i="2"/>
  <c r="AA232" i="2"/>
  <c r="Z232" i="2"/>
  <c r="Y232" i="2"/>
  <c r="X232" i="2"/>
  <c r="W232" i="2"/>
  <c r="AB231" i="2"/>
  <c r="AA231" i="2"/>
  <c r="Z231" i="2"/>
  <c r="Y231" i="2"/>
  <c r="X231" i="2"/>
  <c r="W231" i="2"/>
  <c r="AB230" i="2"/>
  <c r="AA230" i="2"/>
  <c r="Z230" i="2"/>
  <c r="Y230" i="2"/>
  <c r="X230" i="2"/>
  <c r="W230" i="2"/>
  <c r="AB229" i="2"/>
  <c r="AA229" i="2"/>
  <c r="Z229" i="2"/>
  <c r="Y229" i="2"/>
  <c r="X229" i="2"/>
  <c r="W229" i="2"/>
  <c r="AB228" i="2"/>
  <c r="AA228" i="2"/>
  <c r="Z228" i="2"/>
  <c r="Y228" i="2"/>
  <c r="X228" i="2"/>
  <c r="W228" i="2"/>
  <c r="AB227" i="2"/>
  <c r="AA227" i="2"/>
  <c r="Z227" i="2"/>
  <c r="Y227" i="2"/>
  <c r="X227" i="2"/>
  <c r="W227" i="2"/>
  <c r="AB226" i="2"/>
  <c r="AA226" i="2"/>
  <c r="Z226" i="2"/>
  <c r="Y226" i="2"/>
  <c r="X226" i="2"/>
  <c r="W226" i="2"/>
  <c r="AB225" i="2"/>
  <c r="AA225" i="2"/>
  <c r="Z225" i="2"/>
  <c r="Y225" i="2"/>
  <c r="X225" i="2"/>
  <c r="W225" i="2"/>
  <c r="AB224" i="2"/>
  <c r="AA224" i="2"/>
  <c r="Z224" i="2"/>
  <c r="Y224" i="2"/>
  <c r="X224" i="2"/>
  <c r="W224" i="2"/>
  <c r="AB223" i="2"/>
  <c r="AA223" i="2"/>
  <c r="Z223" i="2"/>
  <c r="Y223" i="2"/>
  <c r="X223" i="2"/>
  <c r="W223" i="2"/>
  <c r="AB222" i="2"/>
  <c r="AA222" i="2"/>
  <c r="Z222" i="2"/>
  <c r="Y222" i="2"/>
  <c r="X222" i="2"/>
  <c r="W222" i="2"/>
  <c r="AB221" i="2"/>
  <c r="AA221" i="2"/>
  <c r="Z221" i="2"/>
  <c r="Y221" i="2"/>
  <c r="X221" i="2"/>
  <c r="W221" i="2"/>
  <c r="AB220" i="2"/>
  <c r="AA220" i="2"/>
  <c r="Z220" i="2"/>
  <c r="Y220" i="2"/>
  <c r="X220" i="2"/>
  <c r="W220" i="2"/>
  <c r="AB219" i="2"/>
  <c r="AA219" i="2"/>
  <c r="Z219" i="2"/>
  <c r="Y219" i="2"/>
  <c r="X219" i="2"/>
  <c r="W219" i="2"/>
  <c r="AB218" i="2"/>
  <c r="AA218" i="2"/>
  <c r="Z218" i="2"/>
  <c r="Y218" i="2"/>
  <c r="X218" i="2"/>
  <c r="W218" i="2"/>
  <c r="AB217" i="2"/>
  <c r="AA217" i="2"/>
  <c r="Z217" i="2"/>
  <c r="Y217" i="2"/>
  <c r="X217" i="2"/>
  <c r="W217" i="2"/>
  <c r="AB216" i="2"/>
  <c r="AA216" i="2"/>
  <c r="Z216" i="2"/>
  <c r="Y216" i="2"/>
  <c r="X216" i="2"/>
  <c r="W216" i="2"/>
  <c r="AB215" i="2"/>
  <c r="AA215" i="2"/>
  <c r="Z215" i="2"/>
  <c r="Y215" i="2"/>
  <c r="X215" i="2"/>
  <c r="W215" i="2"/>
  <c r="AB214" i="2"/>
  <c r="AA214" i="2"/>
  <c r="Z214" i="2"/>
  <c r="Y214" i="2"/>
  <c r="X214" i="2"/>
  <c r="W214" i="2"/>
  <c r="AB213" i="2"/>
  <c r="AA213" i="2"/>
  <c r="Z213" i="2"/>
  <c r="Y213" i="2"/>
  <c r="X213" i="2"/>
  <c r="W213" i="2"/>
  <c r="AB212" i="2"/>
  <c r="AA212" i="2"/>
  <c r="Z212" i="2"/>
  <c r="Y212" i="2"/>
  <c r="X212" i="2"/>
  <c r="W212" i="2"/>
  <c r="AB211" i="2"/>
  <c r="AA211" i="2"/>
  <c r="Z211" i="2"/>
  <c r="Y211" i="2"/>
  <c r="X211" i="2"/>
  <c r="W211" i="2"/>
  <c r="AB210" i="2"/>
  <c r="AA210" i="2"/>
  <c r="Z210" i="2"/>
  <c r="Y210" i="2"/>
  <c r="X210" i="2"/>
  <c r="W210" i="2"/>
  <c r="AB209" i="2"/>
  <c r="AA209" i="2"/>
  <c r="Z209" i="2"/>
  <c r="Y209" i="2"/>
  <c r="X209" i="2"/>
  <c r="W209" i="2"/>
  <c r="AB208" i="2"/>
  <c r="AA208" i="2"/>
  <c r="Z208" i="2"/>
  <c r="Y208" i="2"/>
  <c r="X208" i="2"/>
  <c r="W208" i="2"/>
  <c r="AB207" i="2"/>
  <c r="AA207" i="2"/>
  <c r="Z207" i="2"/>
  <c r="Y207" i="2"/>
  <c r="X207" i="2"/>
  <c r="W207" i="2"/>
  <c r="AB206" i="2"/>
  <c r="AA206" i="2"/>
  <c r="Z206" i="2"/>
  <c r="Y206" i="2"/>
  <c r="X206" i="2"/>
  <c r="W206" i="2"/>
  <c r="AB205" i="2"/>
  <c r="AA205" i="2"/>
  <c r="Z205" i="2"/>
  <c r="Y205" i="2"/>
  <c r="X205" i="2"/>
  <c r="W205" i="2"/>
  <c r="AB204" i="2"/>
  <c r="AA204" i="2"/>
  <c r="Z204" i="2"/>
  <c r="Y204" i="2"/>
  <c r="X204" i="2"/>
  <c r="W204" i="2"/>
  <c r="AB203" i="2"/>
  <c r="AA203" i="2"/>
  <c r="Z203" i="2"/>
  <c r="Y203" i="2"/>
  <c r="X203" i="2"/>
  <c r="W203" i="2"/>
  <c r="AB202" i="2"/>
  <c r="AA202" i="2"/>
  <c r="Z202" i="2"/>
  <c r="Y202" i="2"/>
  <c r="X202" i="2"/>
  <c r="W202" i="2"/>
  <c r="AB201" i="2"/>
  <c r="AA201" i="2"/>
  <c r="Z201" i="2"/>
  <c r="Y201" i="2"/>
  <c r="X201" i="2"/>
  <c r="W201" i="2"/>
  <c r="AB200" i="2"/>
  <c r="AA200" i="2"/>
  <c r="Z200" i="2"/>
  <c r="Y200" i="2"/>
  <c r="X200" i="2"/>
  <c r="W200" i="2"/>
  <c r="AB199" i="2"/>
  <c r="AA199" i="2"/>
  <c r="Z199" i="2"/>
  <c r="Y199" i="2"/>
  <c r="X199" i="2"/>
  <c r="W199" i="2"/>
  <c r="AB198" i="2"/>
  <c r="AA198" i="2"/>
  <c r="Z198" i="2"/>
  <c r="Y198" i="2"/>
  <c r="X198" i="2"/>
  <c r="W198" i="2"/>
  <c r="AB197" i="2"/>
  <c r="AA197" i="2"/>
  <c r="Z197" i="2"/>
  <c r="Y197" i="2"/>
  <c r="X197" i="2"/>
  <c r="W197" i="2"/>
  <c r="AB196" i="2"/>
  <c r="AA196" i="2"/>
  <c r="Z196" i="2"/>
  <c r="Y196" i="2"/>
  <c r="X196" i="2"/>
  <c r="W196" i="2"/>
  <c r="AB195" i="2"/>
  <c r="AA195" i="2"/>
  <c r="Z195" i="2"/>
  <c r="Y195" i="2"/>
  <c r="X195" i="2"/>
  <c r="W195" i="2"/>
  <c r="AB194" i="2"/>
  <c r="AA194" i="2"/>
  <c r="Z194" i="2"/>
  <c r="Y194" i="2"/>
  <c r="X194" i="2"/>
  <c r="W194" i="2"/>
  <c r="AB193" i="2"/>
  <c r="AA193" i="2"/>
  <c r="Z193" i="2"/>
  <c r="Y193" i="2"/>
  <c r="X193" i="2"/>
  <c r="W193" i="2"/>
  <c r="AB192" i="2"/>
  <c r="AA192" i="2"/>
  <c r="Z192" i="2"/>
  <c r="Y192" i="2"/>
  <c r="X192" i="2"/>
  <c r="W192" i="2"/>
  <c r="AB191" i="2"/>
  <c r="AA191" i="2"/>
  <c r="Z191" i="2"/>
  <c r="Y191" i="2"/>
  <c r="X191" i="2"/>
  <c r="W191" i="2"/>
  <c r="AB190" i="2"/>
  <c r="AA190" i="2"/>
  <c r="Z190" i="2"/>
  <c r="Y190" i="2"/>
  <c r="X190" i="2"/>
  <c r="W190" i="2"/>
  <c r="AB189" i="2"/>
  <c r="AA189" i="2"/>
  <c r="Z189" i="2"/>
  <c r="Y189" i="2"/>
  <c r="X189" i="2"/>
  <c r="W189" i="2"/>
  <c r="AB188" i="2"/>
  <c r="AA188" i="2"/>
  <c r="Z188" i="2"/>
  <c r="Y188" i="2"/>
  <c r="X188" i="2"/>
  <c r="W188" i="2"/>
  <c r="AB187" i="2"/>
  <c r="AA187" i="2"/>
  <c r="Z187" i="2"/>
  <c r="Y187" i="2"/>
  <c r="X187" i="2"/>
  <c r="W187" i="2"/>
  <c r="AB186" i="2"/>
  <c r="AA186" i="2"/>
  <c r="Z186" i="2"/>
  <c r="Y186" i="2"/>
  <c r="X186" i="2"/>
  <c r="W186" i="2"/>
  <c r="AB185" i="2"/>
  <c r="AA185" i="2"/>
  <c r="Z185" i="2"/>
  <c r="Y185" i="2"/>
  <c r="X185" i="2"/>
  <c r="W185" i="2"/>
  <c r="AB184" i="2"/>
  <c r="AA184" i="2"/>
  <c r="Z184" i="2"/>
  <c r="Y184" i="2"/>
  <c r="X184" i="2"/>
  <c r="W184" i="2"/>
  <c r="AB183" i="2"/>
  <c r="AA183" i="2"/>
  <c r="Z183" i="2"/>
  <c r="Y183" i="2"/>
  <c r="X183" i="2"/>
  <c r="W183" i="2"/>
  <c r="AB182" i="2"/>
  <c r="AA182" i="2"/>
  <c r="Z182" i="2"/>
  <c r="Y182" i="2"/>
  <c r="X182" i="2"/>
  <c r="W182" i="2"/>
  <c r="AB181" i="2"/>
  <c r="AA181" i="2"/>
  <c r="Z181" i="2"/>
  <c r="Y181" i="2"/>
  <c r="X181" i="2"/>
  <c r="W181" i="2"/>
  <c r="AB180" i="2"/>
  <c r="AA180" i="2"/>
  <c r="Z180" i="2"/>
  <c r="Y180" i="2"/>
  <c r="X180" i="2"/>
  <c r="W180" i="2"/>
  <c r="AB179" i="2"/>
  <c r="AA179" i="2"/>
  <c r="Z179" i="2"/>
  <c r="Y179" i="2"/>
  <c r="X179" i="2"/>
  <c r="W179" i="2"/>
  <c r="AB178" i="2"/>
  <c r="AA178" i="2"/>
  <c r="Z178" i="2"/>
  <c r="Y178" i="2"/>
  <c r="X178" i="2"/>
  <c r="W178" i="2"/>
  <c r="AB177" i="2"/>
  <c r="AA177" i="2"/>
  <c r="Z177" i="2"/>
  <c r="Y177" i="2"/>
  <c r="X177" i="2"/>
  <c r="W177" i="2"/>
  <c r="AB176" i="2"/>
  <c r="AA176" i="2"/>
  <c r="Z176" i="2"/>
  <c r="Y176" i="2"/>
  <c r="X176" i="2"/>
  <c r="W176" i="2"/>
  <c r="AB175" i="2"/>
  <c r="AA175" i="2"/>
  <c r="Z175" i="2"/>
  <c r="Y175" i="2"/>
  <c r="X175" i="2"/>
  <c r="W175" i="2"/>
  <c r="AB174" i="2"/>
  <c r="AA174" i="2"/>
  <c r="Z174" i="2"/>
  <c r="Y174" i="2"/>
  <c r="X174" i="2"/>
  <c r="W174" i="2"/>
  <c r="AB173" i="2"/>
  <c r="AA173" i="2"/>
  <c r="Z173" i="2"/>
  <c r="Y173" i="2"/>
  <c r="X173" i="2"/>
  <c r="W173" i="2"/>
  <c r="AB172" i="2"/>
  <c r="AA172" i="2"/>
  <c r="Z172" i="2"/>
  <c r="Y172" i="2"/>
  <c r="X172" i="2"/>
  <c r="W172" i="2"/>
  <c r="AB171" i="2"/>
  <c r="AA171" i="2"/>
  <c r="Z171" i="2"/>
  <c r="Y171" i="2"/>
  <c r="X171" i="2"/>
  <c r="W171" i="2"/>
  <c r="AB170" i="2"/>
  <c r="AA170" i="2"/>
  <c r="Z170" i="2"/>
  <c r="Y170" i="2"/>
  <c r="X170" i="2"/>
  <c r="W170" i="2"/>
  <c r="AB169" i="2"/>
  <c r="AA169" i="2"/>
  <c r="Z169" i="2"/>
  <c r="Y169" i="2"/>
  <c r="X169" i="2"/>
  <c r="W169" i="2"/>
  <c r="AB168" i="2"/>
  <c r="AA168" i="2"/>
  <c r="Z168" i="2"/>
  <c r="Y168" i="2"/>
  <c r="X168" i="2"/>
  <c r="W168" i="2"/>
  <c r="AB167" i="2"/>
  <c r="AA167" i="2"/>
  <c r="Z167" i="2"/>
  <c r="Y167" i="2"/>
  <c r="X167" i="2"/>
  <c r="W167" i="2"/>
  <c r="AB166" i="2"/>
  <c r="AA166" i="2"/>
  <c r="Z166" i="2"/>
  <c r="Y166" i="2"/>
  <c r="X166" i="2"/>
  <c r="W166" i="2"/>
  <c r="AB165" i="2"/>
  <c r="AA165" i="2"/>
  <c r="Z165" i="2"/>
  <c r="Y165" i="2"/>
  <c r="X165" i="2"/>
  <c r="W165" i="2"/>
  <c r="AB164" i="2"/>
  <c r="AA164" i="2"/>
  <c r="Z164" i="2"/>
  <c r="Y164" i="2"/>
  <c r="X164" i="2"/>
  <c r="W164" i="2"/>
  <c r="AB163" i="2"/>
  <c r="AA163" i="2"/>
  <c r="Z163" i="2"/>
  <c r="Y163" i="2"/>
  <c r="X163" i="2"/>
  <c r="W163" i="2"/>
  <c r="AB162" i="2"/>
  <c r="AA162" i="2"/>
  <c r="Z162" i="2"/>
  <c r="Y162" i="2"/>
  <c r="X162" i="2"/>
  <c r="W162" i="2"/>
  <c r="AB161" i="2"/>
  <c r="AA161" i="2"/>
  <c r="Z161" i="2"/>
  <c r="Y161" i="2"/>
  <c r="X161" i="2"/>
  <c r="W161" i="2"/>
  <c r="AB160" i="2"/>
  <c r="AA160" i="2"/>
  <c r="Z160" i="2"/>
  <c r="Y160" i="2"/>
  <c r="X160" i="2"/>
  <c r="W160" i="2"/>
  <c r="AB159" i="2"/>
  <c r="AA159" i="2"/>
  <c r="Z159" i="2"/>
  <c r="Y159" i="2"/>
  <c r="X159" i="2"/>
  <c r="W159" i="2"/>
  <c r="AB158" i="2"/>
  <c r="AA158" i="2"/>
  <c r="Z158" i="2"/>
  <c r="Y158" i="2"/>
  <c r="X158" i="2"/>
  <c r="W158" i="2"/>
  <c r="AB157" i="2"/>
  <c r="AA157" i="2"/>
  <c r="Z157" i="2"/>
  <c r="Y157" i="2"/>
  <c r="X157" i="2"/>
  <c r="W157" i="2"/>
  <c r="AB156" i="2"/>
  <c r="AA156" i="2"/>
  <c r="Z156" i="2"/>
  <c r="Y156" i="2"/>
  <c r="X156" i="2"/>
  <c r="W156" i="2"/>
  <c r="AB155" i="2"/>
  <c r="AA155" i="2"/>
  <c r="Z155" i="2"/>
  <c r="Y155" i="2"/>
  <c r="X155" i="2"/>
  <c r="W155" i="2"/>
  <c r="AB154" i="2"/>
  <c r="AA154" i="2"/>
  <c r="Z154" i="2"/>
  <c r="Y154" i="2"/>
  <c r="X154" i="2"/>
  <c r="W154" i="2"/>
  <c r="AB153" i="2"/>
  <c r="AA153" i="2"/>
  <c r="Z153" i="2"/>
  <c r="Y153" i="2"/>
  <c r="X153" i="2"/>
  <c r="W153" i="2"/>
  <c r="AB152" i="2"/>
  <c r="AA152" i="2"/>
  <c r="Z152" i="2"/>
  <c r="Y152" i="2"/>
  <c r="X152" i="2"/>
  <c r="W152" i="2"/>
  <c r="AB151" i="2"/>
  <c r="AA151" i="2"/>
  <c r="Z151" i="2"/>
  <c r="Y151" i="2"/>
  <c r="X151" i="2"/>
  <c r="W151" i="2"/>
  <c r="AB150" i="2"/>
  <c r="AA150" i="2"/>
  <c r="Z150" i="2"/>
  <c r="Y150" i="2"/>
  <c r="X150" i="2"/>
  <c r="W150" i="2"/>
  <c r="AB149" i="2"/>
  <c r="AA149" i="2"/>
  <c r="Z149" i="2"/>
  <c r="Y149" i="2"/>
  <c r="X149" i="2"/>
  <c r="W149" i="2"/>
  <c r="AB148" i="2"/>
  <c r="AA148" i="2"/>
  <c r="Z148" i="2"/>
  <c r="Y148" i="2"/>
  <c r="X148" i="2"/>
  <c r="W148" i="2"/>
  <c r="AB147" i="2"/>
  <c r="AA147" i="2"/>
  <c r="Z147" i="2"/>
  <c r="Y147" i="2"/>
  <c r="X147" i="2"/>
  <c r="W147" i="2"/>
  <c r="AB146" i="2"/>
  <c r="AA146" i="2"/>
  <c r="Z146" i="2"/>
  <c r="Y146" i="2"/>
  <c r="X146" i="2"/>
  <c r="W146" i="2"/>
  <c r="AB145" i="2"/>
  <c r="AA145" i="2"/>
  <c r="Z145" i="2"/>
  <c r="Y145" i="2"/>
  <c r="X145" i="2"/>
  <c r="W145" i="2"/>
  <c r="AB144" i="2"/>
  <c r="AA144" i="2"/>
  <c r="Z144" i="2"/>
  <c r="Y144" i="2"/>
  <c r="X144" i="2"/>
  <c r="W144" i="2"/>
  <c r="AB143" i="2"/>
  <c r="AA143" i="2"/>
  <c r="Z143" i="2"/>
  <c r="Y143" i="2"/>
  <c r="X143" i="2"/>
  <c r="W143" i="2"/>
  <c r="AB142" i="2"/>
  <c r="AA142" i="2"/>
  <c r="Z142" i="2"/>
  <c r="Y142" i="2"/>
  <c r="X142" i="2"/>
  <c r="W142" i="2"/>
  <c r="AB141" i="2"/>
  <c r="AA141" i="2"/>
  <c r="Z141" i="2"/>
  <c r="Y141" i="2"/>
  <c r="X141" i="2"/>
  <c r="W141" i="2"/>
  <c r="AB140" i="2"/>
  <c r="AA140" i="2"/>
  <c r="Z140" i="2"/>
  <c r="Y140" i="2"/>
  <c r="X140" i="2"/>
  <c r="W140" i="2"/>
  <c r="AB139" i="2"/>
  <c r="AA139" i="2"/>
  <c r="Z139" i="2"/>
  <c r="Y139" i="2"/>
  <c r="X139" i="2"/>
  <c r="W139" i="2"/>
  <c r="AB138" i="2"/>
  <c r="AA138" i="2"/>
  <c r="Z138" i="2"/>
  <c r="Y138" i="2"/>
  <c r="X138" i="2"/>
  <c r="W138" i="2"/>
  <c r="AB137" i="2"/>
  <c r="AA137" i="2"/>
  <c r="Z137" i="2"/>
  <c r="Y137" i="2"/>
  <c r="X137" i="2"/>
  <c r="W137" i="2"/>
  <c r="AB136" i="2"/>
  <c r="AA136" i="2"/>
  <c r="Z136" i="2"/>
  <c r="Y136" i="2"/>
  <c r="X136" i="2"/>
  <c r="W136" i="2"/>
  <c r="AB135" i="2"/>
  <c r="AA135" i="2"/>
  <c r="Z135" i="2"/>
  <c r="Y135" i="2"/>
  <c r="X135" i="2"/>
  <c r="W135" i="2"/>
  <c r="AB134" i="2"/>
  <c r="AA134" i="2"/>
  <c r="Z134" i="2"/>
  <c r="Y134" i="2"/>
  <c r="X134" i="2"/>
  <c r="W134" i="2"/>
  <c r="AB133" i="2"/>
  <c r="AA133" i="2"/>
  <c r="Z133" i="2"/>
  <c r="Y133" i="2"/>
  <c r="X133" i="2"/>
  <c r="W133" i="2"/>
  <c r="AB132" i="2"/>
  <c r="AA132" i="2"/>
  <c r="Z132" i="2"/>
  <c r="Y132" i="2"/>
  <c r="X132" i="2"/>
  <c r="W132" i="2"/>
  <c r="AB131" i="2"/>
  <c r="AA131" i="2"/>
  <c r="Z131" i="2"/>
  <c r="Y131" i="2"/>
  <c r="X131" i="2"/>
  <c r="W131" i="2"/>
  <c r="AB130" i="2"/>
  <c r="AA130" i="2"/>
  <c r="Z130" i="2"/>
  <c r="Y130" i="2"/>
  <c r="X130" i="2"/>
  <c r="W130" i="2"/>
  <c r="AB129" i="2"/>
  <c r="AA129" i="2"/>
  <c r="Z129" i="2"/>
  <c r="Y129" i="2"/>
  <c r="X129" i="2"/>
  <c r="W129" i="2"/>
  <c r="AB128" i="2"/>
  <c r="AA128" i="2"/>
  <c r="Z128" i="2"/>
  <c r="Y128" i="2"/>
  <c r="X128" i="2"/>
  <c r="W128" i="2"/>
  <c r="AB127" i="2"/>
  <c r="AA127" i="2"/>
  <c r="Z127" i="2"/>
  <c r="Y127" i="2"/>
  <c r="X127" i="2"/>
  <c r="W127" i="2"/>
  <c r="AB126" i="2"/>
  <c r="AA126" i="2"/>
  <c r="Z126" i="2"/>
  <c r="Y126" i="2"/>
  <c r="X126" i="2"/>
  <c r="W126" i="2"/>
  <c r="AB125" i="2"/>
  <c r="AA125" i="2"/>
  <c r="Z125" i="2"/>
  <c r="Y125" i="2"/>
  <c r="X125" i="2"/>
  <c r="W125" i="2"/>
  <c r="AB124" i="2"/>
  <c r="AA124" i="2"/>
  <c r="Z124" i="2"/>
  <c r="Y124" i="2"/>
  <c r="X124" i="2"/>
  <c r="W124" i="2"/>
  <c r="AB123" i="2"/>
  <c r="AA123" i="2"/>
  <c r="Z123" i="2"/>
  <c r="Y123" i="2"/>
  <c r="X123" i="2"/>
  <c r="W123" i="2"/>
  <c r="AB122" i="2"/>
  <c r="AA122" i="2"/>
  <c r="Z122" i="2"/>
  <c r="Y122" i="2"/>
  <c r="X122" i="2"/>
  <c r="W122" i="2"/>
  <c r="AB121" i="2"/>
  <c r="AA121" i="2"/>
  <c r="Z121" i="2"/>
  <c r="Y121" i="2"/>
  <c r="X121" i="2"/>
  <c r="W121" i="2"/>
  <c r="AB120" i="2"/>
  <c r="AA120" i="2"/>
  <c r="Z120" i="2"/>
  <c r="Y120" i="2"/>
  <c r="X120" i="2"/>
  <c r="W120" i="2"/>
  <c r="AB119" i="2"/>
  <c r="AA119" i="2"/>
  <c r="Z119" i="2"/>
  <c r="Y119" i="2"/>
  <c r="X119" i="2"/>
  <c r="W119" i="2"/>
  <c r="AB118" i="2"/>
  <c r="AA118" i="2"/>
  <c r="Z118" i="2"/>
  <c r="Y118" i="2"/>
  <c r="X118" i="2"/>
  <c r="W118" i="2"/>
  <c r="AB117" i="2"/>
  <c r="AA117" i="2"/>
  <c r="Z117" i="2"/>
  <c r="Y117" i="2"/>
  <c r="X117" i="2"/>
  <c r="W117" i="2"/>
  <c r="AB116" i="2"/>
  <c r="AA116" i="2"/>
  <c r="Z116" i="2"/>
  <c r="Y116" i="2"/>
  <c r="X116" i="2"/>
  <c r="W116" i="2"/>
  <c r="AB115" i="2"/>
  <c r="AA115" i="2"/>
  <c r="Z115" i="2"/>
  <c r="Y115" i="2"/>
  <c r="X115" i="2"/>
  <c r="W115" i="2"/>
  <c r="AB114" i="2"/>
  <c r="AA114" i="2"/>
  <c r="Z114" i="2"/>
  <c r="Y114" i="2"/>
  <c r="X114" i="2"/>
  <c r="W114" i="2"/>
  <c r="AB113" i="2"/>
  <c r="AA113" i="2"/>
  <c r="Z113" i="2"/>
  <c r="Y113" i="2"/>
  <c r="X113" i="2"/>
  <c r="W113" i="2"/>
  <c r="AB112" i="2"/>
  <c r="AA112" i="2"/>
  <c r="Z112" i="2"/>
  <c r="Y112" i="2"/>
  <c r="X112" i="2"/>
  <c r="W112" i="2"/>
  <c r="AB111" i="2"/>
  <c r="AA111" i="2"/>
  <c r="Z111" i="2"/>
  <c r="Y111" i="2"/>
  <c r="X111" i="2"/>
  <c r="W111" i="2"/>
  <c r="AB110" i="2"/>
  <c r="AA110" i="2"/>
  <c r="Z110" i="2"/>
  <c r="Y110" i="2"/>
  <c r="X110" i="2"/>
  <c r="W110" i="2"/>
  <c r="AB109" i="2"/>
  <c r="AA109" i="2"/>
  <c r="Z109" i="2"/>
  <c r="Y109" i="2"/>
  <c r="X109" i="2"/>
  <c r="W109" i="2"/>
  <c r="AB108" i="2"/>
  <c r="AA108" i="2"/>
  <c r="Z108" i="2"/>
  <c r="Y108" i="2"/>
  <c r="X108" i="2"/>
  <c r="W108" i="2"/>
  <c r="AB107" i="2"/>
  <c r="AA107" i="2"/>
  <c r="Z107" i="2"/>
  <c r="Y107" i="2"/>
  <c r="X107" i="2"/>
  <c r="W107" i="2"/>
  <c r="AB106" i="2"/>
  <c r="AA106" i="2"/>
  <c r="Z106" i="2"/>
  <c r="Y106" i="2"/>
  <c r="X106" i="2"/>
  <c r="W106" i="2"/>
  <c r="AB105" i="2"/>
  <c r="AA105" i="2"/>
  <c r="Z105" i="2"/>
  <c r="Y105" i="2"/>
  <c r="X105" i="2"/>
  <c r="W105" i="2"/>
  <c r="AB104" i="2"/>
  <c r="AA104" i="2"/>
  <c r="Z104" i="2"/>
  <c r="Y104" i="2"/>
  <c r="X104" i="2"/>
  <c r="W104" i="2"/>
  <c r="AB103" i="2"/>
  <c r="AA103" i="2"/>
  <c r="Z103" i="2"/>
  <c r="Y103" i="2"/>
  <c r="X103" i="2"/>
  <c r="W103" i="2"/>
  <c r="AB102" i="2"/>
  <c r="AA102" i="2"/>
  <c r="Z102" i="2"/>
  <c r="Y102" i="2"/>
  <c r="X102" i="2"/>
  <c r="W102" i="2"/>
  <c r="AB101" i="2"/>
  <c r="AA101" i="2"/>
  <c r="Z101" i="2"/>
  <c r="Y101" i="2"/>
  <c r="X101" i="2"/>
  <c r="W101" i="2"/>
  <c r="AB100" i="2"/>
  <c r="AA100" i="2"/>
  <c r="Z100" i="2"/>
  <c r="Y100" i="2"/>
  <c r="X100" i="2"/>
  <c r="W100" i="2"/>
  <c r="AB99" i="2"/>
  <c r="AA99" i="2"/>
  <c r="Z99" i="2"/>
  <c r="Y99" i="2"/>
  <c r="X99" i="2"/>
  <c r="W99" i="2"/>
  <c r="AB98" i="2"/>
  <c r="AA98" i="2"/>
  <c r="Z98" i="2"/>
  <c r="Y98" i="2"/>
  <c r="X98" i="2"/>
  <c r="W98" i="2"/>
  <c r="AB97" i="2"/>
  <c r="AA97" i="2"/>
  <c r="Z97" i="2"/>
  <c r="Y97" i="2"/>
  <c r="X97" i="2"/>
  <c r="W97" i="2"/>
  <c r="AB96" i="2"/>
  <c r="AA96" i="2"/>
  <c r="Z96" i="2"/>
  <c r="Y96" i="2"/>
  <c r="X96" i="2"/>
  <c r="W96" i="2"/>
  <c r="AB95" i="2"/>
  <c r="AA95" i="2"/>
  <c r="Z95" i="2"/>
  <c r="Y95" i="2"/>
  <c r="X95" i="2"/>
  <c r="W95" i="2"/>
  <c r="AB94" i="2"/>
  <c r="AA94" i="2"/>
  <c r="Z94" i="2"/>
  <c r="Y94" i="2"/>
  <c r="X94" i="2"/>
  <c r="W94" i="2"/>
  <c r="AB93" i="2"/>
  <c r="AA93" i="2"/>
  <c r="Z93" i="2"/>
  <c r="Y93" i="2"/>
  <c r="X93" i="2"/>
  <c r="W93" i="2"/>
  <c r="AB92" i="2"/>
  <c r="AA92" i="2"/>
  <c r="Z92" i="2"/>
  <c r="Y92" i="2"/>
  <c r="X92" i="2"/>
  <c r="W92" i="2"/>
  <c r="AB91" i="2"/>
  <c r="AA91" i="2"/>
  <c r="Z91" i="2"/>
  <c r="Y91" i="2"/>
  <c r="X91" i="2"/>
  <c r="W91" i="2"/>
  <c r="AB90" i="2"/>
  <c r="AA90" i="2"/>
  <c r="Z90" i="2"/>
  <c r="Y90" i="2"/>
  <c r="X90" i="2"/>
  <c r="W90" i="2"/>
  <c r="AB89" i="2"/>
  <c r="AA89" i="2"/>
  <c r="Z89" i="2"/>
  <c r="Y89" i="2"/>
  <c r="X89" i="2"/>
  <c r="W89" i="2"/>
  <c r="AB88" i="2"/>
  <c r="AA88" i="2"/>
  <c r="Z88" i="2"/>
  <c r="Y88" i="2"/>
  <c r="X88" i="2"/>
  <c r="W88" i="2"/>
  <c r="AB87" i="2"/>
  <c r="AA87" i="2"/>
  <c r="Z87" i="2"/>
  <c r="Y87" i="2"/>
  <c r="X87" i="2"/>
  <c r="W87" i="2"/>
  <c r="AB86" i="2"/>
  <c r="AA86" i="2"/>
  <c r="Z86" i="2"/>
  <c r="Y86" i="2"/>
  <c r="X86" i="2"/>
  <c r="W86" i="2"/>
  <c r="AB85" i="2"/>
  <c r="AA85" i="2"/>
  <c r="Z85" i="2"/>
  <c r="Y85" i="2"/>
  <c r="X85" i="2"/>
  <c r="W85" i="2"/>
  <c r="AB84" i="2"/>
  <c r="AA84" i="2"/>
  <c r="Z84" i="2"/>
  <c r="Y84" i="2"/>
  <c r="X84" i="2"/>
  <c r="W84" i="2"/>
  <c r="AB83" i="2"/>
  <c r="AA83" i="2"/>
  <c r="Z83" i="2"/>
  <c r="Y83" i="2"/>
  <c r="X83" i="2"/>
  <c r="W83" i="2"/>
  <c r="AB82" i="2"/>
  <c r="AA82" i="2"/>
  <c r="Z82" i="2"/>
  <c r="Y82" i="2"/>
  <c r="X82" i="2"/>
  <c r="W82" i="2"/>
  <c r="AB81" i="2"/>
  <c r="AA81" i="2"/>
  <c r="Z81" i="2"/>
  <c r="Y81" i="2"/>
  <c r="X81" i="2"/>
  <c r="W81" i="2"/>
  <c r="AB80" i="2"/>
  <c r="AA80" i="2"/>
  <c r="Z80" i="2"/>
  <c r="Y80" i="2"/>
  <c r="X80" i="2"/>
  <c r="W80" i="2"/>
  <c r="AB79" i="2"/>
  <c r="AA79" i="2"/>
  <c r="Z79" i="2"/>
  <c r="Y79" i="2"/>
  <c r="X79" i="2"/>
  <c r="W79" i="2"/>
  <c r="AB78" i="2"/>
  <c r="AA78" i="2"/>
  <c r="Z78" i="2"/>
  <c r="Y78" i="2"/>
  <c r="X78" i="2"/>
  <c r="W78" i="2"/>
  <c r="AB77" i="2"/>
  <c r="AA77" i="2"/>
  <c r="Z77" i="2"/>
  <c r="Y77" i="2"/>
  <c r="X77" i="2"/>
  <c r="W77" i="2"/>
  <c r="AB76" i="2"/>
  <c r="AA76" i="2"/>
  <c r="Z76" i="2"/>
  <c r="Y76" i="2"/>
  <c r="X76" i="2"/>
  <c r="W76" i="2"/>
  <c r="AB75" i="2"/>
  <c r="AA75" i="2"/>
  <c r="Z75" i="2"/>
  <c r="Y75" i="2"/>
  <c r="X75" i="2"/>
  <c r="W75" i="2"/>
  <c r="AB74" i="2"/>
  <c r="AA74" i="2"/>
  <c r="Z74" i="2"/>
  <c r="Y74" i="2"/>
  <c r="X74" i="2"/>
  <c r="W74" i="2"/>
  <c r="AB73" i="2"/>
  <c r="AA73" i="2"/>
  <c r="Z73" i="2"/>
  <c r="Y73" i="2"/>
  <c r="X73" i="2"/>
  <c r="W73" i="2"/>
  <c r="AB72" i="2"/>
  <c r="AA72" i="2"/>
  <c r="Z72" i="2"/>
  <c r="Y72" i="2"/>
  <c r="X72" i="2"/>
  <c r="W72" i="2"/>
  <c r="AB71" i="2"/>
  <c r="AA71" i="2"/>
  <c r="Z71" i="2"/>
  <c r="Y71" i="2"/>
  <c r="X71" i="2"/>
  <c r="W71" i="2"/>
  <c r="AB70" i="2"/>
  <c r="AA70" i="2"/>
  <c r="Z70" i="2"/>
  <c r="Y70" i="2"/>
  <c r="X70" i="2"/>
  <c r="W70" i="2"/>
  <c r="AB69" i="2"/>
  <c r="AA69" i="2"/>
  <c r="Z69" i="2"/>
  <c r="Y69" i="2"/>
  <c r="X69" i="2"/>
  <c r="W69" i="2"/>
  <c r="AB68" i="2"/>
  <c r="AA68" i="2"/>
  <c r="Z68" i="2"/>
  <c r="Y68" i="2"/>
  <c r="X68" i="2"/>
  <c r="W68" i="2"/>
  <c r="AB67" i="2"/>
  <c r="AA67" i="2"/>
  <c r="Z67" i="2"/>
  <c r="Y67" i="2"/>
  <c r="X67" i="2"/>
  <c r="W67" i="2"/>
  <c r="AB66" i="2"/>
  <c r="AA66" i="2"/>
  <c r="Z66" i="2"/>
  <c r="Y66" i="2"/>
  <c r="X66" i="2"/>
  <c r="W66" i="2"/>
  <c r="AB65" i="2"/>
  <c r="AA65" i="2"/>
  <c r="Z65" i="2"/>
  <c r="Y65" i="2"/>
  <c r="X65" i="2"/>
  <c r="W65" i="2"/>
  <c r="AB64" i="2"/>
  <c r="AA64" i="2"/>
  <c r="Z64" i="2"/>
  <c r="Y64" i="2"/>
  <c r="X64" i="2"/>
  <c r="W64" i="2"/>
  <c r="AB63" i="2"/>
  <c r="AA63" i="2"/>
  <c r="Z63" i="2"/>
  <c r="Y63" i="2"/>
  <c r="X63" i="2"/>
  <c r="W63" i="2"/>
  <c r="AB62" i="2"/>
  <c r="AA62" i="2"/>
  <c r="Z62" i="2"/>
  <c r="Y62" i="2"/>
  <c r="X62" i="2"/>
  <c r="W62" i="2"/>
  <c r="AB61" i="2"/>
  <c r="AA61" i="2"/>
  <c r="Z61" i="2"/>
  <c r="Y61" i="2"/>
  <c r="X61" i="2"/>
  <c r="W61" i="2"/>
  <c r="AB60" i="2"/>
  <c r="AA60" i="2"/>
  <c r="Z60" i="2"/>
  <c r="Y60" i="2"/>
  <c r="X60" i="2"/>
  <c r="W60" i="2"/>
  <c r="AB59" i="2"/>
  <c r="AA59" i="2"/>
  <c r="Z59" i="2"/>
  <c r="Y59" i="2"/>
  <c r="X59" i="2"/>
  <c r="W59" i="2"/>
  <c r="AB58" i="2"/>
  <c r="AA58" i="2"/>
  <c r="Z58" i="2"/>
  <c r="Y58" i="2"/>
  <c r="X58" i="2"/>
  <c r="W58" i="2"/>
  <c r="AB57" i="2"/>
  <c r="AA57" i="2"/>
  <c r="Z57" i="2"/>
  <c r="Y57" i="2"/>
  <c r="X57" i="2"/>
  <c r="W57" i="2"/>
  <c r="AB56" i="2"/>
  <c r="AA56" i="2"/>
  <c r="Z56" i="2"/>
  <c r="Y56" i="2"/>
  <c r="X56" i="2"/>
  <c r="W56" i="2"/>
  <c r="AB55" i="2"/>
  <c r="AA55" i="2"/>
  <c r="Z55" i="2"/>
  <c r="Y55" i="2"/>
  <c r="X55" i="2"/>
  <c r="W55" i="2"/>
  <c r="AB54" i="2"/>
  <c r="AA54" i="2"/>
  <c r="Z54" i="2"/>
  <c r="Y54" i="2"/>
  <c r="X54" i="2"/>
  <c r="W54" i="2"/>
  <c r="AB53" i="2"/>
  <c r="AA53" i="2"/>
  <c r="Z53" i="2"/>
  <c r="Y53" i="2"/>
  <c r="X53" i="2"/>
  <c r="W53" i="2"/>
  <c r="AB52" i="2"/>
  <c r="AA52" i="2"/>
  <c r="Z52" i="2"/>
  <c r="Y52" i="2"/>
  <c r="X52" i="2"/>
  <c r="W52" i="2"/>
  <c r="AB51" i="2"/>
  <c r="AA51" i="2"/>
  <c r="Z51" i="2"/>
  <c r="Y51" i="2"/>
  <c r="X51" i="2"/>
  <c r="W51" i="2"/>
  <c r="AB50" i="2"/>
  <c r="AA50" i="2"/>
  <c r="Z50" i="2"/>
  <c r="Y50" i="2"/>
  <c r="X50" i="2"/>
  <c r="W50" i="2"/>
  <c r="AB49" i="2"/>
  <c r="AA49" i="2"/>
  <c r="Z49" i="2"/>
  <c r="Y49" i="2"/>
  <c r="X49" i="2"/>
  <c r="W49" i="2"/>
  <c r="AB48" i="2"/>
  <c r="AA48" i="2"/>
  <c r="Z48" i="2"/>
  <c r="Y48" i="2"/>
  <c r="X48" i="2"/>
  <c r="W48" i="2"/>
  <c r="AB47" i="2"/>
  <c r="AA47" i="2"/>
  <c r="Z47" i="2"/>
  <c r="Y47" i="2"/>
  <c r="X47" i="2"/>
  <c r="W47" i="2"/>
  <c r="AB46" i="2"/>
  <c r="AA46" i="2"/>
  <c r="Z46" i="2"/>
  <c r="Y46" i="2"/>
  <c r="X46" i="2"/>
  <c r="W46" i="2"/>
  <c r="AB45" i="2"/>
  <c r="AA45" i="2"/>
  <c r="Z45" i="2"/>
  <c r="Y45" i="2"/>
  <c r="X45" i="2"/>
  <c r="W45" i="2"/>
  <c r="AB44" i="2"/>
  <c r="AA44" i="2"/>
  <c r="Z44" i="2"/>
  <c r="Y44" i="2"/>
  <c r="X44" i="2"/>
  <c r="W44" i="2"/>
  <c r="AB43" i="2"/>
  <c r="AA43" i="2"/>
  <c r="Z43" i="2"/>
  <c r="Y43" i="2"/>
  <c r="X43" i="2"/>
  <c r="W43" i="2"/>
  <c r="AB42" i="2"/>
  <c r="AA42" i="2"/>
  <c r="Z42" i="2"/>
  <c r="Y42" i="2"/>
  <c r="X42" i="2"/>
  <c r="W42" i="2"/>
  <c r="AB41" i="2"/>
  <c r="AA41" i="2"/>
  <c r="Z41" i="2"/>
  <c r="Y41" i="2"/>
  <c r="X41" i="2"/>
  <c r="W41" i="2"/>
  <c r="AB40" i="2"/>
  <c r="AA40" i="2"/>
  <c r="Z40" i="2"/>
  <c r="Y40" i="2"/>
  <c r="X40" i="2"/>
  <c r="W40" i="2"/>
  <c r="AB39" i="2"/>
  <c r="AA39" i="2"/>
  <c r="Z39" i="2"/>
  <c r="Y39" i="2"/>
  <c r="X39" i="2"/>
  <c r="W39" i="2"/>
  <c r="AB38" i="2"/>
  <c r="AA38" i="2"/>
  <c r="Z38" i="2"/>
  <c r="Y38" i="2"/>
  <c r="X38" i="2"/>
  <c r="W38" i="2"/>
  <c r="AB37" i="2"/>
  <c r="AA37" i="2"/>
  <c r="Z37" i="2"/>
  <c r="Y37" i="2"/>
  <c r="X37" i="2"/>
  <c r="W37" i="2"/>
  <c r="AB36" i="2"/>
  <c r="AA36" i="2"/>
  <c r="Z36" i="2"/>
  <c r="Y36" i="2"/>
  <c r="X36" i="2"/>
  <c r="W36" i="2"/>
  <c r="AB35" i="2"/>
  <c r="AA35" i="2"/>
  <c r="Z35" i="2"/>
  <c r="Y35" i="2"/>
  <c r="X35" i="2"/>
  <c r="W35" i="2"/>
  <c r="AB34" i="2"/>
  <c r="AA34" i="2"/>
  <c r="Z34" i="2"/>
  <c r="Y34" i="2"/>
  <c r="X34" i="2"/>
  <c r="W34" i="2"/>
  <c r="AB33" i="2"/>
  <c r="AA33" i="2"/>
  <c r="Z33" i="2"/>
  <c r="Y33" i="2"/>
  <c r="X33" i="2"/>
  <c r="W33" i="2"/>
  <c r="AB32" i="2"/>
  <c r="AA32" i="2"/>
  <c r="Z32" i="2"/>
  <c r="Y32" i="2"/>
  <c r="X32" i="2"/>
  <c r="W32" i="2"/>
  <c r="AB31" i="2"/>
  <c r="AA31" i="2"/>
  <c r="Z31" i="2"/>
  <c r="Y31" i="2"/>
  <c r="X31" i="2"/>
  <c r="W31" i="2"/>
  <c r="AB30" i="2"/>
  <c r="AA30" i="2"/>
  <c r="Z30" i="2"/>
  <c r="Y30" i="2"/>
  <c r="X30" i="2"/>
  <c r="W30" i="2"/>
  <c r="AB29" i="2"/>
  <c r="AA29" i="2"/>
  <c r="Z29" i="2"/>
  <c r="Y29" i="2"/>
  <c r="X29" i="2"/>
  <c r="W29" i="2"/>
  <c r="AB28" i="2"/>
  <c r="AA28" i="2"/>
  <c r="Z28" i="2"/>
  <c r="Y28" i="2"/>
  <c r="X28" i="2"/>
  <c r="W28" i="2"/>
  <c r="AB27" i="2"/>
  <c r="AA27" i="2"/>
  <c r="Z27" i="2"/>
  <c r="Y27" i="2"/>
  <c r="X27" i="2"/>
  <c r="W27" i="2"/>
  <c r="AB26" i="2"/>
  <c r="AA26" i="2"/>
  <c r="Z26" i="2"/>
  <c r="Y26" i="2"/>
  <c r="X26" i="2"/>
  <c r="W26" i="2"/>
  <c r="AB25" i="2"/>
  <c r="AA25" i="2"/>
  <c r="Z25" i="2"/>
  <c r="Y25" i="2"/>
  <c r="X25" i="2"/>
  <c r="W25" i="2"/>
  <c r="AB24" i="2"/>
  <c r="AA24" i="2"/>
  <c r="Z24" i="2"/>
  <c r="Y24" i="2"/>
  <c r="X24" i="2"/>
  <c r="W24" i="2"/>
  <c r="AB23" i="2"/>
  <c r="AA23" i="2"/>
  <c r="Z23" i="2"/>
  <c r="Y23" i="2"/>
  <c r="X23" i="2"/>
  <c r="W23" i="2"/>
  <c r="AB22" i="2"/>
  <c r="AA22" i="2"/>
  <c r="Z22" i="2"/>
  <c r="Y22" i="2"/>
  <c r="X22" i="2"/>
  <c r="W22" i="2"/>
  <c r="AB21" i="2"/>
  <c r="AA21" i="2"/>
  <c r="Z21" i="2"/>
  <c r="Y21" i="2"/>
  <c r="X21" i="2"/>
  <c r="W21" i="2"/>
  <c r="AB20" i="2"/>
  <c r="AA20" i="2"/>
  <c r="Z20" i="2"/>
  <c r="Y20" i="2"/>
  <c r="X20" i="2"/>
  <c r="W20" i="2"/>
  <c r="AB19" i="2"/>
  <c r="C27" i="7" s="1"/>
  <c r="AA19" i="2"/>
  <c r="Z19" i="2"/>
  <c r="Y19" i="2"/>
  <c r="X19" i="2"/>
  <c r="W19" i="2"/>
  <c r="AB18" i="2"/>
  <c r="AA18" i="2"/>
  <c r="Z18" i="2"/>
  <c r="Y18" i="2"/>
  <c r="X18" i="2"/>
  <c r="W18" i="2"/>
  <c r="AB17" i="2"/>
  <c r="AA17" i="2"/>
  <c r="Z17" i="2"/>
  <c r="Y17" i="2"/>
  <c r="X17" i="2"/>
  <c r="W17" i="2"/>
  <c r="AB16" i="2"/>
  <c r="AA16" i="2"/>
  <c r="Z16" i="2"/>
  <c r="Y16" i="2"/>
  <c r="X16" i="2"/>
  <c r="W16" i="2"/>
  <c r="AB15" i="2"/>
  <c r="AA15" i="2"/>
  <c r="Z15" i="2"/>
  <c r="Y15" i="2"/>
  <c r="X15" i="2"/>
  <c r="W15" i="2"/>
  <c r="AB14" i="2"/>
  <c r="AA14" i="2"/>
  <c r="Z14" i="2"/>
  <c r="Y14" i="2"/>
  <c r="X14" i="2"/>
  <c r="W14" i="2"/>
  <c r="AB13" i="2"/>
  <c r="C26" i="7" s="1"/>
  <c r="AA13" i="2"/>
  <c r="Z13" i="2"/>
  <c r="Y13" i="2"/>
  <c r="X13" i="2"/>
  <c r="W13" i="2"/>
  <c r="AB12" i="2"/>
  <c r="AA12" i="2"/>
  <c r="Z12" i="2"/>
  <c r="Y12" i="2"/>
  <c r="X12" i="2"/>
  <c r="W12" i="2"/>
  <c r="AB11" i="2"/>
  <c r="AA11" i="2"/>
  <c r="Z11" i="2"/>
  <c r="Y11" i="2"/>
  <c r="X11" i="2"/>
  <c r="W11" i="2"/>
  <c r="AB10" i="2"/>
  <c r="AA10" i="2"/>
  <c r="Z10" i="2"/>
  <c r="Y10" i="2"/>
  <c r="X10" i="2"/>
  <c r="W10" i="2"/>
  <c r="AB9" i="2"/>
  <c r="AA9" i="2"/>
  <c r="Z9" i="2"/>
  <c r="Y9" i="2"/>
  <c r="X9" i="2"/>
  <c r="W9" i="2"/>
  <c r="AB8" i="2"/>
  <c r="B27" i="7" s="1"/>
  <c r="AA8" i="2"/>
  <c r="Z8" i="2"/>
  <c r="Y8" i="2"/>
  <c r="X8" i="2"/>
  <c r="W8" i="2"/>
  <c r="AB7" i="2"/>
  <c r="AA7" i="2"/>
  <c r="Z7" i="2"/>
  <c r="Y7" i="2"/>
  <c r="X7" i="2"/>
  <c r="W7" i="2"/>
  <c r="AB6" i="2"/>
  <c r="AA6" i="2"/>
  <c r="Z6" i="2"/>
  <c r="Y6" i="2"/>
  <c r="X6" i="2"/>
  <c r="W6" i="2"/>
  <c r="AB5" i="2"/>
  <c r="AA5" i="2"/>
  <c r="Z5" i="2"/>
  <c r="Y5" i="2"/>
  <c r="X5" i="2"/>
  <c r="W5" i="2"/>
  <c r="AB4" i="2"/>
  <c r="AA4" i="2"/>
  <c r="Z4" i="2"/>
  <c r="Y4" i="2"/>
  <c r="X4" i="2"/>
  <c r="W4" i="2"/>
  <c r="AB3" i="2"/>
  <c r="AA3" i="2"/>
  <c r="Z3" i="2"/>
  <c r="C65" i="5" s="1"/>
  <c r="Y3" i="2"/>
  <c r="X3" i="2"/>
  <c r="W3" i="2"/>
  <c r="AB2" i="2"/>
  <c r="B26" i="7" s="1"/>
  <c r="AA2" i="2"/>
  <c r="B21" i="8" s="1"/>
  <c r="B22" i="8" s="1"/>
  <c r="B25" i="8" s="1"/>
  <c r="B26" i="8" s="1"/>
  <c r="Z2" i="2"/>
  <c r="Y2" i="2"/>
  <c r="C62" i="5" s="1"/>
  <c r="X2" i="2"/>
  <c r="W2" i="2"/>
  <c r="B9" i="7" s="1"/>
  <c r="D27" i="7" l="1"/>
  <c r="C43" i="9"/>
  <c r="C46" i="9"/>
  <c r="D26" i="7"/>
  <c r="B28" i="7"/>
  <c r="D66" i="9"/>
  <c r="F27" i="7"/>
  <c r="E66" i="9" s="1"/>
  <c r="B5" i="12"/>
  <c r="D65" i="9"/>
  <c r="C28" i="5"/>
  <c r="D6" i="12"/>
  <c r="C72" i="9"/>
  <c r="D86" i="7"/>
  <c r="D8" i="12" s="1"/>
  <c r="D36" i="5"/>
  <c r="D46" i="5"/>
  <c r="D26" i="9" s="1"/>
  <c r="D10" i="6"/>
  <c r="D56" i="9" s="1"/>
  <c r="B11" i="7"/>
  <c r="E84" i="7"/>
  <c r="D7" i="8"/>
  <c r="B14" i="8" s="1"/>
  <c r="B17" i="8" s="1"/>
  <c r="C29" i="5"/>
  <c r="C11" i="7"/>
  <c r="D37" i="5"/>
  <c r="D17" i="9" s="1"/>
  <c r="D47" i="5"/>
  <c r="D27" i="9" s="1"/>
  <c r="D11" i="6"/>
  <c r="D57" i="9" s="1"/>
  <c r="B86" i="7"/>
  <c r="D85" i="7"/>
  <c r="C64" i="5"/>
  <c r="D30" i="5"/>
  <c r="D10" i="9" s="1"/>
  <c r="C19" i="9"/>
  <c r="D39" i="5"/>
  <c r="D19" i="9" s="1"/>
  <c r="B8" i="7"/>
  <c r="E85" i="7"/>
  <c r="C8" i="7"/>
  <c r="C28" i="7"/>
  <c r="F85" i="7"/>
  <c r="E73" i="9" s="1"/>
  <c r="B45" i="8"/>
  <c r="M36" i="8" s="1"/>
  <c r="D10" i="5"/>
  <c r="D31" i="5"/>
  <c r="D11" i="9" s="1"/>
  <c r="D40" i="5"/>
  <c r="D20" i="9" s="1"/>
  <c r="C6" i="12"/>
  <c r="C67" i="9"/>
  <c r="C45" i="8"/>
  <c r="M37" i="8" s="1"/>
  <c r="D5" i="6"/>
  <c r="D51" i="9" s="1"/>
  <c r="C5" i="12"/>
  <c r="C53" i="7"/>
  <c r="H51" i="7" s="1"/>
  <c r="D67" i="9"/>
  <c r="D32" i="5"/>
  <c r="D12" i="9" s="1"/>
  <c r="D41" i="5"/>
  <c r="D21" i="9" s="1"/>
  <c r="C83" i="9"/>
  <c r="B83" i="9"/>
  <c r="B67" i="7"/>
  <c r="C69" i="7"/>
  <c r="B69" i="7"/>
  <c r="G16" i="5"/>
  <c r="C22" i="9"/>
  <c r="D42" i="5"/>
  <c r="D22" i="9" s="1"/>
  <c r="C52" i="9"/>
  <c r="H6" i="6"/>
  <c r="D6" i="6"/>
  <c r="B17" i="11" s="1"/>
  <c r="E51" i="7"/>
  <c r="C67" i="7"/>
  <c r="B46" i="8"/>
  <c r="N36" i="8" s="1"/>
  <c r="B82" i="9"/>
  <c r="C82" i="9"/>
  <c r="C81" i="9"/>
  <c r="B81" i="9"/>
  <c r="C26" i="5"/>
  <c r="C9" i="7"/>
  <c r="D9" i="7" s="1"/>
  <c r="C63" i="5"/>
  <c r="C44" i="9" s="1"/>
  <c r="C61" i="5"/>
  <c r="C60" i="5"/>
  <c r="D33" i="5"/>
  <c r="D13" i="9" s="1"/>
  <c r="B16" i="11"/>
  <c r="C32" i="9"/>
  <c r="F51" i="7"/>
  <c r="E67" i="9" s="1"/>
  <c r="B32" i="8"/>
  <c r="C46" i="8"/>
  <c r="N37" i="8" s="1"/>
  <c r="C66" i="5"/>
  <c r="B14" i="11"/>
  <c r="G11" i="5"/>
  <c r="G23" i="5" s="1"/>
  <c r="D43" i="5"/>
  <c r="D23" i="9" s="1"/>
  <c r="C57" i="5"/>
  <c r="G51" i="7"/>
  <c r="B42" i="8"/>
  <c r="B44" i="8" s="1" a="1"/>
  <c r="B44" i="8" s="1"/>
  <c r="B49" i="8" s="1"/>
  <c r="Q36" i="8" s="1"/>
  <c r="E24" i="4"/>
  <c r="D34" i="5"/>
  <c r="D14" i="9" s="1"/>
  <c r="C58" i="5"/>
  <c r="H7" i="6"/>
  <c r="B10" i="7"/>
  <c r="B10" i="11"/>
  <c r="C42" i="8"/>
  <c r="C43" i="8" s="1" a="1"/>
  <c r="C43" i="8" s="1"/>
  <c r="C48" i="8" s="1"/>
  <c r="P37" i="8" s="1"/>
  <c r="C47" i="8"/>
  <c r="O37" i="8" s="1"/>
  <c r="C44" i="8" a="1"/>
  <c r="C44" i="8" s="1"/>
  <c r="C49" i="8" s="1"/>
  <c r="Q37" i="8" s="1"/>
  <c r="E19" i="4"/>
  <c r="C27" i="5"/>
  <c r="D44" i="5"/>
  <c r="D24" i="9" s="1"/>
  <c r="D8" i="6"/>
  <c r="D54" i="9" s="1"/>
  <c r="C10" i="7"/>
  <c r="C68" i="9"/>
  <c r="B68" i="7"/>
  <c r="E14" i="4"/>
  <c r="G18" i="5"/>
  <c r="D35" i="5"/>
  <c r="D15" i="9" s="1"/>
  <c r="C59" i="5"/>
  <c r="D9" i="6"/>
  <c r="D55" i="9" s="1"/>
  <c r="C55" i="9"/>
  <c r="F26" i="7"/>
  <c r="E65" i="9" s="1"/>
  <c r="C68" i="7"/>
  <c r="D5" i="12"/>
  <c r="D72" i="9"/>
  <c r="F84" i="7"/>
  <c r="E72" i="9" s="1"/>
  <c r="C86" i="7"/>
  <c r="H84" i="7" s="1"/>
  <c r="B4" i="13" l="1"/>
  <c r="C62" i="9"/>
  <c r="E9" i="7"/>
  <c r="G84" i="7"/>
  <c r="B43" i="8" a="1"/>
  <c r="B43" i="8" s="1"/>
  <c r="B48" i="8" s="1"/>
  <c r="P36" i="8" s="1"/>
  <c r="D64" i="9"/>
  <c r="C47" i="9"/>
  <c r="D66" i="5"/>
  <c r="D47" i="9" s="1"/>
  <c r="F8" i="7"/>
  <c r="E61" i="9" s="1"/>
  <c r="D61" i="9"/>
  <c r="C12" i="7"/>
  <c r="E8" i="7"/>
  <c r="D8" i="7"/>
  <c r="B12" i="7"/>
  <c r="B6" i="12"/>
  <c r="H26" i="7"/>
  <c r="C65" i="9"/>
  <c r="D28" i="7"/>
  <c r="G26" i="7"/>
  <c r="E26" i="7"/>
  <c r="D68" i="7"/>
  <c r="E68" i="7"/>
  <c r="C39" i="9"/>
  <c r="D58" i="5"/>
  <c r="D39" i="9" s="1"/>
  <c r="B15" i="11"/>
  <c r="D16" i="9"/>
  <c r="H52" i="7"/>
  <c r="C41" i="9"/>
  <c r="D60" i="5"/>
  <c r="D41" i="9" s="1"/>
  <c r="B16" i="8"/>
  <c r="D69" i="9"/>
  <c r="C70" i="7"/>
  <c r="F67" i="7"/>
  <c r="E69" i="9" s="1"/>
  <c r="B7" i="12"/>
  <c r="F28" i="7"/>
  <c r="D52" i="9"/>
  <c r="A13" i="6"/>
  <c r="C9" i="12"/>
  <c r="C42" i="9"/>
  <c r="D61" i="5"/>
  <c r="D42" i="9" s="1"/>
  <c r="C82" i="12"/>
  <c r="C78" i="12"/>
  <c r="C62" i="12"/>
  <c r="C46" i="12"/>
  <c r="C89" i="12"/>
  <c r="C51" i="12"/>
  <c r="C19" i="12"/>
  <c r="C83" i="12"/>
  <c r="C72" i="12"/>
  <c r="C56" i="12"/>
  <c r="C40" i="12"/>
  <c r="C24" i="12"/>
  <c r="C94" i="12"/>
  <c r="C77" i="12"/>
  <c r="C61" i="12"/>
  <c r="C45" i="12"/>
  <c r="C87" i="12"/>
  <c r="C60" i="12"/>
  <c r="C28" i="12"/>
  <c r="C84" i="12"/>
  <c r="C75" i="12"/>
  <c r="C68" i="12"/>
  <c r="C21" i="12"/>
  <c r="C91" i="12"/>
  <c r="C59" i="12"/>
  <c r="C52" i="12"/>
  <c r="C66" i="12"/>
  <c r="C43" i="12"/>
  <c r="C74" i="12"/>
  <c r="C27" i="12"/>
  <c r="C20" i="12"/>
  <c r="C88" i="12"/>
  <c r="C80" i="12"/>
  <c r="C73" i="12"/>
  <c r="C33" i="12"/>
  <c r="C26" i="12"/>
  <c r="C90" i="12"/>
  <c r="C55" i="12"/>
  <c r="C22" i="12"/>
  <c r="C65" i="12"/>
  <c r="C32" i="12"/>
  <c r="C42" i="12"/>
  <c r="C18" i="12"/>
  <c r="C86" i="12"/>
  <c r="C53" i="12"/>
  <c r="C41" i="12"/>
  <c r="C17" i="12"/>
  <c r="C25" i="12"/>
  <c r="C79" i="12"/>
  <c r="C39" i="12"/>
  <c r="C58" i="12"/>
  <c r="C23" i="12"/>
  <c r="C38" i="12"/>
  <c r="C57" i="12"/>
  <c r="C37" i="12"/>
  <c r="C70" i="12"/>
  <c r="C34" i="12"/>
  <c r="C49" i="12"/>
  <c r="C15" i="12"/>
  <c r="C85" i="12"/>
  <c r="C69" i="12"/>
  <c r="C48" i="12"/>
  <c r="C63" i="12"/>
  <c r="C47" i="12"/>
  <c r="C73" i="9"/>
  <c r="H85" i="7"/>
  <c r="G85" i="7"/>
  <c r="D62" i="9"/>
  <c r="F9" i="7"/>
  <c r="E62" i="9" s="1"/>
  <c r="B18" i="8"/>
  <c r="B29" i="8" s="1"/>
  <c r="C7" i="12"/>
  <c r="C30" i="12" s="1"/>
  <c r="F53" i="7"/>
  <c r="D63" i="9"/>
  <c r="D69" i="7"/>
  <c r="E69" i="7" s="1"/>
  <c r="D62" i="5"/>
  <c r="D43" i="9" s="1"/>
  <c r="B55" i="7"/>
  <c r="B57" i="7"/>
  <c r="C6" i="9"/>
  <c r="D26" i="5"/>
  <c r="D6" i="9" s="1"/>
  <c r="D71" i="9"/>
  <c r="F69" i="7"/>
  <c r="E71" i="9" s="1"/>
  <c r="D67" i="12"/>
  <c r="D35" i="12"/>
  <c r="D83" i="12"/>
  <c r="D72" i="12"/>
  <c r="D40" i="12"/>
  <c r="D24" i="12"/>
  <c r="D94" i="12"/>
  <c r="D77" i="12"/>
  <c r="D61" i="12"/>
  <c r="D45" i="12"/>
  <c r="D29" i="12"/>
  <c r="D50" i="12"/>
  <c r="D18" i="12"/>
  <c r="D65" i="12"/>
  <c r="D49" i="12"/>
  <c r="D17" i="12"/>
  <c r="D91" i="12"/>
  <c r="D59" i="12"/>
  <c r="D52" i="12"/>
  <c r="D28" i="12"/>
  <c r="D82" i="12"/>
  <c r="D43" i="12"/>
  <c r="D27" i="12"/>
  <c r="D90" i="12"/>
  <c r="D64" i="12"/>
  <c r="D57" i="12"/>
  <c r="D32" i="12"/>
  <c r="D78" i="12"/>
  <c r="D54" i="12"/>
  <c r="D44" i="12"/>
  <c r="D42" i="12"/>
  <c r="D21" i="12"/>
  <c r="D76" i="12"/>
  <c r="D53" i="12"/>
  <c r="D75" i="12"/>
  <c r="D80" i="12"/>
  <c r="D62" i="12"/>
  <c r="D25" i="12"/>
  <c r="D79" i="12"/>
  <c r="D60" i="12"/>
  <c r="D39" i="12"/>
  <c r="D23" i="12"/>
  <c r="D38" i="12"/>
  <c r="D73" i="12"/>
  <c r="D71" i="12"/>
  <c r="D55" i="12"/>
  <c r="D16" i="12"/>
  <c r="D70" i="12"/>
  <c r="D85" i="12"/>
  <c r="D69" i="12"/>
  <c r="D48" i="12"/>
  <c r="D30" i="12"/>
  <c r="D14" i="12"/>
  <c r="D84" i="12"/>
  <c r="D47" i="12"/>
  <c r="C9" i="9"/>
  <c r="D29" i="5"/>
  <c r="D9" i="9" s="1"/>
  <c r="D11" i="7"/>
  <c r="E11" i="7" s="1"/>
  <c r="C45" i="9"/>
  <c r="D64" i="5"/>
  <c r="D45" i="9" s="1"/>
  <c r="D65" i="5"/>
  <c r="D46" i="9" s="1"/>
  <c r="D7" i="12"/>
  <c r="D87" i="12" s="1"/>
  <c r="F86" i="7"/>
  <c r="D9" i="12"/>
  <c r="C7" i="9"/>
  <c r="D27" i="5"/>
  <c r="D7" i="9" s="1"/>
  <c r="D57" i="5"/>
  <c r="D38" i="9" s="1"/>
  <c r="C38" i="9"/>
  <c r="E67" i="7"/>
  <c r="D67" i="7"/>
  <c r="B70" i="7"/>
  <c r="C8" i="9"/>
  <c r="D28" i="5"/>
  <c r="D8" i="9" s="1"/>
  <c r="C66" i="9"/>
  <c r="H27" i="7"/>
  <c r="G27" i="7"/>
  <c r="C40" i="9"/>
  <c r="D59" i="5"/>
  <c r="D40" i="9" s="1"/>
  <c r="D10" i="7"/>
  <c r="E10" i="7"/>
  <c r="D70" i="9"/>
  <c r="F68" i="7"/>
  <c r="E70" i="9" s="1"/>
  <c r="E27" i="7"/>
  <c r="F4" i="13" l="1"/>
  <c r="C7" i="11"/>
  <c r="B56" i="7"/>
  <c r="D15" i="12"/>
  <c r="D10" i="12" s="1"/>
  <c r="B91" i="7" s="1"/>
  <c r="D46" i="12"/>
  <c r="D68" i="12"/>
  <c r="D33" i="12"/>
  <c r="D56" i="12"/>
  <c r="B4" i="14"/>
  <c r="C70" i="9"/>
  <c r="H68" i="7"/>
  <c r="G68" i="7"/>
  <c r="F11" i="7"/>
  <c r="E64" i="9" s="1"/>
  <c r="C4" i="13"/>
  <c r="C63" i="9"/>
  <c r="C4" i="14"/>
  <c r="C71" i="9"/>
  <c r="B30" i="7"/>
  <c r="B32" i="7"/>
  <c r="D37" i="12"/>
  <c r="D63" i="12"/>
  <c r="D58" i="12"/>
  <c r="D81" i="12"/>
  <c r="D19" i="12"/>
  <c r="C44" i="12"/>
  <c r="C35" i="12"/>
  <c r="B8" i="12"/>
  <c r="B9" i="12" s="1"/>
  <c r="B10" i="12" s="1"/>
  <c r="B33" i="7" s="1"/>
  <c r="D29" i="7"/>
  <c r="B88" i="7"/>
  <c r="B90" i="7"/>
  <c r="D92" i="12"/>
  <c r="D41" i="12"/>
  <c r="D20" i="12"/>
  <c r="D34" i="12"/>
  <c r="D51" i="12"/>
  <c r="C16" i="12"/>
  <c r="C10" i="12" s="1"/>
  <c r="B58" i="7" s="1"/>
  <c r="C31" i="12"/>
  <c r="C50" i="12"/>
  <c r="C76" i="12"/>
  <c r="C67" i="12"/>
  <c r="E4" i="14"/>
  <c r="D10" i="11"/>
  <c r="F10" i="11" s="1"/>
  <c r="B31" i="8"/>
  <c r="B30" i="8"/>
  <c r="F10" i="7"/>
  <c r="E63" i="9" s="1"/>
  <c r="C64" i="9"/>
  <c r="D4" i="13"/>
  <c r="H11" i="7"/>
  <c r="B93" i="12"/>
  <c r="B84" i="12"/>
  <c r="B73" i="12"/>
  <c r="B57" i="12"/>
  <c r="B41" i="12"/>
  <c r="B25" i="12"/>
  <c r="B78" i="12"/>
  <c r="B62" i="12"/>
  <c r="B46" i="12"/>
  <c r="B30" i="12"/>
  <c r="B14" i="12"/>
  <c r="B89" i="12"/>
  <c r="B67" i="12"/>
  <c r="B51" i="12"/>
  <c r="B35" i="12"/>
  <c r="B19" i="12"/>
  <c r="B83" i="12"/>
  <c r="B72" i="12"/>
  <c r="B56" i="12"/>
  <c r="B40" i="12"/>
  <c r="B24" i="12"/>
  <c r="B71" i="12"/>
  <c r="B55" i="12"/>
  <c r="B39" i="12"/>
  <c r="B23" i="12"/>
  <c r="B44" i="12"/>
  <c r="B37" i="12"/>
  <c r="B75" i="12"/>
  <c r="B68" i="12"/>
  <c r="B28" i="12"/>
  <c r="B21" i="12"/>
  <c r="B91" i="12"/>
  <c r="B82" i="12"/>
  <c r="B59" i="12"/>
  <c r="B52" i="12"/>
  <c r="B66" i="12"/>
  <c r="B43" i="12"/>
  <c r="B36" i="12"/>
  <c r="B49" i="12"/>
  <c r="B42" i="12"/>
  <c r="B18" i="12"/>
  <c r="B79" i="12"/>
  <c r="B45" i="12"/>
  <c r="B90" i="12"/>
  <c r="B22" i="12"/>
  <c r="B88" i="12"/>
  <c r="B77" i="12"/>
  <c r="B65" i="12"/>
  <c r="B32" i="12"/>
  <c r="B87" i="12"/>
  <c r="B54" i="12"/>
  <c r="B20" i="12"/>
  <c r="B76" i="12"/>
  <c r="B64" i="12"/>
  <c r="B31" i="12"/>
  <c r="B47" i="12"/>
  <c r="B26" i="12"/>
  <c r="B80" i="12"/>
  <c r="B61" i="12"/>
  <c r="B60" i="12"/>
  <c r="B74" i="12"/>
  <c r="B94" i="12"/>
  <c r="B58" i="12"/>
  <c r="B38" i="12"/>
  <c r="B17" i="12"/>
  <c r="B53" i="12"/>
  <c r="B92" i="12"/>
  <c r="B50" i="12"/>
  <c r="B16" i="12"/>
  <c r="B86" i="12"/>
  <c r="B70" i="12"/>
  <c r="B34" i="12"/>
  <c r="B33" i="12"/>
  <c r="B15" i="12"/>
  <c r="B85" i="12"/>
  <c r="B69" i="12"/>
  <c r="B48" i="12"/>
  <c r="B29" i="12"/>
  <c r="B27" i="12"/>
  <c r="B81" i="12"/>
  <c r="B63" i="12"/>
  <c r="D93" i="12"/>
  <c r="D86" i="12"/>
  <c r="D74" i="12"/>
  <c r="D66" i="12"/>
  <c r="D89" i="12"/>
  <c r="C92" i="12"/>
  <c r="C64" i="12"/>
  <c r="C81" i="12"/>
  <c r="C93" i="12"/>
  <c r="C14" i="12"/>
  <c r="A4" i="14"/>
  <c r="C69" i="9"/>
  <c r="D70" i="7"/>
  <c r="F4" i="14" s="1"/>
  <c r="D26" i="12"/>
  <c r="D22" i="12"/>
  <c r="D31" i="12"/>
  <c r="D36" i="12"/>
  <c r="D88" i="12"/>
  <c r="C71" i="12"/>
  <c r="C54" i="12"/>
  <c r="C36" i="12"/>
  <c r="C29" i="12"/>
  <c r="A4" i="13"/>
  <c r="C61" i="9"/>
  <c r="D12" i="7"/>
  <c r="G10" i="7" s="1"/>
  <c r="G8" i="7"/>
  <c r="G69" i="7" l="1"/>
  <c r="E14526" i="13"/>
  <c r="E14682" i="13"/>
  <c r="E14657" i="13"/>
  <c r="E14358" i="13"/>
  <c r="E14866" i="13"/>
  <c r="E14808" i="13"/>
  <c r="E14677" i="13"/>
  <c r="E14676" i="13"/>
  <c r="E14575" i="13"/>
  <c r="E14117" i="13"/>
  <c r="E13724" i="13"/>
  <c r="E13670" i="13"/>
  <c r="E14611" i="13"/>
  <c r="E13985" i="13"/>
  <c r="E13275" i="13"/>
  <c r="E13255" i="13"/>
  <c r="E13217" i="13"/>
  <c r="E14264" i="13"/>
  <c r="E13059" i="13"/>
  <c r="E13982" i="13"/>
  <c r="E14824" i="13"/>
  <c r="E14744" i="13"/>
  <c r="E14667" i="13"/>
  <c r="E13391" i="13"/>
  <c r="E12572" i="13"/>
  <c r="E11217" i="13"/>
  <c r="E11201" i="13"/>
  <c r="E11472" i="13"/>
  <c r="E12200" i="13"/>
  <c r="E12183" i="13"/>
  <c r="E11688" i="13"/>
  <c r="E11654" i="13"/>
  <c r="E13662" i="13"/>
  <c r="E13476" i="13"/>
  <c r="E13445" i="13"/>
  <c r="E13380" i="13"/>
  <c r="E11293" i="13"/>
  <c r="E9375" i="13"/>
  <c r="E14864" i="13"/>
  <c r="E14747" i="13"/>
  <c r="E13003" i="13"/>
  <c r="E11054" i="13"/>
  <c r="E14746" i="13"/>
  <c r="E14436" i="13"/>
  <c r="E14354" i="13"/>
  <c r="E12738" i="13"/>
  <c r="E13459" i="13"/>
  <c r="E13407" i="13"/>
  <c r="E13322" i="13"/>
  <c r="E11323" i="13"/>
  <c r="E11305" i="13"/>
  <c r="E11287" i="13"/>
  <c r="E10739" i="13"/>
  <c r="E10517" i="13"/>
  <c r="E9760" i="13"/>
  <c r="E9198" i="13"/>
  <c r="E9006" i="13"/>
  <c r="E14800" i="13"/>
  <c r="E14048" i="13"/>
  <c r="E13499" i="13"/>
  <c r="E13434" i="13"/>
  <c r="E12005" i="13"/>
  <c r="E10188" i="13"/>
  <c r="E13644" i="13"/>
  <c r="E11971" i="13"/>
  <c r="E10099" i="13"/>
  <c r="E10082" i="13"/>
  <c r="E10065" i="13"/>
  <c r="E10030" i="13"/>
  <c r="E9826" i="13"/>
  <c r="E12222" i="13"/>
  <c r="E10941" i="13"/>
  <c r="E13862" i="13"/>
  <c r="E9992" i="13"/>
  <c r="E9975" i="13"/>
  <c r="E9941" i="13"/>
  <c r="E9924" i="13"/>
  <c r="E9890" i="13"/>
  <c r="E12273" i="13"/>
  <c r="E12220" i="13"/>
  <c r="E12170" i="13"/>
  <c r="E8652" i="13"/>
  <c r="E7024" i="13"/>
  <c r="E6832" i="13"/>
  <c r="E6720" i="13"/>
  <c r="E6656" i="13"/>
  <c r="E11068" i="13"/>
  <c r="E11032" i="13"/>
  <c r="E10997" i="13"/>
  <c r="E10924" i="13"/>
  <c r="E8139" i="13"/>
  <c r="E6863" i="13"/>
  <c r="E6575" i="13"/>
  <c r="E14612" i="13"/>
  <c r="E10652" i="13"/>
  <c r="E10586" i="13"/>
  <c r="E10228" i="13"/>
  <c r="E9921" i="13"/>
  <c r="E9848" i="13"/>
  <c r="E10070" i="13"/>
  <c r="E9454" i="13"/>
  <c r="E9218" i="13"/>
  <c r="E12036" i="13"/>
  <c r="E11985" i="13"/>
  <c r="E11936" i="13"/>
  <c r="E11407" i="13"/>
  <c r="E10840" i="13"/>
  <c r="E9235" i="13"/>
  <c r="E12958" i="13"/>
  <c r="E11134" i="13"/>
  <c r="E8963" i="13"/>
  <c r="E8249" i="13"/>
  <c r="E8228" i="13"/>
  <c r="E8203" i="13"/>
  <c r="E8135" i="13"/>
  <c r="E6825" i="13"/>
  <c r="E6807" i="13"/>
  <c r="E5114" i="13"/>
  <c r="E11920" i="13"/>
  <c r="E11525" i="13"/>
  <c r="E11299" i="13"/>
  <c r="E10108" i="13"/>
  <c r="E10004" i="13"/>
  <c r="E8201" i="13"/>
  <c r="E8090" i="13"/>
  <c r="E8068" i="13"/>
  <c r="E6386" i="13"/>
  <c r="E13692" i="13"/>
  <c r="E13545" i="13"/>
  <c r="E13392" i="13"/>
  <c r="E11523" i="13"/>
  <c r="E9462" i="13"/>
  <c r="E9427" i="13"/>
  <c r="E9306" i="13"/>
  <c r="E9272" i="13"/>
  <c r="E7555" i="13"/>
  <c r="E6677" i="13"/>
  <c r="E6659" i="13"/>
  <c r="E6567" i="13"/>
  <c r="E13128" i="13"/>
  <c r="E11710" i="13"/>
  <c r="E11647" i="13"/>
  <c r="E11594" i="13"/>
  <c r="E11294" i="13"/>
  <c r="E8002" i="13"/>
  <c r="E7940" i="13"/>
  <c r="E7900" i="13"/>
  <c r="E7132" i="13"/>
  <c r="E7114" i="13"/>
  <c r="E7096" i="13"/>
  <c r="E6786" i="13"/>
  <c r="E6748" i="13"/>
  <c r="E11832" i="13"/>
  <c r="E9234" i="13"/>
  <c r="E9091" i="13"/>
  <c r="E8217" i="13"/>
  <c r="E8196" i="13"/>
  <c r="E8171" i="13"/>
  <c r="E8149" i="13"/>
  <c r="E7739" i="13"/>
  <c r="E7093" i="13"/>
  <c r="E7057" i="13"/>
  <c r="E6260" i="13"/>
  <c r="E13446" i="13"/>
  <c r="E13229" i="13"/>
  <c r="E13064" i="13"/>
  <c r="E12913" i="13"/>
  <c r="E12172" i="13"/>
  <c r="E10291" i="13"/>
  <c r="E9652" i="13"/>
  <c r="E9591" i="13"/>
  <c r="E8284" i="13"/>
  <c r="E7252" i="13"/>
  <c r="E7223" i="13"/>
  <c r="E7197" i="13"/>
  <c r="E7013" i="13"/>
  <c r="E6445" i="13"/>
  <c r="E6420" i="13"/>
  <c r="E6395" i="13"/>
  <c r="E6130" i="13"/>
  <c r="E5475" i="13"/>
  <c r="E10681" i="13"/>
  <c r="E10355" i="13"/>
  <c r="E10166" i="13"/>
  <c r="E9089" i="13"/>
  <c r="E9050" i="13"/>
  <c r="E9009" i="13"/>
  <c r="E8815" i="13"/>
  <c r="E8489" i="13"/>
  <c r="E6796" i="13"/>
  <c r="E6444" i="13"/>
  <c r="E6394" i="13"/>
  <c r="E5926" i="13"/>
  <c r="E5906" i="13"/>
  <c r="E5808" i="13"/>
  <c r="E5768" i="13"/>
  <c r="E5729" i="13"/>
  <c r="E11925" i="13"/>
  <c r="E9131" i="13"/>
  <c r="E8560" i="13"/>
  <c r="E8084" i="13"/>
  <c r="E7848" i="13"/>
  <c r="E7702" i="13"/>
  <c r="E14786" i="13"/>
  <c r="E14336" i="13"/>
  <c r="E13787" i="13"/>
  <c r="E11271" i="13"/>
  <c r="E8881" i="13"/>
  <c r="E8732" i="13"/>
  <c r="E8693" i="13"/>
  <c r="E8621" i="13"/>
  <c r="E12174" i="13"/>
  <c r="E11953" i="13"/>
  <c r="E10904" i="13"/>
  <c r="E10836" i="13"/>
  <c r="E10770" i="13"/>
  <c r="E9055" i="13"/>
  <c r="E11750" i="13"/>
  <c r="E11607" i="13"/>
  <c r="E11483" i="13"/>
  <c r="E11351" i="13"/>
  <c r="E10678" i="13"/>
  <c r="E9066" i="13"/>
  <c r="E8948" i="13"/>
  <c r="E8899" i="13"/>
  <c r="E7212" i="13"/>
  <c r="E7089" i="13"/>
  <c r="E6499" i="13"/>
  <c r="E6305" i="13"/>
  <c r="E6133" i="13"/>
  <c r="E6108" i="13"/>
  <c r="E6082" i="13"/>
  <c r="E5922" i="13"/>
  <c r="E5499" i="13"/>
  <c r="E4946" i="13"/>
  <c r="E4690" i="13"/>
  <c r="E4673" i="13"/>
  <c r="E4639" i="13"/>
  <c r="E4245" i="13"/>
  <c r="E4197" i="13"/>
  <c r="E4181" i="13"/>
  <c r="E4165" i="13"/>
  <c r="E3989" i="13"/>
  <c r="E3477" i="13"/>
  <c r="E3093" i="13"/>
  <c r="E3077" i="13"/>
  <c r="E2885" i="13"/>
  <c r="E2869" i="13"/>
  <c r="E2853" i="13"/>
  <c r="E2821" i="13"/>
  <c r="E2421" i="13"/>
  <c r="E2405" i="13"/>
  <c r="E1909" i="13"/>
  <c r="E14105" i="13"/>
  <c r="E12715" i="13"/>
  <c r="E12349" i="13"/>
  <c r="E12023" i="13"/>
  <c r="E9901" i="13"/>
  <c r="E9830" i="13"/>
  <c r="E9734" i="13"/>
  <c r="E9662" i="13"/>
  <c r="E7604" i="13"/>
  <c r="E7511" i="13"/>
  <c r="E7452" i="13"/>
  <c r="E6693" i="13"/>
  <c r="E6663" i="13"/>
  <c r="E6632" i="13"/>
  <c r="E6328" i="13"/>
  <c r="E6275" i="13"/>
  <c r="E6253" i="13"/>
  <c r="E5552" i="13"/>
  <c r="E5150" i="13"/>
  <c r="E4945" i="13"/>
  <c r="E4928" i="13"/>
  <c r="E4911" i="13"/>
  <c r="E4894" i="13"/>
  <c r="E4877" i="13"/>
  <c r="E4843" i="13"/>
  <c r="E4420" i="13"/>
  <c r="E4132" i="13"/>
  <c r="E3716" i="13"/>
  <c r="E3684" i="13"/>
  <c r="E3668" i="13"/>
  <c r="E3652" i="13"/>
  <c r="E3620" i="13"/>
  <c r="E3300" i="13"/>
  <c r="E3284" i="13"/>
  <c r="E3204" i="13"/>
  <c r="E2596" i="13"/>
  <c r="E2548" i="13"/>
  <c r="E2532" i="13"/>
  <c r="E12177" i="13"/>
  <c r="E10464" i="13"/>
  <c r="E9581" i="13"/>
  <c r="E9440" i="13"/>
  <c r="E9373" i="13"/>
  <c r="E9312" i="13"/>
  <c r="E7838" i="13"/>
  <c r="E7542" i="13"/>
  <c r="E7326" i="13"/>
  <c r="E6755" i="13"/>
  <c r="E6723" i="13"/>
  <c r="E6689" i="13"/>
  <c r="E6662" i="13"/>
  <c r="E6631" i="13"/>
  <c r="E6602" i="13"/>
  <c r="E5854" i="13"/>
  <c r="E5551" i="13"/>
  <c r="E5515" i="13"/>
  <c r="E5183" i="13"/>
  <c r="E5097" i="13"/>
  <c r="E5063" i="13"/>
  <c r="E5046" i="13"/>
  <c r="E5029" i="13"/>
  <c r="E5012" i="13"/>
  <c r="E4403" i="13"/>
  <c r="E4291" i="13"/>
  <c r="E4243" i="13"/>
  <c r="E3939" i="13"/>
  <c r="E3923" i="13"/>
  <c r="E3907" i="13"/>
  <c r="E3891" i="13"/>
  <c r="E3875" i="13"/>
  <c r="E3859" i="13"/>
  <c r="E3203" i="13"/>
  <c r="E3155" i="13"/>
  <c r="E3123" i="13"/>
  <c r="E11324" i="13"/>
  <c r="E10771" i="13"/>
  <c r="E10564" i="13"/>
  <c r="E10458" i="13"/>
  <c r="E10375" i="13"/>
  <c r="E10110" i="13"/>
  <c r="E8176" i="13"/>
  <c r="E8059" i="13"/>
  <c r="E7836" i="13"/>
  <c r="E7236" i="13"/>
  <c r="E7205" i="13"/>
  <c r="E7177" i="13"/>
  <c r="E7145" i="13"/>
  <c r="E7112" i="13"/>
  <c r="E7084" i="13"/>
  <c r="E6127" i="13"/>
  <c r="E5941" i="13"/>
  <c r="E5896" i="13"/>
  <c r="E5513" i="13"/>
  <c r="E5495" i="13"/>
  <c r="E5477" i="13"/>
  <c r="E5459" i="13"/>
  <c r="E5440" i="13"/>
  <c r="E5422" i="13"/>
  <c r="E4755" i="13"/>
  <c r="E4704" i="13"/>
  <c r="E4670" i="13"/>
  <c r="E4370" i="13"/>
  <c r="E4354" i="13"/>
  <c r="E4338" i="13"/>
  <c r="E4258" i="13"/>
  <c r="E4226" i="13"/>
  <c r="E4210" i="13"/>
  <c r="E3714" i="13"/>
  <c r="E3618" i="13"/>
  <c r="E3586" i="13"/>
  <c r="E3234" i="13"/>
  <c r="E3202" i="13"/>
  <c r="E3186" i="13"/>
  <c r="E3170" i="13"/>
  <c r="E3154" i="13"/>
  <c r="E3138" i="13"/>
  <c r="E12311" i="13"/>
  <c r="E11172" i="13"/>
  <c r="E10451" i="13"/>
  <c r="E9108" i="13"/>
  <c r="E9035" i="13"/>
  <c r="E8983" i="13"/>
  <c r="E8923" i="13"/>
  <c r="E8870" i="13"/>
  <c r="E8817" i="13"/>
  <c r="E7595" i="13"/>
  <c r="E7201" i="13"/>
  <c r="E7140" i="13"/>
  <c r="E6956" i="13"/>
  <c r="E6683" i="13"/>
  <c r="E6571" i="13"/>
  <c r="E6539" i="13"/>
  <c r="E6510" i="13"/>
  <c r="E6485" i="13"/>
  <c r="E5803" i="13"/>
  <c r="E5735" i="13"/>
  <c r="E5713" i="13"/>
  <c r="E5547" i="13"/>
  <c r="E5455" i="13"/>
  <c r="E5264" i="13"/>
  <c r="E5230" i="13"/>
  <c r="E5179" i="13"/>
  <c r="E5042" i="13"/>
  <c r="E4649" i="13"/>
  <c r="E4581" i="13"/>
  <c r="E4496" i="13"/>
  <c r="E4463" i="13"/>
  <c r="E4447" i="13"/>
  <c r="E4431" i="13"/>
  <c r="E4319" i="13"/>
  <c r="E4143" i="13"/>
  <c r="E4111" i="13"/>
  <c r="E3855" i="13"/>
  <c r="E3471" i="13"/>
  <c r="E3439" i="13"/>
  <c r="E3423" i="13"/>
  <c r="E3407" i="13"/>
  <c r="E3391" i="13"/>
  <c r="E3375" i="13"/>
  <c r="E3359" i="13"/>
  <c r="E3295" i="13"/>
  <c r="E2815" i="13"/>
  <c r="E2671" i="13"/>
  <c r="E2543" i="13"/>
  <c r="E11693" i="13"/>
  <c r="E11509" i="13"/>
  <c r="E11322" i="13"/>
  <c r="E11161" i="13"/>
  <c r="E11004" i="13"/>
  <c r="E10835" i="13"/>
  <c r="E8130" i="13"/>
  <c r="E7476" i="13"/>
  <c r="E7434" i="13"/>
  <c r="E7346" i="13"/>
  <c r="E7082" i="13"/>
  <c r="E6558" i="13"/>
  <c r="E6517" i="13"/>
  <c r="E6481" i="13"/>
  <c r="E6442" i="13"/>
  <c r="E5503" i="13"/>
  <c r="E5421" i="13"/>
  <c r="E5396" i="13"/>
  <c r="E5197" i="13"/>
  <c r="E5101" i="13"/>
  <c r="E5051" i="13"/>
  <c r="E4777" i="13"/>
  <c r="E4677" i="13"/>
  <c r="E4577" i="13"/>
  <c r="E4294" i="13"/>
  <c r="E3850" i="13"/>
  <c r="E3825" i="13"/>
  <c r="E3709" i="13"/>
  <c r="E3662" i="13"/>
  <c r="E3641" i="13"/>
  <c r="E3569" i="13"/>
  <c r="E3453" i="13"/>
  <c r="E3197" i="13"/>
  <c r="E2826" i="13"/>
  <c r="E2457" i="13"/>
  <c r="E2354" i="13"/>
  <c r="E2320" i="13"/>
  <c r="E2303" i="13"/>
  <c r="E2286" i="13"/>
  <c r="E2269" i="13"/>
  <c r="E2252" i="13"/>
  <c r="E2235" i="13"/>
  <c r="E1679" i="13"/>
  <c r="E1631" i="13"/>
  <c r="E1519" i="13"/>
  <c r="E1263" i="13"/>
  <c r="E1231" i="13"/>
  <c r="E1215" i="13"/>
  <c r="E1199" i="13"/>
  <c r="E1183" i="13"/>
  <c r="E1167" i="13"/>
  <c r="E719" i="13"/>
  <c r="E527" i="13"/>
  <c r="E495" i="13"/>
  <c r="E479" i="13"/>
  <c r="E447" i="13"/>
  <c r="E239" i="13"/>
  <c r="E159" i="13"/>
  <c r="E143" i="13"/>
  <c r="E127" i="13"/>
  <c r="E10024" i="13"/>
  <c r="E9578" i="13"/>
  <c r="E9472" i="13"/>
  <c r="E8848" i="13"/>
  <c r="E8470" i="13"/>
  <c r="E8392" i="13"/>
  <c r="E8245" i="13"/>
  <c r="E7654" i="13"/>
  <c r="E7345" i="13"/>
  <c r="E6857" i="13"/>
  <c r="E6067" i="13"/>
  <c r="E6031" i="13"/>
  <c r="E5999" i="13"/>
  <c r="E5838" i="13"/>
  <c r="E5773" i="13"/>
  <c r="E5669" i="13"/>
  <c r="E5555" i="13"/>
  <c r="E5502" i="13"/>
  <c r="E4822" i="13"/>
  <c r="E4726" i="13"/>
  <c r="E4336" i="13"/>
  <c r="E4199" i="13"/>
  <c r="E4152" i="13"/>
  <c r="E4126" i="13"/>
  <c r="E4105" i="13"/>
  <c r="E4080" i="13"/>
  <c r="E4058" i="13"/>
  <c r="E3290" i="13"/>
  <c r="E3222" i="13"/>
  <c r="E3196" i="13"/>
  <c r="E3037" i="13"/>
  <c r="E2705" i="13"/>
  <c r="E2666" i="13"/>
  <c r="E2647" i="13"/>
  <c r="E2626" i="13"/>
  <c r="E2606" i="13"/>
  <c r="E2114" i="13"/>
  <c r="E1978" i="13"/>
  <c r="E1892" i="13"/>
  <c r="E1858" i="13"/>
  <c r="E1841" i="13"/>
  <c r="E1807" i="13"/>
  <c r="E1550" i="13"/>
  <c r="E1518" i="13"/>
  <c r="E1502" i="13"/>
  <c r="E1342" i="13"/>
  <c r="E1150" i="13"/>
  <c r="E1134" i="13"/>
  <c r="E1086" i="13"/>
  <c r="E1022" i="13"/>
  <c r="E1006" i="13"/>
  <c r="E990" i="13"/>
  <c r="E958" i="13"/>
  <c r="E830" i="13"/>
  <c r="E11881" i="13"/>
  <c r="E9788" i="13"/>
  <c r="E9573" i="13"/>
  <c r="E9470" i="13"/>
  <c r="E9358" i="13"/>
  <c r="E9277" i="13"/>
  <c r="E9019" i="13"/>
  <c r="E8691" i="13"/>
  <c r="E8611" i="13"/>
  <c r="E7561" i="13"/>
  <c r="E7432" i="13"/>
  <c r="E7342" i="13"/>
  <c r="E6856" i="13"/>
  <c r="E6764" i="13"/>
  <c r="E6726" i="13"/>
  <c r="E6680" i="13"/>
  <c r="E6636" i="13"/>
  <c r="E6595" i="13"/>
  <c r="E5772" i="13"/>
  <c r="E5667" i="13"/>
  <c r="E5639" i="13"/>
  <c r="E5606" i="13"/>
  <c r="E5554" i="13"/>
  <c r="E5271" i="13"/>
  <c r="E5221" i="13"/>
  <c r="E5193" i="13"/>
  <c r="E5171" i="13"/>
  <c r="E4748" i="13"/>
  <c r="E4525" i="13"/>
  <c r="E4498" i="13"/>
  <c r="E4475" i="13"/>
  <c r="E4454" i="13"/>
  <c r="E4428" i="13"/>
  <c r="E4381" i="13"/>
  <c r="E4125" i="13"/>
  <c r="E4078" i="13"/>
  <c r="E3942" i="13"/>
  <c r="E3592" i="13"/>
  <c r="E3566" i="13"/>
  <c r="E3498" i="13"/>
  <c r="E3404" i="13"/>
  <c r="E3383" i="13"/>
  <c r="E3357" i="13"/>
  <c r="E3336" i="13"/>
  <c r="E3289" i="13"/>
  <c r="E2908" i="13"/>
  <c r="E2782" i="13"/>
  <c r="E2605" i="13"/>
  <c r="E2567" i="13"/>
  <c r="E2546" i="13"/>
  <c r="E2526" i="13"/>
  <c r="E2472" i="13"/>
  <c r="E2403" i="13"/>
  <c r="E2386" i="13"/>
  <c r="E2079" i="13"/>
  <c r="E2028" i="13"/>
  <c r="E2011" i="13"/>
  <c r="E1977" i="13"/>
  <c r="E1789" i="13"/>
  <c r="E1757" i="13"/>
  <c r="E1741" i="13"/>
  <c r="E1725" i="13"/>
  <c r="E1709" i="13"/>
  <c r="E1341" i="13"/>
  <c r="E1293" i="13"/>
  <c r="E1277" i="13"/>
  <c r="E1261" i="13"/>
  <c r="E1245" i="13"/>
  <c r="E1213" i="13"/>
  <c r="E12329" i="13"/>
  <c r="E11880" i="13"/>
  <c r="E11677" i="13"/>
  <c r="E9909" i="13"/>
  <c r="E8609" i="13"/>
  <c r="E8538" i="13"/>
  <c r="E8449" i="13"/>
  <c r="E8380" i="13"/>
  <c r="E8304" i="13"/>
  <c r="E8237" i="13"/>
  <c r="E8124" i="13"/>
  <c r="E7560" i="13"/>
  <c r="E7253" i="13"/>
  <c r="E6634" i="13"/>
  <c r="E6555" i="13"/>
  <c r="E6428" i="13"/>
  <c r="E6272" i="13"/>
  <c r="E6240" i="13"/>
  <c r="E6207" i="13"/>
  <c r="E6166" i="13"/>
  <c r="E6135" i="13"/>
  <c r="E5549" i="13"/>
  <c r="E5470" i="13"/>
  <c r="E5293" i="13"/>
  <c r="E5142" i="13"/>
  <c r="E5092" i="13"/>
  <c r="E5070" i="13"/>
  <c r="E4993" i="13"/>
  <c r="E4897" i="13"/>
  <c r="E4869" i="13"/>
  <c r="E4427" i="13"/>
  <c r="E4359" i="13"/>
  <c r="E4333" i="13"/>
  <c r="E4312" i="13"/>
  <c r="E4218" i="13"/>
  <c r="E4009" i="13"/>
  <c r="E3962" i="13"/>
  <c r="E3937" i="13"/>
  <c r="E3915" i="13"/>
  <c r="E3472" i="13"/>
  <c r="E3309" i="13"/>
  <c r="E3288" i="13"/>
  <c r="E3262" i="13"/>
  <c r="E3241" i="13"/>
  <c r="E3216" i="13"/>
  <c r="E3169" i="13"/>
  <c r="E2928" i="13"/>
  <c r="E2887" i="13"/>
  <c r="E2664" i="13"/>
  <c r="E2385" i="13"/>
  <c r="E2368" i="13"/>
  <c r="E2351" i="13"/>
  <c r="E2334" i="13"/>
  <c r="E2317" i="13"/>
  <c r="E2300" i="13"/>
  <c r="E2283" i="13"/>
  <c r="E2249" i="13"/>
  <c r="E1959" i="13"/>
  <c r="E1805" i="13"/>
  <c r="E1708" i="13"/>
  <c r="E1644" i="13"/>
  <c r="E1580" i="13"/>
  <c r="E1564" i="13"/>
  <c r="E1548" i="13"/>
  <c r="E1532" i="13"/>
  <c r="E1516" i="13"/>
  <c r="E1228" i="13"/>
  <c r="E1180" i="13"/>
  <c r="E1132" i="13"/>
  <c r="E1052" i="13"/>
  <c r="E13568" i="13"/>
  <c r="E12823" i="13"/>
  <c r="E12086" i="13"/>
  <c r="E11270" i="13"/>
  <c r="E11086" i="13"/>
  <c r="E8981" i="13"/>
  <c r="E8747" i="13"/>
  <c r="E8662" i="13"/>
  <c r="E8591" i="13"/>
  <c r="E8520" i="13"/>
  <c r="E8052" i="13"/>
  <c r="E7748" i="13"/>
  <c r="E7640" i="13"/>
  <c r="E7594" i="13"/>
  <c r="E7068" i="13"/>
  <c r="E6461" i="13"/>
  <c r="E6425" i="13"/>
  <c r="E6388" i="13"/>
  <c r="E6340" i="13"/>
  <c r="E6307" i="13"/>
  <c r="E6268" i="13"/>
  <c r="E6125" i="13"/>
  <c r="E5823" i="13"/>
  <c r="E5467" i="13"/>
  <c r="E5189" i="13"/>
  <c r="E5067" i="13"/>
  <c r="E5039" i="13"/>
  <c r="E5016" i="13"/>
  <c r="E4989" i="13"/>
  <c r="E4966" i="13"/>
  <c r="E4939" i="13"/>
  <c r="E4916" i="13"/>
  <c r="E4471" i="13"/>
  <c r="E4283" i="13"/>
  <c r="E4236" i="13"/>
  <c r="E4096" i="13"/>
  <c r="E3933" i="13"/>
  <c r="E3912" i="13"/>
  <c r="E3886" i="13"/>
  <c r="E3865" i="13"/>
  <c r="E3840" i="13"/>
  <c r="E3421" i="13"/>
  <c r="E3353" i="13"/>
  <c r="E3281" i="13"/>
  <c r="E3191" i="13"/>
  <c r="E3144" i="13"/>
  <c r="E3009" i="13"/>
  <c r="E2924" i="13"/>
  <c r="E2840" i="13"/>
  <c r="E2817" i="13"/>
  <c r="E2486" i="13"/>
  <c r="E2416" i="13"/>
  <c r="E2399" i="13"/>
  <c r="E2382" i="13"/>
  <c r="E2365" i="13"/>
  <c r="E2314" i="13"/>
  <c r="E2228" i="13"/>
  <c r="E2126" i="13"/>
  <c r="E2092" i="13"/>
  <c r="E1904" i="13"/>
  <c r="E1657" i="13"/>
  <c r="E1641" i="13"/>
  <c r="E1625" i="13"/>
  <c r="E1609" i="13"/>
  <c r="E1593" i="13"/>
  <c r="E1577" i="13"/>
  <c r="E1561" i="13"/>
  <c r="E1449" i="13"/>
  <c r="E1177" i="13"/>
  <c r="E1113" i="13"/>
  <c r="E937" i="13"/>
  <c r="E905" i="13"/>
  <c r="E889" i="13"/>
  <c r="E873" i="13"/>
  <c r="E857" i="13"/>
  <c r="E841" i="13"/>
  <c r="E825" i="13"/>
  <c r="E9632" i="13"/>
  <c r="E8631" i="13"/>
  <c r="E8501" i="13"/>
  <c r="E8297" i="13"/>
  <c r="E7657" i="13"/>
  <c r="E7324" i="13"/>
  <c r="E7272" i="13"/>
  <c r="E7198" i="13"/>
  <c r="E7139" i="13"/>
  <c r="E6075" i="13"/>
  <c r="E5928" i="13"/>
  <c r="E5782" i="13"/>
  <c r="E5599" i="13"/>
  <c r="E5559" i="13"/>
  <c r="E5484" i="13"/>
  <c r="E5259" i="13"/>
  <c r="E5006" i="13"/>
  <c r="E4968" i="13"/>
  <c r="E4715" i="13"/>
  <c r="E4231" i="13"/>
  <c r="E4192" i="13"/>
  <c r="E4160" i="13"/>
  <c r="E4129" i="13"/>
  <c r="E4025" i="13"/>
  <c r="E3888" i="13"/>
  <c r="E3820" i="13"/>
  <c r="E3623" i="13"/>
  <c r="E3211" i="13"/>
  <c r="E2771" i="13"/>
  <c r="E2714" i="13"/>
  <c r="E2688" i="13"/>
  <c r="E2656" i="13"/>
  <c r="E2631" i="13"/>
  <c r="E2599" i="13"/>
  <c r="E2572" i="13"/>
  <c r="E2487" i="13"/>
  <c r="E1966" i="13"/>
  <c r="E1889" i="13"/>
  <c r="E1843" i="13"/>
  <c r="E1584" i="13"/>
  <c r="E1537" i="13"/>
  <c r="E1511" i="13"/>
  <c r="E1490" i="13"/>
  <c r="E1464" i="13"/>
  <c r="E1443" i="13"/>
  <c r="E1031" i="13"/>
  <c r="E870" i="13"/>
  <c r="E851" i="13"/>
  <c r="E832" i="13"/>
  <c r="E791" i="13"/>
  <c r="E603" i="13"/>
  <c r="E569" i="13"/>
  <c r="E552" i="13"/>
  <c r="E535" i="13"/>
  <c r="E245" i="13"/>
  <c r="E177" i="13"/>
  <c r="E125" i="13"/>
  <c r="E57" i="13"/>
  <c r="E40" i="13"/>
  <c r="E23" i="13"/>
  <c r="E13207" i="13"/>
  <c r="E10725" i="13"/>
  <c r="E9832" i="13"/>
  <c r="E8959" i="13"/>
  <c r="E7585" i="13"/>
  <c r="E7527" i="13"/>
  <c r="E7457" i="13"/>
  <c r="E7399" i="13"/>
  <c r="E7194" i="13"/>
  <c r="E6941" i="13"/>
  <c r="E6884" i="13"/>
  <c r="E6746" i="13"/>
  <c r="E5825" i="13"/>
  <c r="E5644" i="13"/>
  <c r="E5224" i="13"/>
  <c r="E5153" i="13"/>
  <c r="E5109" i="13"/>
  <c r="E5077" i="13"/>
  <c r="E5038" i="13"/>
  <c r="E5005" i="13"/>
  <c r="E4896" i="13"/>
  <c r="E4158" i="13"/>
  <c r="E4060" i="13"/>
  <c r="E4024" i="13"/>
  <c r="E3953" i="13"/>
  <c r="E3581" i="13"/>
  <c r="E3514" i="13"/>
  <c r="E3483" i="13"/>
  <c r="E3448" i="13"/>
  <c r="E3416" i="13"/>
  <c r="E2829" i="13"/>
  <c r="E2598" i="13"/>
  <c r="E2571" i="13"/>
  <c r="E2539" i="13"/>
  <c r="E2513" i="13"/>
  <c r="E2461" i="13"/>
  <c r="E2188" i="13"/>
  <c r="E2138" i="13"/>
  <c r="E2111" i="13"/>
  <c r="E1815" i="13"/>
  <c r="E1604" i="13"/>
  <c r="E1536" i="13"/>
  <c r="E1442" i="13"/>
  <c r="E1416" i="13"/>
  <c r="E1395" i="13"/>
  <c r="E1370" i="13"/>
  <c r="E1323" i="13"/>
  <c r="E1074" i="13"/>
  <c r="E929" i="13"/>
  <c r="E670" i="13"/>
  <c r="E636" i="13"/>
  <c r="E619" i="13"/>
  <c r="E602" i="13"/>
  <c r="E551" i="13"/>
  <c r="E483" i="13"/>
  <c r="E466" i="13"/>
  <c r="E449" i="13"/>
  <c r="E141" i="13"/>
  <c r="E90" i="13"/>
  <c r="E56" i="13"/>
  <c r="E10927" i="13"/>
  <c r="E10499" i="13"/>
  <c r="E10315" i="13"/>
  <c r="E10104" i="13"/>
  <c r="E9952" i="13"/>
  <c r="E9481" i="13"/>
  <c r="E7454" i="13"/>
  <c r="E7266" i="13"/>
  <c r="E7193" i="13"/>
  <c r="E7131" i="13"/>
  <c r="E7003" i="13"/>
  <c r="E6333" i="13"/>
  <c r="E6221" i="13"/>
  <c r="E6165" i="13"/>
  <c r="E6117" i="13"/>
  <c r="E5596" i="13"/>
  <c r="E5075" i="13"/>
  <c r="E5037" i="13"/>
  <c r="E5004" i="13"/>
  <c r="E4965" i="13"/>
  <c r="E4932" i="13"/>
  <c r="E4891" i="13"/>
  <c r="E4856" i="13"/>
  <c r="E4818" i="13"/>
  <c r="E4225" i="13"/>
  <c r="E3952" i="13"/>
  <c r="E3921" i="13"/>
  <c r="E3719" i="13"/>
  <c r="E3648" i="13"/>
  <c r="E3549" i="13"/>
  <c r="E3415" i="13"/>
  <c r="E3376" i="13"/>
  <c r="E3344" i="13"/>
  <c r="E2795" i="13"/>
  <c r="E2712" i="13"/>
  <c r="E2681" i="13"/>
  <c r="E2653" i="13"/>
  <c r="E2622" i="13"/>
  <c r="E2538" i="13"/>
  <c r="E2432" i="13"/>
  <c r="E2287" i="13"/>
  <c r="E2237" i="13"/>
  <c r="E1964" i="13"/>
  <c r="E1650" i="13"/>
  <c r="E1603" i="13"/>
  <c r="E1578" i="13"/>
  <c r="E1556" i="13"/>
  <c r="E1531" i="13"/>
  <c r="E1509" i="13"/>
  <c r="E1488" i="13"/>
  <c r="E1462" i="13"/>
  <c r="E1073" i="13"/>
  <c r="E907" i="13"/>
  <c r="E887" i="13"/>
  <c r="E868" i="13"/>
  <c r="E849" i="13"/>
  <c r="E704" i="13"/>
  <c r="E618" i="13"/>
  <c r="E601" i="13"/>
  <c r="E584" i="13"/>
  <c r="E482" i="13"/>
  <c r="E260" i="13"/>
  <c r="E243" i="13"/>
  <c r="E226" i="13"/>
  <c r="E209" i="13"/>
  <c r="E192" i="13"/>
  <c r="E174" i="13"/>
  <c r="E157" i="13"/>
  <c r="E140" i="13"/>
  <c r="E11964" i="13"/>
  <c r="E11166" i="13"/>
  <c r="E10917" i="13"/>
  <c r="E9768" i="13"/>
  <c r="E9460" i="13"/>
  <c r="E9321" i="13"/>
  <c r="E9196" i="13"/>
  <c r="E9052" i="13"/>
  <c r="E8953" i="13"/>
  <c r="E7787" i="13"/>
  <c r="E7581" i="13"/>
  <c r="E7508" i="13"/>
  <c r="E7449" i="13"/>
  <c r="E7379" i="13"/>
  <c r="E7320" i="13"/>
  <c r="E7258" i="13"/>
  <c r="E6869" i="13"/>
  <c r="E6740" i="13"/>
  <c r="E6376" i="13"/>
  <c r="E5973" i="13"/>
  <c r="E5873" i="13"/>
  <c r="E5821" i="13"/>
  <c r="E5777" i="13"/>
  <c r="E5726" i="13"/>
  <c r="E5682" i="13"/>
  <c r="E5636" i="13"/>
  <c r="E5595" i="13"/>
  <c r="E5141" i="13"/>
  <c r="E5036" i="13"/>
  <c r="E5003" i="13"/>
  <c r="E4964" i="13"/>
  <c r="E4931" i="13"/>
  <c r="E4711" i="13"/>
  <c r="E4640" i="13"/>
  <c r="E4607" i="13"/>
  <c r="E4563" i="13"/>
  <c r="E4358" i="13"/>
  <c r="E4054" i="13"/>
  <c r="E4022" i="13"/>
  <c r="E3982" i="13"/>
  <c r="E3950" i="13"/>
  <c r="E3920" i="13"/>
  <c r="E3883" i="13"/>
  <c r="E3852" i="13"/>
  <c r="E3816" i="13"/>
  <c r="E3414" i="13"/>
  <c r="E3307" i="13"/>
  <c r="E3275" i="13"/>
  <c r="E3070" i="13"/>
  <c r="E3008" i="13"/>
  <c r="E2982" i="13"/>
  <c r="E2947" i="13"/>
  <c r="E2919" i="13"/>
  <c r="E2886" i="13"/>
  <c r="E2537" i="13"/>
  <c r="E2459" i="13"/>
  <c r="E2431" i="13"/>
  <c r="E2409" i="13"/>
  <c r="E2381" i="13"/>
  <c r="E2359" i="13"/>
  <c r="E2332" i="13"/>
  <c r="E2186" i="13"/>
  <c r="E2136" i="13"/>
  <c r="E1985" i="13"/>
  <c r="E1786" i="13"/>
  <c r="E1739" i="13"/>
  <c r="E1717" i="13"/>
  <c r="E1696" i="13"/>
  <c r="E1670" i="13"/>
  <c r="E1649" i="13"/>
  <c r="E1623" i="13"/>
  <c r="E1602" i="13"/>
  <c r="E1320" i="13"/>
  <c r="E1252" i="13"/>
  <c r="E1227" i="13"/>
  <c r="E1205" i="13"/>
  <c r="E1184" i="13"/>
  <c r="E1048" i="13"/>
  <c r="E1008" i="13"/>
  <c r="E984" i="13"/>
  <c r="E965" i="13"/>
  <c r="E848" i="13"/>
  <c r="E685" i="13"/>
  <c r="E668" i="13"/>
  <c r="E651" i="13"/>
  <c r="E634" i="13"/>
  <c r="E617" i="13"/>
  <c r="E600" i="13"/>
  <c r="E583" i="13"/>
  <c r="E566" i="13"/>
  <c r="E361" i="13"/>
  <c r="E310" i="13"/>
  <c r="E293" i="13"/>
  <c r="E190" i="13"/>
  <c r="E156" i="13"/>
  <c r="E139" i="13"/>
  <c r="E122" i="13"/>
  <c r="E105" i="13"/>
  <c r="E88" i="13"/>
  <c r="E11396" i="13"/>
  <c r="E10700" i="13"/>
  <c r="E10452" i="13"/>
  <c r="E10273" i="13"/>
  <c r="E10087" i="13"/>
  <c r="E9937" i="13"/>
  <c r="E9765" i="13"/>
  <c r="E8943" i="13"/>
  <c r="E8698" i="13"/>
  <c r="E8095" i="13"/>
  <c r="E7505" i="13"/>
  <c r="E7378" i="13"/>
  <c r="E7315" i="13"/>
  <c r="E7250" i="13"/>
  <c r="E7187" i="13"/>
  <c r="E7128" i="13"/>
  <c r="E7059" i="13"/>
  <c r="E7000" i="13"/>
  <c r="E6263" i="13"/>
  <c r="E6114" i="13"/>
  <c r="E6061" i="13"/>
  <c r="E6015" i="13"/>
  <c r="E5958" i="13"/>
  <c r="E5681" i="13"/>
  <c r="E5592" i="13"/>
  <c r="E5545" i="13"/>
  <c r="E5508" i="13"/>
  <c r="E5283" i="13"/>
  <c r="E4959" i="13"/>
  <c r="E4930" i="13"/>
  <c r="E4886" i="13"/>
  <c r="E4853" i="13"/>
  <c r="E4815" i="13"/>
  <c r="E4782" i="13"/>
  <c r="E4744" i="13"/>
  <c r="E4710" i="13"/>
  <c r="E4285" i="13"/>
  <c r="E4186" i="13"/>
  <c r="E4155" i="13"/>
  <c r="E12686" i="13"/>
  <c r="E11955" i="13"/>
  <c r="E11614" i="13"/>
  <c r="E11388" i="13"/>
  <c r="E11115" i="13"/>
  <c r="E10883" i="13"/>
  <c r="E8918" i="13"/>
  <c r="E8586" i="13"/>
  <c r="E8485" i="13"/>
  <c r="E8357" i="13"/>
  <c r="E8274" i="13"/>
  <c r="E8165" i="13"/>
  <c r="E8081" i="13"/>
  <c r="E7633" i="13"/>
  <c r="E7502" i="13"/>
  <c r="E7110" i="13"/>
  <c r="E6612" i="13"/>
  <c r="E6487" i="13"/>
  <c r="E6427" i="13"/>
  <c r="E6371" i="13"/>
  <c r="E6318" i="13"/>
  <c r="E6262" i="13"/>
  <c r="E6213" i="13"/>
  <c r="E6160" i="13"/>
  <c r="E5587" i="13"/>
  <c r="E5468" i="13"/>
  <c r="E5431" i="13"/>
  <c r="E5392" i="13"/>
  <c r="E5358" i="13"/>
  <c r="E5138" i="13"/>
  <c r="E14591" i="13"/>
  <c r="E13600" i="13"/>
  <c r="E13054" i="13"/>
  <c r="E11084" i="13"/>
  <c r="E9420" i="13"/>
  <c r="E9291" i="13"/>
  <c r="E9151" i="13"/>
  <c r="E9031" i="13"/>
  <c r="E8917" i="13"/>
  <c r="E8796" i="13"/>
  <c r="E8689" i="13"/>
  <c r="E8585" i="13"/>
  <c r="E7565" i="13"/>
  <c r="E7369" i="13"/>
  <c r="E7310" i="13"/>
  <c r="E6921" i="13"/>
  <c r="E6793" i="13"/>
  <c r="E6737" i="13"/>
  <c r="E6667" i="13"/>
  <c r="E6611" i="13"/>
  <c r="E6538" i="13"/>
  <c r="E5911" i="13"/>
  <c r="E5766" i="13"/>
  <c r="E5723" i="13"/>
  <c r="E5679" i="13"/>
  <c r="E5623" i="13"/>
  <c r="E5586" i="13"/>
  <c r="E5541" i="13"/>
  <c r="E5314" i="13"/>
  <c r="E5248" i="13"/>
  <c r="E5032" i="13"/>
  <c r="E4737" i="13"/>
  <c r="E4664" i="13"/>
  <c r="E4631" i="13"/>
  <c r="E4594" i="13"/>
  <c r="E4560" i="13"/>
  <c r="E4523" i="13"/>
  <c r="E4488" i="13"/>
  <c r="E4457" i="13"/>
  <c r="E4045" i="13"/>
  <c r="E3947" i="13"/>
  <c r="E3911" i="13"/>
  <c r="E3880" i="13"/>
  <c r="E3841" i="13"/>
  <c r="E3643" i="13"/>
  <c r="E3576" i="13"/>
  <c r="E3536" i="13"/>
  <c r="E3505" i="13"/>
  <c r="E3303" i="13"/>
  <c r="E3004" i="13"/>
  <c r="E2976" i="13"/>
  <c r="E2941" i="13"/>
  <c r="E2913" i="13"/>
  <c r="E2878" i="13"/>
  <c r="E2851" i="13"/>
  <c r="E2816" i="13"/>
  <c r="E2791" i="13"/>
  <c r="E2451" i="13"/>
  <c r="E2378" i="13"/>
  <c r="E2355" i="13"/>
  <c r="E2205" i="13"/>
  <c r="E2155" i="13"/>
  <c r="E2128" i="13"/>
  <c r="E2105" i="13"/>
  <c r="E2082" i="13"/>
  <c r="E2055" i="13"/>
  <c r="E1761" i="13"/>
  <c r="E1688" i="13"/>
  <c r="E1667" i="13"/>
  <c r="E1642" i="13"/>
  <c r="E1620" i="13"/>
  <c r="E1595" i="13"/>
  <c r="E1573" i="13"/>
  <c r="E1432" i="13"/>
  <c r="E1386" i="13"/>
  <c r="E1249" i="13"/>
  <c r="E1066" i="13"/>
  <c r="E1025" i="13"/>
  <c r="E1002" i="13"/>
  <c r="E981" i="13"/>
  <c r="E962" i="13"/>
  <c r="E941" i="13"/>
  <c r="E922" i="13"/>
  <c r="E902" i="13"/>
  <c r="E682" i="13"/>
  <c r="E631" i="13"/>
  <c r="E614" i="13"/>
  <c r="E597" i="13"/>
  <c r="E580" i="13"/>
  <c r="E477" i="13"/>
  <c r="E443" i="13"/>
  <c r="E426" i="13"/>
  <c r="E409" i="13"/>
  <c r="E307" i="13"/>
  <c r="E153" i="13"/>
  <c r="E136" i="13"/>
  <c r="E119" i="13"/>
  <c r="E102" i="13"/>
  <c r="E85" i="13"/>
  <c r="E68" i="13"/>
  <c r="E51" i="13"/>
  <c r="E34" i="13"/>
  <c r="E10546" i="13"/>
  <c r="E9986" i="13"/>
  <c r="E9836" i="13"/>
  <c r="E8976" i="13"/>
  <c r="E8740" i="13"/>
  <c r="E8642" i="13"/>
  <c r="E8508" i="13"/>
  <c r="E8420" i="13"/>
  <c r="E8300" i="13"/>
  <c r="E7402" i="13"/>
  <c r="E7218" i="13"/>
  <c r="E7142" i="13"/>
  <c r="E7092" i="13"/>
  <c r="E7015" i="13"/>
  <c r="E6955" i="13"/>
  <c r="E6887" i="13"/>
  <c r="E6524" i="13"/>
  <c r="E6401" i="13"/>
  <c r="E6078" i="13"/>
  <c r="E5693" i="13"/>
  <c r="E5602" i="13"/>
  <c r="E5564" i="13"/>
  <c r="E5522" i="13"/>
  <c r="E5486" i="13"/>
  <c r="E5451" i="13"/>
  <c r="E5410" i="13"/>
  <c r="E5376" i="13"/>
  <c r="E4936" i="13"/>
  <c r="E4832" i="13"/>
  <c r="E14554" i="13"/>
  <c r="E13027" i="13"/>
  <c r="E12243" i="13"/>
  <c r="E9611" i="13"/>
  <c r="E9030" i="13"/>
  <c r="E8794" i="13"/>
  <c r="E8575" i="13"/>
  <c r="E7559" i="13"/>
  <c r="E6424" i="13"/>
  <c r="E6308" i="13"/>
  <c r="E6199" i="13"/>
  <c r="E6111" i="13"/>
  <c r="E6002" i="13"/>
  <c r="E5910" i="13"/>
  <c r="E5815" i="13"/>
  <c r="E5715" i="13"/>
  <c r="E4845" i="13"/>
  <c r="E4663" i="13"/>
  <c r="E4613" i="13"/>
  <c r="E4279" i="13"/>
  <c r="E4170" i="13"/>
  <c r="E4112" i="13"/>
  <c r="E4065" i="13"/>
  <c r="E4013" i="13"/>
  <c r="E3968" i="13"/>
  <c r="E3371" i="13"/>
  <c r="E3227" i="13"/>
  <c r="E3181" i="13"/>
  <c r="E3130" i="13"/>
  <c r="E3084" i="13"/>
  <c r="E3031" i="13"/>
  <c r="E2989" i="13"/>
  <c r="E2728" i="13"/>
  <c r="E2638" i="13"/>
  <c r="E2407" i="13"/>
  <c r="E2120" i="13"/>
  <c r="E2048" i="13"/>
  <c r="E2006" i="13"/>
  <c r="E1971" i="13"/>
  <c r="E1934" i="13"/>
  <c r="E1900" i="13"/>
  <c r="E1867" i="13"/>
  <c r="E1828" i="13"/>
  <c r="E1424" i="13"/>
  <c r="E1316" i="13"/>
  <c r="E1285" i="13"/>
  <c r="E1250" i="13"/>
  <c r="E1218" i="13"/>
  <c r="E1021" i="13"/>
  <c r="E961" i="13"/>
  <c r="E934" i="13"/>
  <c r="E903" i="13"/>
  <c r="E742" i="13"/>
  <c r="E519" i="13"/>
  <c r="E491" i="13"/>
  <c r="E469" i="13"/>
  <c r="E441" i="13"/>
  <c r="E419" i="13"/>
  <c r="E391" i="13"/>
  <c r="E369" i="13"/>
  <c r="E342" i="13"/>
  <c r="E45" i="13"/>
  <c r="E13018" i="13"/>
  <c r="E12221" i="13"/>
  <c r="E9558" i="13"/>
  <c r="E9029" i="13"/>
  <c r="E8793" i="13"/>
  <c r="E8559" i="13"/>
  <c r="E8346" i="13"/>
  <c r="E8162" i="13"/>
  <c r="E6536" i="13"/>
  <c r="E6198" i="13"/>
  <c r="E6095" i="13"/>
  <c r="E6001" i="13"/>
  <c r="E5909" i="13"/>
  <c r="E5814" i="13"/>
  <c r="E5714" i="13"/>
  <c r="E5240" i="13"/>
  <c r="E5102" i="13"/>
  <c r="E4729" i="13"/>
  <c r="E4278" i="13"/>
  <c r="E4169" i="13"/>
  <c r="E4110" i="13"/>
  <c r="E4064" i="13"/>
  <c r="E4008" i="13"/>
  <c r="E3966" i="13"/>
  <c r="E3910" i="13"/>
  <c r="E3864" i="13"/>
  <c r="E3273" i="13"/>
  <c r="E3121" i="13"/>
  <c r="E3083" i="13"/>
  <c r="E3030" i="13"/>
  <c r="E2987" i="13"/>
  <c r="E2721" i="13"/>
  <c r="E2637" i="13"/>
  <c r="E2600" i="13"/>
  <c r="E2555" i="13"/>
  <c r="E2329" i="13"/>
  <c r="E2003" i="13"/>
  <c r="E1970" i="13"/>
  <c r="E1933" i="13"/>
  <c r="E1899" i="13"/>
  <c r="E1862" i="13"/>
  <c r="E1827" i="13"/>
  <c r="E1794" i="13"/>
  <c r="E1754" i="13"/>
  <c r="E1351" i="13"/>
  <c r="E1248" i="13"/>
  <c r="E1217" i="13"/>
  <c r="E1019" i="13"/>
  <c r="E960" i="13"/>
  <c r="E933" i="13"/>
  <c r="E901" i="13"/>
  <c r="E875" i="13"/>
  <c r="E844" i="13"/>
  <c r="E540" i="13"/>
  <c r="E468" i="13"/>
  <c r="E440" i="13"/>
  <c r="E418" i="13"/>
  <c r="E390" i="13"/>
  <c r="E368" i="13"/>
  <c r="E340" i="13"/>
  <c r="E195" i="13"/>
  <c r="E145" i="13"/>
  <c r="E14384" i="13"/>
  <c r="E9557" i="13"/>
  <c r="E9028" i="13"/>
  <c r="E8792" i="13"/>
  <c r="E8557" i="13"/>
  <c r="E8341" i="13"/>
  <c r="E8161" i="13"/>
  <c r="E7991" i="13"/>
  <c r="E7831" i="13"/>
  <c r="E6295" i="13"/>
  <c r="E5996" i="13"/>
  <c r="E5905" i="13"/>
  <c r="E5813" i="13"/>
  <c r="E5712" i="13"/>
  <c r="E5238" i="13"/>
  <c r="E5091" i="13"/>
  <c r="E5027" i="13"/>
  <c r="E4975" i="13"/>
  <c r="E4611" i="13"/>
  <c r="E4109" i="13"/>
  <c r="E4062" i="13"/>
  <c r="E4007" i="13"/>
  <c r="E3961" i="13"/>
  <c r="E3905" i="13"/>
  <c r="E3863" i="13"/>
  <c r="E3808" i="13"/>
  <c r="E3766" i="13"/>
  <c r="E3166" i="13"/>
  <c r="E3027" i="13"/>
  <c r="E2986" i="13"/>
  <c r="E2720" i="13"/>
  <c r="E2636" i="13"/>
  <c r="E2593" i="13"/>
  <c r="E2554" i="13"/>
  <c r="E2515" i="13"/>
  <c r="E2475" i="13"/>
  <c r="E2042" i="13"/>
  <c r="E1931" i="13"/>
  <c r="E1898" i="13"/>
  <c r="E1860" i="13"/>
  <c r="E1826" i="13"/>
  <c r="E1784" i="13"/>
  <c r="E1752" i="13"/>
  <c r="E1547" i="13"/>
  <c r="E1480" i="13"/>
  <c r="E1283" i="13"/>
  <c r="E1018" i="13"/>
  <c r="E957" i="13"/>
  <c r="E932" i="13"/>
  <c r="E900" i="13"/>
  <c r="E874" i="13"/>
  <c r="E842" i="13"/>
  <c r="E817" i="13"/>
  <c r="E786" i="13"/>
  <c r="E489" i="13"/>
  <c r="E417" i="13"/>
  <c r="E389" i="13"/>
  <c r="E366" i="13"/>
  <c r="E339" i="13"/>
  <c r="E189" i="13"/>
  <c r="E144" i="13"/>
  <c r="E116" i="13"/>
  <c r="E93" i="13"/>
  <c r="E12197" i="13"/>
  <c r="E8791" i="13"/>
  <c r="E8545" i="13"/>
  <c r="E8335" i="13"/>
  <c r="E8147" i="13"/>
  <c r="E7978" i="13"/>
  <c r="E7830" i="13"/>
  <c r="E7682" i="13"/>
  <c r="E7548" i="13"/>
  <c r="E6092" i="13"/>
  <c r="E5805" i="13"/>
  <c r="E5709" i="13"/>
  <c r="E5237" i="13"/>
  <c r="E5090" i="13"/>
  <c r="E5026" i="13"/>
  <c r="E4958" i="13"/>
  <c r="E4904" i="13"/>
  <c r="E4835" i="13"/>
  <c r="E4166" i="13"/>
  <c r="E4001" i="13"/>
  <c r="E3960" i="13"/>
  <c r="E3904" i="13"/>
  <c r="E3862" i="13"/>
  <c r="E3806" i="13"/>
  <c r="E3761" i="13"/>
  <c r="E3464" i="13"/>
  <c r="E3367" i="13"/>
  <c r="E3068" i="13"/>
  <c r="E2717" i="13"/>
  <c r="E2635" i="13"/>
  <c r="E2592" i="13"/>
  <c r="E2553" i="13"/>
  <c r="E2506" i="13"/>
  <c r="E2470" i="13"/>
  <c r="E2441" i="13"/>
  <c r="E2397" i="13"/>
  <c r="E1968" i="13"/>
  <c r="E1854" i="13"/>
  <c r="E1821" i="13"/>
  <c r="E1783" i="13"/>
  <c r="E1751" i="13"/>
  <c r="E1546" i="13"/>
  <c r="E1478" i="13"/>
  <c r="E1447" i="13"/>
  <c r="E1412" i="13"/>
  <c r="E1211" i="13"/>
  <c r="E931" i="13"/>
  <c r="E899" i="13"/>
  <c r="E872" i="13"/>
  <c r="E840" i="13"/>
  <c r="E816" i="13"/>
  <c r="E784" i="13"/>
  <c r="E761" i="13"/>
  <c r="E734" i="13"/>
  <c r="E438" i="13"/>
  <c r="E365" i="13"/>
  <c r="E338" i="13"/>
  <c r="E188" i="13"/>
  <c r="E138" i="13"/>
  <c r="E115" i="13"/>
  <c r="E92" i="13"/>
  <c r="E65" i="13"/>
  <c r="E42" i="13"/>
  <c r="E8994" i="13"/>
  <c r="E8333" i="13"/>
  <c r="E8146" i="13"/>
  <c r="E7976" i="13"/>
  <c r="E7829" i="13"/>
  <c r="E7678" i="13"/>
  <c r="E7547" i="13"/>
  <c r="E6777" i="13"/>
  <c r="E6530" i="13"/>
  <c r="E5891" i="13"/>
  <c r="E5232" i="13"/>
  <c r="E5088" i="13"/>
  <c r="E5024" i="13"/>
  <c r="E4955" i="13"/>
  <c r="E4902" i="13"/>
  <c r="E4834" i="13"/>
  <c r="E4767" i="13"/>
  <c r="E4717" i="13"/>
  <c r="E4046" i="13"/>
  <c r="E3902" i="13"/>
  <c r="E3857" i="13"/>
  <c r="E3805" i="13"/>
  <c r="E3760" i="13"/>
  <c r="E12092" i="13"/>
  <c r="E11007" i="13"/>
  <c r="E10562" i="13"/>
  <c r="E10162" i="13"/>
  <c r="E8535" i="13"/>
  <c r="E7156" i="13"/>
  <c r="E7016" i="13"/>
  <c r="E6889" i="13"/>
  <c r="E6761" i="13"/>
  <c r="E6646" i="13"/>
  <c r="E6526" i="13"/>
  <c r="E6406" i="13"/>
  <c r="E6289" i="13"/>
  <c r="E5229" i="13"/>
  <c r="E5017" i="13"/>
  <c r="E4952" i="13"/>
  <c r="E4590" i="13"/>
  <c r="E4478" i="13"/>
  <c r="E4416" i="13"/>
  <c r="E4369" i="13"/>
  <c r="E4311" i="13"/>
  <c r="E4264" i="13"/>
  <c r="E3655" i="13"/>
  <c r="E3502" i="13"/>
  <c r="E3457" i="13"/>
  <c r="E3401" i="13"/>
  <c r="E3355" i="13"/>
  <c r="E3304" i="13"/>
  <c r="E3257" i="13"/>
  <c r="E2969" i="13"/>
  <c r="E2877" i="13"/>
  <c r="E2632" i="13"/>
  <c r="E2322" i="13"/>
  <c r="E2247" i="13"/>
  <c r="E2214" i="13"/>
  <c r="E2174" i="13"/>
  <c r="E2141" i="13"/>
  <c r="E2103" i="13"/>
  <c r="E2070" i="13"/>
  <c r="E2031" i="13"/>
  <c r="E1610" i="13"/>
  <c r="E1507" i="13"/>
  <c r="E1475" i="13"/>
  <c r="E1444" i="13"/>
  <c r="E1408" i="13"/>
  <c r="E1203" i="13"/>
  <c r="E1136" i="13"/>
  <c r="E1105" i="13"/>
  <c r="E1076" i="13"/>
  <c r="E896" i="13"/>
  <c r="E658" i="13"/>
  <c r="E630" i="13"/>
  <c r="E608" i="13"/>
  <c r="E581" i="13"/>
  <c r="E557" i="13"/>
  <c r="E531" i="13"/>
  <c r="E507" i="13"/>
  <c r="E485" i="13"/>
  <c r="E184" i="13"/>
  <c r="E112" i="13"/>
  <c r="E84" i="13"/>
  <c r="A7" i="13"/>
  <c r="E11780" i="13"/>
  <c r="E10741" i="13"/>
  <c r="E10328" i="13"/>
  <c r="E9991" i="13"/>
  <c r="E9682" i="13"/>
  <c r="E7469" i="13"/>
  <c r="E6961" i="13"/>
  <c r="E6830" i="13"/>
  <c r="E6702" i="13"/>
  <c r="E6580" i="13"/>
  <c r="E6455" i="13"/>
  <c r="E6339" i="13"/>
  <c r="E6236" i="13"/>
  <c r="E5655" i="13"/>
  <c r="E5124" i="13"/>
  <c r="E4915" i="13"/>
  <c r="E4559" i="13"/>
  <c r="E4444" i="13"/>
  <c r="E4397" i="13"/>
  <c r="E4344" i="13"/>
  <c r="E4281" i="13"/>
  <c r="E4234" i="13"/>
  <c r="E4177" i="13"/>
  <c r="E3577" i="13"/>
  <c r="E3433" i="13"/>
  <c r="E3387" i="13"/>
  <c r="E3326" i="13"/>
  <c r="E3286" i="13"/>
  <c r="E3229" i="13"/>
  <c r="E2944" i="13"/>
  <c r="E2861" i="13"/>
  <c r="E2812" i="13"/>
  <c r="E2560" i="13"/>
  <c r="E2226" i="13"/>
  <c r="E2193" i="13"/>
  <c r="E2156" i="13"/>
  <c r="E2122" i="13"/>
  <c r="E2084" i="13"/>
  <c r="E2050" i="13"/>
  <c r="E2017" i="13"/>
  <c r="E1975" i="13"/>
  <c r="E1560" i="13"/>
  <c r="E1457" i="13"/>
  <c r="E1426" i="13"/>
  <c r="E1387" i="13"/>
  <c r="E1189" i="13"/>
  <c r="E1122" i="13"/>
  <c r="E1088" i="13"/>
  <c r="E1059" i="13"/>
  <c r="E1026" i="13"/>
  <c r="E717" i="13"/>
  <c r="E621" i="13"/>
  <c r="E594" i="13"/>
  <c r="E571" i="13"/>
  <c r="E544" i="13"/>
  <c r="E521" i="13"/>
  <c r="E493" i="13"/>
  <c r="E471" i="13"/>
  <c r="E321" i="13"/>
  <c r="E148" i="13"/>
  <c r="E11276" i="13"/>
  <c r="E8079" i="13"/>
  <c r="E7601" i="13"/>
  <c r="E7356" i="13"/>
  <c r="E7105" i="13"/>
  <c r="E6886" i="13"/>
  <c r="E6700" i="13"/>
  <c r="E6470" i="13"/>
  <c r="E4709" i="13"/>
  <c r="E4412" i="13"/>
  <c r="E4310" i="13"/>
  <c r="E4233" i="13"/>
  <c r="E4136" i="13"/>
  <c r="E4039" i="13"/>
  <c r="E3510" i="13"/>
  <c r="E3354" i="13"/>
  <c r="E3287" i="13"/>
  <c r="E2832" i="13"/>
  <c r="E2271" i="13"/>
  <c r="E2204" i="13"/>
  <c r="E2144" i="13"/>
  <c r="E2093" i="13"/>
  <c r="E2026" i="13"/>
  <c r="E1980" i="13"/>
  <c r="E1918" i="13"/>
  <c r="E1852" i="13"/>
  <c r="E1201" i="13"/>
  <c r="E1044" i="13"/>
  <c r="E999" i="13"/>
  <c r="E951" i="13"/>
  <c r="E695" i="13"/>
  <c r="E610" i="13"/>
  <c r="E574" i="13"/>
  <c r="E530" i="13"/>
  <c r="E496" i="13"/>
  <c r="E62" i="13"/>
  <c r="E11258" i="13"/>
  <c r="E10416" i="13"/>
  <c r="E9761" i="13"/>
  <c r="E9232" i="13"/>
  <c r="E8869" i="13"/>
  <c r="E8436" i="13"/>
  <c r="E8077" i="13"/>
  <c r="E6647" i="13"/>
  <c r="E5427" i="13"/>
  <c r="E5055" i="13"/>
  <c r="E4411" i="13"/>
  <c r="E4206" i="13"/>
  <c r="E4135" i="13"/>
  <c r="E4029" i="13"/>
  <c r="E3934" i="13"/>
  <c r="E3838" i="13"/>
  <c r="E3769" i="13"/>
  <c r="E2822" i="13"/>
  <c r="E2618" i="13"/>
  <c r="E2557" i="13"/>
  <c r="E2495" i="13"/>
  <c r="E2429" i="13"/>
  <c r="E2377" i="13"/>
  <c r="E2025" i="13"/>
  <c r="E1917" i="13"/>
  <c r="E1851" i="13"/>
  <c r="E1527" i="13"/>
  <c r="E1043" i="13"/>
  <c r="E998" i="13"/>
  <c r="E950" i="13"/>
  <c r="E904" i="13"/>
  <c r="E858" i="13"/>
  <c r="E812" i="13"/>
  <c r="E770" i="13"/>
  <c r="E728" i="13"/>
  <c r="E252" i="13"/>
  <c r="E132" i="13"/>
  <c r="E99" i="13"/>
  <c r="E60" i="13"/>
  <c r="E9730" i="13"/>
  <c r="E8866" i="13"/>
  <c r="E8435" i="13"/>
  <c r="E8070" i="13"/>
  <c r="E7777" i="13"/>
  <c r="E5567" i="13"/>
  <c r="E5053" i="13"/>
  <c r="E4925" i="13"/>
  <c r="E4805" i="13"/>
  <c r="E4695" i="13"/>
  <c r="E4591" i="13"/>
  <c r="E4510" i="13"/>
  <c r="E4410" i="13"/>
  <c r="E3837" i="13"/>
  <c r="E3260" i="13"/>
  <c r="E3041" i="13"/>
  <c r="E2616" i="13"/>
  <c r="E2494" i="13"/>
  <c r="E2426" i="13"/>
  <c r="E2376" i="13"/>
  <c r="E2315" i="13"/>
  <c r="E2253" i="13"/>
  <c r="E2202" i="13"/>
  <c r="E1525" i="13"/>
  <c r="E1362" i="13"/>
  <c r="E1304" i="13"/>
  <c r="E1258" i="13"/>
  <c r="E1195" i="13"/>
  <c r="E1142" i="13"/>
  <c r="E856" i="13"/>
  <c r="E769" i="13"/>
  <c r="E727" i="13"/>
  <c r="E487" i="13"/>
  <c r="E131" i="13"/>
  <c r="E98" i="13"/>
  <c r="E59" i="13"/>
  <c r="E26" i="13"/>
  <c r="E13513" i="13"/>
  <c r="E12060" i="13"/>
  <c r="E11204" i="13"/>
  <c r="E10366" i="13"/>
  <c r="E6407" i="13"/>
  <c r="E5857" i="13"/>
  <c r="E5687" i="13"/>
  <c r="E5563" i="13"/>
  <c r="E4804" i="13"/>
  <c r="E4589" i="13"/>
  <c r="E4508" i="13"/>
  <c r="E4401" i="13"/>
  <c r="E4301" i="13"/>
  <c r="E3341" i="13"/>
  <c r="E3033" i="13"/>
  <c r="E2961" i="13"/>
  <c r="E2880" i="13"/>
  <c r="E2814" i="13"/>
  <c r="E2749" i="13"/>
  <c r="E2690" i="13"/>
  <c r="E2615" i="13"/>
  <c r="E2248" i="13"/>
  <c r="E1848" i="13"/>
  <c r="E1682" i="13"/>
  <c r="E1361" i="13"/>
  <c r="E1251" i="13"/>
  <c r="E1194" i="13"/>
  <c r="E1141" i="13"/>
  <c r="E1091" i="13"/>
  <c r="E1040" i="13"/>
  <c r="E995" i="13"/>
  <c r="E486" i="13"/>
  <c r="E370" i="13"/>
  <c r="E326" i="13"/>
  <c r="E285" i="13"/>
  <c r="E250" i="13"/>
  <c r="E205" i="13"/>
  <c r="E13505" i="13"/>
  <c r="E11027" i="13"/>
  <c r="E10333" i="13"/>
  <c r="E7768" i="13"/>
  <c r="E5852" i="13"/>
  <c r="E5664" i="13"/>
  <c r="E5531" i="13"/>
  <c r="E5412" i="13"/>
  <c r="E5276" i="13"/>
  <c r="E5135" i="13"/>
  <c r="E5015" i="13"/>
  <c r="E4914" i="13"/>
  <c r="E3740" i="13"/>
  <c r="E3495" i="13"/>
  <c r="E3409" i="13"/>
  <c r="E3340" i="13"/>
  <c r="E2876" i="13"/>
  <c r="E2748" i="13"/>
  <c r="E2672" i="13"/>
  <c r="E2614" i="13"/>
  <c r="E2542" i="13"/>
  <c r="E1903" i="13"/>
  <c r="E1680" i="13"/>
  <c r="E1633" i="13"/>
  <c r="E1570" i="13"/>
  <c r="E1514" i="13"/>
  <c r="E1466" i="13"/>
  <c r="E1403" i="13"/>
  <c r="E1360" i="13"/>
  <c r="E1037" i="13"/>
  <c r="E725" i="13"/>
  <c r="E604" i="13"/>
  <c r="E360" i="13"/>
  <c r="E283" i="13"/>
  <c r="E249" i="13"/>
  <c r="E203" i="13"/>
  <c r="E164" i="13"/>
  <c r="E129" i="13"/>
  <c r="E87" i="13"/>
  <c r="E7756" i="13"/>
  <c r="E7083" i="13"/>
  <c r="E6834" i="13"/>
  <c r="E6589" i="13"/>
  <c r="E6364" i="13"/>
  <c r="E6189" i="13"/>
  <c r="E5275" i="13"/>
  <c r="E5010" i="13"/>
  <c r="E4885" i="13"/>
  <c r="E4299" i="13"/>
  <c r="E3489" i="13"/>
  <c r="E3408" i="13"/>
  <c r="E3334" i="13"/>
  <c r="E3255" i="13"/>
  <c r="E3182" i="13"/>
  <c r="E3095" i="13"/>
  <c r="E3022" i="13"/>
  <c r="E2958" i="13"/>
  <c r="E2192" i="13"/>
  <c r="E2019" i="13"/>
  <c r="E1952" i="13"/>
  <c r="E1901" i="13"/>
  <c r="E1569" i="13"/>
  <c r="E1460" i="13"/>
  <c r="E1402" i="13"/>
  <c r="E1354" i="13"/>
  <c r="E1297" i="13"/>
  <c r="E759" i="13"/>
  <c r="E599" i="13"/>
  <c r="E558" i="13"/>
  <c r="E523" i="13"/>
  <c r="E478" i="13"/>
  <c r="E442" i="13"/>
  <c r="E403" i="13"/>
  <c r="E359" i="13"/>
  <c r="E128" i="13"/>
  <c r="E9653" i="13"/>
  <c r="E8261" i="13"/>
  <c r="E6828" i="13"/>
  <c r="E6362" i="13"/>
  <c r="E6149" i="13"/>
  <c r="E5983" i="13"/>
  <c r="E5843" i="13"/>
  <c r="E5660" i="13"/>
  <c r="E5504" i="13"/>
  <c r="E4183" i="13"/>
  <c r="E3901" i="13"/>
  <c r="E3832" i="13"/>
  <c r="E3737" i="13"/>
  <c r="E3642" i="13"/>
  <c r="E3559" i="13"/>
  <c r="E3089" i="13"/>
  <c r="E2942" i="13"/>
  <c r="E2873" i="13"/>
  <c r="E2466" i="13"/>
  <c r="E1950" i="13"/>
  <c r="E1895" i="13"/>
  <c r="E1834" i="13"/>
  <c r="E1777" i="13"/>
  <c r="E1729" i="13"/>
  <c r="E1668" i="13"/>
  <c r="E1611" i="13"/>
  <c r="E1563" i="13"/>
  <c r="E935" i="13"/>
  <c r="E13316" i="13"/>
  <c r="E11796" i="13"/>
  <c r="E10837" i="13"/>
  <c r="E7955" i="13"/>
  <c r="E7489" i="13"/>
  <c r="E7230" i="13"/>
  <c r="E6979" i="13"/>
  <c r="E6775" i="13"/>
  <c r="E4988" i="13"/>
  <c r="E4578" i="13"/>
  <c r="E4465" i="13"/>
  <c r="E4366" i="13"/>
  <c r="E4269" i="13"/>
  <c r="E4182" i="13"/>
  <c r="E4075" i="13"/>
  <c r="E3981" i="13"/>
  <c r="E3485" i="13"/>
  <c r="E2936" i="13"/>
  <c r="E2731" i="13"/>
  <c r="E2347" i="13"/>
  <c r="E2240" i="13"/>
  <c r="E2173" i="13"/>
  <c r="E2123" i="13"/>
  <c r="E2057" i="13"/>
  <c r="E2000" i="13"/>
  <c r="E1949" i="13"/>
  <c r="E1288" i="13"/>
  <c r="E1125" i="13"/>
  <c r="E1069" i="13"/>
  <c r="E1027" i="13"/>
  <c r="E976" i="13"/>
  <c r="E924" i="13"/>
  <c r="E8661" i="13"/>
  <c r="E7493" i="13"/>
  <c r="E7020" i="13"/>
  <c r="E5007" i="13"/>
  <c r="E3329" i="13"/>
  <c r="E3162" i="13"/>
  <c r="E3020" i="13"/>
  <c r="E2874" i="13"/>
  <c r="E2734" i="13"/>
  <c r="E2610" i="13"/>
  <c r="E2468" i="13"/>
  <c r="E2350" i="13"/>
  <c r="E1034" i="13"/>
  <c r="E777" i="13"/>
  <c r="E707" i="13"/>
  <c r="E633" i="13"/>
  <c r="E264" i="13"/>
  <c r="E137" i="13"/>
  <c r="E78" i="13"/>
  <c r="E9" i="13"/>
  <c r="E12850" i="13"/>
  <c r="E5227" i="13"/>
  <c r="E4350" i="13"/>
  <c r="E4176" i="13"/>
  <c r="E3979" i="13"/>
  <c r="E3804" i="13"/>
  <c r="E3632" i="13"/>
  <c r="E3470" i="13"/>
  <c r="E3305" i="13"/>
  <c r="E2463" i="13"/>
  <c r="E1665" i="13"/>
  <c r="E1334" i="13"/>
  <c r="E776" i="13"/>
  <c r="E632" i="13"/>
  <c r="E578" i="13"/>
  <c r="E508" i="13"/>
  <c r="E455" i="13"/>
  <c r="E386" i="13"/>
  <c r="E320" i="13"/>
  <c r="E6529" i="13"/>
  <c r="E5489" i="13"/>
  <c r="E5207" i="13"/>
  <c r="E4985" i="13"/>
  <c r="E4760" i="13"/>
  <c r="E4558" i="13"/>
  <c r="E3463" i="13"/>
  <c r="E3153" i="13"/>
  <c r="E3002" i="13"/>
  <c r="E2230" i="13"/>
  <c r="E1224" i="13"/>
  <c r="E1123" i="13"/>
  <c r="E1015" i="13"/>
  <c r="E919" i="13"/>
  <c r="E834" i="13"/>
  <c r="E753" i="13"/>
  <c r="E700" i="13"/>
  <c r="E629" i="13"/>
  <c r="E9414" i="13"/>
  <c r="E7405" i="13"/>
  <c r="E6973" i="13"/>
  <c r="E6506" i="13"/>
  <c r="E4759" i="13"/>
  <c r="E4347" i="13"/>
  <c r="E4141" i="13"/>
  <c r="E3976" i="13"/>
  <c r="E3792" i="13"/>
  <c r="E2225" i="13"/>
  <c r="E1768" i="13"/>
  <c r="E1658" i="13"/>
  <c r="E1543" i="13"/>
  <c r="E1434" i="13"/>
  <c r="E1332" i="13"/>
  <c r="E1222" i="13"/>
  <c r="E1121" i="13"/>
  <c r="E628" i="13"/>
  <c r="E185" i="13"/>
  <c r="E12583" i="13"/>
  <c r="E6972" i="13"/>
  <c r="E6142" i="13"/>
  <c r="E5757" i="13"/>
  <c r="E5485" i="13"/>
  <c r="E5205" i="13"/>
  <c r="E4953" i="13"/>
  <c r="E4742" i="13"/>
  <c r="E2707" i="13"/>
  <c r="E2343" i="13"/>
  <c r="E2220" i="13"/>
  <c r="E2102" i="13"/>
  <c r="E1991" i="13"/>
  <c r="E1878" i="13"/>
  <c r="E1221" i="13"/>
  <c r="E1012" i="13"/>
  <c r="E917" i="13"/>
  <c r="E504" i="13"/>
  <c r="E10583" i="13"/>
  <c r="E9406" i="13"/>
  <c r="E8507" i="13"/>
  <c r="E7894" i="13"/>
  <c r="E7368" i="13"/>
  <c r="E6962" i="13"/>
  <c r="E6483" i="13"/>
  <c r="E6123" i="13"/>
  <c r="E3454" i="13"/>
  <c r="E2990" i="13"/>
  <c r="E2839" i="13"/>
  <c r="E2700" i="13"/>
  <c r="E1984" i="13"/>
  <c r="E1760" i="13"/>
  <c r="E1643" i="13"/>
  <c r="E1540" i="13"/>
  <c r="E1430" i="13"/>
  <c r="E503" i="13"/>
  <c r="E235" i="13"/>
  <c r="E182" i="13"/>
  <c r="E114" i="13"/>
  <c r="E64" i="13"/>
  <c r="E12503" i="13"/>
  <c r="E10537" i="13"/>
  <c r="E9405" i="13"/>
  <c r="E6085" i="13"/>
  <c r="E4343" i="13"/>
  <c r="E3784" i="13"/>
  <c r="E2835" i="13"/>
  <c r="E2574" i="13"/>
  <c r="E2447" i="13"/>
  <c r="E2324" i="13"/>
  <c r="E2207" i="13"/>
  <c r="E2099" i="13"/>
  <c r="E1983" i="13"/>
  <c r="E747" i="13"/>
  <c r="E554" i="13"/>
  <c r="E502" i="13"/>
  <c r="E427" i="13"/>
  <c r="E356" i="13"/>
  <c r="E304" i="13"/>
  <c r="E10429" i="13"/>
  <c r="E8439" i="13"/>
  <c r="E7889" i="13"/>
  <c r="E5429" i="13"/>
  <c r="E3597" i="13"/>
  <c r="E3438" i="13"/>
  <c r="E3292" i="13"/>
  <c r="E3131" i="13"/>
  <c r="E2970" i="13"/>
  <c r="E2833" i="13"/>
  <c r="E2697" i="13"/>
  <c r="E2573" i="13"/>
  <c r="E1204" i="13"/>
  <c r="E914" i="13"/>
  <c r="E820" i="13"/>
  <c r="E746" i="13"/>
  <c r="E355" i="13"/>
  <c r="E232" i="13"/>
  <c r="E180" i="13"/>
  <c r="E110" i="13"/>
  <c r="E49" i="13"/>
  <c r="E5378" i="13"/>
  <c r="E4472" i="13"/>
  <c r="E4284" i="13"/>
  <c r="E4087" i="13"/>
  <c r="E3914" i="13"/>
  <c r="E3738" i="13"/>
  <c r="E3560" i="13"/>
  <c r="E3399" i="13"/>
  <c r="E2535" i="13"/>
  <c r="E1731" i="13"/>
  <c r="E1400" i="13"/>
  <c r="E800" i="13"/>
  <c r="E675" i="13"/>
  <c r="E622" i="13"/>
  <c r="E548" i="13"/>
  <c r="E476" i="13"/>
  <c r="E424" i="13"/>
  <c r="E354" i="13"/>
  <c r="E6758" i="13"/>
  <c r="E5656" i="13"/>
  <c r="E5350" i="13"/>
  <c r="E5118" i="13"/>
  <c r="E4879" i="13"/>
  <c r="E4658" i="13"/>
  <c r="E3543" i="13"/>
  <c r="E3233" i="13"/>
  <c r="E3085" i="13"/>
  <c r="E2290" i="13"/>
  <c r="E1286" i="13"/>
  <c r="E1172" i="13"/>
  <c r="E1067" i="13"/>
  <c r="E973" i="13"/>
  <c r="E882" i="13"/>
  <c r="E797" i="13"/>
  <c r="E743" i="13"/>
  <c r="E674" i="13"/>
  <c r="E10056" i="13"/>
  <c r="E7659" i="13"/>
  <c r="E7228" i="13"/>
  <c r="E6734" i="13"/>
  <c r="E4868" i="13"/>
  <c r="E4448" i="13"/>
  <c r="E4250" i="13"/>
  <c r="E4072" i="13"/>
  <c r="E3889" i="13"/>
  <c r="E2279" i="13"/>
  <c r="E1820" i="13"/>
  <c r="E1707" i="13"/>
  <c r="E1606" i="13"/>
  <c r="E1496" i="13"/>
  <c r="E1392" i="13"/>
  <c r="E1272" i="13"/>
  <c r="E1170" i="13"/>
  <c r="E673" i="13"/>
  <c r="E229" i="13"/>
  <c r="E41" i="13"/>
  <c r="E7220" i="13"/>
  <c r="E6337" i="13"/>
  <c r="E5951" i="13"/>
  <c r="E5617" i="13"/>
  <c r="E5347" i="13"/>
  <c r="E5084" i="13"/>
  <c r="E4867" i="13"/>
  <c r="E2780" i="13"/>
  <c r="E2395" i="13"/>
  <c r="E2276" i="13"/>
  <c r="E2170" i="13"/>
  <c r="E2052" i="13"/>
  <c r="E1940" i="13"/>
  <c r="E1271" i="13"/>
  <c r="E1063" i="13"/>
  <c r="E971" i="13"/>
  <c r="E542" i="13"/>
  <c r="E11434" i="13"/>
  <c r="E10034" i="13"/>
  <c r="E8904" i="13"/>
  <c r="E8213" i="13"/>
  <c r="E7620" i="13"/>
  <c r="E7202" i="13"/>
  <c r="E6710" i="13"/>
  <c r="E6290" i="13"/>
  <c r="E3533" i="13"/>
  <c r="E3063" i="13"/>
  <c r="E2918" i="13"/>
  <c r="E2779" i="13"/>
  <c r="E2051" i="13"/>
  <c r="E1811" i="13"/>
  <c r="E1704" i="13"/>
  <c r="E1600" i="13"/>
  <c r="E1494" i="13"/>
  <c r="E537" i="13"/>
  <c r="E275" i="13"/>
  <c r="E222" i="13"/>
  <c r="E151" i="13"/>
  <c r="E83" i="13"/>
  <c r="E33" i="13"/>
  <c r="E11362" i="13"/>
  <c r="E10006" i="13"/>
  <c r="E6287" i="13"/>
  <c r="E4422" i="13"/>
  <c r="E3879" i="13"/>
  <c r="E2915" i="13"/>
  <c r="E2641" i="13"/>
  <c r="E2502" i="13"/>
  <c r="E2392" i="13"/>
  <c r="E2274" i="13"/>
  <c r="E2168" i="13"/>
  <c r="E2049" i="13"/>
  <c r="E781" i="13"/>
  <c r="E593" i="13"/>
  <c r="E536" i="13"/>
  <c r="E470" i="13"/>
  <c r="E401" i="13"/>
  <c r="E343" i="13"/>
  <c r="E11358" i="13"/>
  <c r="E8901" i="13"/>
  <c r="E8145" i="13"/>
  <c r="E5576" i="13"/>
  <c r="E3693" i="13"/>
  <c r="E3531" i="13"/>
  <c r="E3366" i="13"/>
  <c r="E3206" i="13"/>
  <c r="E3053" i="13"/>
  <c r="E2912" i="13"/>
  <c r="E2776" i="13"/>
  <c r="E2634" i="13"/>
  <c r="E1266" i="13"/>
  <c r="E955" i="13"/>
  <c r="E861" i="13"/>
  <c r="E779" i="13"/>
  <c r="E400" i="13"/>
  <c r="E272" i="13"/>
  <c r="E201" i="13"/>
  <c r="E149" i="13"/>
  <c r="E81" i="13"/>
  <c r="E5575" i="13"/>
  <c r="E4628" i="13"/>
  <c r="E4413" i="13"/>
  <c r="E4235" i="13"/>
  <c r="E4040" i="13"/>
  <c r="E3867" i="13"/>
  <c r="E3692" i="13"/>
  <c r="E3529" i="13"/>
  <c r="E2633" i="13"/>
  <c r="E1803" i="13"/>
  <c r="E1476" i="13"/>
  <c r="E860" i="13"/>
  <c r="E709" i="13"/>
  <c r="E656" i="13"/>
  <c r="E582" i="13"/>
  <c r="E520" i="13"/>
  <c r="E458" i="13"/>
  <c r="E393" i="13"/>
  <c r="E10" i="11"/>
  <c r="B23" i="11"/>
  <c r="C9" i="11"/>
  <c r="B89" i="7"/>
  <c r="G4" i="13"/>
  <c r="G9" i="7"/>
  <c r="H67" i="7"/>
  <c r="D1238" i="14"/>
  <c r="D1222" i="14"/>
  <c r="D1206" i="14"/>
  <c r="D1190" i="14"/>
  <c r="D1174" i="14"/>
  <c r="D1158" i="14"/>
  <c r="D1142" i="14"/>
  <c r="D1126" i="14"/>
  <c r="D1110" i="14"/>
  <c r="D1094" i="14"/>
  <c r="D1078" i="14"/>
  <c r="D1062" i="14"/>
  <c r="D1046" i="14"/>
  <c r="D1030" i="14"/>
  <c r="D1014" i="14"/>
  <c r="D998" i="14"/>
  <c r="D982" i="14"/>
  <c r="D966" i="14"/>
  <c r="D950" i="14"/>
  <c r="D934" i="14"/>
  <c r="D918" i="14"/>
  <c r="D902" i="14"/>
  <c r="D886" i="14"/>
  <c r="D870" i="14"/>
  <c r="D854" i="14"/>
  <c r="D838" i="14"/>
  <c r="D822" i="14"/>
  <c r="D806" i="14"/>
  <c r="D790" i="14"/>
  <c r="D774" i="14"/>
  <c r="D758" i="14"/>
  <c r="D742" i="14"/>
  <c r="D726" i="14"/>
  <c r="D710" i="14"/>
  <c r="D694" i="14"/>
  <c r="D678" i="14"/>
  <c r="D662" i="14"/>
  <c r="D646" i="14"/>
  <c r="D630" i="14"/>
  <c r="D614" i="14"/>
  <c r="D598" i="14"/>
  <c r="D582" i="14"/>
  <c r="D566" i="14"/>
  <c r="D550" i="14"/>
  <c r="D534" i="14"/>
  <c r="D518" i="14"/>
  <c r="D502" i="14"/>
  <c r="D486" i="14"/>
  <c r="D470" i="14"/>
  <c r="D454" i="14"/>
  <c r="D438" i="14"/>
  <c r="D422" i="14"/>
  <c r="D406" i="14"/>
  <c r="D390" i="14"/>
  <c r="D374" i="14"/>
  <c r="D358" i="14"/>
  <c r="D342" i="14"/>
  <c r="D326" i="14"/>
  <c r="D310" i="14"/>
  <c r="D294" i="14"/>
  <c r="D278" i="14"/>
  <c r="D262" i="14"/>
  <c r="D246" i="14"/>
  <c r="D230" i="14"/>
  <c r="D214" i="14"/>
  <c r="D198" i="14"/>
  <c r="D182" i="14"/>
  <c r="D166" i="14"/>
  <c r="D150" i="14"/>
  <c r="D134" i="14"/>
  <c r="D118" i="14"/>
  <c r="D102" i="14"/>
  <c r="D86" i="14"/>
  <c r="D70" i="14"/>
  <c r="D54" i="14"/>
  <c r="D38" i="14"/>
  <c r="D22" i="14"/>
  <c r="D1237" i="14"/>
  <c r="D1221" i="14"/>
  <c r="D1205" i="14"/>
  <c r="D1189" i="14"/>
  <c r="D1173" i="14"/>
  <c r="D1157" i="14"/>
  <c r="D1141" i="14"/>
  <c r="D1125" i="14"/>
  <c r="D1109" i="14"/>
  <c r="D1093" i="14"/>
  <c r="D1077" i="14"/>
  <c r="D1061" i="14"/>
  <c r="D1045" i="14"/>
  <c r="D1029" i="14"/>
  <c r="D1013" i="14"/>
  <c r="D997" i="14"/>
  <c r="D981" i="14"/>
  <c r="D965" i="14"/>
  <c r="D949" i="14"/>
  <c r="D933" i="14"/>
  <c r="D917" i="14"/>
  <c r="D901" i="14"/>
  <c r="D885" i="14"/>
  <c r="D869" i="14"/>
  <c r="D853" i="14"/>
  <c r="D837" i="14"/>
  <c r="D821" i="14"/>
  <c r="D805" i="14"/>
  <c r="D789" i="14"/>
  <c r="D773" i="14"/>
  <c r="D757" i="14"/>
  <c r="D741" i="14"/>
  <c r="D725" i="14"/>
  <c r="D709" i="14"/>
  <c r="D693" i="14"/>
  <c r="D677" i="14"/>
  <c r="D661" i="14"/>
  <c r="D645" i="14"/>
  <c r="D629" i="14"/>
  <c r="D613" i="14"/>
  <c r="D597" i="14"/>
  <c r="D581" i="14"/>
  <c r="D565" i="14"/>
  <c r="D549" i="14"/>
  <c r="D533" i="14"/>
  <c r="D517" i="14"/>
  <c r="D501" i="14"/>
  <c r="D485" i="14"/>
  <c r="D469" i="14"/>
  <c r="D453" i="14"/>
  <c r="D437" i="14"/>
  <c r="D421" i="14"/>
  <c r="D405" i="14"/>
  <c r="D389" i="14"/>
  <c r="D373" i="14"/>
  <c r="D357" i="14"/>
  <c r="D341" i="14"/>
  <c r="D325" i="14"/>
  <c r="D309" i="14"/>
  <c r="D293" i="14"/>
  <c r="D277" i="14"/>
  <c r="D261" i="14"/>
  <c r="D245" i="14"/>
  <c r="D229" i="14"/>
  <c r="D213" i="14"/>
  <c r="D197" i="14"/>
  <c r="D181" i="14"/>
  <c r="D165" i="14"/>
  <c r="D149" i="14"/>
  <c r="D133" i="14"/>
  <c r="D117" i="14"/>
  <c r="D101" i="14"/>
  <c r="D85" i="14"/>
  <c r="D69" i="14"/>
  <c r="D53" i="14"/>
  <c r="D37" i="14"/>
  <c r="D21" i="14"/>
  <c r="D1236" i="14"/>
  <c r="D1220" i="14"/>
  <c r="D1204" i="14"/>
  <c r="D1188" i="14"/>
  <c r="D1172" i="14"/>
  <c r="D1156" i="14"/>
  <c r="D1140" i="14"/>
  <c r="D1124" i="14"/>
  <c r="D1108" i="14"/>
  <c r="D1092" i="14"/>
  <c r="D1076" i="14"/>
  <c r="D1060" i="14"/>
  <c r="D1044" i="14"/>
  <c r="D1028" i="14"/>
  <c r="D1012" i="14"/>
  <c r="D996" i="14"/>
  <c r="D980" i="14"/>
  <c r="D964" i="14"/>
  <c r="D948" i="14"/>
  <c r="D932" i="14"/>
  <c r="D916" i="14"/>
  <c r="D900" i="14"/>
  <c r="D884" i="14"/>
  <c r="D868" i="14"/>
  <c r="D852" i="14"/>
  <c r="D836" i="14"/>
  <c r="D820" i="14"/>
  <c r="D804" i="14"/>
  <c r="D788" i="14"/>
  <c r="D772" i="14"/>
  <c r="D756" i="14"/>
  <c r="D740" i="14"/>
  <c r="D724" i="14"/>
  <c r="D708" i="14"/>
  <c r="D692" i="14"/>
  <c r="D676" i="14"/>
  <c r="D660" i="14"/>
  <c r="D644" i="14"/>
  <c r="D628" i="14"/>
  <c r="D612" i="14"/>
  <c r="D596" i="14"/>
  <c r="D580" i="14"/>
  <c r="D564" i="14"/>
  <c r="D548" i="14"/>
  <c r="D532" i="14"/>
  <c r="D516" i="14"/>
  <c r="D500" i="14"/>
  <c r="D484" i="14"/>
  <c r="D468" i="14"/>
  <c r="D452" i="14"/>
  <c r="D436" i="14"/>
  <c r="D420" i="14"/>
  <c r="D404" i="14"/>
  <c r="D388" i="14"/>
  <c r="D372" i="14"/>
  <c r="D356" i="14"/>
  <c r="D340" i="14"/>
  <c r="D324" i="14"/>
  <c r="D308" i="14"/>
  <c r="D292" i="14"/>
  <c r="D276" i="14"/>
  <c r="D260" i="14"/>
  <c r="D244" i="14"/>
  <c r="D228" i="14"/>
  <c r="D212" i="14"/>
  <c r="D196" i="14"/>
  <c r="D180" i="14"/>
  <c r="D164" i="14"/>
  <c r="D148" i="14"/>
  <c r="D132" i="14"/>
  <c r="D116" i="14"/>
  <c r="D100" i="14"/>
  <c r="D84" i="14"/>
  <c r="D68" i="14"/>
  <c r="D52" i="14"/>
  <c r="D36" i="14"/>
  <c r="D20" i="14"/>
  <c r="D1235" i="14"/>
  <c r="D1234" i="14"/>
  <c r="D1233" i="14"/>
  <c r="D1232" i="14"/>
  <c r="D1216" i="14"/>
  <c r="D1231" i="14"/>
  <c r="D1230" i="14"/>
  <c r="D1229" i="14"/>
  <c r="D1228" i="14"/>
  <c r="D1227" i="14"/>
  <c r="D1226" i="14"/>
  <c r="D1225" i="14"/>
  <c r="D1224" i="14"/>
  <c r="D1223" i="14"/>
  <c r="D1219" i="14"/>
  <c r="D1199" i="14"/>
  <c r="D1180" i="14"/>
  <c r="D1161" i="14"/>
  <c r="D1139" i="14"/>
  <c r="D1120" i="14"/>
  <c r="D1101" i="14"/>
  <c r="D1082" i="14"/>
  <c r="D1063" i="14"/>
  <c r="D1041" i="14"/>
  <c r="D1022" i="14"/>
  <c r="D1003" i="14"/>
  <c r="D984" i="14"/>
  <c r="D962" i="14"/>
  <c r="D943" i="14"/>
  <c r="D924" i="14"/>
  <c r="D905" i="14"/>
  <c r="D883" i="14"/>
  <c r="D864" i="14"/>
  <c r="D845" i="14"/>
  <c r="D826" i="14"/>
  <c r="D807" i="14"/>
  <c r="D785" i="14"/>
  <c r="D766" i="14"/>
  <c r="D747" i="14"/>
  <c r="D728" i="14"/>
  <c r="D706" i="14"/>
  <c r="D687" i="14"/>
  <c r="D668" i="14"/>
  <c r="D649" i="14"/>
  <c r="D627" i="14"/>
  <c r="D608" i="14"/>
  <c r="D589" i="14"/>
  <c r="D570" i="14"/>
  <c r="D551" i="14"/>
  <c r="D529" i="14"/>
  <c r="D510" i="14"/>
  <c r="D491" i="14"/>
  <c r="D472" i="14"/>
  <c r="D450" i="14"/>
  <c r="D431" i="14"/>
  <c r="D412" i="14"/>
  <c r="D393" i="14"/>
  <c r="D371" i="14"/>
  <c r="D352" i="14"/>
  <c r="D333" i="14"/>
  <c r="D314" i="14"/>
  <c r="D295" i="14"/>
  <c r="D273" i="14"/>
  <c r="D254" i="14"/>
  <c r="D235" i="14"/>
  <c r="D216" i="14"/>
  <c r="D194" i="14"/>
  <c r="D175" i="14"/>
  <c r="D156" i="14"/>
  <c r="D137" i="14"/>
  <c r="D115" i="14"/>
  <c r="D96" i="14"/>
  <c r="D77" i="14"/>
  <c r="D58" i="14"/>
  <c r="D39" i="14"/>
  <c r="D17" i="14"/>
  <c r="D1218" i="14"/>
  <c r="D1198" i="14"/>
  <c r="D1179" i="14"/>
  <c r="D1160" i="14"/>
  <c r="D1138" i="14"/>
  <c r="D1119" i="14"/>
  <c r="D1100" i="14"/>
  <c r="D1081" i="14"/>
  <c r="D1059" i="14"/>
  <c r="D1040" i="14"/>
  <c r="D1021" i="14"/>
  <c r="D1002" i="14"/>
  <c r="D983" i="14"/>
  <c r="D961" i="14"/>
  <c r="D942" i="14"/>
  <c r="D923" i="14"/>
  <c r="D904" i="14"/>
  <c r="D882" i="14"/>
  <c r="D863" i="14"/>
  <c r="D844" i="14"/>
  <c r="D825" i="14"/>
  <c r="D803" i="14"/>
  <c r="D784" i="14"/>
  <c r="D765" i="14"/>
  <c r="D746" i="14"/>
  <c r="D727" i="14"/>
  <c r="D705" i="14"/>
  <c r="D686" i="14"/>
  <c r="D667" i="14"/>
  <c r="D648" i="14"/>
  <c r="D626" i="14"/>
  <c r="D607" i="14"/>
  <c r="D588" i="14"/>
  <c r="D569" i="14"/>
  <c r="D547" i="14"/>
  <c r="D528" i="14"/>
  <c r="D509" i="14"/>
  <c r="D490" i="14"/>
  <c r="D471" i="14"/>
  <c r="D449" i="14"/>
  <c r="D430" i="14"/>
  <c r="D411" i="14"/>
  <c r="D392" i="14"/>
  <c r="D370" i="14"/>
  <c r="D351" i="14"/>
  <c r="D332" i="14"/>
  <c r="D313" i="14"/>
  <c r="D291" i="14"/>
  <c r="D272" i="14"/>
  <c r="D253" i="14"/>
  <c r="D234" i="14"/>
  <c r="D215" i="14"/>
  <c r="D193" i="14"/>
  <c r="D174" i="14"/>
  <c r="D155" i="14"/>
  <c r="D136" i="14"/>
  <c r="D114" i="14"/>
  <c r="D95" i="14"/>
  <c r="D76" i="14"/>
  <c r="D57" i="14"/>
  <c r="D35" i="14"/>
  <c r="D16" i="14"/>
  <c r="D1217" i="14"/>
  <c r="D1197" i="14"/>
  <c r="D1178" i="14"/>
  <c r="D1159" i="14"/>
  <c r="D1137" i="14"/>
  <c r="D1118" i="14"/>
  <c r="D1099" i="14"/>
  <c r="D1080" i="14"/>
  <c r="D1058" i="14"/>
  <c r="D1039" i="14"/>
  <c r="D1020" i="14"/>
  <c r="D1001" i="14"/>
  <c r="D979" i="14"/>
  <c r="D960" i="14"/>
  <c r="D941" i="14"/>
  <c r="D922" i="14"/>
  <c r="D903" i="14"/>
  <c r="D881" i="14"/>
  <c r="D862" i="14"/>
  <c r="D843" i="14"/>
  <c r="D824" i="14"/>
  <c r="D802" i="14"/>
  <c r="D783" i="14"/>
  <c r="D764" i="14"/>
  <c r="D745" i="14"/>
  <c r="D723" i="14"/>
  <c r="D704" i="14"/>
  <c r="D685" i="14"/>
  <c r="D666" i="14"/>
  <c r="D647" i="14"/>
  <c r="D625" i="14"/>
  <c r="D606" i="14"/>
  <c r="D587" i="14"/>
  <c r="D568" i="14"/>
  <c r="D546" i="14"/>
  <c r="D527" i="14"/>
  <c r="D508" i="14"/>
  <c r="D489" i="14"/>
  <c r="D467" i="14"/>
  <c r="D448" i="14"/>
  <c r="D429" i="14"/>
  <c r="D410" i="14"/>
  <c r="D391" i="14"/>
  <c r="D369" i="14"/>
  <c r="D350" i="14"/>
  <c r="D331" i="14"/>
  <c r="D312" i="14"/>
  <c r="D290" i="14"/>
  <c r="D271" i="14"/>
  <c r="D252" i="14"/>
  <c r="D233" i="14"/>
  <c r="D211" i="14"/>
  <c r="D192" i="14"/>
  <c r="D1214" i="14"/>
  <c r="D1195" i="14"/>
  <c r="D1176" i="14"/>
  <c r="D1154" i="14"/>
  <c r="D1135" i="14"/>
  <c r="D1116" i="14"/>
  <c r="D1097" i="14"/>
  <c r="D1075" i="14"/>
  <c r="D1056" i="14"/>
  <c r="D1037" i="14"/>
  <c r="D1018" i="14"/>
  <c r="D999" i="14"/>
  <c r="D977" i="14"/>
  <c r="D958" i="14"/>
  <c r="D939" i="14"/>
  <c r="D920" i="14"/>
  <c r="D898" i="14"/>
  <c r="D879" i="14"/>
  <c r="D860" i="14"/>
  <c r="D841" i="14"/>
  <c r="D819" i="14"/>
  <c r="D800" i="14"/>
  <c r="D781" i="14"/>
  <c r="D762" i="14"/>
  <c r="D743" i="14"/>
  <c r="D721" i="14"/>
  <c r="D702" i="14"/>
  <c r="D683" i="14"/>
  <c r="D664" i="14"/>
  <c r="D642" i="14"/>
  <c r="D623" i="14"/>
  <c r="D604" i="14"/>
  <c r="D585" i="14"/>
  <c r="D563" i="14"/>
  <c r="D544" i="14"/>
  <c r="D525" i="14"/>
  <c r="D506" i="14"/>
  <c r="D487" i="14"/>
  <c r="D465" i="14"/>
  <c r="D446" i="14"/>
  <c r="D427" i="14"/>
  <c r="D408" i="14"/>
  <c r="D386" i="14"/>
  <c r="D367" i="14"/>
  <c r="D348" i="14"/>
  <c r="D329" i="14"/>
  <c r="D307" i="14"/>
  <c r="D288" i="14"/>
  <c r="D269" i="14"/>
  <c r="D250" i="14"/>
  <c r="D231" i="14"/>
  <c r="D209" i="14"/>
  <c r="D190" i="14"/>
  <c r="D171" i="14"/>
  <c r="D152" i="14"/>
  <c r="D130" i="14"/>
  <c r="D111" i="14"/>
  <c r="D92" i="14"/>
  <c r="D73" i="14"/>
  <c r="D51" i="14"/>
  <c r="D32" i="14"/>
  <c r="D1215" i="14"/>
  <c r="D1191" i="14"/>
  <c r="D1165" i="14"/>
  <c r="D1136" i="14"/>
  <c r="D1112" i="14"/>
  <c r="D1086" i="14"/>
  <c r="D1057" i="14"/>
  <c r="D1033" i="14"/>
  <c r="D1007" i="14"/>
  <c r="D978" i="14"/>
  <c r="D954" i="14"/>
  <c r="D928" i="14"/>
  <c r="D899" i="14"/>
  <c r="D875" i="14"/>
  <c r="D849" i="14"/>
  <c r="D823" i="14"/>
  <c r="D796" i="14"/>
  <c r="D770" i="14"/>
  <c r="D744" i="14"/>
  <c r="D717" i="14"/>
  <c r="D691" i="14"/>
  <c r="D665" i="14"/>
  <c r="D638" i="14"/>
  <c r="D615" i="14"/>
  <c r="D586" i="14"/>
  <c r="D559" i="14"/>
  <c r="D536" i="14"/>
  <c r="D507" i="14"/>
  <c r="D480" i="14"/>
  <c r="D457" i="14"/>
  <c r="D428" i="14"/>
  <c r="D401" i="14"/>
  <c r="D378" i="14"/>
  <c r="D349" i="14"/>
  <c r="D322" i="14"/>
  <c r="D299" i="14"/>
  <c r="D270" i="14"/>
  <c r="D243" i="14"/>
  <c r="D220" i="14"/>
  <c r="D191" i="14"/>
  <c r="D168" i="14"/>
  <c r="D143" i="14"/>
  <c r="D121" i="14"/>
  <c r="D94" i="14"/>
  <c r="D71" i="14"/>
  <c r="D46" i="14"/>
  <c r="D24" i="14"/>
  <c r="D1213" i="14"/>
  <c r="D1187" i="14"/>
  <c r="D1164" i="14"/>
  <c r="D1134" i="14"/>
  <c r="D1111" i="14"/>
  <c r="D1085" i="14"/>
  <c r="D1055" i="14"/>
  <c r="D1032" i="14"/>
  <c r="D1006" i="14"/>
  <c r="D976" i="14"/>
  <c r="D953" i="14"/>
  <c r="D927" i="14"/>
  <c r="D897" i="14"/>
  <c r="D874" i="14"/>
  <c r="D848" i="14"/>
  <c r="D818" i="14"/>
  <c r="D795" i="14"/>
  <c r="D769" i="14"/>
  <c r="D739" i="14"/>
  <c r="D716" i="14"/>
  <c r="D690" i="14"/>
  <c r="D663" i="14"/>
  <c r="D637" i="14"/>
  <c r="D611" i="14"/>
  <c r="D584" i="14"/>
  <c r="D558" i="14"/>
  <c r="D535" i="14"/>
  <c r="D505" i="14"/>
  <c r="D479" i="14"/>
  <c r="D456" i="14"/>
  <c r="D426" i="14"/>
  <c r="D400" i="14"/>
  <c r="D377" i="14"/>
  <c r="D347" i="14"/>
  <c r="D321" i="14"/>
  <c r="D298" i="14"/>
  <c r="D268" i="14"/>
  <c r="D242" i="14"/>
  <c r="D219" i="14"/>
  <c r="D189" i="14"/>
  <c r="D167" i="14"/>
  <c r="D142" i="14"/>
  <c r="D120" i="14"/>
  <c r="D93" i="14"/>
  <c r="D67" i="14"/>
  <c r="D45" i="14"/>
  <c r="D23" i="14"/>
  <c r="D1212" i="14"/>
  <c r="D1186" i="14"/>
  <c r="D1163" i="14"/>
  <c r="D1133" i="14"/>
  <c r="D1107" i="14"/>
  <c r="D1084" i="14"/>
  <c r="D1054" i="14"/>
  <c r="D1031" i="14"/>
  <c r="D1005" i="14"/>
  <c r="D975" i="14"/>
  <c r="D952" i="14"/>
  <c r="D926" i="14"/>
  <c r="D896" i="14"/>
  <c r="D873" i="14"/>
  <c r="D847" i="14"/>
  <c r="D817" i="14"/>
  <c r="D794" i="14"/>
  <c r="D768" i="14"/>
  <c r="D738" i="14"/>
  <c r="D715" i="14"/>
  <c r="D689" i="14"/>
  <c r="D659" i="14"/>
  <c r="D636" i="14"/>
  <c r="D610" i="14"/>
  <c r="D583" i="14"/>
  <c r="D557" i="14"/>
  <c r="D531" i="14"/>
  <c r="D504" i="14"/>
  <c r="D478" i="14"/>
  <c r="D455" i="14"/>
  <c r="D425" i="14"/>
  <c r="D399" i="14"/>
  <c r="D376" i="14"/>
  <c r="D346" i="14"/>
  <c r="D320" i="14"/>
  <c r="D297" i="14"/>
  <c r="D267" i="14"/>
  <c r="D241" i="14"/>
  <c r="D218" i="14"/>
  <c r="D188" i="14"/>
  <c r="D163" i="14"/>
  <c r="D141" i="14"/>
  <c r="D119" i="14"/>
  <c r="D91" i="14"/>
  <c r="D66" i="14"/>
  <c r="D44" i="14"/>
  <c r="D19" i="14"/>
  <c r="D1211" i="14"/>
  <c r="D1185" i="14"/>
  <c r="D1162" i="14"/>
  <c r="D1132" i="14"/>
  <c r="D1106" i="14"/>
  <c r="D1083" i="14"/>
  <c r="D1053" i="14"/>
  <c r="D1027" i="14"/>
  <c r="D1004" i="14"/>
  <c r="D974" i="14"/>
  <c r="D951" i="14"/>
  <c r="D925" i="14"/>
  <c r="D895" i="14"/>
  <c r="D872" i="14"/>
  <c r="D846" i="14"/>
  <c r="D816" i="14"/>
  <c r="D793" i="14"/>
  <c r="D767" i="14"/>
  <c r="D737" i="14"/>
  <c r="D714" i="14"/>
  <c r="D688" i="14"/>
  <c r="D658" i="14"/>
  <c r="D635" i="14"/>
  <c r="D609" i="14"/>
  <c r="D579" i="14"/>
  <c r="D556" i="14"/>
  <c r="D530" i="14"/>
  <c r="D503" i="14"/>
  <c r="D477" i="14"/>
  <c r="D451" i="14"/>
  <c r="D424" i="14"/>
  <c r="D398" i="14"/>
  <c r="D375" i="14"/>
  <c r="D345" i="14"/>
  <c r="D319" i="14"/>
  <c r="D296" i="14"/>
  <c r="D266" i="14"/>
  <c r="D240" i="14"/>
  <c r="D217" i="14"/>
  <c r="D187" i="14"/>
  <c r="D162" i="14"/>
  <c r="D140" i="14"/>
  <c r="D113" i="14"/>
  <c r="D90" i="14"/>
  <c r="D65" i="14"/>
  <c r="D43" i="14"/>
  <c r="D18" i="14"/>
  <c r="D1208" i="14"/>
  <c r="D1182" i="14"/>
  <c r="D1152" i="14"/>
  <c r="D1129" i="14"/>
  <c r="D1103" i="14"/>
  <c r="D1073" i="14"/>
  <c r="D1050" i="14"/>
  <c r="D1024" i="14"/>
  <c r="D994" i="14"/>
  <c r="D971" i="14"/>
  <c r="D945" i="14"/>
  <c r="D915" i="14"/>
  <c r="D892" i="14"/>
  <c r="D866" i="14"/>
  <c r="D839" i="14"/>
  <c r="D813" i="14"/>
  <c r="D787" i="14"/>
  <c r="D760" i="14"/>
  <c r="D734" i="14"/>
  <c r="D711" i="14"/>
  <c r="D681" i="14"/>
  <c r="D655" i="14"/>
  <c r="D632" i="14"/>
  <c r="D602" i="14"/>
  <c r="D576" i="14"/>
  <c r="D553" i="14"/>
  <c r="D523" i="14"/>
  <c r="D497" i="14"/>
  <c r="D474" i="14"/>
  <c r="D444" i="14"/>
  <c r="D418" i="14"/>
  <c r="D395" i="14"/>
  <c r="D365" i="14"/>
  <c r="D339" i="14"/>
  <c r="D316" i="14"/>
  <c r="D286" i="14"/>
  <c r="D263" i="14"/>
  <c r="D237" i="14"/>
  <c r="D1210" i="14"/>
  <c r="D1171" i="14"/>
  <c r="D1143" i="14"/>
  <c r="D1096" i="14"/>
  <c r="D1065" i="14"/>
  <c r="D1019" i="14"/>
  <c r="D987" i="14"/>
  <c r="D944" i="14"/>
  <c r="D909" i="14"/>
  <c r="D867" i="14"/>
  <c r="D831" i="14"/>
  <c r="D792" i="14"/>
  <c r="D753" i="14"/>
  <c r="D718" i="14"/>
  <c r="D675" i="14"/>
  <c r="D640" i="14"/>
  <c r="D600" i="14"/>
  <c r="D562" i="14"/>
  <c r="D522" i="14"/>
  <c r="D488" i="14"/>
  <c r="D445" i="14"/>
  <c r="D413" i="14"/>
  <c r="D368" i="14"/>
  <c r="D335" i="14"/>
  <c r="D300" i="14"/>
  <c r="D257" i="14"/>
  <c r="D222" i="14"/>
  <c r="D184" i="14"/>
  <c r="D153" i="14"/>
  <c r="D123" i="14"/>
  <c r="D87" i="14"/>
  <c r="D56" i="14"/>
  <c r="D26" i="14"/>
  <c r="D1209" i="14"/>
  <c r="D1170" i="14"/>
  <c r="D1131" i="14"/>
  <c r="D1095" i="14"/>
  <c r="D1064" i="14"/>
  <c r="D1017" i="14"/>
  <c r="D986" i="14"/>
  <c r="D940" i="14"/>
  <c r="D908" i="14"/>
  <c r="D865" i="14"/>
  <c r="D830" i="14"/>
  <c r="D791" i="14"/>
  <c r="D752" i="14"/>
  <c r="D713" i="14"/>
  <c r="D674" i="14"/>
  <c r="D639" i="14"/>
  <c r="D599" i="14"/>
  <c r="D561" i="14"/>
  <c r="D521" i="14"/>
  <c r="D483" i="14"/>
  <c r="D443" i="14"/>
  <c r="D409" i="14"/>
  <c r="D366" i="14"/>
  <c r="D334" i="14"/>
  <c r="D289" i="14"/>
  <c r="D256" i="14"/>
  <c r="D221" i="14"/>
  <c r="D183" i="14"/>
  <c r="D151" i="14"/>
  <c r="D122" i="14"/>
  <c r="D83" i="14"/>
  <c r="D55" i="14"/>
  <c r="D25" i="14"/>
  <c r="D1207" i="14"/>
  <c r="D1169" i="14"/>
  <c r="D1130" i="14"/>
  <c r="D1091" i="14"/>
  <c r="D1052" i="14"/>
  <c r="D1016" i="14"/>
  <c r="D985" i="14"/>
  <c r="D938" i="14"/>
  <c r="D907" i="14"/>
  <c r="D861" i="14"/>
  <c r="D829" i="14"/>
  <c r="D786" i="14"/>
  <c r="D751" i="14"/>
  <c r="D712" i="14"/>
  <c r="D673" i="14"/>
  <c r="D634" i="14"/>
  <c r="D595" i="14"/>
  <c r="D560" i="14"/>
  <c r="D520" i="14"/>
  <c r="D482" i="14"/>
  <c r="D442" i="14"/>
  <c r="D407" i="14"/>
  <c r="D364" i="14"/>
  <c r="D330" i="14"/>
  <c r="D287" i="14"/>
  <c r="D255" i="14"/>
  <c r="D210" i="14"/>
  <c r="D179" i="14"/>
  <c r="D147" i="14"/>
  <c r="D112" i="14"/>
  <c r="D82" i="14"/>
  <c r="D50" i="14"/>
  <c r="D15" i="14"/>
  <c r="D1203" i="14"/>
  <c r="D1168" i="14"/>
  <c r="D1128" i="14"/>
  <c r="D1090" i="14"/>
  <c r="D1051" i="14"/>
  <c r="D1015" i="14"/>
  <c r="D973" i="14"/>
  <c r="D937" i="14"/>
  <c r="D906" i="14"/>
  <c r="D859" i="14"/>
  <c r="D828" i="14"/>
  <c r="D782" i="14"/>
  <c r="D750" i="14"/>
  <c r="D707" i="14"/>
  <c r="D672" i="14"/>
  <c r="D633" i="14"/>
  <c r="D594" i="14"/>
  <c r="D555" i="14"/>
  <c r="D519" i="14"/>
  <c r="D481" i="14"/>
  <c r="D441" i="14"/>
  <c r="D403" i="14"/>
  <c r="D363" i="14"/>
  <c r="D328" i="14"/>
  <c r="D285" i="14"/>
  <c r="D251" i="14"/>
  <c r="D208" i="14"/>
  <c r="D178" i="14"/>
  <c r="D146" i="14"/>
  <c r="D110" i="14"/>
  <c r="D81" i="14"/>
  <c r="D49" i="14"/>
  <c r="D14" i="14"/>
  <c r="D1202" i="14"/>
  <c r="D1167" i="14"/>
  <c r="D1127" i="14"/>
  <c r="D1089" i="14"/>
  <c r="D1049" i="14"/>
  <c r="D1011" i="14"/>
  <c r="D972" i="14"/>
  <c r="D936" i="14"/>
  <c r="D894" i="14"/>
  <c r="D858" i="14"/>
  <c r="D827" i="14"/>
  <c r="D780" i="14"/>
  <c r="D749" i="14"/>
  <c r="D703" i="14"/>
  <c r="D671" i="14"/>
  <c r="D631" i="14"/>
  <c r="D593" i="14"/>
  <c r="D554" i="14"/>
  <c r="D515" i="14"/>
  <c r="D476" i="14"/>
  <c r="D440" i="14"/>
  <c r="D402" i="14"/>
  <c r="D362" i="14"/>
  <c r="D327" i="14"/>
  <c r="D284" i="14"/>
  <c r="D249" i="14"/>
  <c r="D207" i="14"/>
  <c r="D177" i="14"/>
  <c r="D145" i="14"/>
  <c r="D109" i="14"/>
  <c r="D80" i="14"/>
  <c r="D48" i="14"/>
  <c r="D9" i="14"/>
  <c r="D1201" i="14"/>
  <c r="D1149" i="14"/>
  <c r="D1098" i="14"/>
  <c r="D1038" i="14"/>
  <c r="D989" i="14"/>
  <c r="D929" i="14"/>
  <c r="D877" i="14"/>
  <c r="D812" i="14"/>
  <c r="D761" i="14"/>
  <c r="D700" i="14"/>
  <c r="D652" i="14"/>
  <c r="D592" i="14"/>
  <c r="D540" i="14"/>
  <c r="D492" i="14"/>
  <c r="D432" i="14"/>
  <c r="D380" i="14"/>
  <c r="D315" i="14"/>
  <c r="D264" i="14"/>
  <c r="D204" i="14"/>
  <c r="D159" i="14"/>
  <c r="D107" i="14"/>
  <c r="D63" i="14"/>
  <c r="A7" i="14"/>
  <c r="D1200" i="14"/>
  <c r="D1148" i="14"/>
  <c r="D1088" i="14"/>
  <c r="D1036" i="14"/>
  <c r="D988" i="14"/>
  <c r="D921" i="14"/>
  <c r="D876" i="14"/>
  <c r="D811" i="14"/>
  <c r="D759" i="14"/>
  <c r="D699" i="14"/>
  <c r="D651" i="14"/>
  <c r="D591" i="14"/>
  <c r="D539" i="14"/>
  <c r="D475" i="14"/>
  <c r="D423" i="14"/>
  <c r="D379" i="14"/>
  <c r="D311" i="14"/>
  <c r="D259" i="14"/>
  <c r="D203" i="14"/>
  <c r="D158" i="14"/>
  <c r="D106" i="14"/>
  <c r="D62" i="14"/>
  <c r="D1196" i="14"/>
  <c r="D1147" i="14"/>
  <c r="D1087" i="14"/>
  <c r="D1035" i="14"/>
  <c r="D970" i="14"/>
  <c r="D919" i="14"/>
  <c r="D871" i="14"/>
  <c r="D810" i="14"/>
  <c r="D755" i="14"/>
  <c r="D698" i="14"/>
  <c r="D650" i="14"/>
  <c r="D590" i="14"/>
  <c r="D538" i="14"/>
  <c r="D473" i="14"/>
  <c r="D419" i="14"/>
  <c r="D361" i="14"/>
  <c r="D306" i="14"/>
  <c r="D258" i="14"/>
  <c r="D202" i="14"/>
  <c r="D157" i="14"/>
  <c r="D105" i="14"/>
  <c r="D61" i="14"/>
  <c r="D1194" i="14"/>
  <c r="D1146" i="14"/>
  <c r="D1079" i="14"/>
  <c r="D1034" i="14"/>
  <c r="D969" i="14"/>
  <c r="D914" i="14"/>
  <c r="D857" i="14"/>
  <c r="D809" i="14"/>
  <c r="D754" i="14"/>
  <c r="D697" i="14"/>
  <c r="D643" i="14"/>
  <c r="D578" i="14"/>
  <c r="D537" i="14"/>
  <c r="D466" i="14"/>
  <c r="D417" i="14"/>
  <c r="D360" i="14"/>
  <c r="D305" i="14"/>
  <c r="D248" i="14"/>
  <c r="D201" i="14"/>
  <c r="D154" i="14"/>
  <c r="D104" i="14"/>
  <c r="D60" i="14"/>
  <c r="D1184" i="14"/>
  <c r="D1123" i="14"/>
  <c r="D1071" i="14"/>
  <c r="D1023" i="14"/>
  <c r="D963" i="14"/>
  <c r="D911" i="14"/>
  <c r="D851" i="14"/>
  <c r="D799" i="14"/>
  <c r="D735" i="14"/>
  <c r="D684" i="14"/>
  <c r="D622" i="14"/>
  <c r="D574" i="14"/>
  <c r="D514" i="14"/>
  <c r="D462" i="14"/>
  <c r="D414" i="14"/>
  <c r="D354" i="14"/>
  <c r="D302" i="14"/>
  <c r="D238" i="14"/>
  <c r="D195" i="14"/>
  <c r="D138" i="14"/>
  <c r="D98" i="14"/>
  <c r="D42" i="14"/>
  <c r="D1193" i="14"/>
  <c r="D1115" i="14"/>
  <c r="D1042" i="14"/>
  <c r="D956" i="14"/>
  <c r="D880" i="14"/>
  <c r="D797" i="14"/>
  <c r="D720" i="14"/>
  <c r="D621" i="14"/>
  <c r="D545" i="14"/>
  <c r="D463" i="14"/>
  <c r="D385" i="14"/>
  <c r="D304" i="14"/>
  <c r="D226" i="14"/>
  <c r="D160" i="14"/>
  <c r="D88" i="14"/>
  <c r="D28" i="14"/>
  <c r="D1192" i="14"/>
  <c r="D1114" i="14"/>
  <c r="D1026" i="14"/>
  <c r="D955" i="14"/>
  <c r="D878" i="14"/>
  <c r="D779" i="14"/>
  <c r="D719" i="14"/>
  <c r="D620" i="14"/>
  <c r="D543" i="14"/>
  <c r="D461" i="14"/>
  <c r="D384" i="14"/>
  <c r="D303" i="14"/>
  <c r="D225" i="14"/>
  <c r="D144" i="14"/>
  <c r="D79" i="14"/>
  <c r="D27" i="14"/>
  <c r="D1183" i="14"/>
  <c r="D1113" i="14"/>
  <c r="D1025" i="14"/>
  <c r="D947" i="14"/>
  <c r="D856" i="14"/>
  <c r="D778" i="14"/>
  <c r="D701" i="14"/>
  <c r="D619" i="14"/>
  <c r="D542" i="14"/>
  <c r="D460" i="14"/>
  <c r="D383" i="14"/>
  <c r="D301" i="14"/>
  <c r="D224" i="14"/>
  <c r="D139" i="14"/>
  <c r="D78" i="14"/>
  <c r="D1181" i="14"/>
  <c r="D1105" i="14"/>
  <c r="D1010" i="14"/>
  <c r="D946" i="14"/>
  <c r="D855" i="14"/>
  <c r="D777" i="14"/>
  <c r="D696" i="14"/>
  <c r="D618" i="14"/>
  <c r="D541" i="14"/>
  <c r="D459" i="14"/>
  <c r="D382" i="14"/>
  <c r="D283" i="14"/>
  <c r="D223" i="14"/>
  <c r="D135" i="14"/>
  <c r="D75" i="14"/>
  <c r="D1166" i="14"/>
  <c r="D1074" i="14"/>
  <c r="D1000" i="14"/>
  <c r="D930" i="14"/>
  <c r="D840" i="14"/>
  <c r="D771" i="14"/>
  <c r="D680" i="14"/>
  <c r="D605" i="14"/>
  <c r="D513" i="14"/>
  <c r="D439" i="14"/>
  <c r="D355" i="14"/>
  <c r="D280" i="14"/>
  <c r="D200" i="14"/>
  <c r="D128" i="14"/>
  <c r="D64" i="14"/>
  <c r="D1177" i="14"/>
  <c r="D1068" i="14"/>
  <c r="D957" i="14"/>
  <c r="D833" i="14"/>
  <c r="D729" i="14"/>
  <c r="D601" i="14"/>
  <c r="D494" i="14"/>
  <c r="D353" i="14"/>
  <c r="D239" i="14"/>
  <c r="D129" i="14"/>
  <c r="D34" i="14"/>
  <c r="D1175" i="14"/>
  <c r="D1067" i="14"/>
  <c r="D935" i="14"/>
  <c r="D832" i="14"/>
  <c r="D722" i="14"/>
  <c r="D577" i="14"/>
  <c r="D493" i="14"/>
  <c r="D344" i="14"/>
  <c r="D236" i="14"/>
  <c r="D127" i="14"/>
  <c r="D33" i="14"/>
  <c r="D1155" i="14"/>
  <c r="D1066" i="14"/>
  <c r="D931" i="14"/>
  <c r="D815" i="14"/>
  <c r="D695" i="14"/>
  <c r="D575" i="14"/>
  <c r="D464" i="14"/>
  <c r="D343" i="14"/>
  <c r="D232" i="14"/>
  <c r="D126" i="14"/>
  <c r="D31" i="14"/>
  <c r="D1153" i="14"/>
  <c r="D1048" i="14"/>
  <c r="D913" i="14"/>
  <c r="D814" i="14"/>
  <c r="D682" i="14"/>
  <c r="D573" i="14"/>
  <c r="D458" i="14"/>
  <c r="D338" i="14"/>
  <c r="D227" i="14"/>
  <c r="D125" i="14"/>
  <c r="D30" i="14"/>
  <c r="D1145" i="14"/>
  <c r="D1009" i="14"/>
  <c r="D893" i="14"/>
  <c r="D798" i="14"/>
  <c r="D669" i="14"/>
  <c r="D567" i="14"/>
  <c r="D434" i="14"/>
  <c r="D323" i="14"/>
  <c r="D199" i="14"/>
  <c r="D103" i="14"/>
  <c r="D1151" i="14"/>
  <c r="D992" i="14"/>
  <c r="D834" i="14"/>
  <c r="D654" i="14"/>
  <c r="D496" i="14"/>
  <c r="D317" i="14"/>
  <c r="D169" i="14"/>
  <c r="D1150" i="14"/>
  <c r="D991" i="14"/>
  <c r="D808" i="14"/>
  <c r="D653" i="14"/>
  <c r="D495" i="14"/>
  <c r="D282" i="14"/>
  <c r="D161" i="14"/>
  <c r="D1144" i="14"/>
  <c r="D990" i="14"/>
  <c r="D801" i="14"/>
  <c r="D641" i="14"/>
  <c r="D447" i="14"/>
  <c r="D281" i="14"/>
  <c r="D131" i="14"/>
  <c r="D1122" i="14"/>
  <c r="D968" i="14"/>
  <c r="D776" i="14"/>
  <c r="D624" i="14"/>
  <c r="D435" i="14"/>
  <c r="D279" i="14"/>
  <c r="D124" i="14"/>
  <c r="D1104" i="14"/>
  <c r="D912" i="14"/>
  <c r="D748" i="14"/>
  <c r="D603" i="14"/>
  <c r="D415" i="14"/>
  <c r="D265" i="14"/>
  <c r="D97" i="14"/>
  <c r="D1121" i="14"/>
  <c r="D889" i="14"/>
  <c r="D656" i="14"/>
  <c r="D394" i="14"/>
  <c r="D172" i="14"/>
  <c r="D1117" i="14"/>
  <c r="D888" i="14"/>
  <c r="D617" i="14"/>
  <c r="D387" i="14"/>
  <c r="D170" i="14"/>
  <c r="D1102" i="14"/>
  <c r="D887" i="14"/>
  <c r="D616" i="14"/>
  <c r="D381" i="14"/>
  <c r="D108" i="14"/>
  <c r="D1072" i="14"/>
  <c r="D850" i="14"/>
  <c r="D572" i="14"/>
  <c r="D359" i="14"/>
  <c r="D99" i="14"/>
  <c r="D1047" i="14"/>
  <c r="D775" i="14"/>
  <c r="D526" i="14"/>
  <c r="D318" i="14"/>
  <c r="D72" i="14"/>
  <c r="D1070" i="14"/>
  <c r="D732" i="14"/>
  <c r="D396" i="14"/>
  <c r="D41" i="14"/>
  <c r="D1069" i="14"/>
  <c r="D731" i="14"/>
  <c r="D337" i="14"/>
  <c r="D40" i="14"/>
  <c r="D1043" i="14"/>
  <c r="D730" i="14"/>
  <c r="D336" i="14"/>
  <c r="D29" i="14"/>
  <c r="D1008" i="14"/>
  <c r="D679" i="14"/>
  <c r="D275" i="14"/>
  <c r="D967" i="14"/>
  <c r="D571" i="14"/>
  <c r="D206" i="14"/>
  <c r="D995" i="14"/>
  <c r="D511" i="14"/>
  <c r="D47" i="14"/>
  <c r="D993" i="14"/>
  <c r="D499" i="14"/>
  <c r="D959" i="14"/>
  <c r="D498" i="14"/>
  <c r="D910" i="14"/>
  <c r="D433" i="14"/>
  <c r="D842" i="14"/>
  <c r="D274" i="14"/>
  <c r="D891" i="14"/>
  <c r="D185" i="14"/>
  <c r="D890" i="14"/>
  <c r="D176" i="14"/>
  <c r="D835" i="14"/>
  <c r="D173" i="14"/>
  <c r="D670" i="14"/>
  <c r="D205" i="14"/>
  <c r="D763" i="14"/>
  <c r="D736" i="14"/>
  <c r="D733" i="14"/>
  <c r="D657" i="14"/>
  <c r="D512" i="14"/>
  <c r="D552" i="14"/>
  <c r="D524" i="14"/>
  <c r="D416" i="14"/>
  <c r="D397" i="14"/>
  <c r="D89" i="14"/>
  <c r="D247" i="14"/>
  <c r="D186" i="14"/>
  <c r="D74" i="14"/>
  <c r="D59" i="14"/>
  <c r="H69" i="7"/>
  <c r="H9" i="7"/>
  <c r="H10" i="7"/>
  <c r="F12" i="7"/>
  <c r="H8" i="7"/>
  <c r="F70" i="7"/>
  <c r="G67" i="7"/>
  <c r="C6" i="11"/>
  <c r="B31" i="7"/>
  <c r="B14" i="7"/>
  <c r="B16" i="7"/>
  <c r="G11" i="7"/>
  <c r="B7" i="11"/>
  <c r="F67" i="9"/>
  <c r="B59" i="7"/>
  <c r="E14776" i="13" l="1"/>
  <c r="E14519" i="13"/>
  <c r="E14630" i="13"/>
  <c r="E14739" i="13"/>
  <c r="E14655" i="13"/>
  <c r="E14381" i="13"/>
  <c r="E14125" i="13"/>
  <c r="E13869" i="13"/>
  <c r="E13613" i="13"/>
  <c r="E14732" i="13"/>
  <c r="E14444" i="13"/>
  <c r="E14188" i="13"/>
  <c r="E14813" i="13"/>
  <c r="E14507" i="13"/>
  <c r="E14873" i="13"/>
  <c r="E14560" i="13"/>
  <c r="E14298" i="13"/>
  <c r="E14607" i="13"/>
  <c r="E14255" i="13"/>
  <c r="E14656" i="13"/>
  <c r="E14294" i="13"/>
  <c r="E13993" i="13"/>
  <c r="E13720" i="13"/>
  <c r="E13449" i="13"/>
  <c r="E13193" i="13"/>
  <c r="E14757" i="13"/>
  <c r="E14377" i="13"/>
  <c r="E14650" i="13"/>
  <c r="E14553" i="13"/>
  <c r="E14210" i="13"/>
  <c r="E13922" i="13"/>
  <c r="E14552" i="13"/>
  <c r="E14120" i="13"/>
  <c r="E13799" i="13"/>
  <c r="E13508" i="13"/>
  <c r="E13233" i="13"/>
  <c r="E12963" i="13"/>
  <c r="E12707" i="13"/>
  <c r="E12451" i="13"/>
  <c r="E14659" i="13"/>
  <c r="E14186" i="13"/>
  <c r="E13858" i="13"/>
  <c r="E13561" i="13"/>
  <c r="E13283" i="13"/>
  <c r="E14688" i="13"/>
  <c r="E14208" i="13"/>
  <c r="E13876" i="13"/>
  <c r="E13578" i="13"/>
  <c r="E14802" i="13"/>
  <c r="E14287" i="13"/>
  <c r="E14572" i="13"/>
  <c r="E14134" i="13"/>
  <c r="E13812" i="13"/>
  <c r="E13520" i="13"/>
  <c r="E14389" i="13"/>
  <c r="E13882" i="13"/>
  <c r="E13487" i="13"/>
  <c r="E13157" i="13"/>
  <c r="E12871" i="13"/>
  <c r="E12598" i="13"/>
  <c r="E12325" i="13"/>
  <c r="E12066" i="13"/>
  <c r="E11810" i="13"/>
  <c r="E11554" i="13"/>
  <c r="E14155" i="13"/>
  <c r="E13730" i="13"/>
  <c r="E13355" i="13"/>
  <c r="E13042" i="13"/>
  <c r="E12767" i="13"/>
  <c r="E12494" i="13"/>
  <c r="E14342" i="13"/>
  <c r="E13851" i="13"/>
  <c r="E13461" i="13"/>
  <c r="E13136" i="13"/>
  <c r="E12852" i="13"/>
  <c r="E14303" i="13"/>
  <c r="E13826" i="13"/>
  <c r="E13439" i="13"/>
  <c r="E14296" i="13"/>
  <c r="E13822" i="13"/>
  <c r="E13432" i="13"/>
  <c r="E13110" i="13"/>
  <c r="E12830" i="13"/>
  <c r="E14393" i="13"/>
  <c r="E13699" i="13"/>
  <c r="E13203" i="13"/>
  <c r="E12821" i="13"/>
  <c r="E12493" i="13"/>
  <c r="E12202" i="13"/>
  <c r="E11929" i="13"/>
  <c r="E11656" i="13"/>
  <c r="E11393" i="13"/>
  <c r="E11137" i="13"/>
  <c r="E10881" i="13"/>
  <c r="E10625" i="13"/>
  <c r="E10369" i="13"/>
  <c r="E14034" i="13"/>
  <c r="E13452" i="13"/>
  <c r="E13022" i="13"/>
  <c r="E12669" i="13"/>
  <c r="E12360" i="13"/>
  <c r="E12081" i="13"/>
  <c r="E11808" i="13"/>
  <c r="E11536" i="13"/>
  <c r="E11280" i="13"/>
  <c r="E11024" i="13"/>
  <c r="E13998" i="13"/>
  <c r="E13423" i="13"/>
  <c r="E12998" i="13"/>
  <c r="E12647" i="13"/>
  <c r="E12340" i="13"/>
  <c r="E12063" i="13"/>
  <c r="E11790" i="13"/>
  <c r="E11519" i="13"/>
  <c r="E14073" i="13"/>
  <c r="E13480" i="13"/>
  <c r="E13046" i="13"/>
  <c r="E12687" i="13"/>
  <c r="E12375" i="13"/>
  <c r="E12096" i="13"/>
  <c r="E14638" i="13"/>
  <c r="E13833" i="13"/>
  <c r="E13297" i="13"/>
  <c r="E12901" i="13"/>
  <c r="E12566" i="13"/>
  <c r="E12264" i="13"/>
  <c r="E11991" i="13"/>
  <c r="E14004" i="13"/>
  <c r="E13222" i="13"/>
  <c r="E12680" i="13"/>
  <c r="E12241" i="13"/>
  <c r="E11851" i="13"/>
  <c r="E11516" i="13"/>
  <c r="E11221" i="13"/>
  <c r="E10933" i="13"/>
  <c r="E10660" i="13"/>
  <c r="E10387" i="13"/>
  <c r="E10127" i="13"/>
  <c r="E9871" i="13"/>
  <c r="E9615" i="13"/>
  <c r="E9359" i="13"/>
  <c r="E14183" i="13"/>
  <c r="E13340" i="13"/>
  <c r="E12770" i="13"/>
  <c r="E12315" i="13"/>
  <c r="E11917" i="13"/>
  <c r="E11577" i="13"/>
  <c r="E11274" i="13"/>
  <c r="E10983" i="13"/>
  <c r="E10710" i="13"/>
  <c r="E10437" i="13"/>
  <c r="E10174" i="13"/>
  <c r="E13830" i="13"/>
  <c r="E13106" i="13"/>
  <c r="E12593" i="13"/>
  <c r="E12163" i="13"/>
  <c r="E11785" i="13"/>
  <c r="E11455" i="13"/>
  <c r="E11163" i="13"/>
  <c r="E10879" i="13"/>
  <c r="E10606" i="13"/>
  <c r="E13887" i="13"/>
  <c r="E13140" i="13"/>
  <c r="E12619" i="13"/>
  <c r="E12188" i="13"/>
  <c r="E11804" i="13"/>
  <c r="E11475" i="13"/>
  <c r="E11180" i="13"/>
  <c r="E10895" i="13"/>
  <c r="E14885" i="13"/>
  <c r="E14759" i="13"/>
  <c r="E14877" i="13"/>
  <c r="E14614" i="13"/>
  <c r="E14723" i="13"/>
  <c r="E14637" i="13"/>
  <c r="E14365" i="13"/>
  <c r="E14109" i="13"/>
  <c r="E13853" i="13"/>
  <c r="E13597" i="13"/>
  <c r="E14713" i="13"/>
  <c r="E14428" i="13"/>
  <c r="E14172" i="13"/>
  <c r="E14791" i="13"/>
  <c r="E14491" i="13"/>
  <c r="E14853" i="13"/>
  <c r="E14542" i="13"/>
  <c r="E14282" i="13"/>
  <c r="E14585" i="13"/>
  <c r="E14233" i="13"/>
  <c r="E14628" i="13"/>
  <c r="E14274" i="13"/>
  <c r="E13976" i="13"/>
  <c r="E13703" i="13"/>
  <c r="E13433" i="13"/>
  <c r="E13177" i="13"/>
  <c r="E14729" i="13"/>
  <c r="E14357" i="13"/>
  <c r="E14626" i="13"/>
  <c r="E14529" i="13"/>
  <c r="E14192" i="13"/>
  <c r="E13905" i="13"/>
  <c r="E14520" i="13"/>
  <c r="E14099" i="13"/>
  <c r="E13781" i="13"/>
  <c r="E13490" i="13"/>
  <c r="E13216" i="13"/>
  <c r="E12947" i="13"/>
  <c r="E12691" i="13"/>
  <c r="E12435" i="13"/>
  <c r="E14621" i="13"/>
  <c r="E14165" i="13"/>
  <c r="E13838" i="13"/>
  <c r="E13543" i="13"/>
  <c r="E13266" i="13"/>
  <c r="E14658" i="13"/>
  <c r="E14185" i="13"/>
  <c r="E13856" i="13"/>
  <c r="E13560" i="13"/>
  <c r="E14765" i="13"/>
  <c r="E14259" i="13"/>
  <c r="E14540" i="13"/>
  <c r="E14113" i="13"/>
  <c r="E13793" i="13"/>
  <c r="E13502" i="13"/>
  <c r="E14352" i="13"/>
  <c r="E13855" i="13"/>
  <c r="E13463" i="13"/>
  <c r="E13138" i="13"/>
  <c r="E12854" i="13"/>
  <c r="E12581" i="13"/>
  <c r="E12308" i="13"/>
  <c r="E12050" i="13"/>
  <c r="E11794" i="13"/>
  <c r="E14829" i="13"/>
  <c r="E14128" i="13"/>
  <c r="E13704" i="13"/>
  <c r="E13331" i="13"/>
  <c r="E13024" i="13"/>
  <c r="E12750" i="13"/>
  <c r="E12477" i="13"/>
  <c r="E14304" i="13"/>
  <c r="E13827" i="13"/>
  <c r="E13440" i="13"/>
  <c r="E13117" i="13"/>
  <c r="E12834" i="13"/>
  <c r="E14258" i="13"/>
  <c r="E13800" i="13"/>
  <c r="E13413" i="13"/>
  <c r="E14247" i="13"/>
  <c r="E13794" i="13"/>
  <c r="E13410" i="13"/>
  <c r="E13091" i="13"/>
  <c r="E12813" i="13"/>
  <c r="E14328" i="13"/>
  <c r="E13666" i="13"/>
  <c r="E13178" i="13"/>
  <c r="E12795" i="13"/>
  <c r="E12474" i="13"/>
  <c r="E12185" i="13"/>
  <c r="E11912" i="13"/>
  <c r="E11639" i="13"/>
  <c r="E11377" i="13"/>
  <c r="E11121" i="13"/>
  <c r="E10865" i="13"/>
  <c r="E10609" i="13"/>
  <c r="E10353" i="13"/>
  <c r="E13999" i="13"/>
  <c r="E13424" i="13"/>
  <c r="E12999" i="13"/>
  <c r="E12650" i="13"/>
  <c r="E12341" i="13"/>
  <c r="E12064" i="13"/>
  <c r="E11791" i="13"/>
  <c r="E11520" i="13"/>
  <c r="E11264" i="13"/>
  <c r="E11008" i="13"/>
  <c r="E13952" i="13"/>
  <c r="E13388" i="13"/>
  <c r="E12976" i="13"/>
  <c r="E12628" i="13"/>
  <c r="E12321" i="13"/>
  <c r="E12046" i="13"/>
  <c r="E11773" i="13"/>
  <c r="E11503" i="13"/>
  <c r="E14027" i="13"/>
  <c r="E13450" i="13"/>
  <c r="E13020" i="13"/>
  <c r="E12667" i="13"/>
  <c r="E12357" i="13"/>
  <c r="E12079" i="13"/>
  <c r="E14568" i="13"/>
  <c r="E13792" i="13"/>
  <c r="E13270" i="13"/>
  <c r="E12878" i="13"/>
  <c r="E12544" i="13"/>
  <c r="E12247" i="13"/>
  <c r="E11974" i="13"/>
  <c r="E13944" i="13"/>
  <c r="E13186" i="13"/>
  <c r="E12654" i="13"/>
  <c r="E12215" i="13"/>
  <c r="E11831" i="13"/>
  <c r="E11497" i="13"/>
  <c r="E11203" i="13"/>
  <c r="E10916" i="13"/>
  <c r="E10643" i="13"/>
  <c r="E10370" i="13"/>
  <c r="E10111" i="13"/>
  <c r="E9855" i="13"/>
  <c r="E9599" i="13"/>
  <c r="E9343" i="13"/>
  <c r="E14130" i="13"/>
  <c r="E13296" i="13"/>
  <c r="E12741" i="13"/>
  <c r="E12292" i="13"/>
  <c r="E11891" i="13"/>
  <c r="E11557" i="13"/>
  <c r="E11256" i="13"/>
  <c r="E10966" i="13"/>
  <c r="E10693" i="13"/>
  <c r="E10420" i="13"/>
  <c r="E10158" i="13"/>
  <c r="E13783" i="13"/>
  <c r="E13068" i="13"/>
  <c r="E12561" i="13"/>
  <c r="E12139" i="13"/>
  <c r="E11765" i="13"/>
  <c r="E11437" i="13"/>
  <c r="E11145" i="13"/>
  <c r="E10862" i="13"/>
  <c r="E10589" i="13"/>
  <c r="E13825" i="13"/>
  <c r="E13105" i="13"/>
  <c r="E12592" i="13"/>
  <c r="E12160" i="13"/>
  <c r="E11784" i="13"/>
  <c r="E11454" i="13"/>
  <c r="E14884" i="13"/>
  <c r="E14743" i="13"/>
  <c r="E14860" i="13"/>
  <c r="E14598" i="13"/>
  <c r="E14707" i="13"/>
  <c r="E14619" i="13"/>
  <c r="E14349" i="13"/>
  <c r="E14093" i="13"/>
  <c r="E13837" i="13"/>
  <c r="E13581" i="13"/>
  <c r="E14692" i="13"/>
  <c r="E14412" i="13"/>
  <c r="E14156" i="13"/>
  <c r="E14769" i="13"/>
  <c r="E14475" i="13"/>
  <c r="E14832" i="13"/>
  <c r="E14524" i="13"/>
  <c r="E14266" i="13"/>
  <c r="E14557" i="13"/>
  <c r="E14214" i="13"/>
  <c r="E14606" i="13"/>
  <c r="E14254" i="13"/>
  <c r="E13959" i="13"/>
  <c r="E13686" i="13"/>
  <c r="E13417" i="13"/>
  <c r="E13161" i="13"/>
  <c r="E14703" i="13"/>
  <c r="E14337" i="13"/>
  <c r="E14604" i="13"/>
  <c r="E14503" i="13"/>
  <c r="E14174" i="13"/>
  <c r="E13888" i="13"/>
  <c r="E14494" i="13"/>
  <c r="E14079" i="13"/>
  <c r="E13763" i="13"/>
  <c r="E13472" i="13"/>
  <c r="E13199" i="13"/>
  <c r="E12931" i="13"/>
  <c r="E12675" i="13"/>
  <c r="E12419" i="13"/>
  <c r="E14588" i="13"/>
  <c r="E14144" i="13"/>
  <c r="E13817" i="13"/>
  <c r="E13525" i="13"/>
  <c r="E13249" i="13"/>
  <c r="E14620" i="13"/>
  <c r="E14164" i="13"/>
  <c r="E13835" i="13"/>
  <c r="E13542" i="13"/>
  <c r="E14722" i="13"/>
  <c r="E14230" i="13"/>
  <c r="E14512" i="13"/>
  <c r="E14091" i="13"/>
  <c r="E13775" i="13"/>
  <c r="E13483" i="13"/>
  <c r="E14306" i="13"/>
  <c r="E13829" i="13"/>
  <c r="E13442" i="13"/>
  <c r="E13119" i="13"/>
  <c r="E12837" i="13"/>
  <c r="E12564" i="13"/>
  <c r="E12290" i="13"/>
  <c r="E12034" i="13"/>
  <c r="E11778" i="13"/>
  <c r="E14778" i="13"/>
  <c r="E14095" i="13"/>
  <c r="E13680" i="13"/>
  <c r="E13312" i="13"/>
  <c r="E13006" i="13"/>
  <c r="E12733" i="13"/>
  <c r="E12460" i="13"/>
  <c r="E14263" i="13"/>
  <c r="E13801" i="13"/>
  <c r="E13415" i="13"/>
  <c r="E13098" i="13"/>
  <c r="E12817" i="13"/>
  <c r="E14222" i="13"/>
  <c r="E13774" i="13"/>
  <c r="E13393" i="13"/>
  <c r="E14216" i="13"/>
  <c r="E13769" i="13"/>
  <c r="E13390" i="13"/>
  <c r="E13073" i="13"/>
  <c r="E12796" i="13"/>
  <c r="E14277" i="13"/>
  <c r="E13637" i="13"/>
  <c r="E13150" i="13"/>
  <c r="E12775" i="13"/>
  <c r="E12455" i="13"/>
  <c r="E12168" i="13"/>
  <c r="E11895" i="13"/>
  <c r="E11622" i="13"/>
  <c r="E11361" i="13"/>
  <c r="E11105" i="13"/>
  <c r="E10849" i="13"/>
  <c r="E10593" i="13"/>
  <c r="E10337" i="13"/>
  <c r="E13962" i="13"/>
  <c r="E13389" i="13"/>
  <c r="E12977" i="13"/>
  <c r="E12629" i="13"/>
  <c r="E12322" i="13"/>
  <c r="E12047" i="13"/>
  <c r="E11774" i="13"/>
  <c r="E11504" i="13"/>
  <c r="E11248" i="13"/>
  <c r="E14819" i="13"/>
  <c r="E13919" i="13"/>
  <c r="E13359" i="13"/>
  <c r="E12952" i="13"/>
  <c r="E12608" i="13"/>
  <c r="E12303" i="13"/>
  <c r="E12029" i="13"/>
  <c r="E11756" i="13"/>
  <c r="E11487" i="13"/>
  <c r="E13991" i="13"/>
  <c r="E13422" i="13"/>
  <c r="E12997" i="13"/>
  <c r="E12646" i="13"/>
  <c r="E12338" i="13"/>
  <c r="E12062" i="13"/>
  <c r="E14496" i="13"/>
  <c r="E13760" i="13"/>
  <c r="E13244" i="13"/>
  <c r="E12857" i="13"/>
  <c r="E12525" i="13"/>
  <c r="E12230" i="13"/>
  <c r="E11957" i="13"/>
  <c r="E13893" i="13"/>
  <c r="E13152" i="13"/>
  <c r="E12622" i="13"/>
  <c r="E12191" i="13"/>
  <c r="E11811" i="13"/>
  <c r="E11478" i="13"/>
  <c r="E11183" i="13"/>
  <c r="E10899" i="13"/>
  <c r="E10626" i="13"/>
  <c r="E10352" i="13"/>
  <c r="E10095" i="13"/>
  <c r="E9839" i="13"/>
  <c r="E9583" i="13"/>
  <c r="E9327" i="13"/>
  <c r="E14054" i="13"/>
  <c r="E13261" i="13"/>
  <c r="E12713" i="13"/>
  <c r="E12263" i="13"/>
  <c r="E11870" i="13"/>
  <c r="E11534" i="13"/>
  <c r="E11238" i="13"/>
  <c r="E10949" i="13"/>
  <c r="E10676" i="13"/>
  <c r="E10403" i="13"/>
  <c r="E10142" i="13"/>
  <c r="E13718" i="13"/>
  <c r="E13034" i="13"/>
  <c r="E12537" i="13"/>
  <c r="E12112" i="13"/>
  <c r="E11744" i="13"/>
  <c r="E11419" i="13"/>
  <c r="E11127" i="13"/>
  <c r="E10845" i="13"/>
  <c r="E10572" i="13"/>
  <c r="E13782" i="13"/>
  <c r="E13067" i="13"/>
  <c r="E12560" i="13"/>
  <c r="E12138" i="13"/>
  <c r="E11764" i="13"/>
  <c r="E11436" i="13"/>
  <c r="E14868" i="13"/>
  <c r="E14727" i="13"/>
  <c r="E14843" i="13"/>
  <c r="E14582" i="13"/>
  <c r="E14691" i="13"/>
  <c r="E14601" i="13"/>
  <c r="E14333" i="13"/>
  <c r="E14077" i="13"/>
  <c r="E13821" i="13"/>
  <c r="E13565" i="13"/>
  <c r="E14672" i="13"/>
  <c r="E14396" i="13"/>
  <c r="E14140" i="13"/>
  <c r="E14750" i="13"/>
  <c r="E14459" i="13"/>
  <c r="E14812" i="13"/>
  <c r="E14506" i="13"/>
  <c r="E14250" i="13"/>
  <c r="E14533" i="13"/>
  <c r="E14196" i="13"/>
  <c r="E14584" i="13"/>
  <c r="E14232" i="13"/>
  <c r="E13942" i="13"/>
  <c r="E13669" i="13"/>
  <c r="E13401" i="13"/>
  <c r="E13145" i="13"/>
  <c r="E14680" i="13"/>
  <c r="E14313" i="13"/>
  <c r="E14576" i="13"/>
  <c r="E14483" i="13"/>
  <c r="E14154" i="13"/>
  <c r="E13871" i="13"/>
  <c r="E14462" i="13"/>
  <c r="E14057" i="13"/>
  <c r="E13745" i="13"/>
  <c r="E13455" i="13"/>
  <c r="E13182" i="13"/>
  <c r="E12915" i="13"/>
  <c r="E12659" i="13"/>
  <c r="E12403" i="13"/>
  <c r="E14549" i="13"/>
  <c r="E14119" i="13"/>
  <c r="E13798" i="13"/>
  <c r="E13507" i="13"/>
  <c r="E13232" i="13"/>
  <c r="E14587" i="13"/>
  <c r="E14143" i="13"/>
  <c r="E13816" i="13"/>
  <c r="E13524" i="13"/>
  <c r="E14687" i="13"/>
  <c r="E14207" i="13"/>
  <c r="E14480" i="13"/>
  <c r="E14071" i="13"/>
  <c r="E13756" i="13"/>
  <c r="E13466" i="13"/>
  <c r="E14265" i="13"/>
  <c r="E13804" i="13"/>
  <c r="E13418" i="13"/>
  <c r="E13100" i="13"/>
  <c r="E12820" i="13"/>
  <c r="E12546" i="13"/>
  <c r="E12274" i="13"/>
  <c r="E12018" i="13"/>
  <c r="E11762" i="13"/>
  <c r="E14717" i="13"/>
  <c r="E14068" i="13"/>
  <c r="E13657" i="13"/>
  <c r="E13293" i="13"/>
  <c r="E12989" i="13"/>
  <c r="E12716" i="13"/>
  <c r="E12443" i="13"/>
  <c r="E14223" i="13"/>
  <c r="E13776" i="13"/>
  <c r="E13394" i="13"/>
  <c r="E13077" i="13"/>
  <c r="E12800" i="13"/>
  <c r="E14190" i="13"/>
  <c r="E13750" i="13"/>
  <c r="E13373" i="13"/>
  <c r="E14180" i="13"/>
  <c r="E13747" i="13"/>
  <c r="E13366" i="13"/>
  <c r="E13055" i="13"/>
  <c r="E12779" i="13"/>
  <c r="E14217" i="13"/>
  <c r="E13594" i="13"/>
  <c r="E13124" i="13"/>
  <c r="E12754" i="13"/>
  <c r="E12436" i="13"/>
  <c r="E12151" i="13"/>
  <c r="E11878" i="13"/>
  <c r="E11605" i="13"/>
  <c r="E11345" i="13"/>
  <c r="E11089" i="13"/>
  <c r="E10833" i="13"/>
  <c r="E10577" i="13"/>
  <c r="E14822" i="13"/>
  <c r="E13920" i="13"/>
  <c r="E13360" i="13"/>
  <c r="E12953" i="13"/>
  <c r="E12609" i="13"/>
  <c r="E12304" i="13"/>
  <c r="E12030" i="13"/>
  <c r="E11757" i="13"/>
  <c r="E11488" i="13"/>
  <c r="E11232" i="13"/>
  <c r="E14740" i="13"/>
  <c r="E13883" i="13"/>
  <c r="E13328" i="13"/>
  <c r="E12929" i="13"/>
  <c r="E12589" i="13"/>
  <c r="E12285" i="13"/>
  <c r="E12012" i="13"/>
  <c r="E11739" i="13"/>
  <c r="E11471" i="13"/>
  <c r="E13951" i="13"/>
  <c r="E13383" i="13"/>
  <c r="E12975" i="13"/>
  <c r="E12626" i="13"/>
  <c r="E12320" i="13"/>
  <c r="E12045" i="13"/>
  <c r="E14437" i="13"/>
  <c r="E13722" i="13"/>
  <c r="E13220" i="13"/>
  <c r="E12832" i="13"/>
  <c r="E12506" i="13"/>
  <c r="E12213" i="13"/>
  <c r="E11940" i="13"/>
  <c r="E13834" i="13"/>
  <c r="E13108" i="13"/>
  <c r="E12596" i="13"/>
  <c r="E12169" i="13"/>
  <c r="E11787" i="13"/>
  <c r="E11459" i="13"/>
  <c r="E11165" i="13"/>
  <c r="E10882" i="13"/>
  <c r="E10608" i="13"/>
  <c r="E10335" i="13"/>
  <c r="E10079" i="13"/>
  <c r="E9823" i="13"/>
  <c r="E9567" i="13"/>
  <c r="E9311" i="13"/>
  <c r="E14002" i="13"/>
  <c r="E13221" i="13"/>
  <c r="E12679" i="13"/>
  <c r="E12240" i="13"/>
  <c r="E11850" i="13"/>
  <c r="E11515" i="13"/>
  <c r="E11220" i="13"/>
  <c r="E10932" i="13"/>
  <c r="E10659" i="13"/>
  <c r="E10386" i="13"/>
  <c r="E14863" i="13"/>
  <c r="E13675" i="13"/>
  <c r="E13002" i="13"/>
  <c r="E12505" i="13"/>
  <c r="E12089" i="13"/>
  <c r="E11721" i="13"/>
  <c r="E11401" i="13"/>
  <c r="E11109" i="13"/>
  <c r="E10828" i="13"/>
  <c r="E10555" i="13"/>
  <c r="E13717" i="13"/>
  <c r="E13032" i="13"/>
  <c r="E12536" i="13"/>
  <c r="E12111" i="13"/>
  <c r="E11743" i="13"/>
  <c r="E11418" i="13"/>
  <c r="E11126" i="13"/>
  <c r="E14836" i="13"/>
  <c r="E14695" i="13"/>
  <c r="E14809" i="13"/>
  <c r="E14550" i="13"/>
  <c r="E14879" i="13"/>
  <c r="E14563" i="13"/>
  <c r="E14301" i="13"/>
  <c r="E14045" i="13"/>
  <c r="E13789" i="13"/>
  <c r="E13533" i="13"/>
  <c r="E14636" i="13"/>
  <c r="E14364" i="13"/>
  <c r="E14108" i="13"/>
  <c r="E14712" i="13"/>
  <c r="E14427" i="13"/>
  <c r="E14768" i="13"/>
  <c r="E14474" i="13"/>
  <c r="E14218" i="13"/>
  <c r="E14487" i="13"/>
  <c r="E14160" i="13"/>
  <c r="E14532" i="13"/>
  <c r="E14195" i="13"/>
  <c r="E13908" i="13"/>
  <c r="E13635" i="13"/>
  <c r="E13369" i="13"/>
  <c r="E13113" i="13"/>
  <c r="E14627" i="13"/>
  <c r="E14273" i="13"/>
  <c r="E14838" i="13"/>
  <c r="E14439" i="13"/>
  <c r="E14118" i="13"/>
  <c r="E13836" i="13"/>
  <c r="E14406" i="13"/>
  <c r="E14017" i="13"/>
  <c r="E13708" i="13"/>
  <c r="E13421" i="13"/>
  <c r="E13148" i="13"/>
  <c r="E12883" i="13"/>
  <c r="E12627" i="13"/>
  <c r="E12371" i="13"/>
  <c r="E14489" i="13"/>
  <c r="E14078" i="13"/>
  <c r="E13762" i="13"/>
  <c r="E13471" i="13"/>
  <c r="E13198" i="13"/>
  <c r="E14516" i="13"/>
  <c r="E14097" i="13"/>
  <c r="E13779" i="13"/>
  <c r="E13488" i="13"/>
  <c r="E14613" i="13"/>
  <c r="E14163" i="13"/>
  <c r="E14424" i="13"/>
  <c r="E14030" i="13"/>
  <c r="E13719" i="13"/>
  <c r="E13431" i="13"/>
  <c r="E14194" i="13"/>
  <c r="E13753" i="13"/>
  <c r="E13376" i="13"/>
  <c r="E13061" i="13"/>
  <c r="E12785" i="13"/>
  <c r="E12512" i="13"/>
  <c r="E12242" i="13"/>
  <c r="E11986" i="13"/>
  <c r="E11730" i="13"/>
  <c r="E14609" i="13"/>
  <c r="E14010" i="13"/>
  <c r="E13607" i="13"/>
  <c r="E13254" i="13"/>
  <c r="E12955" i="13"/>
  <c r="E12682" i="13"/>
  <c r="E12409" i="13"/>
  <c r="E14153" i="13"/>
  <c r="E13729" i="13"/>
  <c r="E13354" i="13"/>
  <c r="E13041" i="13"/>
  <c r="E14825" i="13"/>
  <c r="E14126" i="13"/>
  <c r="E13700" i="13"/>
  <c r="E14821" i="13"/>
  <c r="E14114" i="13"/>
  <c r="E13697" i="13"/>
  <c r="E13326" i="13"/>
  <c r="E13019" i="13"/>
  <c r="E12745" i="13"/>
  <c r="E14123" i="13"/>
  <c r="E13523" i="13"/>
  <c r="E13072" i="13"/>
  <c r="E12712" i="13"/>
  <c r="E12397" i="13"/>
  <c r="E12117" i="13"/>
  <c r="E11844" i="13"/>
  <c r="E11571" i="13"/>
  <c r="E11313" i="13"/>
  <c r="E11057" i="13"/>
  <c r="E10801" i="13"/>
  <c r="E10545" i="13"/>
  <c r="E14645" i="13"/>
  <c r="E13844" i="13"/>
  <c r="E13304" i="13"/>
  <c r="E12909" i="13"/>
  <c r="E12571" i="13"/>
  <c r="E12269" i="13"/>
  <c r="E11996" i="13"/>
  <c r="E11723" i="13"/>
  <c r="E11456" i="13"/>
  <c r="E11200" i="13"/>
  <c r="E14573" i="13"/>
  <c r="E13808" i="13"/>
  <c r="E13278" i="13"/>
  <c r="E12884" i="13"/>
  <c r="E12551" i="13"/>
  <c r="E12251" i="13"/>
  <c r="E11978" i="13"/>
  <c r="E11705" i="13"/>
  <c r="E14738" i="13"/>
  <c r="E13875" i="13"/>
  <c r="E13327" i="13"/>
  <c r="E12928" i="13"/>
  <c r="E12588" i="13"/>
  <c r="E12284" i="13"/>
  <c r="E12011" i="13"/>
  <c r="E14310" i="13"/>
  <c r="E13650" i="13"/>
  <c r="E13167" i="13"/>
  <c r="E12789" i="13"/>
  <c r="E12468" i="13"/>
  <c r="E12179" i="13"/>
  <c r="E11905" i="13"/>
  <c r="E13732" i="13"/>
  <c r="E13036" i="13"/>
  <c r="E12539" i="13"/>
  <c r="E12119" i="13"/>
  <c r="E11747" i="13"/>
  <c r="E11421" i="13"/>
  <c r="E11129" i="13"/>
  <c r="E10847" i="13"/>
  <c r="E10574" i="13"/>
  <c r="E10303" i="13"/>
  <c r="E10047" i="13"/>
  <c r="E9791" i="13"/>
  <c r="E9535" i="13"/>
  <c r="E9279" i="13"/>
  <c r="E13892" i="13"/>
  <c r="E13143" i="13"/>
  <c r="E12621" i="13"/>
  <c r="E12190" i="13"/>
  <c r="E11806" i="13"/>
  <c r="E11477" i="13"/>
  <c r="E11182" i="13"/>
  <c r="E10898" i="13"/>
  <c r="E10624" i="13"/>
  <c r="E10351" i="13"/>
  <c r="E14632" i="13"/>
  <c r="E13571" i="13"/>
  <c r="E12935" i="13"/>
  <c r="E12449" i="13"/>
  <c r="E12039" i="13"/>
  <c r="E11680" i="13"/>
  <c r="E11365" i="13"/>
  <c r="E11071" i="13"/>
  <c r="E10794" i="13"/>
  <c r="E14745" i="13"/>
  <c r="E13619" i="13"/>
  <c r="E12964" i="13"/>
  <c r="E12479" i="13"/>
  <c r="E12061" i="13"/>
  <c r="E11700" i="13"/>
  <c r="E11382" i="13"/>
  <c r="E11090" i="13"/>
  <c r="E14414" i="13"/>
  <c r="E14631" i="13"/>
  <c r="E14662" i="13"/>
  <c r="E14815" i="13"/>
  <c r="E14429" i="13"/>
  <c r="E14013" i="13"/>
  <c r="E13677" i="13"/>
  <c r="E14618" i="13"/>
  <c r="E14268" i="13"/>
  <c r="E14731" i="13"/>
  <c r="E14347" i="13"/>
  <c r="E14578" i="13"/>
  <c r="E14785" i="13"/>
  <c r="E14295" i="13"/>
  <c r="E14466" i="13"/>
  <c r="E14049" i="13"/>
  <c r="E13601" i="13"/>
  <c r="E13257" i="13"/>
  <c r="E14605" i="13"/>
  <c r="E14782" i="13"/>
  <c r="E14463" i="13"/>
  <c r="E14026" i="13"/>
  <c r="E14589" i="13"/>
  <c r="E13936" i="13"/>
  <c r="E13544" i="13"/>
  <c r="E13096" i="13"/>
  <c r="E12755" i="13"/>
  <c r="E12339" i="13"/>
  <c r="E14289" i="13"/>
  <c r="E13744" i="13"/>
  <c r="E13368" i="13"/>
  <c r="E14548" i="13"/>
  <c r="E13992" i="13"/>
  <c r="E13596" i="13"/>
  <c r="E14484" i="13"/>
  <c r="E14643" i="13"/>
  <c r="E13968" i="13"/>
  <c r="E13574" i="13"/>
  <c r="E14129" i="13"/>
  <c r="E13586" i="13"/>
  <c r="E13043" i="13"/>
  <c r="E12683" i="13"/>
  <c r="E12258" i="13"/>
  <c r="E11906" i="13"/>
  <c r="E11570" i="13"/>
  <c r="E13906" i="13"/>
  <c r="E13395" i="13"/>
  <c r="E12904" i="13"/>
  <c r="E12545" i="13"/>
  <c r="E14094" i="13"/>
  <c r="E13557" i="13"/>
  <c r="E13023" i="13"/>
  <c r="E14502" i="13"/>
  <c r="E13728" i="13"/>
  <c r="E14541" i="13"/>
  <c r="E13846" i="13"/>
  <c r="E13247" i="13"/>
  <c r="E12864" i="13"/>
  <c r="E14000" i="13"/>
  <c r="E13280" i="13"/>
  <c r="E12670" i="13"/>
  <c r="E12270" i="13"/>
  <c r="E11827" i="13"/>
  <c r="E11473" i="13"/>
  <c r="E11073" i="13"/>
  <c r="E10721" i="13"/>
  <c r="E10385" i="13"/>
  <c r="E13698" i="13"/>
  <c r="E13071" i="13"/>
  <c r="E12513" i="13"/>
  <c r="E12133" i="13"/>
  <c r="E11689" i="13"/>
  <c r="E11344" i="13"/>
  <c r="E14501" i="13"/>
  <c r="E13591" i="13"/>
  <c r="E12908" i="13"/>
  <c r="E12453" i="13"/>
  <c r="E12080" i="13"/>
  <c r="E11637" i="13"/>
  <c r="E14167" i="13"/>
  <c r="E13248" i="13"/>
  <c r="E12749" i="13"/>
  <c r="E12250" i="13"/>
  <c r="E11892" i="13"/>
  <c r="E13620" i="13"/>
  <c r="E13015" i="13"/>
  <c r="E12487" i="13"/>
  <c r="E12093" i="13"/>
  <c r="E14058" i="13"/>
  <c r="E12902" i="13"/>
  <c r="E12293" i="13"/>
  <c r="E11683" i="13"/>
  <c r="E11275" i="13"/>
  <c r="E10813" i="13"/>
  <c r="E10455" i="13"/>
  <c r="E10031" i="13"/>
  <c r="E9695" i="13"/>
  <c r="E9295" i="13"/>
  <c r="E13622" i="13"/>
  <c r="E12805" i="13"/>
  <c r="E12090" i="13"/>
  <c r="E11617" i="13"/>
  <c r="E11128" i="13"/>
  <c r="E10761" i="13"/>
  <c r="E10318" i="13"/>
  <c r="E14053" i="13"/>
  <c r="E12897" i="13"/>
  <c r="E12289" i="13"/>
  <c r="E11701" i="13"/>
  <c r="E11273" i="13"/>
  <c r="E10896" i="13"/>
  <c r="E14353" i="13"/>
  <c r="E13218" i="13"/>
  <c r="E12391" i="13"/>
  <c r="E11868" i="13"/>
  <c r="E11346" i="13"/>
  <c r="E10998" i="13"/>
  <c r="E13927" i="13"/>
  <c r="E13169" i="13"/>
  <c r="E12640" i="13"/>
  <c r="E12207" i="13"/>
  <c r="E11821" i="13"/>
  <c r="E11491" i="13"/>
  <c r="E11195" i="13"/>
  <c r="E10909" i="13"/>
  <c r="E10636" i="13"/>
  <c r="E10363" i="13"/>
  <c r="E13894" i="13"/>
  <c r="E12892" i="13"/>
  <c r="E12225" i="13"/>
  <c r="E11686" i="13"/>
  <c r="E11235" i="13"/>
  <c r="E10827" i="13"/>
  <c r="E10470" i="13"/>
  <c r="E10153" i="13"/>
  <c r="E9879" i="13"/>
  <c r="E9606" i="13"/>
  <c r="E9333" i="13"/>
  <c r="E9070" i="13"/>
  <c r="E8814" i="13"/>
  <c r="E8558" i="13"/>
  <c r="E8302" i="13"/>
  <c r="E8046" i="13"/>
  <c r="E13796" i="13"/>
  <c r="E12845" i="13"/>
  <c r="E12187" i="13"/>
  <c r="E11651" i="13"/>
  <c r="E11208" i="13"/>
  <c r="E10804" i="13"/>
  <c r="E10447" i="13"/>
  <c r="E10134" i="13"/>
  <c r="E9861" i="13"/>
  <c r="E9588" i="13"/>
  <c r="E9315" i="13"/>
  <c r="E9053" i="13"/>
  <c r="E14798" i="13"/>
  <c r="E13309" i="13"/>
  <c r="E12535" i="13"/>
  <c r="E11932" i="13"/>
  <c r="E11446" i="13"/>
  <c r="E11021" i="13"/>
  <c r="E10645" i="13"/>
  <c r="E10301" i="13"/>
  <c r="E10013" i="13"/>
  <c r="E9740" i="13"/>
  <c r="E9467" i="13"/>
  <c r="E13643" i="13"/>
  <c r="E12744" i="13"/>
  <c r="E12108" i="13"/>
  <c r="E11589" i="13"/>
  <c r="E11151" i="13"/>
  <c r="E10755" i="13"/>
  <c r="E10405" i="13"/>
  <c r="E10098" i="13"/>
  <c r="E9825" i="13"/>
  <c r="E9552" i="13"/>
  <c r="E13479" i="13"/>
  <c r="E12644" i="13"/>
  <c r="E12032" i="13"/>
  <c r="E11524" i="13"/>
  <c r="E11095" i="13"/>
  <c r="E10706" i="13"/>
  <c r="E10358" i="13"/>
  <c r="E10060" i="13"/>
  <c r="E9787" i="13"/>
  <c r="E9514" i="13"/>
  <c r="E9241" i="13"/>
  <c r="E14101" i="13"/>
  <c r="E12681" i="13"/>
  <c r="E11815" i="13"/>
  <c r="E11150" i="13"/>
  <c r="E10588" i="13"/>
  <c r="E10123" i="13"/>
  <c r="E9728" i="13"/>
  <c r="E9347" i="13"/>
  <c r="E9026" i="13"/>
  <c r="E8738" i="13"/>
  <c r="E8465" i="13"/>
  <c r="E8192" i="13"/>
  <c r="E7920" i="13"/>
  <c r="E7664" i="13"/>
  <c r="E7408" i="13"/>
  <c r="E7152" i="13"/>
  <c r="E6896" i="13"/>
  <c r="E6640" i="13"/>
  <c r="E6384" i="13"/>
  <c r="E13325" i="13"/>
  <c r="E12272" i="13"/>
  <c r="E11499" i="13"/>
  <c r="E10886" i="13"/>
  <c r="E10373" i="13"/>
  <c r="E9949" i="13"/>
  <c r="E9549" i="13"/>
  <c r="E9201" i="13"/>
  <c r="E8897" i="13"/>
  <c r="E8617" i="13"/>
  <c r="E8344" i="13"/>
  <c r="E8071" i="13"/>
  <c r="E7807" i="13"/>
  <c r="E7551" i="13"/>
  <c r="E7295" i="13"/>
  <c r="E7039" i="13"/>
  <c r="E6783" i="13"/>
  <c r="E6527" i="13"/>
  <c r="E13971" i="13"/>
  <c r="E12606" i="13"/>
  <c r="E11759" i="13"/>
  <c r="E11112" i="13"/>
  <c r="E10558" i="13"/>
  <c r="E10093" i="13"/>
  <c r="E9698" i="13"/>
  <c r="E9323" i="13"/>
  <c r="E9004" i="13"/>
  <c r="E8719" i="13"/>
  <c r="E8445" i="13"/>
  <c r="E8172" i="13"/>
  <c r="E13320" i="13"/>
  <c r="E12266" i="13"/>
  <c r="E11492" i="13"/>
  <c r="E10884" i="13"/>
  <c r="E10371" i="13"/>
  <c r="E9943" i="13"/>
  <c r="E9546" i="13"/>
  <c r="E9199" i="13"/>
  <c r="E8895" i="13"/>
  <c r="E8615" i="13"/>
  <c r="E14072" i="13"/>
  <c r="E12656" i="13"/>
  <c r="E11795" i="13"/>
  <c r="E11138" i="13"/>
  <c r="E10581" i="13"/>
  <c r="E14852" i="13"/>
  <c r="E14615" i="13"/>
  <c r="E14646" i="13"/>
  <c r="E14795" i="13"/>
  <c r="E14413" i="13"/>
  <c r="E13997" i="13"/>
  <c r="E13661" i="13"/>
  <c r="E14600" i="13"/>
  <c r="E14252" i="13"/>
  <c r="E14690" i="13"/>
  <c r="E14331" i="13"/>
  <c r="E14490" i="13"/>
  <c r="E14761" i="13"/>
  <c r="E14275" i="13"/>
  <c r="E14446" i="13"/>
  <c r="E14031" i="13"/>
  <c r="E13584" i="13"/>
  <c r="E13241" i="13"/>
  <c r="E14577" i="13"/>
  <c r="E14756" i="13"/>
  <c r="E14419" i="13"/>
  <c r="E14008" i="13"/>
  <c r="E14434" i="13"/>
  <c r="E13916" i="13"/>
  <c r="E13526" i="13"/>
  <c r="E13079" i="13"/>
  <c r="E12739" i="13"/>
  <c r="E12323" i="13"/>
  <c r="E14261" i="13"/>
  <c r="E13726" i="13"/>
  <c r="E13351" i="13"/>
  <c r="E14488" i="13"/>
  <c r="E13972" i="13"/>
  <c r="E13506" i="13"/>
  <c r="E14455" i="13"/>
  <c r="E14610" i="13"/>
  <c r="E13948" i="13"/>
  <c r="E13556" i="13"/>
  <c r="E14096" i="13"/>
  <c r="E13559" i="13"/>
  <c r="E13025" i="13"/>
  <c r="E12666" i="13"/>
  <c r="E12226" i="13"/>
  <c r="E11890" i="13"/>
  <c r="E14665" i="13"/>
  <c r="E13881" i="13"/>
  <c r="E13375" i="13"/>
  <c r="E12887" i="13"/>
  <c r="E12528" i="13"/>
  <c r="E14066" i="13"/>
  <c r="E13534" i="13"/>
  <c r="E13005" i="13"/>
  <c r="E14469" i="13"/>
  <c r="E13678" i="13"/>
  <c r="E14499" i="13"/>
  <c r="E13721" i="13"/>
  <c r="E13228" i="13"/>
  <c r="E12847" i="13"/>
  <c r="E13963" i="13"/>
  <c r="E13256" i="13"/>
  <c r="E12651" i="13"/>
  <c r="E12253" i="13"/>
  <c r="E11809" i="13"/>
  <c r="E11457" i="13"/>
  <c r="E11041" i="13"/>
  <c r="E10705" i="13"/>
  <c r="E14741" i="13"/>
  <c r="E13664" i="13"/>
  <c r="E13048" i="13"/>
  <c r="E12492" i="13"/>
  <c r="E12116" i="13"/>
  <c r="E11672" i="13"/>
  <c r="E11328" i="13"/>
  <c r="E14449" i="13"/>
  <c r="E13554" i="13"/>
  <c r="E12861" i="13"/>
  <c r="E12433" i="13"/>
  <c r="E11995" i="13"/>
  <c r="E11620" i="13"/>
  <c r="E14111" i="13"/>
  <c r="E13223" i="13"/>
  <c r="E12729" i="13"/>
  <c r="E12233" i="13"/>
  <c r="E14880" i="13"/>
  <c r="E13587" i="13"/>
  <c r="E12993" i="13"/>
  <c r="E12448" i="13"/>
  <c r="E12076" i="13"/>
  <c r="E13785" i="13"/>
  <c r="E12873" i="13"/>
  <c r="E12265" i="13"/>
  <c r="E11662" i="13"/>
  <c r="E11257" i="13"/>
  <c r="E10796" i="13"/>
  <c r="E10438" i="13"/>
  <c r="E10015" i="13"/>
  <c r="E9679" i="13"/>
  <c r="E9263" i="13"/>
  <c r="E13572" i="13"/>
  <c r="E12653" i="13"/>
  <c r="E12068" i="13"/>
  <c r="E11597" i="13"/>
  <c r="E11110" i="13"/>
  <c r="E10744" i="13"/>
  <c r="E10302" i="13"/>
  <c r="E14001" i="13"/>
  <c r="E12868" i="13"/>
  <c r="E12262" i="13"/>
  <c r="E11660" i="13"/>
  <c r="E11255" i="13"/>
  <c r="E10811" i="13"/>
  <c r="E14245" i="13"/>
  <c r="E13183" i="13"/>
  <c r="E12366" i="13"/>
  <c r="E11848" i="13"/>
  <c r="E11326" i="13"/>
  <c r="E10981" i="13"/>
  <c r="E13866" i="13"/>
  <c r="E13134" i="13"/>
  <c r="E12616" i="13"/>
  <c r="E12181" i="13"/>
  <c r="E11801" i="13"/>
  <c r="E11469" i="13"/>
  <c r="E11177" i="13"/>
  <c r="E10892" i="13"/>
  <c r="E10619" i="13"/>
  <c r="E10346" i="13"/>
  <c r="E13811" i="13"/>
  <c r="E12846" i="13"/>
  <c r="E12192" i="13"/>
  <c r="E11652" i="13"/>
  <c r="E11209" i="13"/>
  <c r="E10805" i="13"/>
  <c r="E10450" i="13"/>
  <c r="E10135" i="13"/>
  <c r="E9862" i="13"/>
  <c r="E9589" i="13"/>
  <c r="E9316" i="13"/>
  <c r="E9054" i="13"/>
  <c r="E8798" i="13"/>
  <c r="E8542" i="13"/>
  <c r="E8286" i="13"/>
  <c r="E8030" i="13"/>
  <c r="E13739" i="13"/>
  <c r="E12790" i="13"/>
  <c r="E12153" i="13"/>
  <c r="E11625" i="13"/>
  <c r="E11179" i="13"/>
  <c r="E10782" i="13"/>
  <c r="E10427" i="13"/>
  <c r="E10117" i="13"/>
  <c r="E9844" i="13"/>
  <c r="E9571" i="13"/>
  <c r="E9298" i="13"/>
  <c r="E9037" i="13"/>
  <c r="E14640" i="13"/>
  <c r="E13243" i="13"/>
  <c r="E12496" i="13"/>
  <c r="E11899" i="13"/>
  <c r="E11417" i="13"/>
  <c r="E10992" i="13"/>
  <c r="E10620" i="13"/>
  <c r="E10282" i="13"/>
  <c r="E9996" i="13"/>
  <c r="E9723" i="13"/>
  <c r="E9450" i="13"/>
  <c r="E13569" i="13"/>
  <c r="E12697" i="13"/>
  <c r="E12074" i="13"/>
  <c r="E11560" i="13"/>
  <c r="E11124" i="13"/>
  <c r="E10733" i="13"/>
  <c r="E10382" i="13"/>
  <c r="E10081" i="13"/>
  <c r="E9808" i="13"/>
  <c r="E9534" i="13"/>
  <c r="E13406" i="13"/>
  <c r="E12605" i="13"/>
  <c r="E11999" i="13"/>
  <c r="E11493" i="13"/>
  <c r="E11065" i="13"/>
  <c r="E10683" i="13"/>
  <c r="E10338" i="13"/>
  <c r="E10043" i="13"/>
  <c r="E9770" i="13"/>
  <c r="E9497" i="13"/>
  <c r="E9224" i="13"/>
  <c r="E13980" i="13"/>
  <c r="E12625" i="13"/>
  <c r="E11763" i="13"/>
  <c r="E11114" i="13"/>
  <c r="E10560" i="13"/>
  <c r="E10097" i="13"/>
  <c r="E9700" i="13"/>
  <c r="E9325" i="13"/>
  <c r="E9008" i="13"/>
  <c r="E8721" i="13"/>
  <c r="E8448" i="13"/>
  <c r="E8175" i="13"/>
  <c r="E7904" i="13"/>
  <c r="E7648" i="13"/>
  <c r="E7392" i="13"/>
  <c r="E7136" i="13"/>
  <c r="E6880" i="13"/>
  <c r="E6624" i="13"/>
  <c r="E6368" i="13"/>
  <c r="E13263" i="13"/>
  <c r="E12208" i="13"/>
  <c r="E11461" i="13"/>
  <c r="E10855" i="13"/>
  <c r="E10340" i="13"/>
  <c r="E9922" i="13"/>
  <c r="E9526" i="13"/>
  <c r="E9180" i="13"/>
  <c r="E8879" i="13"/>
  <c r="E8600" i="13"/>
  <c r="E8327" i="13"/>
  <c r="E8054" i="13"/>
  <c r="E7791" i="13"/>
  <c r="E7535" i="13"/>
  <c r="E7279" i="13"/>
  <c r="E7023" i="13"/>
  <c r="E6767" i="13"/>
  <c r="E6511" i="13"/>
  <c r="E13860" i="13"/>
  <c r="E12554" i="13"/>
  <c r="E11718" i="13"/>
  <c r="E11066" i="13"/>
  <c r="E10521" i="13"/>
  <c r="E10071" i="13"/>
  <c r="E9675" i="13"/>
  <c r="E9303" i="13"/>
  <c r="E8986" i="13"/>
  <c r="E8701" i="13"/>
  <c r="E8428" i="13"/>
  <c r="E8155" i="13"/>
  <c r="E13239" i="13"/>
  <c r="E12205" i="13"/>
  <c r="E11453" i="13"/>
  <c r="E10853" i="13"/>
  <c r="E10336" i="13"/>
  <c r="E9920" i="13"/>
  <c r="E9524" i="13"/>
  <c r="E9178" i="13"/>
  <c r="E8875" i="13"/>
  <c r="E8598" i="13"/>
  <c r="E13937" i="13"/>
  <c r="E12600" i="13"/>
  <c r="E11752" i="13"/>
  <c r="E11097" i="13"/>
  <c r="E10544" i="13"/>
  <c r="E10089" i="13"/>
  <c r="E9693" i="13"/>
  <c r="E9319" i="13"/>
  <c r="E9000" i="13"/>
  <c r="E8714" i="13"/>
  <c r="E8441" i="13"/>
  <c r="E8168" i="13"/>
  <c r="E7898" i="13"/>
  <c r="E14539" i="13"/>
  <c r="E12389" i="13"/>
  <c r="E11306" i="13"/>
  <c r="E10480" i="13"/>
  <c r="E9858" i="13"/>
  <c r="E9308" i="13"/>
  <c r="E8856" i="13"/>
  <c r="E8456" i="13"/>
  <c r="E8091" i="13"/>
  <c r="E7766" i="13"/>
  <c r="E7465" i="13"/>
  <c r="E7173" i="13"/>
  <c r="E6881" i="13"/>
  <c r="E6587" i="13"/>
  <c r="E6298" i="13"/>
  <c r="E6042" i="13"/>
  <c r="E5786" i="13"/>
  <c r="E5530" i="13"/>
  <c r="E5274" i="13"/>
  <c r="E5018" i="13"/>
  <c r="E4762" i="13"/>
  <c r="E4506" i="13"/>
  <c r="E12639" i="13"/>
  <c r="E11467" i="13"/>
  <c r="E10629" i="13"/>
  <c r="E9965" i="13"/>
  <c r="E9397" i="13"/>
  <c r="E8937" i="13"/>
  <c r="E8529" i="13"/>
  <c r="E8159" i="13"/>
  <c r="E7825" i="13"/>
  <c r="E7518" i="13"/>
  <c r="E7226" i="13"/>
  <c r="E6934" i="13"/>
  <c r="E6642" i="13"/>
  <c r="E6348" i="13"/>
  <c r="E6089" i="13"/>
  <c r="E5833" i="13"/>
  <c r="E5577" i="13"/>
  <c r="E12638" i="13"/>
  <c r="E11466" i="13"/>
  <c r="E10614" i="13"/>
  <c r="E9960" i="13"/>
  <c r="E9396" i="13"/>
  <c r="E8936" i="13"/>
  <c r="E8528" i="13"/>
  <c r="E8154" i="13"/>
  <c r="E7822" i="13"/>
  <c r="E7517" i="13"/>
  <c r="E7225" i="13"/>
  <c r="E6933" i="13"/>
  <c r="E6641" i="13"/>
  <c r="E6347" i="13"/>
  <c r="E6088" i="13"/>
  <c r="E12722" i="13"/>
  <c r="E11522" i="13"/>
  <c r="E10664" i="13"/>
  <c r="E10002" i="13"/>
  <c r="E9425" i="13"/>
  <c r="E8960" i="13"/>
  <c r="E8553" i="13"/>
  <c r="E8178" i="13"/>
  <c r="E7842" i="13"/>
  <c r="E7534" i="13"/>
  <c r="E7242" i="13"/>
  <c r="E6950" i="13"/>
  <c r="E6658" i="13"/>
  <c r="E12523" i="13"/>
  <c r="E11398" i="13"/>
  <c r="E10563" i="13"/>
  <c r="E9917" i="13"/>
  <c r="E9356" i="13"/>
  <c r="E8902" i="13"/>
  <c r="E8500" i="13"/>
  <c r="E8128" i="13"/>
  <c r="E7798" i="13"/>
  <c r="E7495" i="13"/>
  <c r="E7203" i="13"/>
  <c r="E6909" i="13"/>
  <c r="E6617" i="13"/>
  <c r="E6326" i="13"/>
  <c r="E6068" i="13"/>
  <c r="E5812" i="13"/>
  <c r="E14820" i="13"/>
  <c r="E14599" i="13"/>
  <c r="E14566" i="13"/>
  <c r="E14773" i="13"/>
  <c r="E14397" i="13"/>
  <c r="E13981" i="13"/>
  <c r="E13645" i="13"/>
  <c r="E14580" i="13"/>
  <c r="E14236" i="13"/>
  <c r="E14671" i="13"/>
  <c r="E14315" i="13"/>
  <c r="E14458" i="13"/>
  <c r="E14735" i="13"/>
  <c r="E14178" i="13"/>
  <c r="E14422" i="13"/>
  <c r="E14011" i="13"/>
  <c r="E13567" i="13"/>
  <c r="E13225" i="13"/>
  <c r="E14555" i="13"/>
  <c r="E14728" i="13"/>
  <c r="E14399" i="13"/>
  <c r="E13990" i="13"/>
  <c r="E14374" i="13"/>
  <c r="E13897" i="13"/>
  <c r="E13438" i="13"/>
  <c r="E13062" i="13"/>
  <c r="E12723" i="13"/>
  <c r="E12307" i="13"/>
  <c r="E14238" i="13"/>
  <c r="E13707" i="13"/>
  <c r="E13334" i="13"/>
  <c r="E14456" i="13"/>
  <c r="E13953" i="13"/>
  <c r="E13470" i="13"/>
  <c r="E14431" i="13"/>
  <c r="E14452" i="13"/>
  <c r="E13929" i="13"/>
  <c r="E13538" i="13"/>
  <c r="E14069" i="13"/>
  <c r="E13536" i="13"/>
  <c r="E13007" i="13"/>
  <c r="E12649" i="13"/>
  <c r="E12210" i="13"/>
  <c r="E11874" i="13"/>
  <c r="E14564" i="13"/>
  <c r="E13852" i="13"/>
  <c r="E13274" i="13"/>
  <c r="E12870" i="13"/>
  <c r="E12511" i="13"/>
  <c r="E14039" i="13"/>
  <c r="E13510" i="13"/>
  <c r="E12988" i="13"/>
  <c r="E14420" i="13"/>
  <c r="E13655" i="13"/>
  <c r="E14454" i="13"/>
  <c r="E13674" i="13"/>
  <c r="E13208" i="13"/>
  <c r="E12762" i="13"/>
  <c r="E13921" i="13"/>
  <c r="E13227" i="13"/>
  <c r="E12630" i="13"/>
  <c r="E12236" i="13"/>
  <c r="E11792" i="13"/>
  <c r="E11441" i="13"/>
  <c r="E11025" i="13"/>
  <c r="E10689" i="13"/>
  <c r="E14574" i="13"/>
  <c r="E13626" i="13"/>
  <c r="E12930" i="13"/>
  <c r="E12473" i="13"/>
  <c r="E12099" i="13"/>
  <c r="E11655" i="13"/>
  <c r="E11312" i="13"/>
  <c r="E14390" i="13"/>
  <c r="E13521" i="13"/>
  <c r="E12840" i="13"/>
  <c r="E12414" i="13"/>
  <c r="E11961" i="13"/>
  <c r="E11603" i="13"/>
  <c r="E13918" i="13"/>
  <c r="E13200" i="13"/>
  <c r="E12708" i="13"/>
  <c r="E12216" i="13"/>
  <c r="E14797" i="13"/>
  <c r="E13547" i="13"/>
  <c r="E12969" i="13"/>
  <c r="E12429" i="13"/>
  <c r="E12059" i="13"/>
  <c r="E13682" i="13"/>
  <c r="E12838" i="13"/>
  <c r="E12141" i="13"/>
  <c r="E11642" i="13"/>
  <c r="E11239" i="13"/>
  <c r="E10779" i="13"/>
  <c r="E10421" i="13"/>
  <c r="E9999" i="13"/>
  <c r="E9663" i="13"/>
  <c r="E9247" i="13"/>
  <c r="E13527" i="13"/>
  <c r="E12594" i="13"/>
  <c r="E12040" i="13"/>
  <c r="E11496" i="13"/>
  <c r="E11092" i="13"/>
  <c r="E10727" i="13"/>
  <c r="E10286" i="13"/>
  <c r="E13941" i="13"/>
  <c r="E12831" i="13"/>
  <c r="E12239" i="13"/>
  <c r="E11640" i="13"/>
  <c r="E11237" i="13"/>
  <c r="E10777" i="13"/>
  <c r="E14179" i="13"/>
  <c r="E12996" i="13"/>
  <c r="E12337" i="13"/>
  <c r="E11828" i="13"/>
  <c r="E11308" i="13"/>
  <c r="E10964" i="13"/>
  <c r="E13815" i="13"/>
  <c r="E13102" i="13"/>
  <c r="E12584" i="13"/>
  <c r="E12157" i="13"/>
  <c r="E11781" i="13"/>
  <c r="E11451" i="13"/>
  <c r="E11159" i="13"/>
  <c r="E10875" i="13"/>
  <c r="E10602" i="13"/>
  <c r="E10329" i="13"/>
  <c r="E13740" i="13"/>
  <c r="E12797" i="13"/>
  <c r="E12154" i="13"/>
  <c r="E11626" i="13"/>
  <c r="E11186" i="13"/>
  <c r="E10783" i="13"/>
  <c r="E10428" i="13"/>
  <c r="E10118" i="13"/>
  <c r="E9845" i="13"/>
  <c r="E9572" i="13"/>
  <c r="E9299" i="13"/>
  <c r="E9038" i="13"/>
  <c r="E8782" i="13"/>
  <c r="E8526" i="13"/>
  <c r="E8270" i="13"/>
  <c r="E8014" i="13"/>
  <c r="E13646" i="13"/>
  <c r="E12748" i="13"/>
  <c r="E12120" i="13"/>
  <c r="E11591" i="13"/>
  <c r="E11155" i="13"/>
  <c r="E10758" i="13"/>
  <c r="E10407" i="13"/>
  <c r="E10100" i="13"/>
  <c r="E9827" i="13"/>
  <c r="E9554" i="13"/>
  <c r="E9281" i="13"/>
  <c r="E9021" i="13"/>
  <c r="E14481" i="13"/>
  <c r="E13192" i="13"/>
  <c r="E12457" i="13"/>
  <c r="E11864" i="13"/>
  <c r="E11391" i="13"/>
  <c r="E10970" i="13"/>
  <c r="E10598" i="13"/>
  <c r="E10262" i="13"/>
  <c r="E9979" i="13"/>
  <c r="E9706" i="13"/>
  <c r="E9433" i="13"/>
  <c r="E13496" i="13"/>
  <c r="E12657" i="13"/>
  <c r="E12037" i="13"/>
  <c r="E11527" i="13"/>
  <c r="E11098" i="13"/>
  <c r="E10712" i="13"/>
  <c r="E10361" i="13"/>
  <c r="E10064" i="13"/>
  <c r="E9790" i="13"/>
  <c r="E9517" i="13"/>
  <c r="E13345" i="13"/>
  <c r="E12568" i="13"/>
  <c r="E11956" i="13"/>
  <c r="E11465" i="13"/>
  <c r="E11042" i="13"/>
  <c r="E10662" i="13"/>
  <c r="E10316" i="13"/>
  <c r="E10026" i="13"/>
  <c r="E9753" i="13"/>
  <c r="E9480" i="13"/>
  <c r="E9208" i="13"/>
  <c r="E13863" i="13"/>
  <c r="E12556" i="13"/>
  <c r="E11727" i="13"/>
  <c r="E11079" i="13"/>
  <c r="E10525" i="13"/>
  <c r="E10073" i="13"/>
  <c r="E9677" i="13"/>
  <c r="E9305" i="13"/>
  <c r="E8988" i="13"/>
  <c r="E8704" i="13"/>
  <c r="E8431" i="13"/>
  <c r="E8157" i="13"/>
  <c r="E7888" i="13"/>
  <c r="E7632" i="13"/>
  <c r="E7376" i="13"/>
  <c r="E7120" i="13"/>
  <c r="E6864" i="13"/>
  <c r="E6608" i="13"/>
  <c r="E6352" i="13"/>
  <c r="E13166" i="13"/>
  <c r="E12159" i="13"/>
  <c r="E11426" i="13"/>
  <c r="E10819" i="13"/>
  <c r="E10311" i="13"/>
  <c r="E9899" i="13"/>
  <c r="E9500" i="13"/>
  <c r="E9161" i="13"/>
  <c r="E8859" i="13"/>
  <c r="E8583" i="13"/>
  <c r="E8310" i="13"/>
  <c r="E8037" i="13"/>
  <c r="E7775" i="13"/>
  <c r="E7519" i="13"/>
  <c r="E7263" i="13"/>
  <c r="E7007" i="13"/>
  <c r="E6751" i="13"/>
  <c r="E6495" i="13"/>
  <c r="E13748" i="13"/>
  <c r="E12488" i="13"/>
  <c r="E11669" i="13"/>
  <c r="E11030" i="13"/>
  <c r="E10494" i="13"/>
  <c r="E10044" i="13"/>
  <c r="E9648" i="13"/>
  <c r="E9283" i="13"/>
  <c r="E8968" i="13"/>
  <c r="E8684" i="13"/>
  <c r="E8411" i="13"/>
  <c r="E8138" i="13"/>
  <c r="E13162" i="13"/>
  <c r="E12156" i="13"/>
  <c r="E11413" i="13"/>
  <c r="E10816" i="13"/>
  <c r="E10309" i="13"/>
  <c r="E9897" i="13"/>
  <c r="E9498" i="13"/>
  <c r="E9158" i="13"/>
  <c r="E8857" i="13"/>
  <c r="E8581" i="13"/>
  <c r="E13824" i="13"/>
  <c r="E12542" i="13"/>
  <c r="E11704" i="13"/>
  <c r="E11061" i="13"/>
  <c r="E10516" i="13"/>
  <c r="E10062" i="13"/>
  <c r="E9666" i="13"/>
  <c r="E9297" i="13"/>
  <c r="E8982" i="13"/>
  <c r="E8697" i="13"/>
  <c r="E8424" i="13"/>
  <c r="E8151" i="13"/>
  <c r="E7882" i="13"/>
  <c r="E14292" i="13"/>
  <c r="E12309" i="13"/>
  <c r="E11245" i="13"/>
  <c r="E10441" i="13"/>
  <c r="E9829" i="13"/>
  <c r="E9274" i="13"/>
  <c r="E8832" i="13"/>
  <c r="E8434" i="13"/>
  <c r="E8069" i="13"/>
  <c r="E7747" i="13"/>
  <c r="E7447" i="13"/>
  <c r="E7155" i="13"/>
  <c r="E6861" i="13"/>
  <c r="E6569" i="13"/>
  <c r="E6282" i="13"/>
  <c r="E6026" i="13"/>
  <c r="E5770" i="13"/>
  <c r="E5514" i="13"/>
  <c r="E5258" i="13"/>
  <c r="E5002" i="13"/>
  <c r="E4746" i="13"/>
  <c r="E4490" i="13"/>
  <c r="E12559" i="13"/>
  <c r="E11410" i="13"/>
  <c r="E10570" i="13"/>
  <c r="E9932" i="13"/>
  <c r="E9370" i="13"/>
  <c r="E8907" i="13"/>
  <c r="E8505" i="13"/>
  <c r="E8133" i="13"/>
  <c r="E7804" i="13"/>
  <c r="E7500" i="13"/>
  <c r="E7208" i="13"/>
  <c r="E6916" i="13"/>
  <c r="E6622" i="13"/>
  <c r="E6331" i="13"/>
  <c r="E6073" i="13"/>
  <c r="E5817" i="13"/>
  <c r="E5561" i="13"/>
  <c r="E12558" i="13"/>
  <c r="E11406" i="13"/>
  <c r="E10567" i="13"/>
  <c r="E9931" i="13"/>
  <c r="E9363" i="13"/>
  <c r="E8906" i="13"/>
  <c r="E8504" i="13"/>
  <c r="E8132" i="13"/>
  <c r="E7803" i="13"/>
  <c r="E7499" i="13"/>
  <c r="E7207" i="13"/>
  <c r="E6915" i="13"/>
  <c r="E6621" i="13"/>
  <c r="E6330" i="13"/>
  <c r="E6072" i="13"/>
  <c r="E12637" i="13"/>
  <c r="E11464" i="13"/>
  <c r="E10613" i="13"/>
  <c r="E9959" i="13"/>
  <c r="E9394" i="13"/>
  <c r="E8935" i="13"/>
  <c r="E8525" i="13"/>
  <c r="E8153" i="13"/>
  <c r="E7821" i="13"/>
  <c r="E7516" i="13"/>
  <c r="E7224" i="13"/>
  <c r="E6932" i="13"/>
  <c r="E14721" i="13"/>
  <c r="E12445" i="13"/>
  <c r="E11335" i="13"/>
  <c r="E10514" i="13"/>
  <c r="E9883" i="13"/>
  <c r="E9329" i="13"/>
  <c r="E8873" i="13"/>
  <c r="E8472" i="13"/>
  <c r="E8103" i="13"/>
  <c r="E7779" i="13"/>
  <c r="E7477" i="13"/>
  <c r="E7185" i="13"/>
  <c r="E6891" i="13"/>
  <c r="E6599" i="13"/>
  <c r="E6309" i="13"/>
  <c r="E6052" i="13"/>
  <c r="E14804" i="13"/>
  <c r="E14583" i="13"/>
  <c r="E14534" i="13"/>
  <c r="E14752" i="13"/>
  <c r="E14317" i="13"/>
  <c r="E13965" i="13"/>
  <c r="E13629" i="13"/>
  <c r="E14562" i="13"/>
  <c r="E14220" i="13"/>
  <c r="E14653" i="13"/>
  <c r="E14299" i="13"/>
  <c r="E14442" i="13"/>
  <c r="E14705" i="13"/>
  <c r="E14142" i="13"/>
  <c r="E14402" i="13"/>
  <c r="E13925" i="13"/>
  <c r="E13550" i="13"/>
  <c r="E13209" i="13"/>
  <c r="E14531" i="13"/>
  <c r="E14702" i="13"/>
  <c r="E14375" i="13"/>
  <c r="E13973" i="13"/>
  <c r="E14350" i="13"/>
  <c r="E13878" i="13"/>
  <c r="E13404" i="13"/>
  <c r="E13045" i="13"/>
  <c r="E12643" i="13"/>
  <c r="E12291" i="13"/>
  <c r="E14209" i="13"/>
  <c r="E13689" i="13"/>
  <c r="E13317" i="13"/>
  <c r="E14432" i="13"/>
  <c r="E13934" i="13"/>
  <c r="E13453" i="13"/>
  <c r="E14400" i="13"/>
  <c r="E14392" i="13"/>
  <c r="E13910" i="13"/>
  <c r="E13448" i="13"/>
  <c r="E14041" i="13"/>
  <c r="E13512" i="13"/>
  <c r="E12990" i="13"/>
  <c r="E12632" i="13"/>
  <c r="E12194" i="13"/>
  <c r="E11858" i="13"/>
  <c r="E14513" i="13"/>
  <c r="E13828" i="13"/>
  <c r="E13235" i="13"/>
  <c r="E12853" i="13"/>
  <c r="E12426" i="13"/>
  <c r="E14009" i="13"/>
  <c r="E13484" i="13"/>
  <c r="E12971" i="13"/>
  <c r="E14386" i="13"/>
  <c r="E13627" i="13"/>
  <c r="E14416" i="13"/>
  <c r="E13648" i="13"/>
  <c r="E13189" i="13"/>
  <c r="E12728" i="13"/>
  <c r="E13886" i="13"/>
  <c r="E13101" i="13"/>
  <c r="E12610" i="13"/>
  <c r="E12219" i="13"/>
  <c r="E11775" i="13"/>
  <c r="E11425" i="13"/>
  <c r="E11009" i="13"/>
  <c r="E10673" i="13"/>
  <c r="E14521" i="13"/>
  <c r="E13593" i="13"/>
  <c r="E12885" i="13"/>
  <c r="E12454" i="13"/>
  <c r="E12013" i="13"/>
  <c r="E11638" i="13"/>
  <c r="E11296" i="13"/>
  <c r="E14326" i="13"/>
  <c r="E13491" i="13"/>
  <c r="E12815" i="13"/>
  <c r="E12395" i="13"/>
  <c r="E11944" i="13"/>
  <c r="E11585" i="13"/>
  <c r="E13842" i="13"/>
  <c r="E13171" i="13"/>
  <c r="E12607" i="13"/>
  <c r="E12199" i="13"/>
  <c r="E14708" i="13"/>
  <c r="E13514" i="13"/>
  <c r="E12946" i="13"/>
  <c r="E12408" i="13"/>
  <c r="E12042" i="13"/>
  <c r="E13638" i="13"/>
  <c r="E12806" i="13"/>
  <c r="E12091" i="13"/>
  <c r="E11619" i="13"/>
  <c r="E11147" i="13"/>
  <c r="E10762" i="13"/>
  <c r="E10404" i="13"/>
  <c r="E9983" i="13"/>
  <c r="E9647" i="13"/>
  <c r="E9231" i="13"/>
  <c r="E13473" i="13"/>
  <c r="E12565" i="13"/>
  <c r="E12017" i="13"/>
  <c r="E11458" i="13"/>
  <c r="E11074" i="13"/>
  <c r="E10642" i="13"/>
  <c r="E10270" i="13"/>
  <c r="E13889" i="13"/>
  <c r="E12804" i="13"/>
  <c r="E12212" i="13"/>
  <c r="E11616" i="13"/>
  <c r="E11219" i="13"/>
  <c r="E10760" i="13"/>
  <c r="E14107" i="13"/>
  <c r="E12934" i="13"/>
  <c r="E12313" i="13"/>
  <c r="E11720" i="13"/>
  <c r="E11290" i="13"/>
  <c r="E10947" i="13"/>
  <c r="E13764" i="13"/>
  <c r="E13058" i="13"/>
  <c r="E12557" i="13"/>
  <c r="E12135" i="13"/>
  <c r="E11760" i="13"/>
  <c r="E11433" i="13"/>
  <c r="E11141" i="13"/>
  <c r="E10858" i="13"/>
  <c r="E10585" i="13"/>
  <c r="E10313" i="13"/>
  <c r="E13649" i="13"/>
  <c r="E12756" i="13"/>
  <c r="E12121" i="13"/>
  <c r="E11593" i="13"/>
  <c r="E11156" i="13"/>
  <c r="E10759" i="13"/>
  <c r="E10408" i="13"/>
  <c r="E10101" i="13"/>
  <c r="E9828" i="13"/>
  <c r="E9555" i="13"/>
  <c r="E9282" i="13"/>
  <c r="E9022" i="13"/>
  <c r="E8766" i="13"/>
  <c r="E8510" i="13"/>
  <c r="E8254" i="13"/>
  <c r="E7998" i="13"/>
  <c r="E13577" i="13"/>
  <c r="E12702" i="13"/>
  <c r="E12077" i="13"/>
  <c r="E11562" i="13"/>
  <c r="E11130" i="13"/>
  <c r="E10735" i="13"/>
  <c r="E10384" i="13"/>
  <c r="E10083" i="13"/>
  <c r="E9810" i="13"/>
  <c r="E9537" i="13"/>
  <c r="E9264" i="13"/>
  <c r="E9005" i="13"/>
  <c r="E14366" i="13"/>
  <c r="E13135" i="13"/>
  <c r="E12407" i="13"/>
  <c r="E11835" i="13"/>
  <c r="E11368" i="13"/>
  <c r="E10942" i="13"/>
  <c r="E10576" i="13"/>
  <c r="E10243" i="13"/>
  <c r="E9962" i="13"/>
  <c r="E9689" i="13"/>
  <c r="E9416" i="13"/>
  <c r="E13429" i="13"/>
  <c r="E12613" i="13"/>
  <c r="E12003" i="13"/>
  <c r="E11500" i="13"/>
  <c r="E11069" i="13"/>
  <c r="E10686" i="13"/>
  <c r="E10341" i="13"/>
  <c r="E10046" i="13"/>
  <c r="E9773" i="13"/>
  <c r="E14780" i="13"/>
  <c r="E13288" i="13"/>
  <c r="E12522" i="13"/>
  <c r="E11924" i="13"/>
  <c r="E11442" i="13"/>
  <c r="E11012" i="13"/>
  <c r="E10637" i="13"/>
  <c r="E10296" i="13"/>
  <c r="E10009" i="13"/>
  <c r="E9736" i="13"/>
  <c r="E9463" i="13"/>
  <c r="E9192" i="13"/>
  <c r="E13755" i="13"/>
  <c r="E12502" i="13"/>
  <c r="E11675" i="13"/>
  <c r="E11033" i="13"/>
  <c r="E10496" i="13"/>
  <c r="E10051" i="13"/>
  <c r="E9650" i="13"/>
  <c r="E9285" i="13"/>
  <c r="E8970" i="13"/>
  <c r="E8687" i="13"/>
  <c r="E8413" i="13"/>
  <c r="E8140" i="13"/>
  <c r="E7872" i="13"/>
  <c r="E7616" i="13"/>
  <c r="E7360" i="13"/>
  <c r="E7104" i="13"/>
  <c r="E6848" i="13"/>
  <c r="E6592" i="13"/>
  <c r="E6336" i="13"/>
  <c r="E13090" i="13"/>
  <c r="E12105" i="13"/>
  <c r="E11380" i="13"/>
  <c r="E10788" i="13"/>
  <c r="E10285" i="13"/>
  <c r="E9872" i="13"/>
  <c r="E9478" i="13"/>
  <c r="E9141" i="13"/>
  <c r="E8841" i="13"/>
  <c r="E8566" i="13"/>
  <c r="E8293" i="13"/>
  <c r="E8020" i="13"/>
  <c r="E7759" i="13"/>
  <c r="E7503" i="13"/>
  <c r="E7247" i="13"/>
  <c r="E6991" i="13"/>
  <c r="E6735" i="13"/>
  <c r="E6479" i="13"/>
  <c r="E13639" i="13"/>
  <c r="E12431" i="13"/>
  <c r="E11629" i="13"/>
  <c r="E10990" i="13"/>
  <c r="E10460" i="13"/>
  <c r="E10021" i="13"/>
  <c r="E9625" i="13"/>
  <c r="E9260" i="13"/>
  <c r="E8950" i="13"/>
  <c r="E8667" i="13"/>
  <c r="E8394" i="13"/>
  <c r="E8121" i="13"/>
  <c r="E13083" i="13"/>
  <c r="E12102" i="13"/>
  <c r="E11375" i="13"/>
  <c r="E10786" i="13"/>
  <c r="E10278" i="13"/>
  <c r="E9869" i="13"/>
  <c r="E9476" i="13"/>
  <c r="E9139" i="13"/>
  <c r="E8839" i="13"/>
  <c r="E8564" i="13"/>
  <c r="E13712" i="13"/>
  <c r="E12475" i="13"/>
  <c r="E11664" i="13"/>
  <c r="E11026" i="13"/>
  <c r="E10482" i="13"/>
  <c r="E10039" i="13"/>
  <c r="E9643" i="13"/>
  <c r="E9276" i="13"/>
  <c r="E8964" i="13"/>
  <c r="E8680" i="13"/>
  <c r="E8407" i="13"/>
  <c r="E8134" i="13"/>
  <c r="E7866" i="13"/>
  <c r="E14062" i="13"/>
  <c r="E12232" i="13"/>
  <c r="E11193" i="13"/>
  <c r="E10394" i="13"/>
  <c r="E9785" i="13"/>
  <c r="E9249" i="13"/>
  <c r="E8807" i="13"/>
  <c r="E8408" i="13"/>
  <c r="E8048" i="13"/>
  <c r="E7726" i="13"/>
  <c r="E7429" i="13"/>
  <c r="E7137" i="13"/>
  <c r="E6843" i="13"/>
  <c r="E6551" i="13"/>
  <c r="E6266" i="13"/>
  <c r="E6010" i="13"/>
  <c r="E5754" i="13"/>
  <c r="E5498" i="13"/>
  <c r="E5242" i="13"/>
  <c r="E4986" i="13"/>
  <c r="E4730" i="13"/>
  <c r="E14859" i="13"/>
  <c r="E12466" i="13"/>
  <c r="E11355" i="13"/>
  <c r="E10528" i="13"/>
  <c r="E9891" i="13"/>
  <c r="E9336" i="13"/>
  <c r="E8884" i="13"/>
  <c r="E8483" i="13"/>
  <c r="E8112" i="13"/>
  <c r="E7784" i="13"/>
  <c r="E7482" i="13"/>
  <c r="E7190" i="13"/>
  <c r="E6898" i="13"/>
  <c r="E6604" i="13"/>
  <c r="E6314" i="13"/>
  <c r="E6057" i="13"/>
  <c r="E5801" i="13"/>
  <c r="E14858" i="13"/>
  <c r="E12465" i="13"/>
  <c r="E11354" i="13"/>
  <c r="E10527" i="13"/>
  <c r="E9888" i="13"/>
  <c r="E9335" i="13"/>
  <c r="E8883" i="13"/>
  <c r="E8477" i="13"/>
  <c r="E8111" i="13"/>
  <c r="E7783" i="13"/>
  <c r="E7481" i="13"/>
  <c r="E7189" i="13"/>
  <c r="E6897" i="13"/>
  <c r="E6603" i="13"/>
  <c r="E6313" i="13"/>
  <c r="E6056" i="13"/>
  <c r="E12548" i="13"/>
  <c r="E11405" i="13"/>
  <c r="E10566" i="13"/>
  <c r="E9926" i="13"/>
  <c r="E9362" i="13"/>
  <c r="E8905" i="13"/>
  <c r="E8503" i="13"/>
  <c r="E8131" i="13"/>
  <c r="E7801" i="13"/>
  <c r="E7498" i="13"/>
  <c r="E7206" i="13"/>
  <c r="E6914" i="13"/>
  <c r="E14464" i="13"/>
  <c r="E12352" i="13"/>
  <c r="E11282" i="13"/>
  <c r="E10474" i="13"/>
  <c r="E9846" i="13"/>
  <c r="E9294" i="13"/>
  <c r="E8849" i="13"/>
  <c r="E8450" i="13"/>
  <c r="E8082" i="13"/>
  <c r="E7758" i="13"/>
  <c r="E7459" i="13"/>
  <c r="E7165" i="13"/>
  <c r="E6873" i="13"/>
  <c r="E6581" i="13"/>
  <c r="E6292" i="13"/>
  <c r="E6036" i="13"/>
  <c r="E14878" i="13"/>
  <c r="E14535" i="13"/>
  <c r="E14857" i="13"/>
  <c r="E14693" i="13"/>
  <c r="E14253" i="13"/>
  <c r="E13917" i="13"/>
  <c r="E13501" i="13"/>
  <c r="E14508" i="13"/>
  <c r="E14092" i="13"/>
  <c r="E14597" i="13"/>
  <c r="E14790" i="13"/>
  <c r="E14394" i="13"/>
  <c r="E14629" i="13"/>
  <c r="E14842" i="13"/>
  <c r="E14338" i="13"/>
  <c r="E13857" i="13"/>
  <c r="E13498" i="13"/>
  <c r="E13081" i="13"/>
  <c r="E14465" i="13"/>
  <c r="E14807" i="13"/>
  <c r="E14311" i="13"/>
  <c r="E13854" i="13"/>
  <c r="E14262" i="13"/>
  <c r="E13818" i="13"/>
  <c r="E13352" i="13"/>
  <c r="E12995" i="13"/>
  <c r="E12579" i="13"/>
  <c r="E14767" i="13"/>
  <c r="E14036" i="13"/>
  <c r="E13634" i="13"/>
  <c r="E13181" i="13"/>
  <c r="E14344" i="13"/>
  <c r="E13797" i="13"/>
  <c r="E13402" i="13"/>
  <c r="E14312" i="13"/>
  <c r="E14308" i="13"/>
  <c r="E13850" i="13"/>
  <c r="E14779" i="13"/>
  <c r="E13961" i="13"/>
  <c r="E13332" i="13"/>
  <c r="E12939" i="13"/>
  <c r="E12495" i="13"/>
  <c r="E12146" i="13"/>
  <c r="E11746" i="13"/>
  <c r="E14388" i="13"/>
  <c r="E13752" i="13"/>
  <c r="E13175" i="13"/>
  <c r="E12801" i="13"/>
  <c r="E14716" i="13"/>
  <c r="E13930" i="13"/>
  <c r="E13311" i="13"/>
  <c r="E12920" i="13"/>
  <c r="E14090" i="13"/>
  <c r="E13555" i="13"/>
  <c r="E14149" i="13"/>
  <c r="E13575" i="13"/>
  <c r="E13132" i="13"/>
  <c r="E12677" i="13"/>
  <c r="E13770" i="13"/>
  <c r="E13000" i="13"/>
  <c r="E12553" i="13"/>
  <c r="E12083" i="13"/>
  <c r="E11724" i="13"/>
  <c r="E11297" i="13"/>
  <c r="E10961" i="13"/>
  <c r="E10561" i="13"/>
  <c r="E14327" i="13"/>
  <c r="E13492" i="13"/>
  <c r="E12816" i="13"/>
  <c r="E12396" i="13"/>
  <c r="E11945" i="13"/>
  <c r="E11587" i="13"/>
  <c r="E11168" i="13"/>
  <c r="E14168" i="13"/>
  <c r="E13251" i="13"/>
  <c r="E12752" i="13"/>
  <c r="E12268" i="13"/>
  <c r="E11893" i="13"/>
  <c r="E11535" i="13"/>
  <c r="E13733" i="13"/>
  <c r="E13092" i="13"/>
  <c r="E12530" i="13"/>
  <c r="E12148" i="13"/>
  <c r="E14200" i="13"/>
  <c r="E13409" i="13"/>
  <c r="E12766" i="13"/>
  <c r="E12353" i="13"/>
  <c r="E11923" i="13"/>
  <c r="E13474" i="13"/>
  <c r="E12714" i="13"/>
  <c r="E12019" i="13"/>
  <c r="E11558" i="13"/>
  <c r="E11075" i="13"/>
  <c r="E10711" i="13"/>
  <c r="E10271" i="13"/>
  <c r="E9935" i="13"/>
  <c r="E9519" i="13"/>
  <c r="E14633" i="13"/>
  <c r="E13185" i="13"/>
  <c r="E12481" i="13"/>
  <c r="E11941" i="13"/>
  <c r="E11402" i="13"/>
  <c r="E11018" i="13"/>
  <c r="E10573" i="13"/>
  <c r="E10222" i="13"/>
  <c r="E13469" i="13"/>
  <c r="E12706" i="13"/>
  <c r="E12016" i="13"/>
  <c r="E11556" i="13"/>
  <c r="E11091" i="13"/>
  <c r="E10709" i="13"/>
  <c r="E13940" i="13"/>
  <c r="E12829" i="13"/>
  <c r="E12238" i="13"/>
  <c r="E11636" i="13"/>
  <c r="E11236" i="13"/>
  <c r="E14847" i="13"/>
  <c r="E13611" i="13"/>
  <c r="E12960" i="13"/>
  <c r="E12470" i="13"/>
  <c r="E12057" i="13"/>
  <c r="E11696" i="13"/>
  <c r="E11379" i="13"/>
  <c r="E11085" i="13"/>
  <c r="E10807" i="13"/>
  <c r="E10534" i="13"/>
  <c r="E10265" i="13"/>
  <c r="E13435" i="13"/>
  <c r="E12624" i="13"/>
  <c r="E12006" i="13"/>
  <c r="E11506" i="13"/>
  <c r="E11078" i="13"/>
  <c r="E10691" i="13"/>
  <c r="E10344" i="13"/>
  <c r="E10050" i="13"/>
  <c r="E9777" i="13"/>
  <c r="E9504" i="13"/>
  <c r="E9230" i="13"/>
  <c r="E8974" i="13"/>
  <c r="E8718" i="13"/>
  <c r="E8462" i="13"/>
  <c r="E8206" i="13"/>
  <c r="E7950" i="13"/>
  <c r="E13363" i="13"/>
  <c r="E12577" i="13"/>
  <c r="E11972" i="13"/>
  <c r="E11474" i="13"/>
  <c r="E11047" i="13"/>
  <c r="E10667" i="13"/>
  <c r="E10323" i="13"/>
  <c r="E10032" i="13"/>
  <c r="E9758" i="13"/>
  <c r="E9485" i="13"/>
  <c r="E9213" i="13"/>
  <c r="E8957" i="13"/>
  <c r="E14043" i="13"/>
  <c r="E12983" i="13"/>
  <c r="E12296" i="13"/>
  <c r="E11742" i="13"/>
  <c r="E11285" i="13"/>
  <c r="E10871" i="13"/>
  <c r="E10510" i="13"/>
  <c r="E10187" i="13"/>
  <c r="E9911" i="13"/>
  <c r="E9638" i="13"/>
  <c r="E14623" i="13"/>
  <c r="E13242" i="13"/>
  <c r="E12489" i="13"/>
  <c r="E11898" i="13"/>
  <c r="E11416" i="13"/>
  <c r="E10991" i="13"/>
  <c r="E10618" i="13"/>
  <c r="E10280" i="13"/>
  <c r="E9995" i="13"/>
  <c r="E9722" i="13"/>
  <c r="E14323" i="13"/>
  <c r="E13126" i="13"/>
  <c r="E12402" i="13"/>
  <c r="E11823" i="13"/>
  <c r="E11357" i="13"/>
  <c r="E10938" i="13"/>
  <c r="E10569" i="13"/>
  <c r="E10237" i="13"/>
  <c r="E9958" i="13"/>
  <c r="E9685" i="13"/>
  <c r="E9412" i="13"/>
  <c r="E9144" i="13"/>
  <c r="E13443" i="13"/>
  <c r="E12326" i="13"/>
  <c r="E11544" i="13"/>
  <c r="E10925" i="13"/>
  <c r="E10402" i="13"/>
  <c r="E9973" i="13"/>
  <c r="E9577" i="13"/>
  <c r="E9221" i="13"/>
  <c r="E8916" i="13"/>
  <c r="E8635" i="13"/>
  <c r="E8362" i="13"/>
  <c r="E8089" i="13"/>
  <c r="E7824" i="13"/>
  <c r="E7568" i="13"/>
  <c r="E7312" i="13"/>
  <c r="E7056" i="13"/>
  <c r="E6800" i="13"/>
  <c r="E6544" i="13"/>
  <c r="E14674" i="13"/>
  <c r="E12875" i="13"/>
  <c r="E11951" i="13"/>
  <c r="E11267" i="13"/>
  <c r="E10685" i="13"/>
  <c r="E10199" i="13"/>
  <c r="E9799" i="13"/>
  <c r="E9410" i="13"/>
  <c r="E9082" i="13"/>
  <c r="E8788" i="13"/>
  <c r="E8515" i="13"/>
  <c r="E8242" i="13"/>
  <c r="E7969" i="13"/>
  <c r="E7711" i="13"/>
  <c r="E7455" i="13"/>
  <c r="E7199" i="13"/>
  <c r="E6943" i="13"/>
  <c r="E6687" i="13"/>
  <c r="E6431" i="13"/>
  <c r="E13324" i="13"/>
  <c r="E12271" i="13"/>
  <c r="E11498" i="13"/>
  <c r="E10885" i="13"/>
  <c r="E10372" i="13"/>
  <c r="E9948" i="13"/>
  <c r="E9547" i="13"/>
  <c r="E9200" i="13"/>
  <c r="E8896" i="13"/>
  <c r="E8616" i="13"/>
  <c r="E8343" i="13"/>
  <c r="E14594" i="13"/>
  <c r="E12865" i="13"/>
  <c r="E11949" i="13"/>
  <c r="E11263" i="13"/>
  <c r="E10682" i="13"/>
  <c r="E10197" i="13"/>
  <c r="E9797" i="13"/>
  <c r="E9408" i="13"/>
  <c r="E9079" i="13"/>
  <c r="E8786" i="13"/>
  <c r="E8513" i="13"/>
  <c r="E13398" i="13"/>
  <c r="E12306" i="13"/>
  <c r="E11526" i="13"/>
  <c r="E10908" i="13"/>
  <c r="E10393" i="13"/>
  <c r="E9966" i="13"/>
  <c r="E9566" i="13"/>
  <c r="E9215" i="13"/>
  <c r="E8908" i="13"/>
  <c r="E8629" i="13"/>
  <c r="E8356" i="13"/>
  <c r="E8083" i="13"/>
  <c r="E7818" i="13"/>
  <c r="E13551" i="13"/>
  <c r="E12010" i="13"/>
  <c r="E11015" i="13"/>
  <c r="E10268" i="13"/>
  <c r="E9681" i="13"/>
  <c r="E9157" i="13"/>
  <c r="E8729" i="13"/>
  <c r="E8340" i="13"/>
  <c r="E7985" i="13"/>
  <c r="E7668" i="13"/>
  <c r="E7373" i="13"/>
  <c r="E7081" i="13"/>
  <c r="E6789" i="13"/>
  <c r="E6497" i="13"/>
  <c r="E6218" i="13"/>
  <c r="E5962" i="13"/>
  <c r="E5706" i="13"/>
  <c r="E5450" i="13"/>
  <c r="E5194" i="13"/>
  <c r="E4938" i="13"/>
  <c r="E4682" i="13"/>
  <c r="E14024" i="13"/>
  <c r="E12229" i="13"/>
  <c r="E11192" i="13"/>
  <c r="E10392" i="13"/>
  <c r="E9784" i="13"/>
  <c r="E9245" i="13"/>
  <c r="E8802" i="13"/>
  <c r="E8406" i="13"/>
  <c r="E8047" i="13"/>
  <c r="E7725" i="13"/>
  <c r="E7428" i="13"/>
  <c r="E7134" i="13"/>
  <c r="E6842" i="13"/>
  <c r="E6550" i="13"/>
  <c r="E6265" i="13"/>
  <c r="E6009" i="13"/>
  <c r="E5753" i="13"/>
  <c r="E14022" i="13"/>
  <c r="E12228" i="13"/>
  <c r="E11187" i="13"/>
  <c r="E10391" i="13"/>
  <c r="E9783" i="13"/>
  <c r="E9244" i="13"/>
  <c r="E8801" i="13"/>
  <c r="E8405" i="13"/>
  <c r="E8045" i="13"/>
  <c r="E7724" i="13"/>
  <c r="E7427" i="13"/>
  <c r="E7133" i="13"/>
  <c r="E6841" i="13"/>
  <c r="E6549" i="13"/>
  <c r="E6264" i="13"/>
  <c r="E14201" i="13"/>
  <c r="E12294" i="13"/>
  <c r="E11242" i="13"/>
  <c r="E10436" i="13"/>
  <c r="E9815" i="13"/>
  <c r="E9271" i="13"/>
  <c r="E8827" i="13"/>
  <c r="E8426" i="13"/>
  <c r="E8065" i="13"/>
  <c r="E7742" i="13"/>
  <c r="E7444" i="13"/>
  <c r="E7150" i="13"/>
  <c r="E6858" i="13"/>
  <c r="E13814" i="13"/>
  <c r="E12126" i="13"/>
  <c r="E11116" i="13"/>
  <c r="E10332" i="13"/>
  <c r="E9735" i="13"/>
  <c r="E9206" i="13"/>
  <c r="E8773" i="13"/>
  <c r="E8376" i="13"/>
  <c r="E8019" i="13"/>
  <c r="E7700" i="13"/>
  <c r="E7403" i="13"/>
  <c r="E7111" i="13"/>
  <c r="E6819" i="13"/>
  <c r="E6525" i="13"/>
  <c r="E6244" i="13"/>
  <c r="E5988" i="13"/>
  <c r="E14663" i="13"/>
  <c r="E14694" i="13"/>
  <c r="E14856" i="13"/>
  <c r="E14461" i="13"/>
  <c r="E14061" i="13"/>
  <c r="E13709" i="13"/>
  <c r="E14751" i="13"/>
  <c r="E14300" i="13"/>
  <c r="E14854" i="13"/>
  <c r="E14379" i="13"/>
  <c r="E14616" i="13"/>
  <c r="E14845" i="13"/>
  <c r="E14339" i="13"/>
  <c r="E14510" i="13"/>
  <c r="E14085" i="13"/>
  <c r="E13652" i="13"/>
  <c r="E13289" i="13"/>
  <c r="E14783" i="13"/>
  <c r="E14839" i="13"/>
  <c r="E14603" i="13"/>
  <c r="E14064" i="13"/>
  <c r="E14660" i="13"/>
  <c r="E13975" i="13"/>
  <c r="E13580" i="13"/>
  <c r="E13131" i="13"/>
  <c r="E12787" i="13"/>
  <c r="E12387" i="13"/>
  <c r="E14345" i="13"/>
  <c r="E13877" i="13"/>
  <c r="E13403" i="13"/>
  <c r="E14766" i="13"/>
  <c r="E14035" i="13"/>
  <c r="E13633" i="13"/>
  <c r="E14547" i="13"/>
  <c r="E14719" i="13"/>
  <c r="E14007" i="13"/>
  <c r="E13610" i="13"/>
  <c r="E14225" i="13"/>
  <c r="E13632" i="13"/>
  <c r="E13176" i="13"/>
  <c r="E12717" i="13"/>
  <c r="E12359" i="13"/>
  <c r="E11938" i="13"/>
  <c r="E11602" i="13"/>
  <c r="E13960" i="13"/>
  <c r="E13441" i="13"/>
  <c r="E12938" i="13"/>
  <c r="E12580" i="13"/>
  <c r="E14191" i="13"/>
  <c r="E13606" i="13"/>
  <c r="E13155" i="13"/>
  <c r="E14602" i="13"/>
  <c r="E13879" i="13"/>
  <c r="E14642" i="13"/>
  <c r="E13899" i="13"/>
  <c r="E13287" i="13"/>
  <c r="E12898" i="13"/>
  <c r="E14081" i="13"/>
  <c r="E13336" i="13"/>
  <c r="E12732" i="13"/>
  <c r="E12305" i="13"/>
  <c r="E11946" i="13"/>
  <c r="E11505" i="13"/>
  <c r="E11169" i="13"/>
  <c r="E10753" i="13"/>
  <c r="E10417" i="13"/>
  <c r="E13768" i="13"/>
  <c r="E13123" i="13"/>
  <c r="E12552" i="13"/>
  <c r="E12167" i="13"/>
  <c r="E11740" i="13"/>
  <c r="E11376" i="13"/>
  <c r="E11040" i="13"/>
  <c r="E13663" i="13"/>
  <c r="E13047" i="13"/>
  <c r="E12491" i="13"/>
  <c r="E12115" i="13"/>
  <c r="E11671" i="13"/>
  <c r="E14270" i="13"/>
  <c r="E13302" i="13"/>
  <c r="E12792" i="13"/>
  <c r="E12302" i="13"/>
  <c r="E11926" i="13"/>
  <c r="E13867" i="13"/>
  <c r="E13066" i="13"/>
  <c r="E12604" i="13"/>
  <c r="E12127" i="13"/>
  <c r="E14197" i="13"/>
  <c r="E12968" i="13"/>
  <c r="E12346" i="13"/>
  <c r="E11726" i="13"/>
  <c r="E11311" i="13"/>
  <c r="E10864" i="13"/>
  <c r="E10489" i="13"/>
  <c r="E10143" i="13"/>
  <c r="E9727" i="13"/>
  <c r="E9391" i="13"/>
  <c r="E13723" i="13"/>
  <c r="E12872" i="13"/>
  <c r="E12140" i="13"/>
  <c r="E11661" i="13"/>
  <c r="E11164" i="13"/>
  <c r="E10795" i="13"/>
  <c r="E10368" i="13"/>
  <c r="E14182" i="13"/>
  <c r="E13142" i="13"/>
  <c r="E12344" i="13"/>
  <c r="E11829" i="13"/>
  <c r="E11309" i="13"/>
  <c r="E10931" i="13"/>
  <c r="E14528" i="13"/>
  <c r="E13291" i="13"/>
  <c r="E12447" i="13"/>
  <c r="E11915" i="13"/>
  <c r="E11400" i="13"/>
  <c r="E11034" i="13"/>
  <c r="E14047" i="13"/>
  <c r="E13245" i="13"/>
  <c r="E12701" i="13"/>
  <c r="E12257" i="13"/>
  <c r="E11865" i="13"/>
  <c r="E11529" i="13"/>
  <c r="E11231" i="13"/>
  <c r="E10943" i="13"/>
  <c r="E10670" i="13"/>
  <c r="E10397" i="13"/>
  <c r="E14050" i="13"/>
  <c r="E12986" i="13"/>
  <c r="E12298" i="13"/>
  <c r="E11749" i="13"/>
  <c r="E11288" i="13"/>
  <c r="E10873" i="13"/>
  <c r="E10512" i="13"/>
  <c r="E10189" i="13"/>
  <c r="E9913" i="13"/>
  <c r="E9640" i="13"/>
  <c r="E9367" i="13"/>
  <c r="E9102" i="13"/>
  <c r="E8846" i="13"/>
  <c r="E8590" i="13"/>
  <c r="E8334" i="13"/>
  <c r="E8078" i="13"/>
  <c r="E13967" i="13"/>
  <c r="E12942" i="13"/>
  <c r="E12259" i="13"/>
  <c r="E11713" i="13"/>
  <c r="E11261" i="13"/>
  <c r="E10851" i="13"/>
  <c r="E10491" i="13"/>
  <c r="E10170" i="13"/>
  <c r="E9895" i="13"/>
  <c r="E9622" i="13"/>
  <c r="E9349" i="13"/>
  <c r="E9085" i="13"/>
  <c r="E8829" i="13"/>
  <c r="E13430" i="13"/>
  <c r="E12617" i="13"/>
  <c r="E12004" i="13"/>
  <c r="E11501" i="13"/>
  <c r="E11076" i="13"/>
  <c r="E10688" i="13"/>
  <c r="E10342" i="13"/>
  <c r="E10048" i="13"/>
  <c r="E9774" i="13"/>
  <c r="E9501" i="13"/>
  <c r="E13791" i="13"/>
  <c r="E12843" i="13"/>
  <c r="E12180" i="13"/>
  <c r="E11648" i="13"/>
  <c r="E11206" i="13"/>
  <c r="E10802" i="13"/>
  <c r="E10445" i="13"/>
  <c r="E10132" i="13"/>
  <c r="E9859" i="13"/>
  <c r="E9586" i="13"/>
  <c r="E13640" i="13"/>
  <c r="E12736" i="13"/>
  <c r="E12104" i="13"/>
  <c r="E11582" i="13"/>
  <c r="E11148" i="13"/>
  <c r="E10751" i="13"/>
  <c r="E10399" i="13"/>
  <c r="E10094" i="13"/>
  <c r="E9821" i="13"/>
  <c r="E9548" i="13"/>
  <c r="E9275" i="13"/>
  <c r="E14453" i="13"/>
  <c r="E12811" i="13"/>
  <c r="E11903" i="13"/>
  <c r="E11227" i="13"/>
  <c r="E10655" i="13"/>
  <c r="E10177" i="13"/>
  <c r="E9778" i="13"/>
  <c r="E9389" i="13"/>
  <c r="E9063" i="13"/>
  <c r="E8772" i="13"/>
  <c r="E8499" i="13"/>
  <c r="E8226" i="13"/>
  <c r="E7953" i="13"/>
  <c r="E7696" i="13"/>
  <c r="E7440" i="13"/>
  <c r="E7184" i="13"/>
  <c r="E6928" i="13"/>
  <c r="E6672" i="13"/>
  <c r="E6416" i="13"/>
  <c r="E13539" i="13"/>
  <c r="E12382" i="13"/>
  <c r="E11583" i="13"/>
  <c r="E10957" i="13"/>
  <c r="E10434" i="13"/>
  <c r="E10000" i="13"/>
  <c r="E9598" i="13"/>
  <c r="E9240" i="13"/>
  <c r="E8933" i="13"/>
  <c r="E8651" i="13"/>
  <c r="E8378" i="13"/>
  <c r="E8105" i="13"/>
  <c r="E7839" i="13"/>
  <c r="E7583" i="13"/>
  <c r="E7327" i="13"/>
  <c r="E7071" i="13"/>
  <c r="E6815" i="13"/>
  <c r="E6559" i="13"/>
  <c r="E14244" i="13"/>
  <c r="E12727" i="13"/>
  <c r="E11852" i="13"/>
  <c r="E11189" i="13"/>
  <c r="E10617" i="13"/>
  <c r="E10145" i="13"/>
  <c r="E9748" i="13"/>
  <c r="E9365" i="13"/>
  <c r="E9042" i="13"/>
  <c r="E8753" i="13"/>
  <c r="E8480" i="13"/>
  <c r="E8207" i="13"/>
  <c r="E13530" i="13"/>
  <c r="E12365" i="13"/>
  <c r="E11580" i="13"/>
  <c r="E10955" i="13"/>
  <c r="E10430" i="13"/>
  <c r="E9993" i="13"/>
  <c r="E9596" i="13"/>
  <c r="E9238" i="13"/>
  <c r="E8931" i="13"/>
  <c r="E8649" i="13"/>
  <c r="E14398" i="13"/>
  <c r="E12782" i="13"/>
  <c r="E11882" i="13"/>
  <c r="E11214" i="13"/>
  <c r="E10648" i="13"/>
  <c r="E10164" i="13"/>
  <c r="E9766" i="13"/>
  <c r="E9381" i="13"/>
  <c r="E9057" i="13"/>
  <c r="E8765" i="13"/>
  <c r="E8492" i="13"/>
  <c r="E8219" i="13"/>
  <c r="E7946" i="13"/>
  <c r="E7690" i="13"/>
  <c r="E12641" i="13"/>
  <c r="E11480" i="13"/>
  <c r="E10630" i="13"/>
  <c r="E9968" i="13"/>
  <c r="E9398" i="13"/>
  <c r="E8938" i="13"/>
  <c r="E8534" i="13"/>
  <c r="E8160" i="13"/>
  <c r="E7826" i="13"/>
  <c r="E7521" i="13"/>
  <c r="E7227" i="13"/>
  <c r="E6935" i="13"/>
  <c r="E6643" i="13"/>
  <c r="E6349" i="13"/>
  <c r="E6090" i="13"/>
  <c r="E5834" i="13"/>
  <c r="E5578" i="13"/>
  <c r="E5322" i="13"/>
  <c r="E5066" i="13"/>
  <c r="E4810" i="13"/>
  <c r="E4554" i="13"/>
  <c r="E12926" i="13"/>
  <c r="E11658" i="13"/>
  <c r="E10767" i="13"/>
  <c r="E10075" i="13"/>
  <c r="E9495" i="13"/>
  <c r="E9015" i="13"/>
  <c r="E8605" i="13"/>
  <c r="E8227" i="13"/>
  <c r="E7883" i="13"/>
  <c r="E7574" i="13"/>
  <c r="E7282" i="13"/>
  <c r="E6988" i="13"/>
  <c r="E6696" i="13"/>
  <c r="E6404" i="13"/>
  <c r="E6137" i="13"/>
  <c r="E5881" i="13"/>
  <c r="E5625" i="13"/>
  <c r="E12923" i="13"/>
  <c r="E11657" i="13"/>
  <c r="E10766" i="13"/>
  <c r="E10074" i="13"/>
  <c r="E9493" i="13"/>
  <c r="E9014" i="13"/>
  <c r="E8604" i="13"/>
  <c r="E8223" i="13"/>
  <c r="E7881" i="13"/>
  <c r="E7573" i="13"/>
  <c r="E7281" i="13"/>
  <c r="E6987" i="13"/>
  <c r="E6695" i="13"/>
  <c r="E14758" i="13"/>
  <c r="E14714" i="13"/>
  <c r="E14157" i="13"/>
  <c r="E14876" i="13"/>
  <c r="E14284" i="13"/>
  <c r="E14525" i="13"/>
  <c r="E14410" i="13"/>
  <c r="E14383" i="13"/>
  <c r="E14213" i="13"/>
  <c r="E13618" i="13"/>
  <c r="E13017" i="13"/>
  <c r="E14865" i="13"/>
  <c r="E14100" i="13"/>
  <c r="E14211" i="13"/>
  <c r="E13562" i="13"/>
  <c r="E12851" i="13"/>
  <c r="E14805" i="13"/>
  <c r="E13915" i="13"/>
  <c r="E13147" i="13"/>
  <c r="E14015" i="13"/>
  <c r="E13333" i="13"/>
  <c r="E14340" i="13"/>
  <c r="E13647" i="13"/>
  <c r="E13907" i="13"/>
  <c r="E13080" i="13"/>
  <c r="E12427" i="13"/>
  <c r="E11826" i="13"/>
  <c r="E14040" i="13"/>
  <c r="E13137" i="13"/>
  <c r="E12562" i="13"/>
  <c r="E13702" i="13"/>
  <c r="E12937" i="13"/>
  <c r="E13928" i="13"/>
  <c r="E14059" i="13"/>
  <c r="E13268" i="13"/>
  <c r="E14590" i="13"/>
  <c r="E13026" i="13"/>
  <c r="E12343" i="13"/>
  <c r="E11690" i="13"/>
  <c r="E11153" i="13"/>
  <c r="E10481" i="13"/>
  <c r="E13522" i="13"/>
  <c r="E12689" i="13"/>
  <c r="E11911" i="13"/>
  <c r="E11360" i="13"/>
  <c r="E13843" i="13"/>
  <c r="E12773" i="13"/>
  <c r="E12149" i="13"/>
  <c r="E14641" i="13"/>
  <c r="E13277" i="13"/>
  <c r="E12452" i="13"/>
  <c r="E14246" i="13"/>
  <c r="E13115" i="13"/>
  <c r="E12317" i="13"/>
  <c r="E14131" i="13"/>
  <c r="E12456" i="13"/>
  <c r="E11578" i="13"/>
  <c r="E10967" i="13"/>
  <c r="E10239" i="13"/>
  <c r="E9711" i="13"/>
  <c r="E14257" i="13"/>
  <c r="E12507" i="13"/>
  <c r="E11702" i="13"/>
  <c r="E10915" i="13"/>
  <c r="E10334" i="13"/>
  <c r="E13295" i="13"/>
  <c r="E12067" i="13"/>
  <c r="E11347" i="13"/>
  <c r="E10675" i="13"/>
  <c r="E13259" i="13"/>
  <c r="E12015" i="13"/>
  <c r="E11254" i="13"/>
  <c r="E14171" i="13"/>
  <c r="E12893" i="13"/>
  <c r="E12231" i="13"/>
  <c r="E11612" i="13"/>
  <c r="E11103" i="13"/>
  <c r="E10704" i="13"/>
  <c r="E14831" i="13"/>
  <c r="E12943" i="13"/>
  <c r="E11867" i="13"/>
  <c r="E11101" i="13"/>
  <c r="E10554" i="13"/>
  <c r="E10016" i="13"/>
  <c r="E9623" i="13"/>
  <c r="E9166" i="13"/>
  <c r="E8734" i="13"/>
  <c r="E8366" i="13"/>
  <c r="E14668" i="13"/>
  <c r="E12891" i="13"/>
  <c r="E11836" i="13"/>
  <c r="E11077" i="13"/>
  <c r="E10532" i="13"/>
  <c r="E9997" i="13"/>
  <c r="E9605" i="13"/>
  <c r="E9149" i="13"/>
  <c r="E14135" i="13"/>
  <c r="E12698" i="13"/>
  <c r="E11684" i="13"/>
  <c r="E11046" i="13"/>
  <c r="E10426" i="13"/>
  <c r="E9928" i="13"/>
  <c r="E9536" i="13"/>
  <c r="E13133" i="13"/>
  <c r="E12147" i="13"/>
  <c r="E11314" i="13"/>
  <c r="E10644" i="13"/>
  <c r="E10168" i="13"/>
  <c r="E9688" i="13"/>
  <c r="E13548" i="13"/>
  <c r="E12248" i="13"/>
  <c r="E11387" i="13"/>
  <c r="E10798" i="13"/>
  <c r="E10201" i="13"/>
  <c r="E9804" i="13"/>
  <c r="E9344" i="13"/>
  <c r="E13540" i="13"/>
  <c r="E12009" i="13"/>
  <c r="E10856" i="13"/>
  <c r="E10148" i="13"/>
  <c r="E9479" i="13"/>
  <c r="E8934" i="13"/>
  <c r="E8533" i="13"/>
  <c r="E8055" i="13"/>
  <c r="E7680" i="13"/>
  <c r="E7248" i="13"/>
  <c r="E6816" i="13"/>
  <c r="E6448" i="13"/>
  <c r="E12737" i="13"/>
  <c r="E11543" i="13"/>
  <c r="E10559" i="13"/>
  <c r="E9822" i="13"/>
  <c r="E9284" i="13"/>
  <c r="E8754" i="13"/>
  <c r="E8361" i="13"/>
  <c r="E7903" i="13"/>
  <c r="E7471" i="13"/>
  <c r="E7103" i="13"/>
  <c r="E6655" i="13"/>
  <c r="E14088" i="13"/>
  <c r="E12054" i="13"/>
  <c r="E10923" i="13"/>
  <c r="E10198" i="13"/>
  <c r="E9499" i="13"/>
  <c r="E9024" i="13"/>
  <c r="E8548" i="13"/>
  <c r="E14881" i="13"/>
  <c r="E12486" i="13"/>
  <c r="E11188" i="13"/>
  <c r="E10396" i="13"/>
  <c r="E9697" i="13"/>
  <c r="E9099" i="13"/>
  <c r="E8683" i="13"/>
  <c r="E13230" i="13"/>
  <c r="E11839" i="13"/>
  <c r="E10775" i="13"/>
  <c r="E10017" i="13"/>
  <c r="E9473" i="13"/>
  <c r="E9018" i="13"/>
  <c r="E8578" i="13"/>
  <c r="E8202" i="13"/>
  <c r="E7786" i="13"/>
  <c r="E12758" i="13"/>
  <c r="E10973" i="13"/>
  <c r="E10038" i="13"/>
  <c r="E9188" i="13"/>
  <c r="E8607" i="13"/>
  <c r="E8027" i="13"/>
  <c r="E7593" i="13"/>
  <c r="E7191" i="13"/>
  <c r="E6733" i="13"/>
  <c r="E6332" i="13"/>
  <c r="E5930" i="13"/>
  <c r="E5594" i="13"/>
  <c r="E5178" i="13"/>
  <c r="E4842" i="13"/>
  <c r="E14286" i="13"/>
  <c r="E11855" i="13"/>
  <c r="E10479" i="13"/>
  <c r="E9641" i="13"/>
  <c r="E8962" i="13"/>
  <c r="E8338" i="13"/>
  <c r="E7863" i="13"/>
  <c r="E7390" i="13"/>
  <c r="E7006" i="13"/>
  <c r="E6532" i="13"/>
  <c r="E6169" i="13"/>
  <c r="E5769" i="13"/>
  <c r="E14788" i="13"/>
  <c r="E14742" i="13"/>
  <c r="E14673" i="13"/>
  <c r="E14141" i="13"/>
  <c r="E14855" i="13"/>
  <c r="E14204" i="13"/>
  <c r="E14443" i="13"/>
  <c r="E14378" i="13"/>
  <c r="E14359" i="13"/>
  <c r="E14177" i="13"/>
  <c r="E13532" i="13"/>
  <c r="E14867" i="13"/>
  <c r="E14781" i="13"/>
  <c r="E14082" i="13"/>
  <c r="E14187" i="13"/>
  <c r="E13387" i="13"/>
  <c r="E12835" i="13"/>
  <c r="E14736" i="13"/>
  <c r="E13896" i="13"/>
  <c r="E13130" i="13"/>
  <c r="E13914" i="13"/>
  <c r="E14848" i="13"/>
  <c r="E14280" i="13"/>
  <c r="E13628" i="13"/>
  <c r="E13778" i="13"/>
  <c r="E12973" i="13"/>
  <c r="E12410" i="13"/>
  <c r="E11714" i="13"/>
  <c r="E13984" i="13"/>
  <c r="E13118" i="13"/>
  <c r="E14828" i="13"/>
  <c r="E13679" i="13"/>
  <c r="E12903" i="13"/>
  <c r="E13903" i="13"/>
  <c r="E14032" i="13"/>
  <c r="E13170" i="13"/>
  <c r="E14522" i="13"/>
  <c r="E12978" i="13"/>
  <c r="E12324" i="13"/>
  <c r="E11673" i="13"/>
  <c r="E10993" i="13"/>
  <c r="E10465" i="13"/>
  <c r="E13329" i="13"/>
  <c r="E12590" i="13"/>
  <c r="E11894" i="13"/>
  <c r="E11216" i="13"/>
  <c r="E13767" i="13"/>
  <c r="E12730" i="13"/>
  <c r="E12132" i="13"/>
  <c r="E14571" i="13"/>
  <c r="E13144" i="13"/>
  <c r="E12432" i="13"/>
  <c r="E14150" i="13"/>
  <c r="E13088" i="13"/>
  <c r="E12299" i="13"/>
  <c r="E13573" i="13"/>
  <c r="E12424" i="13"/>
  <c r="E11538" i="13"/>
  <c r="E10950" i="13"/>
  <c r="E10223" i="13"/>
  <c r="E9631" i="13"/>
  <c r="E13943" i="13"/>
  <c r="E12450" i="13"/>
  <c r="E11681" i="13"/>
  <c r="E10880" i="13"/>
  <c r="E10254" i="13"/>
  <c r="E13260" i="13"/>
  <c r="E11989" i="13"/>
  <c r="E11327" i="13"/>
  <c r="E10658" i="13"/>
  <c r="E12896" i="13"/>
  <c r="E11988" i="13"/>
  <c r="E11218" i="13"/>
  <c r="E14102" i="13"/>
  <c r="E12858" i="13"/>
  <c r="E12107" i="13"/>
  <c r="E11592" i="13"/>
  <c r="E11067" i="13"/>
  <c r="E10687" i="13"/>
  <c r="E14669" i="13"/>
  <c r="E12703" i="13"/>
  <c r="E11837" i="13"/>
  <c r="E11048" i="13"/>
  <c r="E10533" i="13"/>
  <c r="E9998" i="13"/>
  <c r="E9538" i="13"/>
  <c r="E9150" i="13"/>
  <c r="E8702" i="13"/>
  <c r="E8350" i="13"/>
  <c r="E14482" i="13"/>
  <c r="E12660" i="13"/>
  <c r="E11803" i="13"/>
  <c r="E11022" i="13"/>
  <c r="E10511" i="13"/>
  <c r="E9980" i="13"/>
  <c r="E9520" i="13"/>
  <c r="E9133" i="13"/>
  <c r="E13966" i="13"/>
  <c r="E12658" i="13"/>
  <c r="E11649" i="13"/>
  <c r="E10920" i="13"/>
  <c r="E10406" i="13"/>
  <c r="E9894" i="13"/>
  <c r="E9518" i="13"/>
  <c r="E13084" i="13"/>
  <c r="E11969" i="13"/>
  <c r="E11284" i="13"/>
  <c r="E10597" i="13"/>
  <c r="E10150" i="13"/>
  <c r="E9671" i="13"/>
  <c r="E13238" i="13"/>
  <c r="E12209" i="13"/>
  <c r="E11334" i="13"/>
  <c r="E10774" i="13"/>
  <c r="E10183" i="13"/>
  <c r="E9719" i="13"/>
  <c r="E9326" i="13"/>
  <c r="E13342" i="13"/>
  <c r="E11952" i="13"/>
  <c r="E10821" i="13"/>
  <c r="E10023" i="13"/>
  <c r="E9458" i="13"/>
  <c r="E8898" i="13"/>
  <c r="E8516" i="13"/>
  <c r="E8038" i="13"/>
  <c r="E7600" i="13"/>
  <c r="E7232" i="13"/>
  <c r="E6784" i="13"/>
  <c r="E6432" i="13"/>
  <c r="E12674" i="13"/>
  <c r="E11343" i="13"/>
  <c r="E10524" i="13"/>
  <c r="E9772" i="13"/>
  <c r="E9261" i="13"/>
  <c r="E8737" i="13"/>
  <c r="E8276" i="13"/>
  <c r="E7887" i="13"/>
  <c r="E7439" i="13"/>
  <c r="E7087" i="13"/>
  <c r="E6639" i="13"/>
  <c r="E13537" i="13"/>
  <c r="E12000" i="13"/>
  <c r="E10854" i="13"/>
  <c r="E10173" i="13"/>
  <c r="E9477" i="13"/>
  <c r="E8932" i="13"/>
  <c r="E8531" i="13"/>
  <c r="E14409" i="13"/>
  <c r="E12430" i="13"/>
  <c r="E11142" i="13"/>
  <c r="E10251" i="13"/>
  <c r="E9670" i="13"/>
  <c r="E9060" i="13"/>
  <c r="E8666" i="13"/>
  <c r="E13158" i="13"/>
  <c r="E11613" i="13"/>
  <c r="E10746" i="13"/>
  <c r="E9989" i="13"/>
  <c r="E9448" i="13"/>
  <c r="E8946" i="13"/>
  <c r="E8561" i="13"/>
  <c r="E8185" i="13"/>
  <c r="E7770" i="13"/>
  <c r="E12573" i="13"/>
  <c r="E10910" i="13"/>
  <c r="E10005" i="13"/>
  <c r="E9130" i="13"/>
  <c r="E8580" i="13"/>
  <c r="E8007" i="13"/>
  <c r="E7575" i="13"/>
  <c r="E7117" i="13"/>
  <c r="E6715" i="13"/>
  <c r="E6315" i="13"/>
  <c r="E5914" i="13"/>
  <c r="E5562" i="13"/>
  <c r="E5162" i="13"/>
  <c r="E4826" i="13"/>
  <c r="E13898" i="13"/>
  <c r="E11788" i="13"/>
  <c r="E10440" i="13"/>
  <c r="E9608" i="13"/>
  <c r="E8855" i="13"/>
  <c r="E8316" i="13"/>
  <c r="E7844" i="13"/>
  <c r="E7372" i="13"/>
  <c r="E6970" i="13"/>
  <c r="E6514" i="13"/>
  <c r="E6153" i="13"/>
  <c r="E5737" i="13"/>
  <c r="E13154" i="13"/>
  <c r="E11243" i="13"/>
  <c r="E14772" i="13"/>
  <c r="E14726" i="13"/>
  <c r="E14581" i="13"/>
  <c r="E14029" i="13"/>
  <c r="E14834" i="13"/>
  <c r="E14124" i="13"/>
  <c r="E14411" i="13"/>
  <c r="E14362" i="13"/>
  <c r="E14319" i="13"/>
  <c r="E14159" i="13"/>
  <c r="E13515" i="13"/>
  <c r="E14841" i="13"/>
  <c r="E14754" i="13"/>
  <c r="E14046" i="13"/>
  <c r="E14166" i="13"/>
  <c r="E13370" i="13"/>
  <c r="E12819" i="13"/>
  <c r="E14696" i="13"/>
  <c r="E13780" i="13"/>
  <c r="E13112" i="13"/>
  <c r="E13895" i="13"/>
  <c r="E14648" i="13"/>
  <c r="E14256" i="13"/>
  <c r="E13592" i="13"/>
  <c r="E13731" i="13"/>
  <c r="E12956" i="13"/>
  <c r="E12393" i="13"/>
  <c r="E11698" i="13"/>
  <c r="E13931" i="13"/>
  <c r="E13099" i="13"/>
  <c r="E14777" i="13"/>
  <c r="E13656" i="13"/>
  <c r="E12886" i="13"/>
  <c r="E13849" i="13"/>
  <c r="E14003" i="13"/>
  <c r="E13151" i="13"/>
  <c r="E14451" i="13"/>
  <c r="E12957" i="13"/>
  <c r="E12287" i="13"/>
  <c r="E11588" i="13"/>
  <c r="E10977" i="13"/>
  <c r="E10449" i="13"/>
  <c r="E13279" i="13"/>
  <c r="E12533" i="13"/>
  <c r="E11877" i="13"/>
  <c r="E11184" i="13"/>
  <c r="E13734" i="13"/>
  <c r="E12709" i="13"/>
  <c r="E12097" i="13"/>
  <c r="E14500" i="13"/>
  <c r="E13121" i="13"/>
  <c r="E12413" i="13"/>
  <c r="E14106" i="13"/>
  <c r="E13039" i="13"/>
  <c r="E12281" i="13"/>
  <c r="E13529" i="13"/>
  <c r="E12399" i="13"/>
  <c r="E11439" i="13"/>
  <c r="E10830" i="13"/>
  <c r="E10207" i="13"/>
  <c r="E9551" i="13"/>
  <c r="E13832" i="13"/>
  <c r="E12423" i="13"/>
  <c r="E11641" i="13"/>
  <c r="E10863" i="13"/>
  <c r="E10238" i="13"/>
  <c r="E13219" i="13"/>
  <c r="E11966" i="13"/>
  <c r="E11291" i="13"/>
  <c r="E10640" i="13"/>
  <c r="E12866" i="13"/>
  <c r="E11965" i="13"/>
  <c r="E11198" i="13"/>
  <c r="E13979" i="13"/>
  <c r="E12826" i="13"/>
  <c r="E12085" i="13"/>
  <c r="E11572" i="13"/>
  <c r="E11049" i="13"/>
  <c r="E10653" i="13"/>
  <c r="E14495" i="13"/>
  <c r="E12661" i="13"/>
  <c r="E11812" i="13"/>
  <c r="E11023" i="13"/>
  <c r="E10492" i="13"/>
  <c r="E9981" i="13"/>
  <c r="E9521" i="13"/>
  <c r="E9134" i="13"/>
  <c r="E8686" i="13"/>
  <c r="E8318" i="13"/>
  <c r="E14367" i="13"/>
  <c r="E12618" i="13"/>
  <c r="E11776" i="13"/>
  <c r="E10994" i="13"/>
  <c r="E10469" i="13"/>
  <c r="E9963" i="13"/>
  <c r="E9502" i="13"/>
  <c r="E9117" i="13"/>
  <c r="E13868" i="13"/>
  <c r="E12576" i="13"/>
  <c r="E11624" i="13"/>
  <c r="E10893" i="13"/>
  <c r="E10383" i="13"/>
  <c r="E9877" i="13"/>
  <c r="E9484" i="13"/>
  <c r="E13030" i="13"/>
  <c r="E11931" i="13"/>
  <c r="E11259" i="13"/>
  <c r="E10575" i="13"/>
  <c r="E10115" i="13"/>
  <c r="E9654" i="13"/>
  <c r="E13180" i="13"/>
  <c r="E12175" i="13"/>
  <c r="E11304" i="13"/>
  <c r="E10730" i="13"/>
  <c r="E10165" i="13"/>
  <c r="E9702" i="13"/>
  <c r="E9309" i="13"/>
  <c r="E13264" i="13"/>
  <c r="E11854" i="13"/>
  <c r="E10789" i="13"/>
  <c r="E10001" i="13"/>
  <c r="E9436" i="13"/>
  <c r="E8880" i="13"/>
  <c r="E8482" i="13"/>
  <c r="E8021" i="13"/>
  <c r="E7584" i="13"/>
  <c r="E7216" i="13"/>
  <c r="E6768" i="13"/>
  <c r="E6400" i="13"/>
  <c r="E12612" i="13"/>
  <c r="E11302" i="13"/>
  <c r="E10495" i="13"/>
  <c r="E9749" i="13"/>
  <c r="E9220" i="13"/>
  <c r="E8720" i="13"/>
  <c r="E8259" i="13"/>
  <c r="E7871" i="13"/>
  <c r="E7423" i="13"/>
  <c r="E7055" i="13"/>
  <c r="E6623" i="13"/>
  <c r="E13408" i="13"/>
  <c r="E11950" i="13"/>
  <c r="E10818" i="13"/>
  <c r="E10121" i="13"/>
  <c r="E9456" i="13"/>
  <c r="E8914" i="13"/>
  <c r="E8514" i="13"/>
  <c r="E14227" i="13"/>
  <c r="E12312" i="13"/>
  <c r="E11107" i="13"/>
  <c r="E10221" i="13"/>
  <c r="E9646" i="13"/>
  <c r="E9041" i="13"/>
  <c r="E8632" i="13"/>
  <c r="E13063" i="13"/>
  <c r="E11573" i="13"/>
  <c r="E10708" i="13"/>
  <c r="E9939" i="13"/>
  <c r="E9426" i="13"/>
  <c r="E8928" i="13"/>
  <c r="E8544" i="13"/>
  <c r="E8117" i="13"/>
  <c r="E7754" i="13"/>
  <c r="E12469" i="13"/>
  <c r="E10866" i="13"/>
  <c r="E9933" i="13"/>
  <c r="E9105" i="13"/>
  <c r="E8556" i="13"/>
  <c r="E7964" i="13"/>
  <c r="E7557" i="13"/>
  <c r="E7099" i="13"/>
  <c r="E6697" i="13"/>
  <c r="E6250" i="13"/>
  <c r="E5898" i="13"/>
  <c r="E5546" i="13"/>
  <c r="E5146" i="13"/>
  <c r="E4794" i="13"/>
  <c r="E13694" i="13"/>
  <c r="E11729" i="13"/>
  <c r="E10350" i="13"/>
  <c r="E9564" i="13"/>
  <c r="E8831" i="13"/>
  <c r="E8295" i="13"/>
  <c r="E7765" i="13"/>
  <c r="E7354" i="13"/>
  <c r="E14861" i="13"/>
  <c r="E14710" i="13"/>
  <c r="E14545" i="13"/>
  <c r="E13949" i="13"/>
  <c r="E14814" i="13"/>
  <c r="E14076" i="13"/>
  <c r="E14395" i="13"/>
  <c r="E14346" i="13"/>
  <c r="E14122" i="13"/>
  <c r="E14139" i="13"/>
  <c r="E13481" i="13"/>
  <c r="E14811" i="13"/>
  <c r="E14725" i="13"/>
  <c r="E13956" i="13"/>
  <c r="E14145" i="13"/>
  <c r="E13335" i="13"/>
  <c r="E12803" i="13"/>
  <c r="E14517" i="13"/>
  <c r="E13671" i="13"/>
  <c r="E13095" i="13"/>
  <c r="E13761" i="13"/>
  <c r="E14586" i="13"/>
  <c r="E14226" i="13"/>
  <c r="E13414" i="13"/>
  <c r="E13705" i="13"/>
  <c r="E12922" i="13"/>
  <c r="E12376" i="13"/>
  <c r="E11682" i="13"/>
  <c r="E13803" i="13"/>
  <c r="E13078" i="13"/>
  <c r="E14664" i="13"/>
  <c r="E13630" i="13"/>
  <c r="E12869" i="13"/>
  <c r="E13605" i="13"/>
  <c r="E13978" i="13"/>
  <c r="E13037" i="13"/>
  <c r="E14170" i="13"/>
  <c r="E12932" i="13"/>
  <c r="E12134" i="13"/>
  <c r="E11553" i="13"/>
  <c r="E10945" i="13"/>
  <c r="E10433" i="13"/>
  <c r="E13252" i="13"/>
  <c r="E12434" i="13"/>
  <c r="E11860" i="13"/>
  <c r="E11152" i="13"/>
  <c r="E13696" i="13"/>
  <c r="E12688" i="13"/>
  <c r="E11927" i="13"/>
  <c r="E14448" i="13"/>
  <c r="E13069" i="13"/>
  <c r="E12394" i="13"/>
  <c r="E14063" i="13"/>
  <c r="E12925" i="13"/>
  <c r="E12196" i="13"/>
  <c r="E13428" i="13"/>
  <c r="E12369" i="13"/>
  <c r="E11403" i="13"/>
  <c r="E10745" i="13"/>
  <c r="E10191" i="13"/>
  <c r="E9503" i="13"/>
  <c r="E13784" i="13"/>
  <c r="E12398" i="13"/>
  <c r="E11438" i="13"/>
  <c r="E10846" i="13"/>
  <c r="E10206" i="13"/>
  <c r="E13184" i="13"/>
  <c r="E11939" i="13"/>
  <c r="E11199" i="13"/>
  <c r="E10623" i="13"/>
  <c r="E12799" i="13"/>
  <c r="E11937" i="13"/>
  <c r="E11162" i="13"/>
  <c r="E13714" i="13"/>
  <c r="E12791" i="13"/>
  <c r="E12035" i="13"/>
  <c r="E11548" i="13"/>
  <c r="E11031" i="13"/>
  <c r="E10568" i="13"/>
  <c r="E14370" i="13"/>
  <c r="E12578" i="13"/>
  <c r="E11777" i="13"/>
  <c r="E10996" i="13"/>
  <c r="E10388" i="13"/>
  <c r="E9964" i="13"/>
  <c r="E9486" i="13"/>
  <c r="E9118" i="13"/>
  <c r="E8670" i="13"/>
  <c r="E8238" i="13"/>
  <c r="E14241" i="13"/>
  <c r="E12540" i="13"/>
  <c r="E11748" i="13"/>
  <c r="E10971" i="13"/>
  <c r="E10364" i="13"/>
  <c r="E9946" i="13"/>
  <c r="E9468" i="13"/>
  <c r="E9101" i="13"/>
  <c r="E13795" i="13"/>
  <c r="E12373" i="13"/>
  <c r="E11590" i="13"/>
  <c r="E10850" i="13"/>
  <c r="E10362" i="13"/>
  <c r="E9860" i="13"/>
  <c r="E9399" i="13"/>
  <c r="E12982" i="13"/>
  <c r="E11863" i="13"/>
  <c r="E11229" i="13"/>
  <c r="E10550" i="13"/>
  <c r="E10029" i="13"/>
  <c r="E9637" i="13"/>
  <c r="E13076" i="13"/>
  <c r="E12142" i="13"/>
  <c r="E11279" i="13"/>
  <c r="E10615" i="13"/>
  <c r="E10147" i="13"/>
  <c r="E9668" i="13"/>
  <c r="E9292" i="13"/>
  <c r="E13168" i="13"/>
  <c r="E11631" i="13"/>
  <c r="E10754" i="13"/>
  <c r="E9950" i="13"/>
  <c r="E9411" i="13"/>
  <c r="E8860" i="13"/>
  <c r="E8396" i="13"/>
  <c r="E8004" i="13"/>
  <c r="E7552" i="13"/>
  <c r="E7200" i="13"/>
  <c r="E6752" i="13"/>
  <c r="E6320" i="13"/>
  <c r="E12555" i="13"/>
  <c r="E11225" i="13"/>
  <c r="E10461" i="13"/>
  <c r="E9726" i="13"/>
  <c r="E9122" i="13"/>
  <c r="E8703" i="13"/>
  <c r="E8225" i="13"/>
  <c r="E7855" i="13"/>
  <c r="E7407" i="13"/>
  <c r="E6975" i="13"/>
  <c r="E6607" i="13"/>
  <c r="E13240" i="13"/>
  <c r="E11897" i="13"/>
  <c r="E10787" i="13"/>
  <c r="E9994" i="13"/>
  <c r="E9431" i="13"/>
  <c r="E8876" i="13"/>
  <c r="E8497" i="13"/>
  <c r="E14086" i="13"/>
  <c r="E12053" i="13"/>
  <c r="E11064" i="13"/>
  <c r="E10172" i="13"/>
  <c r="E9624" i="13"/>
  <c r="E9023" i="13"/>
  <c r="E8547" i="13"/>
  <c r="E12994" i="13"/>
  <c r="E11485" i="13"/>
  <c r="E10679" i="13"/>
  <c r="E9916" i="13"/>
  <c r="E9404" i="13"/>
  <c r="E8890" i="13"/>
  <c r="E8527" i="13"/>
  <c r="E8100" i="13"/>
  <c r="E7738" i="13"/>
  <c r="E12155" i="13"/>
  <c r="E10815" i="13"/>
  <c r="E9892" i="13"/>
  <c r="E9073" i="13"/>
  <c r="E8506" i="13"/>
  <c r="E7943" i="13"/>
  <c r="E7539" i="13"/>
  <c r="E7063" i="13"/>
  <c r="E6679" i="13"/>
  <c r="E6234" i="13"/>
  <c r="E5882" i="13"/>
  <c r="E5482" i="13"/>
  <c r="E5130" i="13"/>
  <c r="E4778" i="13"/>
  <c r="E13546" i="13"/>
  <c r="E11600" i="13"/>
  <c r="E10307" i="13"/>
  <c r="E9532" i="13"/>
  <c r="E8778" i="13"/>
  <c r="E8269" i="13"/>
  <c r="E7746" i="13"/>
  <c r="E7336" i="13"/>
  <c r="E6878" i="13"/>
  <c r="E6476" i="13"/>
  <c r="E6105" i="13"/>
  <c r="E5705" i="13"/>
  <c r="E12827" i="13"/>
  <c r="E11080" i="13"/>
  <c r="E10107" i="13"/>
  <c r="E9211" i="13"/>
  <c r="E8655" i="13"/>
  <c r="E8067" i="13"/>
  <c r="E7627" i="13"/>
  <c r="E7171" i="13"/>
  <c r="E6769" i="13"/>
  <c r="E6385" i="13"/>
  <c r="E14020" i="13"/>
  <c r="E14844" i="13"/>
  <c r="E14678" i="13"/>
  <c r="E14527" i="13"/>
  <c r="E13933" i="13"/>
  <c r="E14794" i="13"/>
  <c r="E14060" i="13"/>
  <c r="E14363" i="13"/>
  <c r="E14330" i="13"/>
  <c r="E14869" i="13"/>
  <c r="E14121" i="13"/>
  <c r="E13465" i="13"/>
  <c r="E14651" i="13"/>
  <c r="E14701" i="13"/>
  <c r="E13939" i="13"/>
  <c r="E14037" i="13"/>
  <c r="E13318" i="13"/>
  <c r="E12771" i="13"/>
  <c r="E14457" i="13"/>
  <c r="E13653" i="13"/>
  <c r="E14849" i="13"/>
  <c r="E13743" i="13"/>
  <c r="E14515" i="13"/>
  <c r="E14202" i="13"/>
  <c r="E14830" i="13"/>
  <c r="E13681" i="13"/>
  <c r="E12905" i="13"/>
  <c r="E12342" i="13"/>
  <c r="E11666" i="13"/>
  <c r="E13777" i="13"/>
  <c r="E13060" i="13"/>
  <c r="E14608" i="13"/>
  <c r="E13583" i="13"/>
  <c r="E14883" i="13"/>
  <c r="E13582" i="13"/>
  <c r="E13950" i="13"/>
  <c r="E13001" i="13"/>
  <c r="E14042" i="13"/>
  <c r="E12910" i="13"/>
  <c r="E12100" i="13"/>
  <c r="E11537" i="13"/>
  <c r="E10929" i="13"/>
  <c r="E10401" i="13"/>
  <c r="E13226" i="13"/>
  <c r="E12415" i="13"/>
  <c r="E11843" i="13"/>
  <c r="E11136" i="13"/>
  <c r="E13625" i="13"/>
  <c r="E12668" i="13"/>
  <c r="E11910" i="13"/>
  <c r="E14385" i="13"/>
  <c r="E12951" i="13"/>
  <c r="E12267" i="13"/>
  <c r="E14023" i="13"/>
  <c r="E12810" i="13"/>
  <c r="E12161" i="13"/>
  <c r="E13379" i="13"/>
  <c r="E12316" i="13"/>
  <c r="E11385" i="13"/>
  <c r="E10728" i="13"/>
  <c r="E10175" i="13"/>
  <c r="E9487" i="13"/>
  <c r="E13676" i="13"/>
  <c r="E12368" i="13"/>
  <c r="E11420" i="13"/>
  <c r="E10829" i="13"/>
  <c r="E10190" i="13"/>
  <c r="E12965" i="13"/>
  <c r="E11916" i="13"/>
  <c r="E11181" i="13"/>
  <c r="E14862" i="13"/>
  <c r="E12765" i="13"/>
  <c r="E11888" i="13"/>
  <c r="E11144" i="13"/>
  <c r="E13660" i="13"/>
  <c r="E12761" i="13"/>
  <c r="E12007" i="13"/>
  <c r="E11510" i="13"/>
  <c r="E11013" i="13"/>
  <c r="E10551" i="13"/>
  <c r="E14243" i="13"/>
  <c r="E12541" i="13"/>
  <c r="E11715" i="13"/>
  <c r="E10972" i="13"/>
  <c r="E10365" i="13"/>
  <c r="E9947" i="13"/>
  <c r="E9469" i="13"/>
  <c r="E9086" i="13"/>
  <c r="E8654" i="13"/>
  <c r="E8222" i="13"/>
  <c r="E14137" i="13"/>
  <c r="E12497" i="13"/>
  <c r="E11685" i="13"/>
  <c r="E10944" i="13"/>
  <c r="E10343" i="13"/>
  <c r="E9929" i="13"/>
  <c r="E9451" i="13"/>
  <c r="E9069" i="13"/>
  <c r="E13716" i="13"/>
  <c r="E12331" i="13"/>
  <c r="E11561" i="13"/>
  <c r="E10825" i="13"/>
  <c r="E10322" i="13"/>
  <c r="E9843" i="13"/>
  <c r="E14796" i="13"/>
  <c r="E12927" i="13"/>
  <c r="E11834" i="13"/>
  <c r="E11176" i="13"/>
  <c r="E10530" i="13"/>
  <c r="E10012" i="13"/>
  <c r="E9620" i="13"/>
  <c r="E13016" i="13"/>
  <c r="E12071" i="13"/>
  <c r="E11252" i="13"/>
  <c r="E10594" i="13"/>
  <c r="E10129" i="13"/>
  <c r="E9651" i="13"/>
  <c r="E9258" i="13"/>
  <c r="E13103" i="13"/>
  <c r="E11584" i="13"/>
  <c r="E10723" i="13"/>
  <c r="E9923" i="13"/>
  <c r="E9369" i="13"/>
  <c r="E8842" i="13"/>
  <c r="E8379" i="13"/>
  <c r="E7987" i="13"/>
  <c r="E7536" i="13"/>
  <c r="E7168" i="13"/>
  <c r="E6736" i="13"/>
  <c r="E6304" i="13"/>
  <c r="E12500" i="13"/>
  <c r="E11190" i="13"/>
  <c r="E10400" i="13"/>
  <c r="E9699" i="13"/>
  <c r="E9103" i="13"/>
  <c r="E8685" i="13"/>
  <c r="E8208" i="13"/>
  <c r="E7823" i="13"/>
  <c r="E7391" i="13"/>
  <c r="E6959" i="13"/>
  <c r="E6591" i="13"/>
  <c r="E13163" i="13"/>
  <c r="E11813" i="13"/>
  <c r="E10750" i="13"/>
  <c r="E9971" i="13"/>
  <c r="E9409" i="13"/>
  <c r="E8858" i="13"/>
  <c r="E8463" i="13"/>
  <c r="E13970" i="13"/>
  <c r="E11998" i="13"/>
  <c r="E11029" i="13"/>
  <c r="E10144" i="13"/>
  <c r="E9574" i="13"/>
  <c r="E9003" i="13"/>
  <c r="E8530" i="13"/>
  <c r="E12918" i="13"/>
  <c r="E11449" i="13"/>
  <c r="E10612" i="13"/>
  <c r="E9889" i="13"/>
  <c r="E9360" i="13"/>
  <c r="E8872" i="13"/>
  <c r="E8509" i="13"/>
  <c r="E8066" i="13"/>
  <c r="E7722" i="13"/>
  <c r="E12084" i="13"/>
  <c r="E10768" i="13"/>
  <c r="E9752" i="13"/>
  <c r="E9046" i="13"/>
  <c r="E8484" i="13"/>
  <c r="E7924" i="13"/>
  <c r="E7501" i="13"/>
  <c r="E14810" i="13"/>
  <c r="E14874" i="13"/>
  <c r="E14493" i="13"/>
  <c r="E13885" i="13"/>
  <c r="E14654" i="13"/>
  <c r="E14028" i="13"/>
  <c r="E14267" i="13"/>
  <c r="E14234" i="13"/>
  <c r="E14784" i="13"/>
  <c r="E14067" i="13"/>
  <c r="E13353" i="13"/>
  <c r="E14485" i="13"/>
  <c r="E14649" i="13"/>
  <c r="E13802" i="13"/>
  <c r="E13955" i="13"/>
  <c r="E13284" i="13"/>
  <c r="E12595" i="13"/>
  <c r="E14405" i="13"/>
  <c r="E13598" i="13"/>
  <c r="E14724" i="13"/>
  <c r="E13706" i="13"/>
  <c r="E14343" i="13"/>
  <c r="E14158" i="13"/>
  <c r="E14666" i="13"/>
  <c r="E13608" i="13"/>
  <c r="E12802" i="13"/>
  <c r="E12162" i="13"/>
  <c r="E11634" i="13"/>
  <c r="E13585" i="13"/>
  <c r="E12921" i="13"/>
  <c r="E14504" i="13"/>
  <c r="E13330" i="13"/>
  <c r="E14715" i="13"/>
  <c r="E13509" i="13"/>
  <c r="E13872" i="13"/>
  <c r="E12967" i="13"/>
  <c r="E13810" i="13"/>
  <c r="E12863" i="13"/>
  <c r="E12048" i="13"/>
  <c r="E11489" i="13"/>
  <c r="E10897" i="13"/>
  <c r="E14391" i="13"/>
  <c r="E13173" i="13"/>
  <c r="E12286" i="13"/>
  <c r="E11706" i="13"/>
  <c r="E11104" i="13"/>
  <c r="E13303" i="13"/>
  <c r="E12532" i="13"/>
  <c r="E11859" i="13"/>
  <c r="E14206" i="13"/>
  <c r="E12882" i="13"/>
  <c r="E12165" i="13"/>
  <c r="E13945" i="13"/>
  <c r="E12725" i="13"/>
  <c r="E12110" i="13"/>
  <c r="E13298" i="13"/>
  <c r="E12041" i="13"/>
  <c r="E11349" i="13"/>
  <c r="E10677" i="13"/>
  <c r="E10063" i="13"/>
  <c r="E9455" i="13"/>
  <c r="E13378" i="13"/>
  <c r="E12214" i="13"/>
  <c r="E11366" i="13"/>
  <c r="E10778" i="13"/>
  <c r="E14530" i="13"/>
  <c r="E12740" i="13"/>
  <c r="E11869" i="13"/>
  <c r="E11035" i="13"/>
  <c r="E14418" i="13"/>
  <c r="E12705" i="13"/>
  <c r="E11659" i="13"/>
  <c r="E11070" i="13"/>
  <c r="E13504" i="13"/>
  <c r="E12672" i="13"/>
  <c r="E11958" i="13"/>
  <c r="E11397" i="13"/>
  <c r="E10978" i="13"/>
  <c r="E10500" i="13"/>
  <c r="E13969" i="13"/>
  <c r="E12459" i="13"/>
  <c r="E11531" i="13"/>
  <c r="E10922" i="13"/>
  <c r="E10305" i="13"/>
  <c r="E9896" i="13"/>
  <c r="E9435" i="13"/>
  <c r="E8990" i="13"/>
  <c r="E8622" i="13"/>
  <c r="E8174" i="13"/>
  <c r="E13873" i="13"/>
  <c r="E12411" i="13"/>
  <c r="E11502" i="13"/>
  <c r="E10894" i="13"/>
  <c r="E10283" i="13"/>
  <c r="E9878" i="13"/>
  <c r="E9417" i="13"/>
  <c r="E8973" i="13"/>
  <c r="E13576" i="13"/>
  <c r="E12223" i="13"/>
  <c r="E11470" i="13"/>
  <c r="E10781" i="13"/>
  <c r="E10205" i="13"/>
  <c r="E9809" i="13"/>
  <c r="E14361" i="13"/>
  <c r="E12786" i="13"/>
  <c r="E11771" i="13"/>
  <c r="E11020" i="13"/>
  <c r="E10487" i="13"/>
  <c r="E9961" i="13"/>
  <c r="E9569" i="13"/>
  <c r="E12919" i="13"/>
  <c r="E11856" i="13"/>
  <c r="E11197" i="13"/>
  <c r="E10526" i="13"/>
  <c r="E10077" i="13"/>
  <c r="E9617" i="13"/>
  <c r="E9160" i="13"/>
  <c r="E12949" i="13"/>
  <c r="E11462" i="13"/>
  <c r="E10628" i="13"/>
  <c r="E9874" i="13"/>
  <c r="E9242" i="13"/>
  <c r="E8806" i="13"/>
  <c r="E8328" i="13"/>
  <c r="E7936" i="13"/>
  <c r="E7504" i="13"/>
  <c r="E7072" i="13"/>
  <c r="E6704" i="13"/>
  <c r="E14279" i="13"/>
  <c r="E12319" i="13"/>
  <c r="E11113" i="13"/>
  <c r="E10229" i="13"/>
  <c r="E9649" i="13"/>
  <c r="E9043" i="13"/>
  <c r="E8634" i="13"/>
  <c r="E8173" i="13"/>
  <c r="E7727" i="13"/>
  <c r="E7359" i="13"/>
  <c r="E6911" i="13"/>
  <c r="E6543" i="13"/>
  <c r="E13012" i="13"/>
  <c r="E11542" i="13"/>
  <c r="E10684" i="13"/>
  <c r="E9898" i="13"/>
  <c r="E9345" i="13"/>
  <c r="E8822" i="13"/>
  <c r="E8360" i="13"/>
  <c r="E13746" i="13"/>
  <c r="E11847" i="13"/>
  <c r="E10918" i="13"/>
  <c r="E10092" i="13"/>
  <c r="E9430" i="13"/>
  <c r="E8967" i="13"/>
  <c r="E8479" i="13"/>
  <c r="E12721" i="13"/>
  <c r="E11372" i="13"/>
  <c r="E10423" i="13"/>
  <c r="E9840" i="13"/>
  <c r="E9255" i="13"/>
  <c r="E8836" i="13"/>
  <c r="E8458" i="13"/>
  <c r="E8032" i="13"/>
  <c r="E7674" i="13"/>
  <c r="E11857" i="13"/>
  <c r="E10672" i="13"/>
  <c r="E9642" i="13"/>
  <c r="E8993" i="13"/>
  <c r="E8364" i="13"/>
  <c r="E7884" i="13"/>
  <c r="E7411" i="13"/>
  <c r="E7009" i="13"/>
  <c r="E6605" i="13"/>
  <c r="E6170" i="13"/>
  <c r="E5818" i="13"/>
  <c r="E5418" i="13"/>
  <c r="E5082" i="13"/>
  <c r="E4666" i="13"/>
  <c r="E13159" i="13"/>
  <c r="E11244" i="13"/>
  <c r="E10184" i="13"/>
  <c r="E9307" i="13"/>
  <c r="E8706" i="13"/>
  <c r="E8180" i="13"/>
  <c r="E7667" i="13"/>
  <c r="E7262" i="13"/>
  <c r="E14771" i="13"/>
  <c r="E13805" i="13"/>
  <c r="E14348" i="13"/>
  <c r="E14709" i="13"/>
  <c r="E14403" i="13"/>
  <c r="E13806" i="13"/>
  <c r="E14441" i="13"/>
  <c r="E14248" i="13"/>
  <c r="E13727" i="13"/>
  <c r="E12867" i="13"/>
  <c r="E14016" i="13"/>
  <c r="E14404" i="13"/>
  <c r="E13384" i="13"/>
  <c r="E13890" i="13"/>
  <c r="E13932" i="13"/>
  <c r="E12615" i="13"/>
  <c r="E11618" i="13"/>
  <c r="E13214" i="13"/>
  <c r="E14387" i="13"/>
  <c r="E12954" i="13"/>
  <c r="E14700" i="13"/>
  <c r="E12950" i="13"/>
  <c r="E13361" i="13"/>
  <c r="E11997" i="13"/>
  <c r="E11185" i="13"/>
  <c r="E14080" i="13"/>
  <c r="E12252" i="13"/>
  <c r="E11424" i="13"/>
  <c r="E13172" i="13"/>
  <c r="E12166" i="13"/>
  <c r="E13623" i="13"/>
  <c r="E12131" i="13"/>
  <c r="E13323" i="13"/>
  <c r="E14871" i="13"/>
  <c r="E12482" i="13"/>
  <c r="E11055" i="13"/>
  <c r="E9967" i="13"/>
  <c r="E14536" i="13"/>
  <c r="E11990" i="13"/>
  <c r="E11000" i="13"/>
  <c r="E13621" i="13"/>
  <c r="E11849" i="13"/>
  <c r="E10743" i="13"/>
  <c r="E12504" i="13"/>
  <c r="E11272" i="13"/>
  <c r="E13286" i="13"/>
  <c r="E11934" i="13"/>
  <c r="E11251" i="13"/>
  <c r="E10448" i="13"/>
  <c r="E13040" i="13"/>
  <c r="E11370" i="13"/>
  <c r="E10284" i="13"/>
  <c r="E9691" i="13"/>
  <c r="E8926" i="13"/>
  <c r="E8382" i="13"/>
  <c r="E13197" i="13"/>
  <c r="E11447" i="13"/>
  <c r="E10599" i="13"/>
  <c r="E9741" i="13"/>
  <c r="E9165" i="13"/>
  <c r="E12941" i="13"/>
  <c r="E11338" i="13"/>
  <c r="E10490" i="13"/>
  <c r="E9672" i="13"/>
  <c r="E13190" i="13"/>
  <c r="E11468" i="13"/>
  <c r="E10467" i="13"/>
  <c r="E9756" i="13"/>
  <c r="E12781" i="13"/>
  <c r="E11412" i="13"/>
  <c r="E10422" i="13"/>
  <c r="E9600" i="13"/>
  <c r="E14683" i="13"/>
  <c r="E11350" i="13"/>
  <c r="E10200" i="13"/>
  <c r="E9123" i="13"/>
  <c r="E8311" i="13"/>
  <c r="E7744" i="13"/>
  <c r="E7008" i="13"/>
  <c r="E6464" i="13"/>
  <c r="E11814" i="13"/>
  <c r="E10176" i="13"/>
  <c r="E9346" i="13"/>
  <c r="E8498" i="13"/>
  <c r="E7919" i="13"/>
  <c r="E7183" i="13"/>
  <c r="E6463" i="13"/>
  <c r="E12206" i="13"/>
  <c r="E10432" i="13"/>
  <c r="E9525" i="13"/>
  <c r="E8650" i="13"/>
  <c r="E13614" i="13"/>
  <c r="E11336" i="13"/>
  <c r="E10020" i="13"/>
  <c r="E9120" i="13"/>
  <c r="E14569" i="13"/>
  <c r="E11332" i="13"/>
  <c r="E10194" i="13"/>
  <c r="E9174" i="13"/>
  <c r="E8595" i="13"/>
  <c r="E7930" i="13"/>
  <c r="E11789" i="13"/>
  <c r="E10154" i="13"/>
  <c r="E8885" i="13"/>
  <c r="E8113" i="13"/>
  <c r="E7301" i="13"/>
  <c r="E6661" i="13"/>
  <c r="E6106" i="13"/>
  <c r="E5610" i="13"/>
  <c r="E4970" i="13"/>
  <c r="E4522" i="13"/>
  <c r="E11081" i="13"/>
  <c r="E9751" i="13"/>
  <c r="E8678" i="13"/>
  <c r="E7962" i="13"/>
  <c r="E7300" i="13"/>
  <c r="E6750" i="13"/>
  <c r="E6233" i="13"/>
  <c r="E5785" i="13"/>
  <c r="E12724" i="13"/>
  <c r="E10906" i="13"/>
  <c r="E9817" i="13"/>
  <c r="E9071" i="13"/>
  <c r="E8384" i="13"/>
  <c r="E7901" i="13"/>
  <c r="E7389" i="13"/>
  <c r="E6969" i="13"/>
  <c r="E6493" i="13"/>
  <c r="E6136" i="13"/>
  <c r="E12227" i="13"/>
  <c r="E10959" i="13"/>
  <c r="E10069" i="13"/>
  <c r="E9243" i="13"/>
  <c r="E8699" i="13"/>
  <c r="E8221" i="13"/>
  <c r="E7723" i="13"/>
  <c r="E7352" i="13"/>
  <c r="E6986" i="13"/>
  <c r="E13668" i="13"/>
  <c r="E11770" i="13"/>
  <c r="E10656" i="13"/>
  <c r="E9703" i="13"/>
  <c r="E9065" i="13"/>
  <c r="E8546" i="13"/>
  <c r="E7999" i="13"/>
  <c r="E7605" i="13"/>
  <c r="E7239" i="13"/>
  <c r="E6801" i="13"/>
  <c r="E6435" i="13"/>
  <c r="E6100" i="13"/>
  <c r="E5764" i="13"/>
  <c r="E12636" i="13"/>
  <c r="E11051" i="13"/>
  <c r="E10011" i="13"/>
  <c r="E9222" i="13"/>
  <c r="E8597" i="13"/>
  <c r="E8058" i="13"/>
  <c r="E7597" i="13"/>
  <c r="E7174" i="13"/>
  <c r="E6744" i="13"/>
  <c r="E6346" i="13"/>
  <c r="E6006" i="13"/>
  <c r="E5692" i="13"/>
  <c r="E5407" i="13"/>
  <c r="E11930" i="13"/>
  <c r="E10610" i="13"/>
  <c r="E9694" i="13"/>
  <c r="E8972" i="13"/>
  <c r="E8387" i="13"/>
  <c r="E7876" i="13"/>
  <c r="E7435" i="13"/>
  <c r="E7012" i="13"/>
  <c r="E6590" i="13"/>
  <c r="E6214" i="13"/>
  <c r="E5887" i="13"/>
  <c r="E14132" i="13"/>
  <c r="E11733" i="13"/>
  <c r="E10475" i="13"/>
  <c r="E9585" i="13"/>
  <c r="E8889" i="13"/>
  <c r="E8319" i="13"/>
  <c r="E7816" i="13"/>
  <c r="E12587" i="13"/>
  <c r="E11028" i="13"/>
  <c r="E9990" i="13"/>
  <c r="E9203" i="13"/>
  <c r="E8588" i="13"/>
  <c r="E13265" i="13"/>
  <c r="E11389" i="13"/>
  <c r="E10236" i="13"/>
  <c r="E9403" i="13"/>
  <c r="E8746" i="13"/>
  <c r="E14151" i="13"/>
  <c r="E11106" i="13"/>
  <c r="E9665" i="13"/>
  <c r="E8682" i="13"/>
  <c r="E7951" i="13"/>
  <c r="E7422" i="13"/>
  <c r="E6939" i="13"/>
  <c r="E6467" i="13"/>
  <c r="E6060" i="13"/>
  <c r="E5698" i="13"/>
  <c r="E5390" i="13"/>
  <c r="E5117" i="13"/>
  <c r="E4844" i="13"/>
  <c r="E4571" i="13"/>
  <c r="E4309" i="13"/>
  <c r="E4053" i="13"/>
  <c r="E3797" i="13"/>
  <c r="E3541" i="13"/>
  <c r="E3285" i="13"/>
  <c r="E3029" i="13"/>
  <c r="E2773" i="13"/>
  <c r="E2517" i="13"/>
  <c r="E2261" i="13"/>
  <c r="E2005" i="13"/>
  <c r="E13759" i="13"/>
  <c r="E10987" i="13"/>
  <c r="E9584" i="13"/>
  <c r="E8620" i="13"/>
  <c r="E7913" i="13"/>
  <c r="E7395" i="13"/>
  <c r="E6906" i="13"/>
  <c r="E6437" i="13"/>
  <c r="E6034" i="13"/>
  <c r="E5676" i="13"/>
  <c r="E5372" i="13"/>
  <c r="E5099" i="13"/>
  <c r="E4825" i="13"/>
  <c r="E4552" i="13"/>
  <c r="E4292" i="13"/>
  <c r="E4036" i="13"/>
  <c r="E3780" i="13"/>
  <c r="E3524" i="13"/>
  <c r="E3268" i="13"/>
  <c r="E3012" i="13"/>
  <c r="E2756" i="13"/>
  <c r="E2500" i="13"/>
  <c r="E11443" i="13"/>
  <c r="E9884" i="13"/>
  <c r="E8834" i="13"/>
  <c r="E8060" i="13"/>
  <c r="E7510" i="13"/>
  <c r="E7028" i="13"/>
  <c r="E6548" i="13"/>
  <c r="E6128" i="13"/>
  <c r="E5762" i="13"/>
  <c r="E5442" i="13"/>
  <c r="E5166" i="13"/>
  <c r="E4893" i="13"/>
  <c r="E4620" i="13"/>
  <c r="E4355" i="13"/>
  <c r="E4099" i="13"/>
  <c r="E3843" i="13"/>
  <c r="E3587" i="13"/>
  <c r="E3331" i="13"/>
  <c r="E14685" i="13"/>
  <c r="E11205" i="13"/>
  <c r="E9731" i="13"/>
  <c r="E8722" i="13"/>
  <c r="E7979" i="13"/>
  <c r="E7450" i="13"/>
  <c r="E6963" i="13"/>
  <c r="E6488" i="13"/>
  <c r="E6079" i="13"/>
  <c r="E5717" i="13"/>
  <c r="E5404" i="13"/>
  <c r="E5131" i="13"/>
  <c r="E4857" i="13"/>
  <c r="E4584" i="13"/>
  <c r="E4322" i="13"/>
  <c r="E4066" i="13"/>
  <c r="E3810" i="13"/>
  <c r="E3554" i="13"/>
  <c r="E3298" i="13"/>
  <c r="E3042" i="13"/>
  <c r="E13988" i="13"/>
  <c r="E11083" i="13"/>
  <c r="E9633" i="13"/>
  <c r="E8659" i="13"/>
  <c r="E7939" i="13"/>
  <c r="E7415" i="13"/>
  <c r="E6924" i="13"/>
  <c r="E6456" i="13"/>
  <c r="E6050" i="13"/>
  <c r="E5688" i="13"/>
  <c r="E5383" i="13"/>
  <c r="E5110" i="13"/>
  <c r="E4837" i="13"/>
  <c r="E4564" i="13"/>
  <c r="E4303" i="13"/>
  <c r="E4047" i="13"/>
  <c r="E3791" i="13"/>
  <c r="E3535" i="13"/>
  <c r="E3279" i="13"/>
  <c r="E3023" i="13"/>
  <c r="E2767" i="13"/>
  <c r="E14309" i="13"/>
  <c r="E10410" i="13"/>
  <c r="E8767" i="13"/>
  <c r="E7755" i="13"/>
  <c r="E7038" i="13"/>
  <c r="E6359" i="13"/>
  <c r="E5804" i="13"/>
  <c r="E5346" i="13"/>
  <c r="E4950" i="13"/>
  <c r="E4555" i="13"/>
  <c r="E4174" i="13"/>
  <c r="E3803" i="13"/>
  <c r="E3432" i="13"/>
  <c r="E3062" i="13"/>
  <c r="E2727" i="13"/>
  <c r="E2423" i="13"/>
  <c r="E2150" i="13"/>
  <c r="E1876" i="13"/>
  <c r="E1615" i="13"/>
  <c r="E1359" i="13"/>
  <c r="E1103" i="13"/>
  <c r="E847" i="13"/>
  <c r="E591" i="13"/>
  <c r="E335" i="13"/>
  <c r="E79" i="13"/>
  <c r="E11160" i="13"/>
  <c r="E9193" i="13"/>
  <c r="E8013" i="13"/>
  <c r="E7255" i="13"/>
  <c r="E6557" i="13"/>
  <c r="E5970" i="13"/>
  <c r="E5472" i="13"/>
  <c r="E5072" i="13"/>
  <c r="E4676" i="13"/>
  <c r="E4289" i="13"/>
  <c r="E3917" i="13"/>
  <c r="E3546" i="13"/>
  <c r="E3175" i="13"/>
  <c r="E2825" i="13"/>
  <c r="E2509" i="13"/>
  <c r="E2234" i="13"/>
  <c r="E1961" i="13"/>
  <c r="E1694" i="13"/>
  <c r="E1438" i="13"/>
  <c r="E14827" i="13"/>
  <c r="E14755" i="13"/>
  <c r="E13773" i="13"/>
  <c r="E14332" i="13"/>
  <c r="E14689" i="13"/>
  <c r="E14816" i="13"/>
  <c r="E13788" i="13"/>
  <c r="E14421" i="13"/>
  <c r="E14229" i="13"/>
  <c r="E13690" i="13"/>
  <c r="E12611" i="13"/>
  <c r="E13994" i="13"/>
  <c r="E14372" i="13"/>
  <c r="E13367" i="13"/>
  <c r="E13870" i="13"/>
  <c r="E13658" i="13"/>
  <c r="E12529" i="13"/>
  <c r="E11586" i="13"/>
  <c r="E13195" i="13"/>
  <c r="E14127" i="13"/>
  <c r="E14764" i="13"/>
  <c r="E14593" i="13"/>
  <c r="E12933" i="13"/>
  <c r="E13306" i="13"/>
  <c r="E11980" i="13"/>
  <c r="E10913" i="13"/>
  <c r="E13884" i="13"/>
  <c r="E12235" i="13"/>
  <c r="E11408" i="13"/>
  <c r="E13146" i="13"/>
  <c r="E11876" i="13"/>
  <c r="E13590" i="13"/>
  <c r="E12113" i="13"/>
  <c r="E13191" i="13"/>
  <c r="E14753" i="13"/>
  <c r="E12069" i="13"/>
  <c r="E11037" i="13"/>
  <c r="E9951" i="13"/>
  <c r="E14438" i="13"/>
  <c r="E11967" i="13"/>
  <c r="E10812" i="13"/>
  <c r="E13518" i="13"/>
  <c r="E11805" i="13"/>
  <c r="E10726" i="13"/>
  <c r="E12421" i="13"/>
  <c r="E11108" i="13"/>
  <c r="E13210" i="13"/>
  <c r="E11908" i="13"/>
  <c r="E11213" i="13"/>
  <c r="E10431" i="13"/>
  <c r="E12498" i="13"/>
  <c r="E11340" i="13"/>
  <c r="E10264" i="13"/>
  <c r="E9674" i="13"/>
  <c r="E8910" i="13"/>
  <c r="E8190" i="13"/>
  <c r="E13139" i="13"/>
  <c r="E11422" i="13"/>
  <c r="E10578" i="13"/>
  <c r="E9724" i="13"/>
  <c r="E8989" i="13"/>
  <c r="E12890" i="13"/>
  <c r="E11315" i="13"/>
  <c r="E10468" i="13"/>
  <c r="E9655" i="13"/>
  <c r="E12880" i="13"/>
  <c r="E11445" i="13"/>
  <c r="E10425" i="13"/>
  <c r="E9739" i="13"/>
  <c r="E12693" i="13"/>
  <c r="E11226" i="13"/>
  <c r="E10378" i="13"/>
  <c r="E9582" i="13"/>
  <c r="E14281" i="13"/>
  <c r="E11303" i="13"/>
  <c r="E9900" i="13"/>
  <c r="E9104" i="13"/>
  <c r="E8294" i="13"/>
  <c r="E7728" i="13"/>
  <c r="E6992" i="13"/>
  <c r="E14417" i="13"/>
  <c r="E11761" i="13"/>
  <c r="E10146" i="13"/>
  <c r="E9324" i="13"/>
  <c r="E8481" i="13"/>
  <c r="E7743" i="13"/>
  <c r="E7167" i="13"/>
  <c r="E6447" i="13"/>
  <c r="E12158" i="13"/>
  <c r="E10398" i="13"/>
  <c r="E9387" i="13"/>
  <c r="E8633" i="13"/>
  <c r="E13405" i="13"/>
  <c r="E11300" i="13"/>
  <c r="E9970" i="13"/>
  <c r="E8985" i="13"/>
  <c r="E14199" i="13"/>
  <c r="E11295" i="13"/>
  <c r="E10139" i="13"/>
  <c r="E9155" i="13"/>
  <c r="E8475" i="13"/>
  <c r="E7914" i="13"/>
  <c r="E11731" i="13"/>
  <c r="E10109" i="13"/>
  <c r="E8779" i="13"/>
  <c r="E7905" i="13"/>
  <c r="E7283" i="13"/>
  <c r="E6625" i="13"/>
  <c r="E6074" i="13"/>
  <c r="E5466" i="13"/>
  <c r="E4954" i="13"/>
  <c r="E14538" i="13"/>
  <c r="E11014" i="13"/>
  <c r="E9713" i="13"/>
  <c r="E8656" i="13"/>
  <c r="E7942" i="13"/>
  <c r="E7244" i="13"/>
  <c r="E6732" i="13"/>
  <c r="E6217" i="13"/>
  <c r="E5721" i="13"/>
  <c r="E12385" i="13"/>
  <c r="E10860" i="13"/>
  <c r="E9746" i="13"/>
  <c r="E9040" i="13"/>
  <c r="E8359" i="13"/>
  <c r="E7862" i="13"/>
  <c r="E7371" i="13"/>
  <c r="E6951" i="13"/>
  <c r="E6475" i="13"/>
  <c r="E6120" i="13"/>
  <c r="E12136" i="13"/>
  <c r="E10905" i="13"/>
  <c r="E10035" i="13"/>
  <c r="E9210" i="13"/>
  <c r="E8676" i="13"/>
  <c r="E8199" i="13"/>
  <c r="E7703" i="13"/>
  <c r="E7334" i="13"/>
  <c r="E6968" i="13"/>
  <c r="E13494" i="13"/>
  <c r="E11697" i="13"/>
  <c r="E10605" i="13"/>
  <c r="E9664" i="13"/>
  <c r="E9033" i="13"/>
  <c r="E8522" i="13"/>
  <c r="E7977" i="13"/>
  <c r="E7587" i="13"/>
  <c r="E7221" i="13"/>
  <c r="E6781" i="13"/>
  <c r="E6417" i="13"/>
  <c r="E6084" i="13"/>
  <c r="E5748" i="13"/>
  <c r="E12518" i="13"/>
  <c r="E10976" i="13"/>
  <c r="E9957" i="13"/>
  <c r="E9172" i="13"/>
  <c r="E8563" i="13"/>
  <c r="E8029" i="13"/>
  <c r="E7570" i="13"/>
  <c r="E7144" i="13"/>
  <c r="E6721" i="13"/>
  <c r="E6324" i="13"/>
  <c r="E5986" i="13"/>
  <c r="E5671" i="13"/>
  <c r="E14478" i="13"/>
  <c r="E11820" i="13"/>
  <c r="E10542" i="13"/>
  <c r="E9645" i="13"/>
  <c r="E8929" i="13"/>
  <c r="E8351" i="13"/>
  <c r="E7849" i="13"/>
  <c r="E7412" i="13"/>
  <c r="E6982" i="13"/>
  <c r="E6565" i="13"/>
  <c r="E6193" i="13"/>
  <c r="E5868" i="13"/>
  <c r="E13841" i="13"/>
  <c r="E11633" i="13"/>
  <c r="E10412" i="13"/>
  <c r="E9540" i="13"/>
  <c r="E8850" i="13"/>
  <c r="E8282" i="13"/>
  <c r="E7790" i="13"/>
  <c r="E12463" i="13"/>
  <c r="E10939" i="13"/>
  <c r="E9940" i="13"/>
  <c r="E9164" i="13"/>
  <c r="E8551" i="13"/>
  <c r="E13104" i="13"/>
  <c r="E11319" i="13"/>
  <c r="E10180" i="13"/>
  <c r="E9354" i="13"/>
  <c r="E8712" i="13"/>
  <c r="E13765" i="13"/>
  <c r="E11003" i="13"/>
  <c r="E9594" i="13"/>
  <c r="E8624" i="13"/>
  <c r="E7915" i="13"/>
  <c r="E7396" i="13"/>
  <c r="E6907" i="13"/>
  <c r="E6438" i="13"/>
  <c r="E6035" i="13"/>
  <c r="E5677" i="13"/>
  <c r="E5373" i="13"/>
  <c r="E5100" i="13"/>
  <c r="E4827" i="13"/>
  <c r="E4553" i="13"/>
  <c r="E4293" i="13"/>
  <c r="E4037" i="13"/>
  <c r="E3781" i="13"/>
  <c r="E3525" i="13"/>
  <c r="E3269" i="13"/>
  <c r="E3013" i="13"/>
  <c r="E2757" i="13"/>
  <c r="E2501" i="13"/>
  <c r="E2245" i="13"/>
  <c r="E1989" i="13"/>
  <c r="E13447" i="13"/>
  <c r="E10876" i="13"/>
  <c r="E9511" i="13"/>
  <c r="E8571" i="13"/>
  <c r="E7879" i="13"/>
  <c r="E7363" i="13"/>
  <c r="E6872" i="13"/>
  <c r="E6410" i="13"/>
  <c r="E6013" i="13"/>
  <c r="E5653" i="13"/>
  <c r="E5355" i="13"/>
  <c r="E5081" i="13"/>
  <c r="E4808" i="13"/>
  <c r="E4535" i="13"/>
  <c r="E4276" i="13"/>
  <c r="E4020" i="13"/>
  <c r="E3764" i="13"/>
  <c r="E3508" i="13"/>
  <c r="E3252" i="13"/>
  <c r="E2996" i="13"/>
  <c r="E2740" i="13"/>
  <c r="E2484" i="13"/>
  <c r="E11325" i="13"/>
  <c r="E9814" i="13"/>
  <c r="E8774" i="13"/>
  <c r="E8018" i="13"/>
  <c r="E7479" i="13"/>
  <c r="E6996" i="13"/>
  <c r="E6521" i="13"/>
  <c r="E6103" i="13"/>
  <c r="E5741" i="13"/>
  <c r="E5423" i="13"/>
  <c r="E5149" i="13"/>
  <c r="E4876" i="13"/>
  <c r="E4603" i="13"/>
  <c r="E4339" i="13"/>
  <c r="E4083" i="13"/>
  <c r="E3827" i="13"/>
  <c r="E3571" i="13"/>
  <c r="E3315" i="13"/>
  <c r="E14083" i="13"/>
  <c r="E11087" i="13"/>
  <c r="E9660" i="13"/>
  <c r="E8664" i="13"/>
  <c r="E7947" i="13"/>
  <c r="E7418" i="13"/>
  <c r="E6936" i="13"/>
  <c r="E6462" i="13"/>
  <c r="E6054" i="13"/>
  <c r="E5695" i="13"/>
  <c r="E5387" i="13"/>
  <c r="E5113" i="13"/>
  <c r="E4840" i="13"/>
  <c r="E4567" i="13"/>
  <c r="E4306" i="13"/>
  <c r="E4050" i="13"/>
  <c r="E3794" i="13"/>
  <c r="E3538" i="13"/>
  <c r="E3282" i="13"/>
  <c r="E3026" i="13"/>
  <c r="E13667" i="13"/>
  <c r="E10940" i="13"/>
  <c r="E9561" i="13"/>
  <c r="E8610" i="13"/>
  <c r="E7899" i="13"/>
  <c r="E7381" i="13"/>
  <c r="E6893" i="13"/>
  <c r="E6429" i="13"/>
  <c r="E6029" i="13"/>
  <c r="E5666" i="13"/>
  <c r="E5366" i="13"/>
  <c r="E5093" i="13"/>
  <c r="E4820" i="13"/>
  <c r="E4547" i="13"/>
  <c r="E4287" i="13"/>
  <c r="E4031" i="13"/>
  <c r="E3775" i="13"/>
  <c r="E3519" i="13"/>
  <c r="E3263" i="13"/>
  <c r="E3007" i="13"/>
  <c r="E2751" i="13"/>
  <c r="E13772" i="13"/>
  <c r="E10257" i="13"/>
  <c r="E8694" i="13"/>
  <c r="E7714" i="13"/>
  <c r="E6994" i="13"/>
  <c r="E6317" i="13"/>
  <c r="E5774" i="13"/>
  <c r="E5324" i="13"/>
  <c r="E4924" i="13"/>
  <c r="E4527" i="13"/>
  <c r="E4153" i="13"/>
  <c r="E3782" i="13"/>
  <c r="E3406" i="13"/>
  <c r="E3038" i="13"/>
  <c r="E2706" i="13"/>
  <c r="E2406" i="13"/>
  <c r="E2132" i="13"/>
  <c r="E1859" i="13"/>
  <c r="E1599" i="13"/>
  <c r="E1343" i="13"/>
  <c r="E1087" i="13"/>
  <c r="E831" i="13"/>
  <c r="E575" i="13"/>
  <c r="E319" i="13"/>
  <c r="E63" i="13"/>
  <c r="E10954" i="13"/>
  <c r="E9106" i="13"/>
  <c r="E7959" i="13"/>
  <c r="E7214" i="13"/>
  <c r="E6516" i="13"/>
  <c r="E5934" i="13"/>
  <c r="E5448" i="13"/>
  <c r="E5049" i="13"/>
  <c r="E4648" i="13"/>
  <c r="E4267" i="13"/>
  <c r="E3896" i="13"/>
  <c r="E3521" i="13"/>
  <c r="E3149" i="13"/>
  <c r="E2803" i="13"/>
  <c r="E2491" i="13"/>
  <c r="E2217" i="13"/>
  <c r="E1944" i="13"/>
  <c r="E1678" i="13"/>
  <c r="E14793" i="13"/>
  <c r="E14675" i="13"/>
  <c r="E13757" i="13"/>
  <c r="E14316" i="13"/>
  <c r="E14670" i="13"/>
  <c r="E14760" i="13"/>
  <c r="E13771" i="13"/>
  <c r="E14401" i="13"/>
  <c r="E14136" i="13"/>
  <c r="E13672" i="13"/>
  <c r="E12563" i="13"/>
  <c r="E13974" i="13"/>
  <c r="E14320" i="13"/>
  <c r="E13350" i="13"/>
  <c r="E13831" i="13"/>
  <c r="E13396" i="13"/>
  <c r="E12478" i="13"/>
  <c r="E14471" i="13"/>
  <c r="E13156" i="13"/>
  <c r="E13983" i="13"/>
  <c r="E14661" i="13"/>
  <c r="E14376" i="13"/>
  <c r="E12916" i="13"/>
  <c r="E13050" i="13"/>
  <c r="E11963" i="13"/>
  <c r="E10817" i="13"/>
  <c r="E13809" i="13"/>
  <c r="E12218" i="13"/>
  <c r="E11392" i="13"/>
  <c r="E13122" i="13"/>
  <c r="E11841" i="13"/>
  <c r="E13553" i="13"/>
  <c r="E12028" i="13"/>
  <c r="E13141" i="13"/>
  <c r="E14639" i="13"/>
  <c r="E11992" i="13"/>
  <c r="E11019" i="13"/>
  <c r="E9919" i="13"/>
  <c r="E14356" i="13"/>
  <c r="E11830" i="13"/>
  <c r="E10607" i="13"/>
  <c r="E13426" i="13"/>
  <c r="E11596" i="13"/>
  <c r="E10692" i="13"/>
  <c r="E12288" i="13"/>
  <c r="E11052" i="13"/>
  <c r="E13029" i="13"/>
  <c r="E11885" i="13"/>
  <c r="E11123" i="13"/>
  <c r="E10414" i="13"/>
  <c r="E12412" i="13"/>
  <c r="E11317" i="13"/>
  <c r="E10245" i="13"/>
  <c r="E9657" i="13"/>
  <c r="E8894" i="13"/>
  <c r="E8158" i="13"/>
  <c r="E13086" i="13"/>
  <c r="E11394" i="13"/>
  <c r="E10553" i="13"/>
  <c r="E9707" i="13"/>
  <c r="E8941" i="13"/>
  <c r="E12844" i="13"/>
  <c r="E11260" i="13"/>
  <c r="E10446" i="13"/>
  <c r="E9621" i="13"/>
  <c r="E12575" i="13"/>
  <c r="E11390" i="13"/>
  <c r="E10321" i="13"/>
  <c r="E9705" i="13"/>
  <c r="E12485" i="13"/>
  <c r="E11173" i="13"/>
  <c r="E10277" i="13"/>
  <c r="E9565" i="13"/>
  <c r="E13642" i="13"/>
  <c r="E11268" i="13"/>
  <c r="E9850" i="13"/>
  <c r="E9083" i="13"/>
  <c r="E8277" i="13"/>
  <c r="E7712" i="13"/>
  <c r="E6976" i="13"/>
  <c r="E14089" i="13"/>
  <c r="E11719" i="13"/>
  <c r="E10122" i="13"/>
  <c r="E9304" i="13"/>
  <c r="E8464" i="13"/>
  <c r="E7695" i="13"/>
  <c r="E7151" i="13"/>
  <c r="E6415" i="13"/>
  <c r="E12103" i="13"/>
  <c r="E10339" i="13"/>
  <c r="E9239" i="13"/>
  <c r="E8599" i="13"/>
  <c r="E13010" i="13"/>
  <c r="E11223" i="13"/>
  <c r="E9847" i="13"/>
  <c r="E8949" i="13"/>
  <c r="E13604" i="13"/>
  <c r="E11250" i="13"/>
  <c r="E10113" i="13"/>
  <c r="E9136" i="13"/>
  <c r="E8390" i="13"/>
  <c r="E7850" i="13"/>
  <c r="E11663" i="13"/>
  <c r="E10076" i="13"/>
  <c r="E8757" i="13"/>
  <c r="E7864" i="13"/>
  <c r="E7265" i="13"/>
  <c r="E6533" i="13"/>
  <c r="E6058" i="13"/>
  <c r="E5434" i="13"/>
  <c r="E4922" i="13"/>
  <c r="E13397" i="13"/>
  <c r="E10968" i="13"/>
  <c r="E9680" i="13"/>
  <c r="E8628" i="13"/>
  <c r="E7923" i="13"/>
  <c r="E7172" i="13"/>
  <c r="E6714" i="13"/>
  <c r="E6201" i="13"/>
  <c r="E5689" i="13"/>
  <c r="E12300" i="13"/>
  <c r="E10809" i="13"/>
  <c r="E9712" i="13"/>
  <c r="E8991" i="13"/>
  <c r="E8337" i="13"/>
  <c r="E7843" i="13"/>
  <c r="E7353" i="13"/>
  <c r="E6877" i="13"/>
  <c r="E6457" i="13"/>
  <c r="E6104" i="13"/>
  <c r="E12070" i="13"/>
  <c r="E10859" i="13"/>
  <c r="E9886" i="13"/>
  <c r="E9185" i="13"/>
  <c r="E8653" i="13"/>
  <c r="E8109" i="13"/>
  <c r="E7684" i="13"/>
  <c r="E7316" i="13"/>
  <c r="E6894" i="13"/>
  <c r="E13349" i="13"/>
  <c r="E11643" i="13"/>
  <c r="E10419" i="13"/>
  <c r="E9630" i="13"/>
  <c r="E9010" i="13"/>
  <c r="E8422" i="13"/>
  <c r="E7957" i="13"/>
  <c r="E7569" i="13"/>
  <c r="E7147" i="13"/>
  <c r="E6763" i="13"/>
  <c r="E6397" i="13"/>
  <c r="E6020" i="13"/>
  <c r="E5732" i="13"/>
  <c r="E12400" i="13"/>
  <c r="E10901" i="13"/>
  <c r="E9908" i="13"/>
  <c r="E9135" i="13"/>
  <c r="E8524" i="13"/>
  <c r="E7995" i="13"/>
  <c r="E7544" i="13"/>
  <c r="E7121" i="13"/>
  <c r="E6692" i="13"/>
  <c r="E6302" i="13"/>
  <c r="E5967" i="13"/>
  <c r="E5652" i="13"/>
  <c r="E14147" i="13"/>
  <c r="E11735" i="13"/>
  <c r="E10476" i="13"/>
  <c r="E9590" i="13"/>
  <c r="E8891" i="13"/>
  <c r="E8320" i="13"/>
  <c r="E7819" i="13"/>
  <c r="E7382" i="13"/>
  <c r="E6957" i="13"/>
  <c r="E6540" i="13"/>
  <c r="E6173" i="13"/>
  <c r="E5847" i="13"/>
  <c r="E13609" i="13"/>
  <c r="E11546" i="13"/>
  <c r="E10347" i="13"/>
  <c r="E9483" i="13"/>
  <c r="E8812" i="13"/>
  <c r="E8251" i="13"/>
  <c r="E7761" i="13"/>
  <c r="E12348" i="13"/>
  <c r="E10874" i="13"/>
  <c r="E9885" i="13"/>
  <c r="E9114" i="13"/>
  <c r="E8517" i="13"/>
  <c r="E12959" i="13"/>
  <c r="E11222" i="13"/>
  <c r="E10126" i="13"/>
  <c r="E9313" i="13"/>
  <c r="E8675" i="13"/>
  <c r="E13464" i="13"/>
  <c r="E10878" i="13"/>
  <c r="E9512" i="13"/>
  <c r="E8573" i="13"/>
  <c r="E7885" i="13"/>
  <c r="E7364" i="13"/>
  <c r="E6874" i="13"/>
  <c r="E6411" i="13"/>
  <c r="E6014" i="13"/>
  <c r="E5654" i="13"/>
  <c r="E5356" i="13"/>
  <c r="E5083" i="13"/>
  <c r="E4809" i="13"/>
  <c r="E4536" i="13"/>
  <c r="E4277" i="13"/>
  <c r="E4021" i="13"/>
  <c r="E3765" i="13"/>
  <c r="E3509" i="13"/>
  <c r="E3253" i="13"/>
  <c r="E2997" i="13"/>
  <c r="E2741" i="13"/>
  <c r="E2485" i="13"/>
  <c r="E2229" i="13"/>
  <c r="E1973" i="13"/>
  <c r="E13179" i="13"/>
  <c r="E10776" i="13"/>
  <c r="E9444" i="13"/>
  <c r="E8518" i="13"/>
  <c r="E7841" i="13"/>
  <c r="E7332" i="13"/>
  <c r="E6845" i="13"/>
  <c r="E6381" i="13"/>
  <c r="E5990" i="13"/>
  <c r="E5631" i="13"/>
  <c r="E5337" i="13"/>
  <c r="E5064" i="13"/>
  <c r="E4791" i="13"/>
  <c r="E4518" i="13"/>
  <c r="E4260" i="13"/>
  <c r="E4004" i="13"/>
  <c r="E3748" i="13"/>
  <c r="E3492" i="13"/>
  <c r="E3236" i="13"/>
  <c r="E2980" i="13"/>
  <c r="E2724" i="13"/>
  <c r="E14686" i="13"/>
  <c r="E11215" i="13"/>
  <c r="E9733" i="13"/>
  <c r="E8724" i="13"/>
  <c r="E7988" i="13"/>
  <c r="E7451" i="13"/>
  <c r="E6964" i="13"/>
  <c r="E6490" i="13"/>
  <c r="E6080" i="13"/>
  <c r="E5718" i="13"/>
  <c r="E5405" i="13"/>
  <c r="E5132" i="13"/>
  <c r="E4859" i="13"/>
  <c r="E4585" i="13"/>
  <c r="E4323" i="13"/>
  <c r="E4067" i="13"/>
  <c r="E3811" i="13"/>
  <c r="E3555" i="13"/>
  <c r="E3299" i="13"/>
  <c r="E13742" i="13"/>
  <c r="E10979" i="13"/>
  <c r="E9580" i="13"/>
  <c r="E8614" i="13"/>
  <c r="E7911" i="13"/>
  <c r="E7387" i="13"/>
  <c r="E6902" i="13"/>
  <c r="E6434" i="13"/>
  <c r="E6032" i="13"/>
  <c r="E5672" i="13"/>
  <c r="E5369" i="13"/>
  <c r="E5096" i="13"/>
  <c r="E4823" i="13"/>
  <c r="E4550" i="13"/>
  <c r="E4290" i="13"/>
  <c r="E4034" i="13"/>
  <c r="E3778" i="13"/>
  <c r="E3522" i="13"/>
  <c r="E3266" i="13"/>
  <c r="E3010" i="13"/>
  <c r="E13319" i="13"/>
  <c r="E10839" i="13"/>
  <c r="E9491" i="13"/>
  <c r="E8552" i="13"/>
  <c r="E7868" i="13"/>
  <c r="E7350" i="13"/>
  <c r="E6867" i="13"/>
  <c r="E6402" i="13"/>
  <c r="E6003" i="13"/>
  <c r="E5646" i="13"/>
  <c r="E5349" i="13"/>
  <c r="E5076" i="13"/>
  <c r="E4803" i="13"/>
  <c r="E4530" i="13"/>
  <c r="E4271" i="13"/>
  <c r="E4015" i="13"/>
  <c r="E3759" i="13"/>
  <c r="E3503" i="13"/>
  <c r="E3247" i="13"/>
  <c r="E2991" i="13"/>
  <c r="E2735" i="13"/>
  <c r="E13290" i="13"/>
  <c r="E10155" i="13"/>
  <c r="E8625" i="13"/>
  <c r="E7655" i="13"/>
  <c r="E6948" i="13"/>
  <c r="E6285" i="13"/>
  <c r="E5739" i="13"/>
  <c r="E5296" i="13"/>
  <c r="E4900" i="13"/>
  <c r="E4504" i="13"/>
  <c r="E4128" i="13"/>
  <c r="E3756" i="13"/>
  <c r="E3385" i="13"/>
  <c r="E3018" i="13"/>
  <c r="E2686" i="13"/>
  <c r="E2388" i="13"/>
  <c r="E2115" i="13"/>
  <c r="E1842" i="13"/>
  <c r="E1583" i="13"/>
  <c r="E1327" i="13"/>
  <c r="E1071" i="13"/>
  <c r="E815" i="13"/>
  <c r="E559" i="13"/>
  <c r="E303" i="13"/>
  <c r="E47" i="13"/>
  <c r="E10822" i="13"/>
  <c r="E9020" i="13"/>
  <c r="E7910" i="13"/>
  <c r="E7163" i="13"/>
  <c r="E6478" i="13"/>
  <c r="E5903" i="13"/>
  <c r="E5420" i="13"/>
  <c r="E5022" i="13"/>
  <c r="E4626" i="13"/>
  <c r="E4246" i="13"/>
  <c r="E3870" i="13"/>
  <c r="E3499" i="13"/>
  <c r="E3128" i="13"/>
  <c r="E2784" i="13"/>
  <c r="E2473" i="13"/>
  <c r="E2200" i="13"/>
  <c r="E1927" i="13"/>
  <c r="E1662" i="13"/>
  <c r="E14711" i="13"/>
  <c r="E14835" i="13"/>
  <c r="E13741" i="13"/>
  <c r="E14044" i="13"/>
  <c r="E14652" i="13"/>
  <c r="E14734" i="13"/>
  <c r="E13754" i="13"/>
  <c r="E14293" i="13"/>
  <c r="E13819" i="13"/>
  <c r="E13654" i="13"/>
  <c r="E12547" i="13"/>
  <c r="E13954" i="13"/>
  <c r="E14288" i="13"/>
  <c r="E14371" i="13"/>
  <c r="E13738" i="13"/>
  <c r="E13356" i="13"/>
  <c r="E12461" i="13"/>
  <c r="E14430" i="13"/>
  <c r="E12972" i="13"/>
  <c r="E13958" i="13"/>
  <c r="E14558" i="13"/>
  <c r="E14329" i="13"/>
  <c r="E12881" i="13"/>
  <c r="E12889" i="13"/>
  <c r="E11861" i="13"/>
  <c r="E10785" i="13"/>
  <c r="E13735" i="13"/>
  <c r="E12201" i="13"/>
  <c r="E11120" i="13"/>
  <c r="E13093" i="13"/>
  <c r="E11824" i="13"/>
  <c r="E13519" i="13"/>
  <c r="E11994" i="13"/>
  <c r="E12746" i="13"/>
  <c r="E14537" i="13"/>
  <c r="E11968" i="13"/>
  <c r="E11001" i="13"/>
  <c r="E9903" i="13"/>
  <c r="E13427" i="13"/>
  <c r="E11786" i="13"/>
  <c r="E10590" i="13"/>
  <c r="E13377" i="13"/>
  <c r="E11576" i="13"/>
  <c r="E14624" i="13"/>
  <c r="E12261" i="13"/>
  <c r="E11016" i="13"/>
  <c r="E12991" i="13"/>
  <c r="E11845" i="13"/>
  <c r="E10995" i="13"/>
  <c r="E10380" i="13"/>
  <c r="E12380" i="13"/>
  <c r="E11262" i="13"/>
  <c r="E10227" i="13"/>
  <c r="E9452" i="13"/>
  <c r="E8878" i="13"/>
  <c r="E8142" i="13"/>
  <c r="E13038" i="13"/>
  <c r="E11369" i="13"/>
  <c r="E10304" i="13"/>
  <c r="E9690" i="13"/>
  <c r="E8925" i="13"/>
  <c r="E12788" i="13"/>
  <c r="E11230" i="13"/>
  <c r="E10225" i="13"/>
  <c r="E9604" i="13"/>
  <c r="E12527" i="13"/>
  <c r="E11363" i="13"/>
  <c r="E10300" i="13"/>
  <c r="E9603" i="13"/>
  <c r="E12440" i="13"/>
  <c r="E11118" i="13"/>
  <c r="E10258" i="13"/>
  <c r="E9531" i="13"/>
  <c r="E13014" i="13"/>
  <c r="E11191" i="13"/>
  <c r="E9824" i="13"/>
  <c r="E9044" i="13"/>
  <c r="E8260" i="13"/>
  <c r="E7520" i="13"/>
  <c r="E6960" i="13"/>
  <c r="E13977" i="13"/>
  <c r="E11670" i="13"/>
  <c r="E10096" i="13"/>
  <c r="E9062" i="13"/>
  <c r="E8447" i="13"/>
  <c r="E7679" i="13"/>
  <c r="E7135" i="13"/>
  <c r="E6399" i="13"/>
  <c r="E11581" i="13"/>
  <c r="E10310" i="13"/>
  <c r="E9219" i="13"/>
  <c r="E8582" i="13"/>
  <c r="E12944" i="13"/>
  <c r="E10989" i="13"/>
  <c r="E9819" i="13"/>
  <c r="E8913" i="13"/>
  <c r="E13495" i="13"/>
  <c r="E11174" i="13"/>
  <c r="E9866" i="13"/>
  <c r="E9115" i="13"/>
  <c r="E8373" i="13"/>
  <c r="E7834" i="13"/>
  <c r="E11601" i="13"/>
  <c r="E9714" i="13"/>
  <c r="E8707" i="13"/>
  <c r="E7845" i="13"/>
  <c r="E7245" i="13"/>
  <c r="E6515" i="13"/>
  <c r="E5994" i="13"/>
  <c r="E5402" i="13"/>
  <c r="E4906" i="13"/>
  <c r="E13276" i="13"/>
  <c r="E10907" i="13"/>
  <c r="E9464" i="13"/>
  <c r="E8579" i="13"/>
  <c r="E7902" i="13"/>
  <c r="E7154" i="13"/>
  <c r="E6678" i="13"/>
  <c r="E6185" i="13"/>
  <c r="E5673" i="13"/>
  <c r="E12137" i="13"/>
  <c r="E10716" i="13"/>
  <c r="E9678" i="13"/>
  <c r="E8961" i="13"/>
  <c r="E8315" i="13"/>
  <c r="E7764" i="13"/>
  <c r="E7335" i="13"/>
  <c r="E6859" i="13"/>
  <c r="E6439" i="13"/>
  <c r="E14787" i="13"/>
  <c r="E11983" i="13"/>
  <c r="E10808" i="13"/>
  <c r="E9853" i="13"/>
  <c r="E9153" i="13"/>
  <c r="E8626" i="13"/>
  <c r="E8086" i="13"/>
  <c r="E7665" i="13"/>
  <c r="E7298" i="13"/>
  <c r="E6876" i="13"/>
  <c r="E13231" i="13"/>
  <c r="E11567" i="13"/>
  <c r="E10379" i="13"/>
  <c r="E9592" i="13"/>
  <c r="E8980" i="13"/>
  <c r="E8401" i="13"/>
  <c r="E7937" i="13"/>
  <c r="E7549" i="13"/>
  <c r="E7129" i="13"/>
  <c r="E6745" i="13"/>
  <c r="E6379" i="13"/>
  <c r="E6004" i="13"/>
  <c r="E5716" i="13"/>
  <c r="E12275" i="13"/>
  <c r="E10834" i="13"/>
  <c r="E9863" i="13"/>
  <c r="E9090" i="13"/>
  <c r="E8490" i="13"/>
  <c r="E7968" i="13"/>
  <c r="E7515" i="13"/>
  <c r="E7091" i="13"/>
  <c r="E6666" i="13"/>
  <c r="E6279" i="13"/>
  <c r="E5948" i="13"/>
  <c r="E5634" i="13"/>
  <c r="E13902" i="13"/>
  <c r="E11635" i="13"/>
  <c r="E10413" i="13"/>
  <c r="E9541" i="13"/>
  <c r="E8851" i="13"/>
  <c r="E8283" i="13"/>
  <c r="E7793" i="13"/>
  <c r="E7357" i="13"/>
  <c r="E6930" i="13"/>
  <c r="E6518" i="13"/>
  <c r="E6150" i="13"/>
  <c r="E5827" i="13"/>
  <c r="E13400" i="13"/>
  <c r="E11444" i="13"/>
  <c r="E10289" i="13"/>
  <c r="E9441" i="13"/>
  <c r="E8775" i="13"/>
  <c r="E8215" i="13"/>
  <c r="E7733" i="13"/>
  <c r="E12237" i="13"/>
  <c r="E10797" i="13"/>
  <c r="E9835" i="13"/>
  <c r="E9077" i="13"/>
  <c r="E8474" i="13"/>
  <c r="E12780" i="13"/>
  <c r="E11157" i="13"/>
  <c r="E10078" i="13"/>
  <c r="E9267" i="13"/>
  <c r="E8641" i="13"/>
  <c r="E13187" i="13"/>
  <c r="E10784" i="13"/>
  <c r="E9447" i="13"/>
  <c r="E8519" i="13"/>
  <c r="E7846" i="13"/>
  <c r="E7333" i="13"/>
  <c r="E6846" i="13"/>
  <c r="E6382" i="13"/>
  <c r="E5991" i="13"/>
  <c r="E5632" i="13"/>
  <c r="E5339" i="13"/>
  <c r="E5065" i="13"/>
  <c r="E4792" i="13"/>
  <c r="E4519" i="13"/>
  <c r="E4261" i="13"/>
  <c r="E4005" i="13"/>
  <c r="E3749" i="13"/>
  <c r="E3493" i="13"/>
  <c r="E3237" i="13"/>
  <c r="E2981" i="13"/>
  <c r="E2725" i="13"/>
  <c r="E2469" i="13"/>
  <c r="E2213" i="13"/>
  <c r="E1957" i="13"/>
  <c r="E12961" i="13"/>
  <c r="E10674" i="13"/>
  <c r="E9374" i="13"/>
  <c r="E8468" i="13"/>
  <c r="E7810" i="13"/>
  <c r="E7302" i="13"/>
  <c r="E6813" i="13"/>
  <c r="E6356" i="13"/>
  <c r="E5968" i="13"/>
  <c r="E5611" i="13"/>
  <c r="E5320" i="13"/>
  <c r="E5047" i="13"/>
  <c r="E4774" i="13"/>
  <c r="E4501" i="13"/>
  <c r="E4244" i="13"/>
  <c r="E3988" i="13"/>
  <c r="E3732" i="13"/>
  <c r="E3476" i="13"/>
  <c r="E3220" i="13"/>
  <c r="E2964" i="13"/>
  <c r="E2708" i="13"/>
  <c r="E14084" i="13"/>
  <c r="E11094" i="13"/>
  <c r="E9661" i="13"/>
  <c r="E8674" i="13"/>
  <c r="E7948" i="13"/>
  <c r="E7419" i="13"/>
  <c r="E6937" i="13"/>
  <c r="E6465" i="13"/>
  <c r="E6055" i="13"/>
  <c r="E5696" i="13"/>
  <c r="E5388" i="13"/>
  <c r="E5115" i="13"/>
  <c r="E4841" i="13"/>
  <c r="E4568" i="13"/>
  <c r="E4307" i="13"/>
  <c r="E4051" i="13"/>
  <c r="E3795" i="13"/>
  <c r="E3539" i="13"/>
  <c r="E3283" i="13"/>
  <c r="E13371" i="13"/>
  <c r="E10868" i="13"/>
  <c r="E9509" i="13"/>
  <c r="E8568" i="13"/>
  <c r="E7873" i="13"/>
  <c r="E7361" i="13"/>
  <c r="E6870" i="13"/>
  <c r="E6408" i="13"/>
  <c r="E6011" i="13"/>
  <c r="E5649" i="13"/>
  <c r="E5352" i="13"/>
  <c r="E5079" i="13"/>
  <c r="E4806" i="13"/>
  <c r="E4533" i="13"/>
  <c r="E4274" i="13"/>
  <c r="E4018" i="13"/>
  <c r="E3762" i="13"/>
  <c r="E3506" i="13"/>
  <c r="E3250" i="13"/>
  <c r="E2994" i="13"/>
  <c r="E13109" i="13"/>
  <c r="E10740" i="13"/>
  <c r="E9419" i="13"/>
  <c r="E8502" i="13"/>
  <c r="E7832" i="13"/>
  <c r="E7322" i="13"/>
  <c r="E6835" i="13"/>
  <c r="E6375" i="13"/>
  <c r="E5982" i="13"/>
  <c r="E5624" i="13"/>
  <c r="E5332" i="13"/>
  <c r="E5059" i="13"/>
  <c r="E4786" i="13"/>
  <c r="E4513" i="13"/>
  <c r="E4255" i="13"/>
  <c r="E3999" i="13"/>
  <c r="E3743" i="13"/>
  <c r="E3487" i="13"/>
  <c r="E3231" i="13"/>
  <c r="E2975" i="13"/>
  <c r="E2719" i="13"/>
  <c r="E12980" i="13"/>
  <c r="E10028" i="13"/>
  <c r="E8541" i="13"/>
  <c r="E7614" i="13"/>
  <c r="E6908" i="13"/>
  <c r="E6243" i="13"/>
  <c r="E5707" i="13"/>
  <c r="E5273" i="13"/>
  <c r="E4873" i="13"/>
  <c r="E4477" i="13"/>
  <c r="E4106" i="13"/>
  <c r="E3735" i="13"/>
  <c r="E3360" i="13"/>
  <c r="E2998" i="13"/>
  <c r="E2667" i="13"/>
  <c r="E2371" i="13"/>
  <c r="E2098" i="13"/>
  <c r="E1825" i="13"/>
  <c r="E1567" i="13"/>
  <c r="E1311" i="13"/>
  <c r="E1055" i="13"/>
  <c r="E799" i="13"/>
  <c r="E543" i="13"/>
  <c r="E287" i="13"/>
  <c r="E31" i="13"/>
  <c r="E10697" i="13"/>
  <c r="E8922" i="13"/>
  <c r="E7859" i="13"/>
  <c r="E7126" i="13"/>
  <c r="E6433" i="13"/>
  <c r="E5867" i="13"/>
  <c r="E5395" i="13"/>
  <c r="E4999" i="13"/>
  <c r="E4599" i="13"/>
  <c r="E4220" i="13"/>
  <c r="E3849" i="13"/>
  <c r="E3478" i="13"/>
  <c r="E3102" i="13"/>
  <c r="E2764" i="13"/>
  <c r="E2456" i="13"/>
  <c r="E2183" i="13"/>
  <c r="E1910" i="13"/>
  <c r="E1646" i="13"/>
  <c r="E14679" i="13"/>
  <c r="E14733" i="13"/>
  <c r="E13725" i="13"/>
  <c r="E14012" i="13"/>
  <c r="E14634" i="13"/>
  <c r="E14704" i="13"/>
  <c r="E13737" i="13"/>
  <c r="E14251" i="13"/>
  <c r="E14851" i="13"/>
  <c r="E13636" i="13"/>
  <c r="E12531" i="13"/>
  <c r="E13935" i="13"/>
  <c r="E14260" i="13"/>
  <c r="E14184" i="13"/>
  <c r="E13701" i="13"/>
  <c r="E13313" i="13"/>
  <c r="E12444" i="13"/>
  <c r="E14351" i="13"/>
  <c r="E12836" i="13"/>
  <c r="E13904" i="13"/>
  <c r="E14341" i="13"/>
  <c r="E14087" i="13"/>
  <c r="E12711" i="13"/>
  <c r="E12842" i="13"/>
  <c r="E11758" i="13"/>
  <c r="E10769" i="13"/>
  <c r="E13563" i="13"/>
  <c r="E12184" i="13"/>
  <c r="E11088" i="13"/>
  <c r="E13070" i="13"/>
  <c r="E11807" i="13"/>
  <c r="E13358" i="13"/>
  <c r="E11977" i="13"/>
  <c r="E12704" i="13"/>
  <c r="E14440" i="13"/>
  <c r="E11942" i="13"/>
  <c r="E10984" i="13"/>
  <c r="E9887" i="13"/>
  <c r="E13107" i="13"/>
  <c r="E11766" i="13"/>
  <c r="E10556" i="13"/>
  <c r="E13339" i="13"/>
  <c r="E11533" i="13"/>
  <c r="E14052" i="13"/>
  <c r="E12211" i="13"/>
  <c r="E10930" i="13"/>
  <c r="E12924" i="13"/>
  <c r="E11737" i="13"/>
  <c r="E10960" i="13"/>
  <c r="E10297" i="13"/>
  <c r="E12334" i="13"/>
  <c r="E11131" i="13"/>
  <c r="E10209" i="13"/>
  <c r="E9418" i="13"/>
  <c r="E8862" i="13"/>
  <c r="E8126" i="13"/>
  <c r="E12985" i="13"/>
  <c r="E11339" i="13"/>
  <c r="E10263" i="13"/>
  <c r="E9673" i="13"/>
  <c r="E8909" i="13"/>
  <c r="E12747" i="13"/>
  <c r="E11207" i="13"/>
  <c r="E10169" i="13"/>
  <c r="E9587" i="13"/>
  <c r="E12446" i="13"/>
  <c r="E11337" i="13"/>
  <c r="E10261" i="13"/>
  <c r="E14592" i="13"/>
  <c r="E12362" i="13"/>
  <c r="E10988" i="13"/>
  <c r="E10219" i="13"/>
  <c r="E9446" i="13"/>
  <c r="E12877" i="13"/>
  <c r="E11002" i="13"/>
  <c r="E9800" i="13"/>
  <c r="E8952" i="13"/>
  <c r="E8243" i="13"/>
  <c r="E7488" i="13"/>
  <c r="E6944" i="13"/>
  <c r="E13861" i="13"/>
  <c r="E11630" i="13"/>
  <c r="E10072" i="13"/>
  <c r="E9025" i="13"/>
  <c r="E8429" i="13"/>
  <c r="E7663" i="13"/>
  <c r="E7119" i="13"/>
  <c r="E6383" i="13"/>
  <c r="E11460" i="13"/>
  <c r="E10279" i="13"/>
  <c r="E9179" i="13"/>
  <c r="E8565" i="13"/>
  <c r="E12807" i="13"/>
  <c r="E10749" i="13"/>
  <c r="E9769" i="13"/>
  <c r="E8821" i="13"/>
  <c r="E13315" i="13"/>
  <c r="E10985" i="13"/>
  <c r="E9816" i="13"/>
  <c r="E9095" i="13"/>
  <c r="E8339" i="13"/>
  <c r="E7802" i="13"/>
  <c r="E11539" i="13"/>
  <c r="E9609" i="13"/>
  <c r="E8679" i="13"/>
  <c r="E7805" i="13"/>
  <c r="E7209" i="13"/>
  <c r="E6477" i="13"/>
  <c r="E5978" i="13"/>
  <c r="E5386" i="13"/>
  <c r="E4890" i="13"/>
  <c r="E13052" i="13"/>
  <c r="E10861" i="13"/>
  <c r="E9428" i="13"/>
  <c r="E8555" i="13"/>
  <c r="E7705" i="13"/>
  <c r="E7116" i="13"/>
  <c r="E6660" i="13"/>
  <c r="E6121" i="13"/>
  <c r="E5657" i="13"/>
  <c r="E12072" i="13"/>
  <c r="E10669" i="13"/>
  <c r="E9636" i="13"/>
  <c r="E8853" i="13"/>
  <c r="E8291" i="13"/>
  <c r="E7745" i="13"/>
  <c r="E7317" i="13"/>
  <c r="E6823" i="13"/>
  <c r="E6421" i="13"/>
  <c r="E14498" i="13"/>
  <c r="E11914" i="13"/>
  <c r="E10765" i="13"/>
  <c r="E9782" i="13"/>
  <c r="E9126" i="13"/>
  <c r="E8603" i="13"/>
  <c r="E8044" i="13"/>
  <c r="E7644" i="13"/>
  <c r="E7278" i="13"/>
  <c r="E6840" i="13"/>
  <c r="E14647" i="13"/>
  <c r="E14509" i="13"/>
  <c r="E13693" i="13"/>
  <c r="E13996" i="13"/>
  <c r="E14596" i="13"/>
  <c r="E14681" i="13"/>
  <c r="E13385" i="13"/>
  <c r="E14231" i="13"/>
  <c r="E14818" i="13"/>
  <c r="E13617" i="13"/>
  <c r="E12515" i="13"/>
  <c r="E13616" i="13"/>
  <c r="E14235" i="13"/>
  <c r="E14138" i="13"/>
  <c r="E13683" i="13"/>
  <c r="E13294" i="13"/>
  <c r="E12178" i="13"/>
  <c r="E14305" i="13"/>
  <c r="E12818" i="13"/>
  <c r="E13880" i="13"/>
  <c r="E14152" i="13"/>
  <c r="E13924" i="13"/>
  <c r="E12694" i="13"/>
  <c r="E12690" i="13"/>
  <c r="E11741" i="13"/>
  <c r="E10737" i="13"/>
  <c r="E13202" i="13"/>
  <c r="E12150" i="13"/>
  <c r="E11072" i="13"/>
  <c r="E13021" i="13"/>
  <c r="E11722" i="13"/>
  <c r="E12907" i="13"/>
  <c r="E11960" i="13"/>
  <c r="E12684" i="13"/>
  <c r="E14360" i="13"/>
  <c r="E11918" i="13"/>
  <c r="E10694" i="13"/>
  <c r="E9807" i="13"/>
  <c r="E13074" i="13"/>
  <c r="E11745" i="13"/>
  <c r="E10539" i="13"/>
  <c r="E12769" i="13"/>
  <c r="E11514" i="13"/>
  <c r="E13989" i="13"/>
  <c r="E12088" i="13"/>
  <c r="E10912" i="13"/>
  <c r="E12735" i="13"/>
  <c r="E11717" i="13"/>
  <c r="E10926" i="13"/>
  <c r="E10281" i="13"/>
  <c r="E12260" i="13"/>
  <c r="E10946" i="13"/>
  <c r="E10171" i="13"/>
  <c r="E9401" i="13"/>
  <c r="E8830" i="13"/>
  <c r="E8110" i="13"/>
  <c r="E12458" i="13"/>
  <c r="E11316" i="13"/>
  <c r="E10244" i="13"/>
  <c r="E9656" i="13"/>
  <c r="E8893" i="13"/>
  <c r="E12256" i="13"/>
  <c r="E11178" i="13"/>
  <c r="E10151" i="13"/>
  <c r="E9570" i="13"/>
  <c r="E12406" i="13"/>
  <c r="E11045" i="13"/>
  <c r="E10242" i="13"/>
  <c r="E14468" i="13"/>
  <c r="E12327" i="13"/>
  <c r="E10962" i="13"/>
  <c r="E10112" i="13"/>
  <c r="E9429" i="13"/>
  <c r="E12743" i="13"/>
  <c r="E10958" i="13"/>
  <c r="E9750" i="13"/>
  <c r="E8824" i="13"/>
  <c r="E8209" i="13"/>
  <c r="E7472" i="13"/>
  <c r="E6912" i="13"/>
  <c r="E13749" i="13"/>
  <c r="E11149" i="13"/>
  <c r="E10045" i="13"/>
  <c r="E9007" i="13"/>
  <c r="E8412" i="13"/>
  <c r="E7647" i="13"/>
  <c r="E6927" i="13"/>
  <c r="E6367" i="13"/>
  <c r="E11414" i="13"/>
  <c r="E10252" i="13"/>
  <c r="E9159" i="13"/>
  <c r="E8377" i="13"/>
  <c r="E12726" i="13"/>
  <c r="E10718" i="13"/>
  <c r="E9747" i="13"/>
  <c r="E8803" i="13"/>
  <c r="E12855" i="13"/>
  <c r="E10952" i="13"/>
  <c r="E9789" i="13"/>
  <c r="E9076" i="13"/>
  <c r="E8322" i="13"/>
  <c r="E7706" i="13"/>
  <c r="E11411" i="13"/>
  <c r="E9568" i="13"/>
  <c r="E8657" i="13"/>
  <c r="E7785" i="13"/>
  <c r="E7045" i="13"/>
  <c r="E6459" i="13"/>
  <c r="E5946" i="13"/>
  <c r="E5370" i="13"/>
  <c r="E4874" i="13"/>
  <c r="E12828" i="13"/>
  <c r="E10814" i="13"/>
  <c r="E9273" i="13"/>
  <c r="E8455" i="13"/>
  <c r="E7686" i="13"/>
  <c r="E7098" i="13"/>
  <c r="E6586" i="13"/>
  <c r="E6041" i="13"/>
  <c r="E5641" i="13"/>
  <c r="E11987" i="13"/>
  <c r="E10478" i="13"/>
  <c r="E9607" i="13"/>
  <c r="E8828" i="13"/>
  <c r="E8268" i="13"/>
  <c r="E7704" i="13"/>
  <c r="E7299" i="13"/>
  <c r="E6805" i="13"/>
  <c r="E6403" i="13"/>
  <c r="E13847" i="13"/>
  <c r="E11840" i="13"/>
  <c r="E10707" i="13"/>
  <c r="E9745" i="13"/>
  <c r="E9094" i="13"/>
  <c r="E8576" i="13"/>
  <c r="E8024" i="13"/>
  <c r="E7626" i="13"/>
  <c r="E7260" i="13"/>
  <c r="E6822" i="13"/>
  <c r="E13009" i="13"/>
  <c r="E11450" i="13"/>
  <c r="E10250" i="13"/>
  <c r="E9522" i="13"/>
  <c r="E8927" i="13"/>
  <c r="E8332" i="13"/>
  <c r="E7896" i="13"/>
  <c r="E7513" i="13"/>
  <c r="E7075" i="13"/>
  <c r="E6709" i="13"/>
  <c r="E6343" i="13"/>
  <c r="E5956" i="13"/>
  <c r="E5684" i="13"/>
  <c r="E12033" i="13"/>
  <c r="E10696" i="13"/>
  <c r="E9755" i="13"/>
  <c r="E9011" i="13"/>
  <c r="E8419" i="13"/>
  <c r="E7909" i="13"/>
  <c r="E7466" i="13"/>
  <c r="E7036" i="13"/>
  <c r="E6615" i="13"/>
  <c r="E6238" i="13"/>
  <c r="E5907" i="13"/>
  <c r="E5598" i="13"/>
  <c r="E13444" i="13"/>
  <c r="E11452" i="13"/>
  <c r="E10290" i="13"/>
  <c r="E9442" i="13"/>
  <c r="E8780" i="13"/>
  <c r="E8216" i="13"/>
  <c r="E7734" i="13"/>
  <c r="E7304" i="13"/>
  <c r="E6875" i="13"/>
  <c r="E6468" i="13"/>
  <c r="E6109" i="13"/>
  <c r="E5789" i="13"/>
  <c r="E13056" i="13"/>
  <c r="E11283" i="13"/>
  <c r="E10163" i="13"/>
  <c r="E9348" i="13"/>
  <c r="E8708" i="13"/>
  <c r="E8148" i="13"/>
  <c r="E7675" i="13"/>
  <c r="E12021" i="13"/>
  <c r="E10661" i="13"/>
  <c r="E9732" i="13"/>
  <c r="E8997" i="13"/>
  <c r="E8409" i="13"/>
  <c r="E12520" i="13"/>
  <c r="E10980" i="13"/>
  <c r="E9974" i="13"/>
  <c r="E9177" i="13"/>
  <c r="E8569" i="13"/>
  <c r="E12720" i="13"/>
  <c r="E10582" i="13"/>
  <c r="E9317" i="13"/>
  <c r="E8416" i="13"/>
  <c r="E7774" i="13"/>
  <c r="E7271" i="13"/>
  <c r="E6785" i="13"/>
  <c r="E6329" i="13"/>
  <c r="E5944" i="13"/>
  <c r="E5591" i="13"/>
  <c r="E5304" i="13"/>
  <c r="E5031" i="13"/>
  <c r="E4758" i="13"/>
  <c r="E4485" i="13"/>
  <c r="E4229" i="13"/>
  <c r="E3973" i="13"/>
  <c r="E3717" i="13"/>
  <c r="E3461" i="13"/>
  <c r="E3205" i="13"/>
  <c r="E2949" i="13"/>
  <c r="E2693" i="13"/>
  <c r="E2437" i="13"/>
  <c r="E2181" i="13"/>
  <c r="E1925" i="13"/>
  <c r="E12524" i="13"/>
  <c r="E10473" i="13"/>
  <c r="E9237" i="13"/>
  <c r="E8368" i="13"/>
  <c r="E7737" i="13"/>
  <c r="E7238" i="13"/>
  <c r="E6756" i="13"/>
  <c r="E6303" i="13"/>
  <c r="E5921" i="13"/>
  <c r="E5571" i="13"/>
  <c r="E5286" i="13"/>
  <c r="E5013" i="13"/>
  <c r="E4740" i="13"/>
  <c r="E4468" i="13"/>
  <c r="E4212" i="13"/>
  <c r="E3956" i="13"/>
  <c r="E3700" i="13"/>
  <c r="E3444" i="13"/>
  <c r="E3188" i="13"/>
  <c r="E2932" i="13"/>
  <c r="E2676" i="13"/>
  <c r="E13381" i="13"/>
  <c r="E10869" i="13"/>
  <c r="E9510" i="13"/>
  <c r="E8570" i="13"/>
  <c r="E7874" i="13"/>
  <c r="E7362" i="13"/>
  <c r="E6871" i="13"/>
  <c r="E6409" i="13"/>
  <c r="E6012" i="13"/>
  <c r="E5650" i="13"/>
  <c r="E5353" i="13"/>
  <c r="E5080" i="13"/>
  <c r="E4807" i="13"/>
  <c r="E4534" i="13"/>
  <c r="E4275" i="13"/>
  <c r="E4019" i="13"/>
  <c r="E3763" i="13"/>
  <c r="E3507" i="13"/>
  <c r="E3251" i="13"/>
  <c r="E12895" i="13"/>
  <c r="E10650" i="13"/>
  <c r="E9372" i="13"/>
  <c r="E8466" i="13"/>
  <c r="E7806" i="13"/>
  <c r="E7294" i="13"/>
  <c r="E6811" i="13"/>
  <c r="E6354" i="13"/>
  <c r="E5964" i="13"/>
  <c r="E5607" i="13"/>
  <c r="E5318" i="13"/>
  <c r="E5045" i="13"/>
  <c r="E4772" i="13"/>
  <c r="E4499" i="13"/>
  <c r="E4242" i="13"/>
  <c r="E3986" i="13"/>
  <c r="E3730" i="13"/>
  <c r="E3474" i="13"/>
  <c r="E3218" i="13"/>
  <c r="E2962" i="13"/>
  <c r="E12685" i="13"/>
  <c r="E10538" i="13"/>
  <c r="E9288" i="13"/>
  <c r="E8399" i="13"/>
  <c r="E7757" i="13"/>
  <c r="E7259" i="13"/>
  <c r="E6776" i="13"/>
  <c r="E6319" i="13"/>
  <c r="E5937" i="13"/>
  <c r="E5585" i="13"/>
  <c r="E5298" i="13"/>
  <c r="E5025" i="13"/>
  <c r="E4752" i="13"/>
  <c r="E4479" i="13"/>
  <c r="E4223" i="13"/>
  <c r="E3967" i="13"/>
  <c r="E3711" i="13"/>
  <c r="E3455" i="13"/>
  <c r="E3199" i="13"/>
  <c r="E2943" i="13"/>
  <c r="E2687" i="13"/>
  <c r="E12405" i="13"/>
  <c r="E9805" i="13"/>
  <c r="E8393" i="13"/>
  <c r="E7526" i="13"/>
  <c r="E6818" i="13"/>
  <c r="E6175" i="13"/>
  <c r="E5643" i="13"/>
  <c r="E5223" i="13"/>
  <c r="E4828" i="13"/>
  <c r="E4430" i="13"/>
  <c r="E4059" i="13"/>
  <c r="E3688" i="13"/>
  <c r="E3313" i="13"/>
  <c r="E2954" i="13"/>
  <c r="E2627" i="13"/>
  <c r="E2337" i="13"/>
  <c r="E2064" i="13"/>
  <c r="E1791" i="13"/>
  <c r="E1535" i="13"/>
  <c r="E1279" i="13"/>
  <c r="E1023" i="13"/>
  <c r="E767" i="13"/>
  <c r="E511" i="13"/>
  <c r="E255" i="13"/>
  <c r="E14307" i="13"/>
  <c r="E10409" i="13"/>
  <c r="E8763" i="13"/>
  <c r="E7753" i="13"/>
  <c r="E7034" i="13"/>
  <c r="E6358" i="13"/>
  <c r="E5800" i="13"/>
  <c r="E5345" i="13"/>
  <c r="E4949" i="13"/>
  <c r="E4549" i="13"/>
  <c r="E4173" i="13"/>
  <c r="E3802" i="13"/>
  <c r="E3431" i="13"/>
  <c r="E3059" i="13"/>
  <c r="E2726" i="13"/>
  <c r="E2422" i="13"/>
  <c r="E2148" i="13"/>
  <c r="E1875" i="13"/>
  <c r="E1614" i="13"/>
  <c r="E14221" i="13"/>
  <c r="E14833" i="13"/>
  <c r="E14467" i="13"/>
  <c r="E13273" i="13"/>
  <c r="E14271" i="13"/>
  <c r="E13114" i="13"/>
  <c r="E13489" i="13"/>
  <c r="E13615" i="13"/>
  <c r="E14565" i="13"/>
  <c r="E12700" i="13"/>
  <c r="E13535" i="13"/>
  <c r="E13374" i="13"/>
  <c r="E13460" i="13"/>
  <c r="E13845" i="13"/>
  <c r="E12014" i="13"/>
  <c r="E14450" i="13"/>
  <c r="E11962" i="13"/>
  <c r="E13451" i="13"/>
  <c r="E11551" i="13"/>
  <c r="E12182" i="13"/>
  <c r="E12372" i="13"/>
  <c r="E11871" i="13"/>
  <c r="E10287" i="13"/>
  <c r="E12936" i="13"/>
  <c r="E11036" i="13"/>
  <c r="E12392" i="13"/>
  <c r="E13570" i="13"/>
  <c r="E11513" i="13"/>
  <c r="E12417" i="13"/>
  <c r="E11269" i="13"/>
  <c r="E13314" i="13"/>
  <c r="E10852" i="13"/>
  <c r="E9742" i="13"/>
  <c r="E8574" i="13"/>
  <c r="E13246" i="13"/>
  <c r="E10826" i="13"/>
  <c r="E9434" i="13"/>
  <c r="E13362" i="13"/>
  <c r="E10803" i="13"/>
  <c r="E9757" i="13"/>
  <c r="E11800" i="13"/>
  <c r="E10204" i="13"/>
  <c r="E12974" i="13"/>
  <c r="E10842" i="13"/>
  <c r="E9634" i="13"/>
  <c r="E12106" i="13"/>
  <c r="E9601" i="13"/>
  <c r="E8567" i="13"/>
  <c r="E7328" i="13"/>
  <c r="E6480" i="13"/>
  <c r="E10720" i="13"/>
  <c r="E8969" i="13"/>
  <c r="E7986" i="13"/>
  <c r="E6847" i="13"/>
  <c r="E12318" i="13"/>
  <c r="E9798" i="13"/>
  <c r="E8309" i="13"/>
  <c r="E11668" i="13"/>
  <c r="E9364" i="13"/>
  <c r="E14846" i="13"/>
  <c r="E10331" i="13"/>
  <c r="E8854" i="13"/>
  <c r="E7997" i="13"/>
  <c r="E10724" i="13"/>
  <c r="E8911" i="13"/>
  <c r="E7483" i="13"/>
  <c r="E6423" i="13"/>
  <c r="E5658" i="13"/>
  <c r="E4650" i="13"/>
  <c r="E11133" i="13"/>
  <c r="E9072" i="13"/>
  <c r="E7628" i="13"/>
  <c r="E6806" i="13"/>
  <c r="E5961" i="13"/>
  <c r="E13051" i="13"/>
  <c r="E10182" i="13"/>
  <c r="E8751" i="13"/>
  <c r="E7961" i="13"/>
  <c r="E7115" i="13"/>
  <c r="E6513" i="13"/>
  <c r="E13044" i="13"/>
  <c r="E10477" i="13"/>
  <c r="E9461" i="13"/>
  <c r="E8383" i="13"/>
  <c r="E7763" i="13"/>
  <c r="E7078" i="13"/>
  <c r="E12912" i="13"/>
  <c r="E10902" i="13"/>
  <c r="E9559" i="13"/>
  <c r="E8695" i="13"/>
  <c r="E8041" i="13"/>
  <c r="E7367" i="13"/>
  <c r="E6855" i="13"/>
  <c r="E6228" i="13"/>
  <c r="E5828" i="13"/>
  <c r="E11822" i="13"/>
  <c r="E10234" i="13"/>
  <c r="E8975" i="13"/>
  <c r="E8218" i="13"/>
  <c r="E7491" i="13"/>
  <c r="E6905" i="13"/>
  <c r="E6373" i="13"/>
  <c r="E5829" i="13"/>
  <c r="E5441" i="13"/>
  <c r="E11211" i="13"/>
  <c r="E9852" i="13"/>
  <c r="E8709" i="13"/>
  <c r="E7994" i="13"/>
  <c r="E7274" i="13"/>
  <c r="E6718" i="13"/>
  <c r="E6129" i="13"/>
  <c r="E5691" i="13"/>
  <c r="E11819" i="13"/>
  <c r="E9954" i="13"/>
  <c r="E8971" i="13"/>
  <c r="E8056" i="13"/>
  <c r="E13008" i="13"/>
  <c r="E10518" i="13"/>
  <c r="E9377" i="13"/>
  <c r="E8372" i="13"/>
  <c r="E11838" i="13"/>
  <c r="E10019" i="13"/>
  <c r="E8977" i="13"/>
  <c r="E14699" i="13"/>
  <c r="E10210" i="13"/>
  <c r="E8790" i="13"/>
  <c r="E7670" i="13"/>
  <c r="E7030" i="13"/>
  <c r="E6277" i="13"/>
  <c r="E5788" i="13"/>
  <c r="E5287" i="13"/>
  <c r="E4929" i="13"/>
  <c r="E4502" i="13"/>
  <c r="E4149" i="13"/>
  <c r="E3813" i="13"/>
  <c r="E3397" i="13"/>
  <c r="E3061" i="13"/>
  <c r="E2645" i="13"/>
  <c r="E2309" i="13"/>
  <c r="E1893" i="13"/>
  <c r="E11481" i="13"/>
  <c r="E9189" i="13"/>
  <c r="E8099" i="13"/>
  <c r="E7270" i="13"/>
  <c r="E6606" i="13"/>
  <c r="E6059" i="13"/>
  <c r="E5497" i="13"/>
  <c r="E5133" i="13"/>
  <c r="E4689" i="13"/>
  <c r="E4340" i="13"/>
  <c r="E3924" i="13"/>
  <c r="E3588" i="13"/>
  <c r="E3172" i="13"/>
  <c r="E2836" i="13"/>
  <c r="E13758" i="13"/>
  <c r="E10376" i="13"/>
  <c r="E8887" i="13"/>
  <c r="E7736" i="13"/>
  <c r="E7085" i="13"/>
  <c r="E6327" i="13"/>
  <c r="E5831" i="13"/>
  <c r="E5319" i="13"/>
  <c r="E4961" i="13"/>
  <c r="E4517" i="13"/>
  <c r="E4179" i="13"/>
  <c r="E3779" i="13"/>
  <c r="E3427" i="13"/>
  <c r="E3091" i="13"/>
  <c r="E10275" i="13"/>
  <c r="E8833" i="13"/>
  <c r="E7697" i="13"/>
  <c r="E7052" i="13"/>
  <c r="E6299" i="13"/>
  <c r="E5806" i="13"/>
  <c r="E5301" i="13"/>
  <c r="E4943" i="13"/>
  <c r="E4516" i="13"/>
  <c r="E4162" i="13"/>
  <c r="E3826" i="13"/>
  <c r="E3410" i="13"/>
  <c r="E3074" i="13"/>
  <c r="E12125" i="13"/>
  <c r="E9875" i="13"/>
  <c r="E8301" i="13"/>
  <c r="E7532" i="13"/>
  <c r="E6742" i="13"/>
  <c r="E6172" i="13"/>
  <c r="E5604" i="13"/>
  <c r="E5213" i="13"/>
  <c r="E4854" i="13"/>
  <c r="E4415" i="13"/>
  <c r="E4079" i="13"/>
  <c r="E3663" i="13"/>
  <c r="E3327" i="13"/>
  <c r="E2911" i="13"/>
  <c r="E2575" i="13"/>
  <c r="E9701" i="13"/>
  <c r="E8016" i="13"/>
  <c r="E6862" i="13"/>
  <c r="E6000" i="13"/>
  <c r="E5374" i="13"/>
  <c r="E4727" i="13"/>
  <c r="E4221" i="13"/>
  <c r="E3616" i="13"/>
  <c r="E3129" i="13"/>
  <c r="E2588" i="13"/>
  <c r="E2218" i="13"/>
  <c r="E1775" i="13"/>
  <c r="E1439" i="13"/>
  <c r="E1039" i="13"/>
  <c r="E687" i="13"/>
  <c r="E351" i="13"/>
  <c r="E12602" i="13"/>
  <c r="E9379" i="13"/>
  <c r="E7613" i="13"/>
  <c r="E6681" i="13"/>
  <c r="E5736" i="13"/>
  <c r="E5172" i="13"/>
  <c r="E4526" i="13"/>
  <c r="E4033" i="13"/>
  <c r="E3452" i="13"/>
  <c r="E2953" i="13"/>
  <c r="E2528" i="13"/>
  <c r="E2080" i="13"/>
  <c r="E1726" i="13"/>
  <c r="E1374" i="13"/>
  <c r="E1118" i="13"/>
  <c r="E862" i="13"/>
  <c r="E11158" i="13"/>
  <c r="E9191" i="13"/>
  <c r="E8011" i="13"/>
  <c r="E7254" i="13"/>
  <c r="E6556" i="13"/>
  <c r="E5963" i="13"/>
  <c r="E5471" i="13"/>
  <c r="E5071" i="13"/>
  <c r="E4675" i="13"/>
  <c r="E4288" i="13"/>
  <c r="E3916" i="13"/>
  <c r="E3545" i="13"/>
  <c r="E3174" i="13"/>
  <c r="E2824" i="13"/>
  <c r="E2508" i="13"/>
  <c r="E2233" i="13"/>
  <c r="E1960" i="13"/>
  <c r="E1693" i="13"/>
  <c r="E1437" i="13"/>
  <c r="E1181" i="13"/>
  <c r="E10937" i="13"/>
  <c r="E9087" i="13"/>
  <c r="E7956" i="13"/>
  <c r="E7204" i="13"/>
  <c r="E6508" i="13"/>
  <c r="E5932" i="13"/>
  <c r="E5446" i="13"/>
  <c r="E5043" i="13"/>
  <c r="E4646" i="13"/>
  <c r="E4265" i="13"/>
  <c r="E3894" i="13"/>
  <c r="E3518" i="13"/>
  <c r="E3147" i="13"/>
  <c r="E2801" i="13"/>
  <c r="E2489" i="13"/>
  <c r="E2215" i="13"/>
  <c r="E1942" i="13"/>
  <c r="E1676" i="13"/>
  <c r="E1420" i="13"/>
  <c r="E1164" i="13"/>
  <c r="E12582" i="13"/>
  <c r="E9880" i="13"/>
  <c r="E8438" i="13"/>
  <c r="E7553" i="13"/>
  <c r="E6849" i="13"/>
  <c r="E6195" i="13"/>
  <c r="E5662" i="13"/>
  <c r="E5239" i="13"/>
  <c r="E4839" i="13"/>
  <c r="E4445" i="13"/>
  <c r="E4074" i="13"/>
  <c r="E3703" i="13"/>
  <c r="E3328" i="13"/>
  <c r="E2968" i="13"/>
  <c r="E2640" i="13"/>
  <c r="E2348" i="13"/>
  <c r="E2075" i="13"/>
  <c r="E1802" i="13"/>
  <c r="E1545" i="13"/>
  <c r="E1289" i="13"/>
  <c r="E1033" i="13"/>
  <c r="E13926" i="13"/>
  <c r="E9507" i="13"/>
  <c r="E7796" i="13"/>
  <c r="E6747" i="13"/>
  <c r="E5883" i="13"/>
  <c r="E5225" i="13"/>
  <c r="E4644" i="13"/>
  <c r="E4092" i="13"/>
  <c r="E3552" i="13"/>
  <c r="E3019" i="13"/>
  <c r="E2540" i="13"/>
  <c r="E2139" i="13"/>
  <c r="E1746" i="13"/>
  <c r="E1371" i="13"/>
  <c r="E1011" i="13"/>
  <c r="E706" i="13"/>
  <c r="E433" i="13"/>
  <c r="E160" i="13"/>
  <c r="E11171" i="13"/>
  <c r="E8602" i="13"/>
  <c r="E7323" i="13"/>
  <c r="E6334" i="13"/>
  <c r="E5558" i="13"/>
  <c r="E4967" i="13"/>
  <c r="E4395" i="13"/>
  <c r="E3854" i="13"/>
  <c r="E3318" i="13"/>
  <c r="E2796" i="13"/>
  <c r="E2361" i="13"/>
  <c r="E1965" i="13"/>
  <c r="E1579" i="13"/>
  <c r="E1207" i="13"/>
  <c r="E869" i="13"/>
  <c r="E585" i="13"/>
  <c r="E312" i="13"/>
  <c r="E39" i="13"/>
  <c r="E9780" i="13"/>
  <c r="E7938" i="13"/>
  <c r="E6883" i="13"/>
  <c r="E5974" i="13"/>
  <c r="E5291" i="13"/>
  <c r="E4712" i="13"/>
  <c r="E4157" i="13"/>
  <c r="E3617" i="13"/>
  <c r="E3072" i="13"/>
  <c r="E2595" i="13"/>
  <c r="E2187" i="13"/>
  <c r="E1787" i="13"/>
  <c r="E1415" i="13"/>
  <c r="E1050" i="13"/>
  <c r="E738" i="13"/>
  <c r="E465" i="13"/>
  <c r="E14567" i="13"/>
  <c r="E14205" i="13"/>
  <c r="E14635" i="13"/>
  <c r="E14447" i="13"/>
  <c r="E13129" i="13"/>
  <c r="E14774" i="13"/>
  <c r="E13028" i="13"/>
  <c r="E13454" i="13"/>
  <c r="E13436" i="13"/>
  <c r="E14514" i="13"/>
  <c r="E12130" i="13"/>
  <c r="E13511" i="13"/>
  <c r="E13292" i="13"/>
  <c r="E14872" i="13"/>
  <c r="E13736" i="13"/>
  <c r="E11707" i="13"/>
  <c r="E14276" i="13"/>
  <c r="E11928" i="13"/>
  <c r="E13224" i="13"/>
  <c r="E14801" i="13"/>
  <c r="E11943" i="13"/>
  <c r="E12335" i="13"/>
  <c r="E11767" i="13"/>
  <c r="E10255" i="13"/>
  <c r="E12900" i="13"/>
  <c r="E10522" i="13"/>
  <c r="E12367" i="13"/>
  <c r="E13516" i="13"/>
  <c r="E11494" i="13"/>
  <c r="E12386" i="13"/>
  <c r="E10841" i="13"/>
  <c r="E13258" i="13"/>
  <c r="E10736" i="13"/>
  <c r="E9725" i="13"/>
  <c r="E8494" i="13"/>
  <c r="E12374" i="13"/>
  <c r="E10714" i="13"/>
  <c r="E9400" i="13"/>
  <c r="E13085" i="13"/>
  <c r="E10757" i="13"/>
  <c r="E9553" i="13"/>
  <c r="E11738" i="13"/>
  <c r="E10186" i="13"/>
  <c r="E12876" i="13"/>
  <c r="E10820" i="13"/>
  <c r="E9395" i="13"/>
  <c r="E12056" i="13"/>
  <c r="E9550" i="13"/>
  <c r="E8550" i="13"/>
  <c r="E7296" i="13"/>
  <c r="E13641" i="13"/>
  <c r="E10654" i="13"/>
  <c r="E8951" i="13"/>
  <c r="E7952" i="13"/>
  <c r="E6831" i="13"/>
  <c r="E11378" i="13"/>
  <c r="E9771" i="13"/>
  <c r="E8292" i="13"/>
  <c r="E11628" i="13"/>
  <c r="E9342" i="13"/>
  <c r="E12420" i="13"/>
  <c r="E10306" i="13"/>
  <c r="E8818" i="13"/>
  <c r="E7980" i="13"/>
  <c r="E10571" i="13"/>
  <c r="E8630" i="13"/>
  <c r="E7393" i="13"/>
  <c r="E6405" i="13"/>
  <c r="E5642" i="13"/>
  <c r="E4634" i="13"/>
  <c r="E10717" i="13"/>
  <c r="E9045" i="13"/>
  <c r="E7610" i="13"/>
  <c r="E6788" i="13"/>
  <c r="E5945" i="13"/>
  <c r="E11919" i="13"/>
  <c r="E10141" i="13"/>
  <c r="E8727" i="13"/>
  <c r="E7941" i="13"/>
  <c r="E7097" i="13"/>
  <c r="E6365" i="13"/>
  <c r="E12917" i="13"/>
  <c r="E10390" i="13"/>
  <c r="E9334" i="13"/>
  <c r="E8358" i="13"/>
  <c r="E7608" i="13"/>
  <c r="E7060" i="13"/>
  <c r="E12812" i="13"/>
  <c r="E10843" i="13"/>
  <c r="E9489" i="13"/>
  <c r="E8673" i="13"/>
  <c r="E7916" i="13"/>
  <c r="E7349" i="13"/>
  <c r="E6837" i="13"/>
  <c r="E6212" i="13"/>
  <c r="E5796" i="13"/>
  <c r="E11736" i="13"/>
  <c r="E10167" i="13"/>
  <c r="E8930" i="13"/>
  <c r="E8187" i="13"/>
  <c r="E7436" i="13"/>
  <c r="E6882" i="13"/>
  <c r="E6258" i="13"/>
  <c r="E5809" i="13"/>
  <c r="E5424" i="13"/>
  <c r="E11135" i="13"/>
  <c r="E9802" i="13"/>
  <c r="E8671" i="13"/>
  <c r="E7967" i="13"/>
  <c r="E7251" i="13"/>
  <c r="E6690" i="13"/>
  <c r="E6086" i="13"/>
  <c r="E5670" i="13"/>
  <c r="E11373" i="13"/>
  <c r="E9905" i="13"/>
  <c r="E8924" i="13"/>
  <c r="E8023" i="13"/>
  <c r="E12859" i="13"/>
  <c r="E10457" i="13"/>
  <c r="E9331" i="13"/>
  <c r="E8342" i="13"/>
  <c r="E11751" i="13"/>
  <c r="E9914" i="13"/>
  <c r="E8940" i="13"/>
  <c r="E12962" i="13"/>
  <c r="E10130" i="13"/>
  <c r="E8730" i="13"/>
  <c r="E7637" i="13"/>
  <c r="E6998" i="13"/>
  <c r="E6254" i="13"/>
  <c r="E5765" i="13"/>
  <c r="E5270" i="13"/>
  <c r="E4912" i="13"/>
  <c r="E4469" i="13"/>
  <c r="E4133" i="13"/>
  <c r="E3733" i="13"/>
  <c r="E3381" i="13"/>
  <c r="E3045" i="13"/>
  <c r="E2629" i="13"/>
  <c r="E2293" i="13"/>
  <c r="E1877" i="13"/>
  <c r="E11333" i="13"/>
  <c r="E9116" i="13"/>
  <c r="E8063" i="13"/>
  <c r="E7211" i="13"/>
  <c r="E6578" i="13"/>
  <c r="E5943" i="13"/>
  <c r="E5479" i="13"/>
  <c r="E5116" i="13"/>
  <c r="E4672" i="13"/>
  <c r="E4324" i="13"/>
  <c r="E3908" i="13"/>
  <c r="E3572" i="13"/>
  <c r="E3156" i="13"/>
  <c r="E2820" i="13"/>
  <c r="E13127" i="13"/>
  <c r="E10276" i="13"/>
  <c r="E8619" i="13"/>
  <c r="E7698" i="13"/>
  <c r="E7053" i="13"/>
  <c r="E6300" i="13"/>
  <c r="E5807" i="13"/>
  <c r="E5302" i="13"/>
  <c r="E4944" i="13"/>
  <c r="E4500" i="13"/>
  <c r="E4163" i="13"/>
  <c r="E3747" i="13"/>
  <c r="E3411" i="13"/>
  <c r="E13125" i="13"/>
  <c r="E10196" i="13"/>
  <c r="E8768" i="13"/>
  <c r="E7661" i="13"/>
  <c r="E7021" i="13"/>
  <c r="E6273" i="13"/>
  <c r="E5783" i="13"/>
  <c r="E5284" i="13"/>
  <c r="E4926" i="13"/>
  <c r="E4482" i="13"/>
  <c r="E4146" i="13"/>
  <c r="E3746" i="13"/>
  <c r="E3394" i="13"/>
  <c r="E3058" i="13"/>
  <c r="E11975" i="13"/>
  <c r="E9795" i="13"/>
  <c r="E8256" i="13"/>
  <c r="E7506" i="13"/>
  <c r="E6711" i="13"/>
  <c r="E6146" i="13"/>
  <c r="E5566" i="13"/>
  <c r="E5196" i="13"/>
  <c r="E4769" i="13"/>
  <c r="E4399" i="13"/>
  <c r="E4063" i="13"/>
  <c r="E3647" i="13"/>
  <c r="E3311" i="13"/>
  <c r="E2895" i="13"/>
  <c r="E2559" i="13"/>
  <c r="E9610" i="13"/>
  <c r="E7971" i="13"/>
  <c r="E6772" i="13"/>
  <c r="E5971" i="13"/>
  <c r="E5246" i="13"/>
  <c r="E4700" i="13"/>
  <c r="E4200" i="13"/>
  <c r="E3594" i="13"/>
  <c r="E3104" i="13"/>
  <c r="E2569" i="13"/>
  <c r="E2201" i="13"/>
  <c r="E1759" i="13"/>
  <c r="E1423" i="13"/>
  <c r="E1007" i="13"/>
  <c r="E671" i="13"/>
  <c r="E271" i="13"/>
  <c r="E12401" i="13"/>
  <c r="E9278" i="13"/>
  <c r="E7562" i="13"/>
  <c r="E6644" i="13"/>
  <c r="E5704" i="13"/>
  <c r="E5145" i="13"/>
  <c r="E4503" i="13"/>
  <c r="E4011" i="13"/>
  <c r="E3405" i="13"/>
  <c r="E2931" i="13"/>
  <c r="E2439" i="13"/>
  <c r="E2063" i="13"/>
  <c r="E1710" i="13"/>
  <c r="E1358" i="13"/>
  <c r="E1102" i="13"/>
  <c r="E846" i="13"/>
  <c r="E10953" i="13"/>
  <c r="E9092" i="13"/>
  <c r="E7958" i="13"/>
  <c r="E7213" i="13"/>
  <c r="E6509" i="13"/>
  <c r="E5933" i="13"/>
  <c r="E5447" i="13"/>
  <c r="E5044" i="13"/>
  <c r="E4647" i="13"/>
  <c r="E4266" i="13"/>
  <c r="E3895" i="13"/>
  <c r="E3520" i="13"/>
  <c r="E3148" i="13"/>
  <c r="E2802" i="13"/>
  <c r="E2490" i="13"/>
  <c r="E2216" i="13"/>
  <c r="E1943" i="13"/>
  <c r="E1677" i="13"/>
  <c r="E1421" i="13"/>
  <c r="E1165" i="13"/>
  <c r="E10800" i="13"/>
  <c r="E9012" i="13"/>
  <c r="E7897" i="13"/>
  <c r="E7161" i="13"/>
  <c r="E6473" i="13"/>
  <c r="E5895" i="13"/>
  <c r="E5416" i="13"/>
  <c r="E5020" i="13"/>
  <c r="E4624" i="13"/>
  <c r="E4240" i="13"/>
  <c r="E3868" i="13"/>
  <c r="E3497" i="13"/>
  <c r="E3126" i="13"/>
  <c r="E2781" i="13"/>
  <c r="E2471" i="13"/>
  <c r="E2198" i="13"/>
  <c r="E1924" i="13"/>
  <c r="E1660" i="13"/>
  <c r="E1404" i="13"/>
  <c r="E1148" i="13"/>
  <c r="E12279" i="13"/>
  <c r="E9767" i="13"/>
  <c r="E8371" i="13"/>
  <c r="E7507" i="13"/>
  <c r="E6798" i="13"/>
  <c r="E6162" i="13"/>
  <c r="E5635" i="13"/>
  <c r="E5212" i="13"/>
  <c r="E4816" i="13"/>
  <c r="E4424" i="13"/>
  <c r="E4049" i="13"/>
  <c r="E3677" i="13"/>
  <c r="E3306" i="13"/>
  <c r="E2945" i="13"/>
  <c r="E2620" i="13"/>
  <c r="E2331" i="13"/>
  <c r="E2058" i="13"/>
  <c r="E1785" i="13"/>
  <c r="E1529" i="13"/>
  <c r="E1273" i="13"/>
  <c r="E1017" i="13"/>
  <c r="E13299" i="13"/>
  <c r="E9338" i="13"/>
  <c r="E7721" i="13"/>
  <c r="E6699" i="13"/>
  <c r="E5826" i="13"/>
  <c r="E5187" i="13"/>
  <c r="E4610" i="13"/>
  <c r="E4061" i="13"/>
  <c r="E3516" i="13"/>
  <c r="E2985" i="13"/>
  <c r="E2514" i="13"/>
  <c r="E2116" i="13"/>
  <c r="E1720" i="13"/>
  <c r="E1349" i="13"/>
  <c r="E989" i="13"/>
  <c r="E689" i="13"/>
  <c r="E416" i="13"/>
  <c r="E142" i="13"/>
  <c r="E10928" i="13"/>
  <c r="E8495" i="13"/>
  <c r="E7267" i="13"/>
  <c r="E6271" i="13"/>
  <c r="E5518" i="13"/>
  <c r="E4933" i="13"/>
  <c r="E4364" i="13"/>
  <c r="E3819" i="13"/>
  <c r="E3277" i="13"/>
  <c r="E2770" i="13"/>
  <c r="E2338" i="13"/>
  <c r="E1937" i="13"/>
  <c r="E1557" i="13"/>
  <c r="E1186" i="13"/>
  <c r="E850" i="13"/>
  <c r="E568" i="13"/>
  <c r="E295" i="13"/>
  <c r="E22" i="13"/>
  <c r="E9619" i="13"/>
  <c r="E7869" i="13"/>
  <c r="E6803" i="13"/>
  <c r="E5918" i="13"/>
  <c r="E5256" i="13"/>
  <c r="E4679" i="13"/>
  <c r="E4122" i="13"/>
  <c r="E3580" i="13"/>
  <c r="E3046" i="13"/>
  <c r="E2570" i="13"/>
  <c r="E2159" i="13"/>
  <c r="E1765" i="13"/>
  <c r="E1394" i="13"/>
  <c r="E1029" i="13"/>
  <c r="E721" i="13"/>
  <c r="E448" i="13"/>
  <c r="E14551" i="13"/>
  <c r="E14189" i="13"/>
  <c r="E14617" i="13"/>
  <c r="E14423" i="13"/>
  <c r="E13097" i="13"/>
  <c r="E14737" i="13"/>
  <c r="E13011" i="13"/>
  <c r="E13437" i="13"/>
  <c r="E13419" i="13"/>
  <c r="E14472" i="13"/>
  <c r="E12114" i="13"/>
  <c r="E13486" i="13"/>
  <c r="E13272" i="13"/>
  <c r="E14748" i="13"/>
  <c r="E13564" i="13"/>
  <c r="E11521" i="13"/>
  <c r="E14215" i="13"/>
  <c r="E11825" i="13"/>
  <c r="E13201" i="13"/>
  <c r="E14325" i="13"/>
  <c r="E11909" i="13"/>
  <c r="E12144" i="13"/>
  <c r="E11703" i="13"/>
  <c r="E10159" i="13"/>
  <c r="E12833" i="13"/>
  <c r="E10505" i="13"/>
  <c r="E12314" i="13"/>
  <c r="E13468" i="13"/>
  <c r="E11364" i="13"/>
  <c r="E12363" i="13"/>
  <c r="E10824" i="13"/>
  <c r="E13204" i="13"/>
  <c r="E10715" i="13"/>
  <c r="E9708" i="13"/>
  <c r="E8478" i="13"/>
  <c r="E12332" i="13"/>
  <c r="E10690" i="13"/>
  <c r="E9383" i="13"/>
  <c r="E13031" i="13"/>
  <c r="E10734" i="13"/>
  <c r="E14479" i="13"/>
  <c r="E11711" i="13"/>
  <c r="E9978" i="13"/>
  <c r="E12825" i="13"/>
  <c r="E10547" i="13"/>
  <c r="E9378" i="13"/>
  <c r="E11507" i="13"/>
  <c r="E9527" i="13"/>
  <c r="E8345" i="13"/>
  <c r="E7280" i="13"/>
  <c r="E13411" i="13"/>
  <c r="E10627" i="13"/>
  <c r="E8915" i="13"/>
  <c r="E7935" i="13"/>
  <c r="E6799" i="13"/>
  <c r="E11342" i="13"/>
  <c r="E9721" i="13"/>
  <c r="E8275" i="13"/>
  <c r="E11541" i="13"/>
  <c r="E9322" i="13"/>
  <c r="E12354" i="13"/>
  <c r="E10274" i="13"/>
  <c r="E8800" i="13"/>
  <c r="E7963" i="13"/>
  <c r="E10535" i="13"/>
  <c r="E8386" i="13"/>
  <c r="E7355" i="13"/>
  <c r="E6387" i="13"/>
  <c r="E5626" i="13"/>
  <c r="E4618" i="13"/>
  <c r="E10671" i="13"/>
  <c r="E8992" i="13"/>
  <c r="E7592" i="13"/>
  <c r="E6770" i="13"/>
  <c r="E5929" i="13"/>
  <c r="E11846" i="13"/>
  <c r="E10036" i="13"/>
  <c r="E8705" i="13"/>
  <c r="E7922" i="13"/>
  <c r="E7079" i="13"/>
  <c r="E6296" i="13"/>
  <c r="E12824" i="13"/>
  <c r="E10348" i="13"/>
  <c r="E9301" i="13"/>
  <c r="E8336" i="13"/>
  <c r="E7590" i="13"/>
  <c r="E7042" i="13"/>
  <c r="E12718" i="13"/>
  <c r="E10799" i="13"/>
  <c r="E9453" i="13"/>
  <c r="E8645" i="13"/>
  <c r="E7877" i="13"/>
  <c r="E7331" i="13"/>
  <c r="E6727" i="13"/>
  <c r="E6196" i="13"/>
  <c r="E5780" i="13"/>
  <c r="E11644" i="13"/>
  <c r="E10124" i="13"/>
  <c r="E8892" i="13"/>
  <c r="E8152" i="13"/>
  <c r="E7413" i="13"/>
  <c r="E6852" i="13"/>
  <c r="E6215" i="13"/>
  <c r="E5790" i="13"/>
  <c r="E13612" i="13"/>
  <c r="E11050" i="13"/>
  <c r="E9754" i="13"/>
  <c r="E8637" i="13"/>
  <c r="E7933" i="13"/>
  <c r="E7222" i="13"/>
  <c r="E6665" i="13"/>
  <c r="E6065" i="13"/>
  <c r="E5651" i="13"/>
  <c r="E11210" i="13"/>
  <c r="E9851" i="13"/>
  <c r="E8741" i="13"/>
  <c r="E7993" i="13"/>
  <c r="E12719" i="13"/>
  <c r="E10395" i="13"/>
  <c r="E9289" i="13"/>
  <c r="E8306" i="13"/>
  <c r="E11665" i="13"/>
  <c r="E9865" i="13"/>
  <c r="E8900" i="13"/>
  <c r="E12543" i="13"/>
  <c r="E10054" i="13"/>
  <c r="E8469" i="13"/>
  <c r="E7606" i="13"/>
  <c r="E6967" i="13"/>
  <c r="E6229" i="13"/>
  <c r="E5743" i="13"/>
  <c r="E5253" i="13"/>
  <c r="E4895" i="13"/>
  <c r="E4453" i="13"/>
  <c r="E4117" i="13"/>
  <c r="E3701" i="13"/>
  <c r="E3365" i="13"/>
  <c r="E2965" i="13"/>
  <c r="E2613" i="13"/>
  <c r="E2277" i="13"/>
  <c r="E1861" i="13"/>
  <c r="E11240" i="13"/>
  <c r="E9059" i="13"/>
  <c r="E8022" i="13"/>
  <c r="E7179" i="13"/>
  <c r="E6552" i="13"/>
  <c r="E5900" i="13"/>
  <c r="E5461" i="13"/>
  <c r="E5030" i="13"/>
  <c r="E4655" i="13"/>
  <c r="E4308" i="13"/>
  <c r="E3892" i="13"/>
  <c r="E3556" i="13"/>
  <c r="E3140" i="13"/>
  <c r="E2804" i="13"/>
  <c r="E12914" i="13"/>
  <c r="E10202" i="13"/>
  <c r="E8512" i="13"/>
  <c r="E7662" i="13"/>
  <c r="E6903" i="13"/>
  <c r="E6274" i="13"/>
  <c r="E5784" i="13"/>
  <c r="E5285" i="13"/>
  <c r="E4927" i="13"/>
  <c r="E4483" i="13"/>
  <c r="E4147" i="13"/>
  <c r="E3731" i="13"/>
  <c r="E3395" i="13"/>
  <c r="E14826" i="13"/>
  <c r="E14173" i="13"/>
  <c r="E14579" i="13"/>
  <c r="E14556" i="13"/>
  <c r="E13065" i="13"/>
  <c r="E14697" i="13"/>
  <c r="E12979" i="13"/>
  <c r="E13420" i="13"/>
  <c r="E14116" i="13"/>
  <c r="E14435" i="13"/>
  <c r="E12098" i="13"/>
  <c r="E13462" i="13"/>
  <c r="E13253" i="13"/>
  <c r="E13624" i="13"/>
  <c r="E13493" i="13"/>
  <c r="E11409" i="13"/>
  <c r="E14169" i="13"/>
  <c r="E11621" i="13"/>
  <c r="E12793" i="13"/>
  <c r="E13807" i="13"/>
  <c r="E14369" i="13"/>
  <c r="E12025" i="13"/>
  <c r="E11598" i="13"/>
  <c r="E9775" i="13"/>
  <c r="E12538" i="13"/>
  <c r="E10488" i="13"/>
  <c r="E12189" i="13"/>
  <c r="E13412" i="13"/>
  <c r="E14706" i="13"/>
  <c r="E12333" i="13"/>
  <c r="E10790" i="13"/>
  <c r="E13153" i="13"/>
  <c r="E10668" i="13"/>
  <c r="E9384" i="13"/>
  <c r="E8446" i="13"/>
  <c r="E12297" i="13"/>
  <c r="E10646" i="13"/>
  <c r="E9366" i="13"/>
  <c r="E12186" i="13"/>
  <c r="E10713" i="13"/>
  <c r="E14228" i="13"/>
  <c r="E11678" i="13"/>
  <c r="E9944" i="13"/>
  <c r="E12282" i="13"/>
  <c r="E10504" i="13"/>
  <c r="E9361" i="13"/>
  <c r="E11427" i="13"/>
  <c r="E9505" i="13"/>
  <c r="E8123" i="13"/>
  <c r="E7264" i="13"/>
  <c r="E13013" i="13"/>
  <c r="E10587" i="13"/>
  <c r="E8823" i="13"/>
  <c r="E7631" i="13"/>
  <c r="E6719" i="13"/>
  <c r="E11301" i="13"/>
  <c r="E9597" i="13"/>
  <c r="E8258" i="13"/>
  <c r="E10651" i="13"/>
  <c r="E9302" i="13"/>
  <c r="E12246" i="13"/>
  <c r="E10247" i="13"/>
  <c r="E8783" i="13"/>
  <c r="E7658" i="13"/>
  <c r="E10354" i="13"/>
  <c r="E8317" i="13"/>
  <c r="E7337" i="13"/>
  <c r="E6369" i="13"/>
  <c r="E5354" i="13"/>
  <c r="E4602" i="13"/>
  <c r="E10267" i="13"/>
  <c r="E8756" i="13"/>
  <c r="E7556" i="13"/>
  <c r="E6568" i="13"/>
  <c r="E5913" i="13"/>
  <c r="E11783" i="13"/>
  <c r="E10003" i="13"/>
  <c r="E8677" i="13"/>
  <c r="E7685" i="13"/>
  <c r="E7061" i="13"/>
  <c r="E6280" i="13"/>
  <c r="E12464" i="13"/>
  <c r="E10298" i="13"/>
  <c r="E9068" i="13"/>
  <c r="E8314" i="13"/>
  <c r="E7572" i="13"/>
  <c r="E7022" i="13"/>
  <c r="E12634" i="13"/>
  <c r="E10748" i="13"/>
  <c r="E9421" i="13"/>
  <c r="E8623" i="13"/>
  <c r="E7858" i="13"/>
  <c r="E7313" i="13"/>
  <c r="E6691" i="13"/>
  <c r="E6180" i="13"/>
  <c r="E5700" i="13"/>
  <c r="E11550" i="13"/>
  <c r="E10061" i="13"/>
  <c r="E8863" i="13"/>
  <c r="E8120" i="13"/>
  <c r="E7383" i="13"/>
  <c r="E6827" i="13"/>
  <c r="E6194" i="13"/>
  <c r="E5771" i="13"/>
  <c r="E13212" i="13"/>
  <c r="E10975" i="13"/>
  <c r="E9488" i="13"/>
  <c r="E8594" i="13"/>
  <c r="E7908" i="13"/>
  <c r="E7196" i="13"/>
  <c r="E6637" i="13"/>
  <c r="E6045" i="13"/>
  <c r="E5633" i="13"/>
  <c r="E11119" i="13"/>
  <c r="E9801" i="13"/>
  <c r="E8665" i="13"/>
  <c r="E7965" i="13"/>
  <c r="E12123" i="13"/>
  <c r="E10327" i="13"/>
  <c r="E9250" i="13"/>
  <c r="E8278" i="13"/>
  <c r="E11564" i="13"/>
  <c r="E9806" i="13"/>
  <c r="E8865" i="13"/>
  <c r="E12350" i="13"/>
  <c r="E9982" i="13"/>
  <c r="E8369" i="13"/>
  <c r="E7578" i="13"/>
  <c r="E6814" i="13"/>
  <c r="E6206" i="13"/>
  <c r="E5720" i="13"/>
  <c r="E5236" i="13"/>
  <c r="E4878" i="13"/>
  <c r="E4437" i="13"/>
  <c r="E4101" i="13"/>
  <c r="E3685" i="13"/>
  <c r="E3349" i="13"/>
  <c r="E2933" i="13"/>
  <c r="E2597" i="13"/>
  <c r="E2197" i="13"/>
  <c r="E1845" i="13"/>
  <c r="E11096" i="13"/>
  <c r="E8999" i="13"/>
  <c r="E7989" i="13"/>
  <c r="E7148" i="13"/>
  <c r="E6522" i="13"/>
  <c r="E5877" i="13"/>
  <c r="E5443" i="13"/>
  <c r="E4996" i="13"/>
  <c r="E4638" i="13"/>
  <c r="E4228" i="13"/>
  <c r="E3876" i="13"/>
  <c r="E3540" i="13"/>
  <c r="E3124" i="13"/>
  <c r="E2788" i="13"/>
  <c r="E12696" i="13"/>
  <c r="E10125" i="13"/>
  <c r="E8467" i="13"/>
  <c r="E7635" i="13"/>
  <c r="E6844" i="13"/>
  <c r="E6252" i="13"/>
  <c r="E5675" i="13"/>
  <c r="E5268" i="13"/>
  <c r="E4910" i="13"/>
  <c r="E4467" i="13"/>
  <c r="E4131" i="13"/>
  <c r="E3715" i="13"/>
  <c r="E3379" i="13"/>
  <c r="E12519" i="13"/>
  <c r="E10040" i="13"/>
  <c r="E8403" i="13"/>
  <c r="E7602" i="13"/>
  <c r="E6839" i="13"/>
  <c r="E6225" i="13"/>
  <c r="E5740" i="13"/>
  <c r="E5250" i="13"/>
  <c r="E4892" i="13"/>
  <c r="E4450" i="13"/>
  <c r="E4114" i="13"/>
  <c r="E3698" i="13"/>
  <c r="E3362" i="13"/>
  <c r="E2946" i="13"/>
  <c r="E11692" i="13"/>
  <c r="E9355" i="13"/>
  <c r="E8167" i="13"/>
  <c r="E7443" i="13"/>
  <c r="E6651" i="13"/>
  <c r="E6098" i="13"/>
  <c r="E5528" i="13"/>
  <c r="E5161" i="13"/>
  <c r="E4718" i="13"/>
  <c r="E4367" i="13"/>
  <c r="E3951" i="13"/>
  <c r="E3615" i="13"/>
  <c r="E3215" i="13"/>
  <c r="E2863" i="13"/>
  <c r="E2527" i="13"/>
  <c r="E9380" i="13"/>
  <c r="E7860" i="13"/>
  <c r="E6682" i="13"/>
  <c r="E5904" i="13"/>
  <c r="E5173" i="13"/>
  <c r="E4651" i="13"/>
  <c r="E4038" i="13"/>
  <c r="E3547" i="13"/>
  <c r="E2974" i="13"/>
  <c r="E2529" i="13"/>
  <c r="E2167" i="13"/>
  <c r="E1727" i="13"/>
  <c r="E1391" i="13"/>
  <c r="E975" i="13"/>
  <c r="E639" i="13"/>
  <c r="E223" i="13"/>
  <c r="E11884" i="13"/>
  <c r="E8692" i="13"/>
  <c r="E7475" i="13"/>
  <c r="E6393" i="13"/>
  <c r="E5640" i="13"/>
  <c r="E5095" i="13"/>
  <c r="E4455" i="13"/>
  <c r="E3964" i="13"/>
  <c r="E3358" i="13"/>
  <c r="E2889" i="13"/>
  <c r="E2387" i="13"/>
  <c r="E2029" i="13"/>
  <c r="E1598" i="13"/>
  <c r="E1326" i="13"/>
  <c r="E1070" i="13"/>
  <c r="E814" i="13"/>
  <c r="E10649" i="13"/>
  <c r="E8921" i="13"/>
  <c r="E7857" i="13"/>
  <c r="E7125" i="13"/>
  <c r="E6430" i="13"/>
  <c r="E5864" i="13"/>
  <c r="E5394" i="13"/>
  <c r="E4998" i="13"/>
  <c r="E4597" i="13"/>
  <c r="E4219" i="13"/>
  <c r="E3848" i="13"/>
  <c r="E3473" i="13"/>
  <c r="E3101" i="13"/>
  <c r="E2763" i="13"/>
  <c r="E2455" i="13"/>
  <c r="E2182" i="13"/>
  <c r="E1908" i="13"/>
  <c r="E1645" i="13"/>
  <c r="E1389" i="13"/>
  <c r="E1133" i="13"/>
  <c r="E10507" i="13"/>
  <c r="E8844" i="13"/>
  <c r="E7799" i="13"/>
  <c r="E7073" i="13"/>
  <c r="E6391" i="13"/>
  <c r="E5836" i="13"/>
  <c r="E5365" i="13"/>
  <c r="E4969" i="13"/>
  <c r="E4574" i="13"/>
  <c r="E4193" i="13"/>
  <c r="E3821" i="13"/>
  <c r="E3450" i="13"/>
  <c r="E3079" i="13"/>
  <c r="E2743" i="13"/>
  <c r="E2436" i="13"/>
  <c r="E2163" i="13"/>
  <c r="E1890" i="13"/>
  <c r="E1628" i="13"/>
  <c r="E1372" i="13"/>
  <c r="E1116" i="13"/>
  <c r="E11817" i="13"/>
  <c r="E9556" i="13"/>
  <c r="E8233" i="13"/>
  <c r="E7417" i="13"/>
  <c r="E6708" i="13"/>
  <c r="E6093" i="13"/>
  <c r="E5574" i="13"/>
  <c r="E5163" i="13"/>
  <c r="E4766" i="13"/>
  <c r="E4377" i="13"/>
  <c r="E4006" i="13"/>
  <c r="E3630" i="13"/>
  <c r="E3259" i="13"/>
  <c r="E2904" i="13"/>
  <c r="E2582" i="13"/>
  <c r="E2297" i="13"/>
  <c r="E2024" i="13"/>
  <c r="E1753" i="13"/>
  <c r="E1497" i="13"/>
  <c r="E1241" i="13"/>
  <c r="E985" i="13"/>
  <c r="E12425" i="13"/>
  <c r="E9078" i="13"/>
  <c r="E7586" i="13"/>
  <c r="E6570" i="13"/>
  <c r="E5744" i="13"/>
  <c r="E5111" i="13"/>
  <c r="E4539" i="13"/>
  <c r="E3994" i="13"/>
  <c r="E3449" i="13"/>
  <c r="E2922" i="13"/>
  <c r="E2462" i="13"/>
  <c r="E2066" i="13"/>
  <c r="E1674" i="13"/>
  <c r="E1302" i="13"/>
  <c r="E949" i="13"/>
  <c r="E654" i="13"/>
  <c r="E381" i="13"/>
  <c r="E108" i="13"/>
  <c r="E10502" i="13"/>
  <c r="E8287" i="13"/>
  <c r="E7138" i="13"/>
  <c r="E6176" i="13"/>
  <c r="E5436" i="13"/>
  <c r="E4862" i="13"/>
  <c r="E4297" i="13"/>
  <c r="E3752" i="13"/>
  <c r="E3210" i="13"/>
  <c r="E2713" i="13"/>
  <c r="E2288" i="13"/>
  <c r="E1888" i="13"/>
  <c r="E1510" i="13"/>
  <c r="E1139" i="13"/>
  <c r="E810" i="13"/>
  <c r="E534" i="13"/>
  <c r="E261" i="13"/>
  <c r="E13206" i="13"/>
  <c r="E9328" i="13"/>
  <c r="E7718" i="13"/>
  <c r="E6684" i="13"/>
  <c r="E5822" i="13"/>
  <c r="E5181" i="13"/>
  <c r="E4608" i="13"/>
  <c r="E4055" i="13"/>
  <c r="E3513" i="13"/>
  <c r="E2983" i="13"/>
  <c r="E2512" i="13"/>
  <c r="E2110" i="13"/>
  <c r="E1718" i="13"/>
  <c r="E1347" i="13"/>
  <c r="E986" i="13"/>
  <c r="E686" i="13"/>
  <c r="E413" i="13"/>
  <c r="E14792" i="13"/>
  <c r="E13901" i="13"/>
  <c r="E14561" i="13"/>
  <c r="E14486" i="13"/>
  <c r="E13049" i="13"/>
  <c r="E14622" i="13"/>
  <c r="E12899" i="13"/>
  <c r="E13386" i="13"/>
  <c r="E14882" i="13"/>
  <c r="E14161" i="13"/>
  <c r="E12082" i="13"/>
  <c r="E13416" i="13"/>
  <c r="E13234" i="13"/>
  <c r="E13602" i="13"/>
  <c r="E13456" i="13"/>
  <c r="E11329" i="13"/>
  <c r="E14115" i="13"/>
  <c r="E11604" i="13"/>
  <c r="E12570" i="13"/>
  <c r="E13766" i="13"/>
  <c r="E13986" i="13"/>
  <c r="E12008" i="13"/>
  <c r="E11367" i="13"/>
  <c r="E9759" i="13"/>
  <c r="E12345" i="13"/>
  <c r="E10471" i="13"/>
  <c r="E11889" i="13"/>
  <c r="E13372" i="13"/>
  <c r="E14595" i="13"/>
  <c r="E12310" i="13"/>
  <c r="E10773" i="13"/>
  <c r="E13087" i="13"/>
  <c r="E10647" i="13"/>
  <c r="E9350" i="13"/>
  <c r="E8430" i="13"/>
  <c r="E12224" i="13"/>
  <c r="E10621" i="13"/>
  <c r="E9332" i="13"/>
  <c r="E12152" i="13"/>
  <c r="E10666" i="13"/>
  <c r="E14133" i="13"/>
  <c r="E11623" i="13"/>
  <c r="E9927" i="13"/>
  <c r="E11886" i="13"/>
  <c r="E10484" i="13"/>
  <c r="E9176" i="13"/>
  <c r="E11381" i="13"/>
  <c r="E9262" i="13"/>
  <c r="E8106" i="13"/>
  <c r="E7088" i="13"/>
  <c r="E12948" i="13"/>
  <c r="E10253" i="13"/>
  <c r="E8805" i="13"/>
  <c r="E7615" i="13"/>
  <c r="E6703" i="13"/>
  <c r="E11266" i="13"/>
  <c r="E9575" i="13"/>
  <c r="E8241" i="13"/>
  <c r="E10616" i="13"/>
  <c r="E9280" i="13"/>
  <c r="E12198" i="13"/>
  <c r="E10217" i="13"/>
  <c r="E8748" i="13"/>
  <c r="E13900" i="13"/>
  <c r="E10308" i="13"/>
  <c r="E8296" i="13"/>
  <c r="E7319" i="13"/>
  <c r="E6202" i="13"/>
  <c r="E5338" i="13"/>
  <c r="E4586" i="13"/>
  <c r="E10220" i="13"/>
  <c r="E8728" i="13"/>
  <c r="E7538" i="13"/>
  <c r="E6494" i="13"/>
  <c r="E5897" i="13"/>
  <c r="E11728" i="13"/>
  <c r="E9854" i="13"/>
  <c r="E8627" i="13"/>
  <c r="E7666" i="13"/>
  <c r="E7043" i="13"/>
  <c r="E6248" i="13"/>
  <c r="E12384" i="13"/>
  <c r="E10260" i="13"/>
  <c r="E9039" i="13"/>
  <c r="E8290" i="13"/>
  <c r="E7554" i="13"/>
  <c r="E7004" i="13"/>
  <c r="E12278" i="13"/>
  <c r="E10701" i="13"/>
  <c r="E9390" i="13"/>
  <c r="E8596" i="13"/>
  <c r="E7837" i="13"/>
  <c r="E7293" i="13"/>
  <c r="E6673" i="13"/>
  <c r="E6164" i="13"/>
  <c r="E5668" i="13"/>
  <c r="E11463" i="13"/>
  <c r="E9803" i="13"/>
  <c r="E8816" i="13"/>
  <c r="E8092" i="13"/>
  <c r="E7358" i="13"/>
  <c r="E6797" i="13"/>
  <c r="E6174" i="13"/>
  <c r="E5750" i="13"/>
  <c r="E13057" i="13"/>
  <c r="E10890" i="13"/>
  <c r="E9392" i="13"/>
  <c r="E8562" i="13"/>
  <c r="E7762" i="13"/>
  <c r="E7169" i="13"/>
  <c r="E6614" i="13"/>
  <c r="E6024" i="13"/>
  <c r="E5615" i="13"/>
  <c r="E11044" i="13"/>
  <c r="E9738" i="13"/>
  <c r="E8636" i="13"/>
  <c r="E7932" i="13"/>
  <c r="E11883" i="13"/>
  <c r="E10272" i="13"/>
  <c r="E9032" i="13"/>
  <c r="E8239" i="13"/>
  <c r="E11482" i="13"/>
  <c r="E9762" i="13"/>
  <c r="E8819" i="13"/>
  <c r="E12195" i="13"/>
  <c r="E9902" i="13"/>
  <c r="E8323" i="13"/>
  <c r="E7546" i="13"/>
  <c r="E6757" i="13"/>
  <c r="E6181" i="13"/>
  <c r="E5612" i="13"/>
  <c r="E5219" i="13"/>
  <c r="E4861" i="13"/>
  <c r="E4421" i="13"/>
  <c r="E4085" i="13"/>
  <c r="E3669" i="13"/>
  <c r="E3333" i="13"/>
  <c r="E2917" i="13"/>
  <c r="E2581" i="13"/>
  <c r="E2165" i="13"/>
  <c r="E1829" i="13"/>
  <c r="E10580" i="13"/>
  <c r="E8947" i="13"/>
  <c r="E7949" i="13"/>
  <c r="E7122" i="13"/>
  <c r="E6498" i="13"/>
  <c r="E5855" i="13"/>
  <c r="E5425" i="13"/>
  <c r="E4979" i="13"/>
  <c r="E4621" i="13"/>
  <c r="E4196" i="13"/>
  <c r="E3860" i="13"/>
  <c r="E3460" i="13"/>
  <c r="E3108" i="13"/>
  <c r="E2772" i="13"/>
  <c r="E12521" i="13"/>
  <c r="E10041" i="13"/>
  <c r="E8410" i="13"/>
  <c r="E7603" i="13"/>
  <c r="E6812" i="13"/>
  <c r="E6226" i="13"/>
  <c r="E5630" i="13"/>
  <c r="E5251" i="13"/>
  <c r="E4824" i="13"/>
  <c r="E4451" i="13"/>
  <c r="E4115" i="13"/>
  <c r="E3699" i="13"/>
  <c r="E3363" i="13"/>
  <c r="E12336" i="13"/>
  <c r="E9969" i="13"/>
  <c r="E8365" i="13"/>
  <c r="E7571" i="13"/>
  <c r="E6779" i="13"/>
  <c r="E6203" i="13"/>
  <c r="E5629" i="13"/>
  <c r="E5233" i="13"/>
  <c r="E4875" i="13"/>
  <c r="E4434" i="13"/>
  <c r="E4098" i="13"/>
  <c r="E3682" i="13"/>
  <c r="E3346" i="13"/>
  <c r="E2930" i="13"/>
  <c r="E11559" i="13"/>
  <c r="E9227" i="13"/>
  <c r="E8129" i="13"/>
  <c r="E7290" i="13"/>
  <c r="E6627" i="13"/>
  <c r="E6076" i="13"/>
  <c r="E5510" i="13"/>
  <c r="E5144" i="13"/>
  <c r="E4701" i="13"/>
  <c r="E4351" i="13"/>
  <c r="E3935" i="13"/>
  <c r="E3599" i="13"/>
  <c r="E3183" i="13"/>
  <c r="E2847" i="13"/>
  <c r="E12655" i="13"/>
  <c r="E9286" i="13"/>
  <c r="E7813" i="13"/>
  <c r="E6645" i="13"/>
  <c r="E5870" i="13"/>
  <c r="E5147" i="13"/>
  <c r="E4627" i="13"/>
  <c r="E4012" i="13"/>
  <c r="E3526" i="13"/>
  <c r="E2934" i="13"/>
  <c r="E2510" i="13"/>
  <c r="E2081" i="13"/>
  <c r="E1711" i="13"/>
  <c r="E1375" i="13"/>
  <c r="E959" i="13"/>
  <c r="E623" i="13"/>
  <c r="E207" i="13"/>
  <c r="E11691" i="13"/>
  <c r="E8613" i="13"/>
  <c r="E7433" i="13"/>
  <c r="E6316" i="13"/>
  <c r="E5613" i="13"/>
  <c r="E4972" i="13"/>
  <c r="E4429" i="13"/>
  <c r="E3943" i="13"/>
  <c r="E3337" i="13"/>
  <c r="E2867" i="13"/>
  <c r="E2370" i="13"/>
  <c r="E2012" i="13"/>
  <c r="E1582" i="13"/>
  <c r="E1310" i="13"/>
  <c r="E1054" i="13"/>
  <c r="E798" i="13"/>
  <c r="E10508" i="13"/>
  <c r="E8847" i="13"/>
  <c r="E7800" i="13"/>
  <c r="E7074" i="13"/>
  <c r="E6392" i="13"/>
  <c r="E5837" i="13"/>
  <c r="E5367" i="13"/>
  <c r="E4971" i="13"/>
  <c r="E4575" i="13"/>
  <c r="E4198" i="13"/>
  <c r="E3822" i="13"/>
  <c r="E3451" i="13"/>
  <c r="E3080" i="13"/>
  <c r="E2744" i="13"/>
  <c r="E2438" i="13"/>
  <c r="E2164" i="13"/>
  <c r="E1891" i="13"/>
  <c r="E1629" i="13"/>
  <c r="E1373" i="13"/>
  <c r="E14297" i="13"/>
  <c r="E10367" i="13"/>
  <c r="E8760" i="13"/>
  <c r="E7751" i="13"/>
  <c r="E7032" i="13"/>
  <c r="E6350" i="13"/>
  <c r="E5798" i="13"/>
  <c r="E5343" i="13"/>
  <c r="E4947" i="13"/>
  <c r="E4546" i="13"/>
  <c r="E4171" i="13"/>
  <c r="E3800" i="13"/>
  <c r="E3425" i="13"/>
  <c r="E3056" i="13"/>
  <c r="E2722" i="13"/>
  <c r="E2419" i="13"/>
  <c r="E2146" i="13"/>
  <c r="E1873" i="13"/>
  <c r="E1612" i="13"/>
  <c r="E1356" i="13"/>
  <c r="E1100" i="13"/>
  <c r="E11627" i="13"/>
  <c r="E9449" i="13"/>
  <c r="E8166" i="13"/>
  <c r="E7377" i="13"/>
  <c r="E6669" i="13"/>
  <c r="E6053" i="13"/>
  <c r="E5544" i="13"/>
  <c r="E5139" i="13"/>
  <c r="E4743" i="13"/>
  <c r="E4352" i="13"/>
  <c r="E3980" i="13"/>
  <c r="E3609" i="13"/>
  <c r="E3238" i="13"/>
  <c r="E2881" i="13"/>
  <c r="E2561" i="13"/>
  <c r="E2280" i="13"/>
  <c r="E2007" i="13"/>
  <c r="E1737" i="13"/>
  <c r="E1481" i="13"/>
  <c r="E1225" i="13"/>
  <c r="E969" i="13"/>
  <c r="E12051" i="13"/>
  <c r="E8965" i="13"/>
  <c r="E7528" i="13"/>
  <c r="E6505" i="13"/>
  <c r="E5686" i="13"/>
  <c r="E5078" i="13"/>
  <c r="E4505" i="13"/>
  <c r="E3958" i="13"/>
  <c r="E3417" i="13"/>
  <c r="E2893" i="13"/>
  <c r="E2435" i="13"/>
  <c r="E2039" i="13"/>
  <c r="E1652" i="13"/>
  <c r="E1281" i="13"/>
  <c r="E930" i="13"/>
  <c r="E637" i="13"/>
  <c r="E364" i="13"/>
  <c r="E91" i="13"/>
  <c r="E10317" i="13"/>
  <c r="E8198" i="13"/>
  <c r="E7069" i="13"/>
  <c r="E6118" i="13"/>
  <c r="E5401" i="13"/>
  <c r="E4829" i="13"/>
  <c r="E4257" i="13"/>
  <c r="E3720" i="13"/>
  <c r="E3179" i="13"/>
  <c r="E2682" i="13"/>
  <c r="E2260" i="13"/>
  <c r="E1865" i="13"/>
  <c r="E1489" i="13"/>
  <c r="E1115" i="13"/>
  <c r="E790" i="13"/>
  <c r="E517" i="13"/>
  <c r="E244" i="13"/>
  <c r="E12760" i="13"/>
  <c r="E9204" i="13"/>
  <c r="E7642" i="13"/>
  <c r="E6618" i="13"/>
  <c r="E5778" i="13"/>
  <c r="E5152" i="13"/>
  <c r="E4565" i="13"/>
  <c r="E4023" i="13"/>
  <c r="E3482" i="13"/>
  <c r="E2950" i="13"/>
  <c r="E2482" i="13"/>
  <c r="E2087" i="13"/>
  <c r="E1697" i="13"/>
  <c r="E1322" i="13"/>
  <c r="E966" i="13"/>
  <c r="E669" i="13"/>
  <c r="E14775" i="13"/>
  <c r="E13549" i="13"/>
  <c r="E14543" i="13"/>
  <c r="E14382" i="13"/>
  <c r="E13033" i="13"/>
  <c r="E14322" i="13"/>
  <c r="E12499" i="13"/>
  <c r="E13300" i="13"/>
  <c r="E14837" i="13"/>
  <c r="E14014" i="13"/>
  <c r="E12002" i="13"/>
  <c r="E12784" i="13"/>
  <c r="E13213" i="13"/>
  <c r="E13552" i="13"/>
  <c r="E13425" i="13"/>
  <c r="E11281" i="13"/>
  <c r="E13149" i="13"/>
  <c r="E11569" i="13"/>
  <c r="E12510" i="13"/>
  <c r="E13695" i="13"/>
  <c r="E13911" i="13"/>
  <c r="E14278" i="13"/>
  <c r="E11331" i="13"/>
  <c r="E9743" i="13"/>
  <c r="E12164" i="13"/>
  <c r="E10454" i="13"/>
  <c r="E11495" i="13"/>
  <c r="E13338" i="13"/>
  <c r="E14497" i="13"/>
  <c r="E12280" i="13"/>
  <c r="E10756" i="13"/>
  <c r="E12078" i="13"/>
  <c r="E10622" i="13"/>
  <c r="E9265" i="13"/>
  <c r="E8414" i="13"/>
  <c r="E12044" i="13"/>
  <c r="E10226" i="13"/>
  <c r="E9246" i="13"/>
  <c r="E12109" i="13"/>
  <c r="E10552" i="13"/>
  <c r="E14025" i="13"/>
  <c r="E10969" i="13"/>
  <c r="E9910" i="13"/>
  <c r="E11797" i="13"/>
  <c r="E10462" i="13"/>
  <c r="E9128" i="13"/>
  <c r="E10887" i="13"/>
  <c r="E9202" i="13"/>
  <c r="E8072" i="13"/>
  <c r="E7040" i="13"/>
  <c r="E12809" i="13"/>
  <c r="E10022" i="13"/>
  <c r="E8771" i="13"/>
  <c r="E7599" i="13"/>
  <c r="E6671" i="13"/>
  <c r="E11224" i="13"/>
  <c r="E9140" i="13"/>
  <c r="E8224" i="13"/>
  <c r="E10584" i="13"/>
  <c r="E9259" i="13"/>
  <c r="E12143" i="13"/>
  <c r="E9744" i="13"/>
  <c r="E8731" i="13"/>
  <c r="E13710" i="13"/>
  <c r="E10231" i="13"/>
  <c r="E8272" i="13"/>
  <c r="E7027" i="13"/>
  <c r="E6186" i="13"/>
  <c r="E5306" i="13"/>
  <c r="E4570" i="13"/>
  <c r="E10149" i="13"/>
  <c r="E8433" i="13"/>
  <c r="E7464" i="13"/>
  <c r="E6458" i="13"/>
  <c r="E5865" i="13"/>
  <c r="E11599" i="13"/>
  <c r="E9563" i="13"/>
  <c r="E8577" i="13"/>
  <c r="E7645" i="13"/>
  <c r="E7025" i="13"/>
  <c r="E6232" i="13"/>
  <c r="E11782" i="13"/>
  <c r="E10216" i="13"/>
  <c r="E9013" i="13"/>
  <c r="E8267" i="13"/>
  <c r="E7480" i="13"/>
  <c r="E6804" i="13"/>
  <c r="E12203" i="13"/>
  <c r="E10293" i="13"/>
  <c r="E9268" i="13"/>
  <c r="E8572" i="13"/>
  <c r="E7817" i="13"/>
  <c r="E7275" i="13"/>
  <c r="E6653" i="13"/>
  <c r="E6148" i="13"/>
  <c r="E14546" i="13"/>
  <c r="E11386" i="13"/>
  <c r="E9696" i="13"/>
  <c r="E8781" i="13"/>
  <c r="E7934" i="13"/>
  <c r="E7330" i="13"/>
  <c r="E6774" i="13"/>
  <c r="E6151" i="13"/>
  <c r="E5730" i="13"/>
  <c r="E12911" i="13"/>
  <c r="E10832" i="13"/>
  <c r="E9351" i="13"/>
  <c r="E8523" i="13"/>
  <c r="E7708" i="13"/>
  <c r="E7143" i="13"/>
  <c r="E6491" i="13"/>
  <c r="E6005" i="13"/>
  <c r="E14473" i="13"/>
  <c r="E10974" i="13"/>
  <c r="E9692" i="13"/>
  <c r="E8593" i="13"/>
  <c r="E7907" i="13"/>
  <c r="E11798" i="13"/>
  <c r="E10211" i="13"/>
  <c r="E8956" i="13"/>
  <c r="E14570" i="13"/>
  <c r="E11060" i="13"/>
  <c r="E9704" i="13"/>
  <c r="E8785" i="13"/>
  <c r="E12024" i="13"/>
  <c r="E9831" i="13"/>
  <c r="E8273" i="13"/>
  <c r="E7512" i="13"/>
  <c r="E6725" i="13"/>
  <c r="E6158" i="13"/>
  <c r="E5572" i="13"/>
  <c r="E5202" i="13"/>
  <c r="E4775" i="13"/>
  <c r="E4405" i="13"/>
  <c r="E4069" i="13"/>
  <c r="E3653" i="13"/>
  <c r="E3317" i="13"/>
  <c r="E2901" i="13"/>
  <c r="E2565" i="13"/>
  <c r="E2149" i="13"/>
  <c r="E1813" i="13"/>
  <c r="E10377" i="13"/>
  <c r="E8888" i="13"/>
  <c r="E7773" i="13"/>
  <c r="E7086" i="13"/>
  <c r="E6466" i="13"/>
  <c r="E5832" i="13"/>
  <c r="E5406" i="13"/>
  <c r="E4962" i="13"/>
  <c r="E4604" i="13"/>
  <c r="E4180" i="13"/>
  <c r="E3844" i="13"/>
  <c r="E3428" i="13"/>
  <c r="E3092" i="13"/>
  <c r="E2692" i="13"/>
  <c r="E12347" i="13"/>
  <c r="E9976" i="13"/>
  <c r="E8367" i="13"/>
  <c r="E7576" i="13"/>
  <c r="E6780" i="13"/>
  <c r="E6204" i="13"/>
  <c r="E5608" i="13"/>
  <c r="E5234" i="13"/>
  <c r="E4790" i="13"/>
  <c r="E4435" i="13"/>
  <c r="E4035" i="13"/>
  <c r="E3683" i="13"/>
  <c r="E3347" i="13"/>
  <c r="E12176" i="13"/>
  <c r="E9882" i="13"/>
  <c r="E8307" i="13"/>
  <c r="E7541" i="13"/>
  <c r="E6754" i="13"/>
  <c r="E6177" i="13"/>
  <c r="E5588" i="13"/>
  <c r="E5216" i="13"/>
  <c r="E4789" i="13"/>
  <c r="E4418" i="13"/>
  <c r="E4082" i="13"/>
  <c r="E3666" i="13"/>
  <c r="E3330" i="13"/>
  <c r="E2914" i="13"/>
  <c r="E11430" i="13"/>
  <c r="E9167" i="13"/>
  <c r="E8093" i="13"/>
  <c r="E7233" i="13"/>
  <c r="E6597" i="13"/>
  <c r="E5959" i="13"/>
  <c r="E5491" i="13"/>
  <c r="E5127" i="13"/>
  <c r="E4684" i="13"/>
  <c r="E4335" i="13"/>
  <c r="E3919" i="13"/>
  <c r="E3583" i="13"/>
  <c r="E3167" i="13"/>
  <c r="E2831" i="13"/>
  <c r="E12124" i="13"/>
  <c r="E9195" i="13"/>
  <c r="E7564" i="13"/>
  <c r="E6598" i="13"/>
  <c r="E5839" i="13"/>
  <c r="E5123" i="13"/>
  <c r="E4600" i="13"/>
  <c r="E3991" i="13"/>
  <c r="E3500" i="13"/>
  <c r="E2910" i="13"/>
  <c r="E2492" i="13"/>
  <c r="E2047" i="13"/>
  <c r="E1695" i="13"/>
  <c r="E1295" i="13"/>
  <c r="E943" i="13"/>
  <c r="E607" i="13"/>
  <c r="E191" i="13"/>
  <c r="E11508" i="13"/>
  <c r="E8540" i="13"/>
  <c r="E7386" i="13"/>
  <c r="E6284" i="13"/>
  <c r="E5582" i="13"/>
  <c r="E4921" i="13"/>
  <c r="E4408" i="13"/>
  <c r="E3824" i="13"/>
  <c r="E3312" i="13"/>
  <c r="E2845" i="13"/>
  <c r="E2353" i="13"/>
  <c r="E1995" i="13"/>
  <c r="E1566" i="13"/>
  <c r="E1294" i="13"/>
  <c r="E1038" i="13"/>
  <c r="E14302" i="13"/>
  <c r="E10389" i="13"/>
  <c r="E8761" i="13"/>
  <c r="E7752" i="13"/>
  <c r="E7033" i="13"/>
  <c r="E6353" i="13"/>
  <c r="E5799" i="13"/>
  <c r="E5344" i="13"/>
  <c r="E4948" i="13"/>
  <c r="E4548" i="13"/>
  <c r="E4172" i="13"/>
  <c r="E3801" i="13"/>
  <c r="E3430" i="13"/>
  <c r="E3057" i="13"/>
  <c r="E2723" i="13"/>
  <c r="E2420" i="13"/>
  <c r="E2147" i="13"/>
  <c r="E1874" i="13"/>
  <c r="E1613" i="13"/>
  <c r="E1357" i="13"/>
  <c r="E13603" i="13"/>
  <c r="E10241" i="13"/>
  <c r="E8690" i="13"/>
  <c r="E7694" i="13"/>
  <c r="E6981" i="13"/>
  <c r="E6311" i="13"/>
  <c r="E5767" i="13"/>
  <c r="E5316" i="13"/>
  <c r="E4919" i="13"/>
  <c r="E4524" i="13"/>
  <c r="E4150" i="13"/>
  <c r="E3774" i="13"/>
  <c r="E3403" i="13"/>
  <c r="E3035" i="13"/>
  <c r="E2702" i="13"/>
  <c r="E2402" i="13"/>
  <c r="E2129" i="13"/>
  <c r="E1856" i="13"/>
  <c r="E1596" i="13"/>
  <c r="E1340" i="13"/>
  <c r="E1084" i="13"/>
  <c r="E11431" i="13"/>
  <c r="E9340" i="13"/>
  <c r="E8114" i="13"/>
  <c r="E7338" i="13"/>
  <c r="E6626" i="13"/>
  <c r="E6021" i="13"/>
  <c r="E5520" i="13"/>
  <c r="E5112" i="13"/>
  <c r="E4716" i="13"/>
  <c r="E4330" i="13"/>
  <c r="E3959" i="13"/>
  <c r="E3584" i="13"/>
  <c r="E3212" i="13"/>
  <c r="E2860" i="13"/>
  <c r="E2541" i="13"/>
  <c r="E2263" i="13"/>
  <c r="E1990" i="13"/>
  <c r="E1721" i="13"/>
  <c r="E1465" i="13"/>
  <c r="E1209" i="13"/>
  <c r="E953" i="13"/>
  <c r="E11754" i="13"/>
  <c r="E8838" i="13"/>
  <c r="E7458" i="13"/>
  <c r="E6451" i="13"/>
  <c r="E5645" i="13"/>
  <c r="E5040" i="13"/>
  <c r="E4464" i="13"/>
  <c r="E3927" i="13"/>
  <c r="E3386" i="13"/>
  <c r="E2859" i="13"/>
  <c r="E2412" i="13"/>
  <c r="E2016" i="13"/>
  <c r="E1627" i="13"/>
  <c r="E1255" i="13"/>
  <c r="E909" i="13"/>
  <c r="E620" i="13"/>
  <c r="E347" i="13"/>
  <c r="E74" i="13"/>
  <c r="E10105" i="13"/>
  <c r="E8107" i="13"/>
  <c r="E7010" i="13"/>
  <c r="E6071" i="13"/>
  <c r="E5363" i="13"/>
  <c r="E4785" i="13"/>
  <c r="E4230" i="13"/>
  <c r="E3689" i="13"/>
  <c r="E3143" i="13"/>
  <c r="E2654" i="13"/>
  <c r="E2238" i="13"/>
  <c r="E1838" i="13"/>
  <c r="E1463" i="13"/>
  <c r="E1094" i="13"/>
  <c r="E773" i="13"/>
  <c r="E500" i="13"/>
  <c r="E227" i="13"/>
  <c r="E12328" i="13"/>
  <c r="E9067" i="13"/>
  <c r="E7582" i="13"/>
  <c r="E6562" i="13"/>
  <c r="E5728" i="13"/>
  <c r="E5108" i="13"/>
  <c r="E4532" i="13"/>
  <c r="E3992" i="13"/>
  <c r="E3446" i="13"/>
  <c r="E2920" i="13"/>
  <c r="E2460" i="13"/>
  <c r="E2060" i="13"/>
  <c r="E1671" i="13"/>
  <c r="E1300" i="13"/>
  <c r="E947" i="13"/>
  <c r="E652" i="13"/>
  <c r="E379" i="13"/>
  <c r="E14492" i="13"/>
  <c r="E14318" i="13"/>
  <c r="E14355" i="13"/>
  <c r="E14850" i="13"/>
  <c r="E13651" i="13"/>
  <c r="E13196" i="13"/>
  <c r="E12665" i="13"/>
  <c r="E13957" i="13"/>
  <c r="E12534" i="13"/>
  <c r="E10497" i="13"/>
  <c r="E14272" i="13"/>
  <c r="E12860" i="13"/>
  <c r="E12623" i="13"/>
  <c r="E10591" i="13"/>
  <c r="E12966" i="13"/>
  <c r="E12678" i="13"/>
  <c r="E12676" i="13"/>
  <c r="E12526" i="13"/>
  <c r="E10483" i="13"/>
  <c r="E10900" i="13"/>
  <c r="E8958" i="13"/>
  <c r="E11933" i="13"/>
  <c r="E9793" i="13"/>
  <c r="E11802" i="13"/>
  <c r="E9792" i="13"/>
  <c r="E10823" i="13"/>
  <c r="E11734" i="13"/>
  <c r="E9873" i="13"/>
  <c r="E10374" i="13"/>
  <c r="E8584" i="13"/>
  <c r="E6576" i="13"/>
  <c r="E9849" i="13"/>
  <c r="E8122" i="13"/>
  <c r="E14415" i="13"/>
  <c r="E9820" i="13"/>
  <c r="E12549" i="13"/>
  <c r="E8769" i="13"/>
  <c r="E10810" i="13"/>
  <c r="E8305" i="13"/>
  <c r="E11082" i="13"/>
  <c r="E7707" i="13"/>
  <c r="E6138" i="13"/>
  <c r="E4858" i="13"/>
  <c r="E9857" i="13"/>
  <c r="E7646" i="13"/>
  <c r="E6281" i="13"/>
  <c r="E11298" i="13"/>
  <c r="E9127" i="13"/>
  <c r="E7537" i="13"/>
  <c r="E6531" i="13"/>
  <c r="E11175" i="13"/>
  <c r="E8882" i="13"/>
  <c r="E7880" i="13"/>
  <c r="E6730" i="13"/>
  <c r="E10951" i="13"/>
  <c r="E8955" i="13"/>
  <c r="E7719" i="13"/>
  <c r="E6965" i="13"/>
  <c r="E5940" i="13"/>
  <c r="E11947" i="13"/>
  <c r="E9393" i="13"/>
  <c r="E7851" i="13"/>
  <c r="E6984" i="13"/>
  <c r="E6066" i="13"/>
  <c r="E5458" i="13"/>
  <c r="E10119" i="13"/>
  <c r="E8452" i="13"/>
  <c r="E7490" i="13"/>
  <c r="E6372" i="13"/>
  <c r="E5710" i="13"/>
  <c r="E10541" i="13"/>
  <c r="E8521" i="13"/>
  <c r="E13589" i="13"/>
  <c r="E9786" i="13"/>
  <c r="E8440" i="13"/>
  <c r="E10548" i="13"/>
  <c r="E8536" i="13"/>
  <c r="E10486" i="13"/>
  <c r="E8101" i="13"/>
  <c r="E7058" i="13"/>
  <c r="E5901" i="13"/>
  <c r="E5168" i="13"/>
  <c r="E4622" i="13"/>
  <c r="E3925" i="13"/>
  <c r="E3413" i="13"/>
  <c r="E2805" i="13"/>
  <c r="E2117" i="13"/>
  <c r="E11875" i="13"/>
  <c r="E8681" i="13"/>
  <c r="E7420" i="13"/>
  <c r="E6179" i="13"/>
  <c r="E5303" i="13"/>
  <c r="E4757" i="13"/>
  <c r="E4116" i="13"/>
  <c r="E3604" i="13"/>
  <c r="E2916" i="13"/>
  <c r="E12022" i="13"/>
  <c r="E9058" i="13"/>
  <c r="E7297" i="13"/>
  <c r="E6355" i="13"/>
  <c r="E5496" i="13"/>
  <c r="E4756" i="13"/>
  <c r="E4227" i="13"/>
  <c r="E3619" i="13"/>
  <c r="E3107" i="13"/>
  <c r="E9233" i="13"/>
  <c r="E7771" i="13"/>
  <c r="E6657" i="13"/>
  <c r="E5874" i="13"/>
  <c r="E5182" i="13"/>
  <c r="E4653" i="13"/>
  <c r="E4002" i="13"/>
  <c r="E3570" i="13"/>
  <c r="E2978" i="13"/>
  <c r="E10357" i="13"/>
  <c r="E8348" i="13"/>
  <c r="E7108" i="13"/>
  <c r="E6222" i="13"/>
  <c r="E5437" i="13"/>
  <c r="E4905" i="13"/>
  <c r="E4239" i="13"/>
  <c r="E3807" i="13"/>
  <c r="E3151" i="13"/>
  <c r="E2655" i="13"/>
  <c r="E9475" i="13"/>
  <c r="E7307" i="13"/>
  <c r="E6037" i="13"/>
  <c r="E5023" i="13"/>
  <c r="E4268" i="13"/>
  <c r="E3338" i="13"/>
  <c r="E2746" i="13"/>
  <c r="E2013" i="13"/>
  <c r="E1503" i="13"/>
  <c r="E927" i="13"/>
  <c r="E431" i="13"/>
  <c r="E12122" i="13"/>
  <c r="E8194" i="13"/>
  <c r="E6728" i="13"/>
  <c r="E5368" i="13"/>
  <c r="E4699" i="13"/>
  <c r="E3734" i="13"/>
  <c r="E3017" i="13"/>
  <c r="E2319" i="13"/>
  <c r="E1790" i="13"/>
  <c r="E1278" i="13"/>
  <c r="E942" i="13"/>
  <c r="E10806" i="13"/>
  <c r="E8389" i="13"/>
  <c r="E7292" i="13"/>
  <c r="E6208" i="13"/>
  <c r="E5524" i="13"/>
  <c r="E4870" i="13"/>
  <c r="E4360" i="13"/>
  <c r="E3754" i="13"/>
  <c r="E3264" i="13"/>
  <c r="E2704" i="13"/>
  <c r="E2318" i="13"/>
  <c r="E1926" i="13"/>
  <c r="E1533" i="13"/>
  <c r="E1197" i="13"/>
  <c r="E9781" i="13"/>
  <c r="E8073" i="13"/>
  <c r="E6854" i="13"/>
  <c r="E6028" i="13"/>
  <c r="E5266" i="13"/>
  <c r="E4747" i="13"/>
  <c r="E4124" i="13"/>
  <c r="E3638" i="13"/>
  <c r="E3100" i="13"/>
  <c r="E2604" i="13"/>
  <c r="E2232" i="13"/>
  <c r="E1788" i="13"/>
  <c r="E1452" i="13"/>
  <c r="E1036" i="13"/>
  <c r="E10215" i="13"/>
  <c r="E8001" i="13"/>
  <c r="E7018" i="13"/>
  <c r="E5992" i="13"/>
  <c r="E5362" i="13"/>
  <c r="E4793" i="13"/>
  <c r="E4215" i="13"/>
  <c r="E3724" i="13"/>
  <c r="E3118" i="13"/>
  <c r="E2680" i="13"/>
  <c r="E2211" i="13"/>
  <c r="E1853" i="13"/>
  <c r="E1433" i="13"/>
  <c r="E1097" i="13"/>
  <c r="E11429" i="13"/>
  <c r="E8204" i="13"/>
  <c r="E6620" i="13"/>
  <c r="E5439" i="13"/>
  <c r="E4681" i="13"/>
  <c r="E3788" i="13"/>
  <c r="E3078" i="13"/>
  <c r="E2339" i="13"/>
  <c r="E1816" i="13"/>
  <c r="E1208" i="13"/>
  <c r="E774" i="13"/>
  <c r="E330" i="13"/>
  <c r="E12778" i="13"/>
  <c r="E8397" i="13"/>
  <c r="E6685" i="13"/>
  <c r="E5597" i="13"/>
  <c r="E4642" i="13"/>
  <c r="E3926" i="13"/>
  <c r="E3047" i="13"/>
  <c r="E2434" i="13"/>
  <c r="E1792" i="13"/>
  <c r="E1301" i="13"/>
  <c r="E756" i="13"/>
  <c r="E397" i="13"/>
  <c r="E13912" i="13"/>
  <c r="E8491" i="13"/>
  <c r="E6940" i="13"/>
  <c r="E5557" i="13"/>
  <c r="E4784" i="13"/>
  <c r="E3884" i="13"/>
  <c r="E3178" i="13"/>
  <c r="E2410" i="13"/>
  <c r="E1886" i="13"/>
  <c r="E1275" i="13"/>
  <c r="E828" i="13"/>
  <c r="E430" i="13"/>
  <c r="E123" i="13"/>
  <c r="E10702" i="13"/>
  <c r="E8374" i="13"/>
  <c r="E7192" i="13"/>
  <c r="E6220" i="13"/>
  <c r="E5476" i="13"/>
  <c r="E4887" i="13"/>
  <c r="E4326" i="13"/>
  <c r="E3785" i="13"/>
  <c r="E3240" i="13"/>
  <c r="E2736" i="13"/>
  <c r="E2308" i="13"/>
  <c r="E1913" i="13"/>
  <c r="E1530" i="13"/>
  <c r="E1158" i="13"/>
  <c r="E827" i="13"/>
  <c r="E549" i="13"/>
  <c r="E276" i="13"/>
  <c r="E14763" i="13"/>
  <c r="E9614" i="13"/>
  <c r="E7865" i="13"/>
  <c r="E6795" i="13"/>
  <c r="E5915" i="13"/>
  <c r="E5254" i="13"/>
  <c r="E4669" i="13"/>
  <c r="E4119" i="13"/>
  <c r="E9936" i="13"/>
  <c r="E8008" i="13"/>
  <c r="E6922" i="13"/>
  <c r="E6008" i="13"/>
  <c r="E5325" i="13"/>
  <c r="E10857" i="13"/>
  <c r="E8473" i="13"/>
  <c r="E7241" i="13"/>
  <c r="E6261" i="13"/>
  <c r="E5506" i="13"/>
  <c r="E4918" i="13"/>
  <c r="E4349" i="13"/>
  <c r="E3809" i="13"/>
  <c r="E3272" i="13"/>
  <c r="E2760" i="13"/>
  <c r="E2328" i="13"/>
  <c r="E1932" i="13"/>
  <c r="E1552" i="13"/>
  <c r="E1176" i="13"/>
  <c r="E843" i="13"/>
  <c r="E563" i="13"/>
  <c r="E290" i="13"/>
  <c r="E17" i="13"/>
  <c r="E9667" i="13"/>
  <c r="E7890" i="13"/>
  <c r="E6829" i="13"/>
  <c r="E5936" i="13"/>
  <c r="E5261" i="13"/>
  <c r="E11608" i="13"/>
  <c r="E7437" i="13"/>
  <c r="E5622" i="13"/>
  <c r="E4557" i="13"/>
  <c r="E3722" i="13"/>
  <c r="E2940" i="13"/>
  <c r="E2296" i="13"/>
  <c r="E1728" i="13"/>
  <c r="E1179" i="13"/>
  <c r="E714" i="13"/>
  <c r="E318" i="13"/>
  <c r="E11566" i="13"/>
  <c r="E7430" i="13"/>
  <c r="E5621" i="13"/>
  <c r="E4556" i="13"/>
  <c r="E3713" i="13"/>
  <c r="E2939" i="13"/>
  <c r="E2295" i="13"/>
  <c r="E1723" i="13"/>
  <c r="E1178" i="13"/>
  <c r="E713" i="13"/>
  <c r="E317" i="13"/>
  <c r="E11565" i="13"/>
  <c r="E7425" i="13"/>
  <c r="E5620" i="13"/>
  <c r="E4545" i="13"/>
  <c r="E3712" i="13"/>
  <c r="E2938" i="13"/>
  <c r="E2294" i="13"/>
  <c r="E1722" i="13"/>
  <c r="E1175" i="13"/>
  <c r="E712" i="13"/>
  <c r="E316" i="13"/>
  <c r="E11545" i="13"/>
  <c r="E7416" i="13"/>
  <c r="E5619" i="13"/>
  <c r="E4544" i="13"/>
  <c r="E3705" i="13"/>
  <c r="E2937" i="13"/>
  <c r="E2292" i="13"/>
  <c r="E1716" i="13"/>
  <c r="E1174" i="13"/>
  <c r="E711" i="13"/>
  <c r="E315" i="13"/>
  <c r="E11540" i="13"/>
  <c r="E7414" i="13"/>
  <c r="E5618" i="13"/>
  <c r="E4542" i="13"/>
  <c r="E3704" i="13"/>
  <c r="E8303" i="13"/>
  <c r="E6188" i="13"/>
  <c r="E4883" i="13"/>
  <c r="E3997" i="13"/>
  <c r="E3207" i="13"/>
  <c r="E2499" i="13"/>
  <c r="E1922" i="13"/>
  <c r="E1377" i="13"/>
  <c r="E865" i="13"/>
  <c r="E457" i="13"/>
  <c r="E61" i="13"/>
  <c r="E8212" i="13"/>
  <c r="E6134" i="13"/>
  <c r="E4852" i="13"/>
  <c r="E3974" i="13"/>
  <c r="E3184" i="13"/>
  <c r="E2480" i="13"/>
  <c r="E1902" i="13"/>
  <c r="E1355" i="13"/>
  <c r="E853" i="13"/>
  <c r="E444" i="13"/>
  <c r="E10424" i="13"/>
  <c r="E5751" i="13"/>
  <c r="E3936" i="13"/>
  <c r="E2696" i="13"/>
  <c r="E1747" i="13"/>
  <c r="E913" i="13"/>
  <c r="E253" i="13"/>
  <c r="E7814" i="13"/>
  <c r="E4935" i="13"/>
  <c r="E3435" i="13"/>
  <c r="E2316" i="13"/>
  <c r="E1425" i="13"/>
  <c r="E649" i="13"/>
  <c r="E27" i="13"/>
  <c r="E6452" i="13"/>
  <c r="E4302" i="13"/>
  <c r="E2963" i="13"/>
  <c r="E1967" i="13"/>
  <c r="E1096" i="13"/>
  <c r="E406" i="13"/>
  <c r="E9147" i="13"/>
  <c r="E5414" i="13"/>
  <c r="E3742" i="13"/>
  <c r="E2551" i="13"/>
  <c r="E1634" i="13"/>
  <c r="E803" i="13"/>
  <c r="E169" i="13"/>
  <c r="E7285" i="13"/>
  <c r="E4692" i="13"/>
  <c r="E3256" i="13"/>
  <c r="E2195" i="13"/>
  <c r="E1298" i="13"/>
  <c r="E560" i="13"/>
  <c r="E11862" i="13"/>
  <c r="E6039" i="13"/>
  <c r="E4093" i="13"/>
  <c r="E2811" i="13"/>
  <c r="E1846" i="13"/>
  <c r="E980" i="13"/>
  <c r="E323" i="13"/>
  <c r="E7974" i="13"/>
  <c r="E4992" i="13"/>
  <c r="E3486" i="13"/>
  <c r="E2349" i="13"/>
  <c r="E1456" i="13"/>
  <c r="E10080" i="13"/>
  <c r="E5659" i="13"/>
  <c r="E3899" i="13"/>
  <c r="E2662" i="13"/>
  <c r="E1715" i="13"/>
  <c r="E884" i="13"/>
  <c r="E4580" i="13"/>
  <c r="E2125" i="13"/>
  <c r="E579" i="13"/>
  <c r="E6977" i="13"/>
  <c r="E3158" i="13"/>
  <c r="E1226" i="13"/>
  <c r="E77" i="13"/>
  <c r="E4348" i="13"/>
  <c r="E1997" i="13"/>
  <c r="E506" i="13"/>
  <c r="E6143" i="13"/>
  <c r="E2855" i="13"/>
  <c r="E1014" i="13"/>
  <c r="E10731" i="13"/>
  <c r="E3975" i="13"/>
  <c r="E1763" i="13"/>
  <c r="E377" i="13"/>
  <c r="E5453" i="13"/>
  <c r="E2576" i="13"/>
  <c r="E824" i="13"/>
  <c r="E8442" i="13"/>
  <c r="E3598" i="13"/>
  <c r="E1539" i="13"/>
  <c r="E233" i="13"/>
  <c r="E4941" i="13"/>
  <c r="E2323" i="13"/>
  <c r="E676" i="13"/>
  <c r="E7235" i="13"/>
  <c r="E3254" i="13"/>
  <c r="E1291" i="13"/>
  <c r="E109" i="13"/>
  <c r="E4458" i="13"/>
  <c r="E2056" i="13"/>
  <c r="E547" i="13"/>
  <c r="E6341" i="13"/>
  <c r="E2925" i="13"/>
  <c r="E1064" i="13"/>
  <c r="E11518" i="13"/>
  <c r="E4070" i="13"/>
  <c r="E1818" i="13"/>
  <c r="E420" i="13"/>
  <c r="E5600" i="13"/>
  <c r="E2650" i="13"/>
  <c r="E871" i="13"/>
  <c r="E8903" i="13"/>
  <c r="E3694" i="13"/>
  <c r="E1594" i="13"/>
  <c r="E274" i="13"/>
  <c r="E5058" i="13"/>
  <c r="E2391" i="13"/>
  <c r="E710" i="13"/>
  <c r="E7617" i="13"/>
  <c r="E3361" i="13"/>
  <c r="E1366" i="13"/>
  <c r="E147" i="13"/>
  <c r="E14518" i="13"/>
  <c r="E14476" i="13"/>
  <c r="E14103" i="13"/>
  <c r="E14335" i="13"/>
  <c r="E14433" i="13"/>
  <c r="E14799" i="13"/>
  <c r="E12888" i="13"/>
  <c r="E12648" i="13"/>
  <c r="E13531" i="13"/>
  <c r="E12514" i="13"/>
  <c r="E13094" i="13"/>
  <c r="E14212" i="13"/>
  <c r="E12839" i="13"/>
  <c r="E12585" i="13"/>
  <c r="E10557" i="13"/>
  <c r="E12118" i="13"/>
  <c r="E12652" i="13"/>
  <c r="E12645" i="13"/>
  <c r="E12501" i="13"/>
  <c r="E10466" i="13"/>
  <c r="E10600" i="13"/>
  <c r="E8942" i="13"/>
  <c r="E11900" i="13"/>
  <c r="E9776" i="13"/>
  <c r="E11772" i="13"/>
  <c r="E13964" i="13"/>
  <c r="E10780" i="13"/>
  <c r="E11708" i="13"/>
  <c r="E9856" i="13"/>
  <c r="E10345" i="13"/>
  <c r="E7970" i="13"/>
  <c r="E6560" i="13"/>
  <c r="E9676" i="13"/>
  <c r="E8088" i="13"/>
  <c r="E13089" i="13"/>
  <c r="E9121" i="13"/>
  <c r="E11887" i="13"/>
  <c r="E8752" i="13"/>
  <c r="E10456" i="13"/>
  <c r="E8288" i="13"/>
  <c r="E10185" i="13"/>
  <c r="E7687" i="13"/>
  <c r="E6122" i="13"/>
  <c r="E4714" i="13"/>
  <c r="E9818" i="13"/>
  <c r="E7446" i="13"/>
  <c r="E6249" i="13"/>
  <c r="E11132" i="13"/>
  <c r="E9097" i="13"/>
  <c r="E7463" i="13"/>
  <c r="E6216" i="13"/>
  <c r="E11122" i="13"/>
  <c r="E8852" i="13"/>
  <c r="E7861" i="13"/>
  <c r="E6712" i="13"/>
  <c r="E10213" i="13"/>
  <c r="E8820" i="13"/>
  <c r="E7681" i="13"/>
  <c r="E6947" i="13"/>
  <c r="E5924" i="13"/>
  <c r="E11307" i="13"/>
  <c r="E9352" i="13"/>
  <c r="E7820" i="13"/>
  <c r="E6958" i="13"/>
  <c r="E6046" i="13"/>
  <c r="E12764" i="13"/>
  <c r="E10058" i="13"/>
  <c r="E8418" i="13"/>
  <c r="E7461" i="13"/>
  <c r="E6345" i="13"/>
  <c r="E13211" i="13"/>
  <c r="E10232" i="13"/>
  <c r="E8488" i="13"/>
  <c r="E13344" i="13"/>
  <c r="E9683" i="13"/>
  <c r="E14162" i="13"/>
  <c r="E10498" i="13"/>
  <c r="E8493" i="13"/>
  <c r="E10381" i="13"/>
  <c r="E8064" i="13"/>
  <c r="E6698" i="13"/>
  <c r="E5878" i="13"/>
  <c r="E5151" i="13"/>
  <c r="E4605" i="13"/>
  <c r="E3909" i="13"/>
  <c r="E3301" i="13"/>
  <c r="E2789" i="13"/>
  <c r="E2101" i="13"/>
  <c r="E11732" i="13"/>
  <c r="E8415" i="13"/>
  <c r="E7054" i="13"/>
  <c r="E6157" i="13"/>
  <c r="E5269" i="13"/>
  <c r="E4723" i="13"/>
  <c r="E4100" i="13"/>
  <c r="E3412" i="13"/>
  <c r="E2900" i="13"/>
  <c r="E11873" i="13"/>
  <c r="E8998" i="13"/>
  <c r="E7269" i="13"/>
  <c r="E6178" i="13"/>
  <c r="E5478" i="13"/>
  <c r="E4739" i="13"/>
  <c r="E4211" i="13"/>
  <c r="E3603" i="13"/>
  <c r="E12695" i="13"/>
  <c r="E9173" i="13"/>
  <c r="E7732" i="13"/>
  <c r="E6630" i="13"/>
  <c r="E5853" i="13"/>
  <c r="E5165" i="13"/>
  <c r="E4636" i="13"/>
  <c r="E3970" i="13"/>
  <c r="E3490" i="13"/>
  <c r="E2898" i="13"/>
  <c r="E10259" i="13"/>
  <c r="E8211" i="13"/>
  <c r="E7077" i="13"/>
  <c r="E6197" i="13"/>
  <c r="E5419" i="13"/>
  <c r="E4888" i="13"/>
  <c r="E4207" i="13"/>
  <c r="E3727" i="13"/>
  <c r="E3135" i="13"/>
  <c r="E2639" i="13"/>
  <c r="E9107" i="13"/>
  <c r="E7256" i="13"/>
  <c r="E5935" i="13"/>
  <c r="E5000" i="13"/>
  <c r="E4247" i="13"/>
  <c r="E3291" i="13"/>
  <c r="E2648" i="13"/>
  <c r="E1996" i="13"/>
  <c r="E1487" i="13"/>
  <c r="E911" i="13"/>
  <c r="E415" i="13"/>
  <c r="E11321" i="13"/>
  <c r="E8127" i="13"/>
  <c r="E6596" i="13"/>
  <c r="E5323" i="13"/>
  <c r="E4576" i="13"/>
  <c r="E3708" i="13"/>
  <c r="E2995" i="13"/>
  <c r="E2302" i="13"/>
  <c r="E1774" i="13"/>
  <c r="E1262" i="13"/>
  <c r="E926" i="13"/>
  <c r="E10246" i="13"/>
  <c r="E8325" i="13"/>
  <c r="E7162" i="13"/>
  <c r="E6167" i="13"/>
  <c r="E5501" i="13"/>
  <c r="E4848" i="13"/>
  <c r="E4334" i="13"/>
  <c r="E3729" i="13"/>
  <c r="E3242" i="13"/>
  <c r="E2684" i="13"/>
  <c r="E2301" i="13"/>
  <c r="E1857" i="13"/>
  <c r="E1517" i="13"/>
  <c r="E1149" i="13"/>
  <c r="E9684" i="13"/>
  <c r="E8010" i="13"/>
  <c r="E6809" i="13"/>
  <c r="E5997" i="13"/>
  <c r="E5243" i="13"/>
  <c r="E4720" i="13"/>
  <c r="E4103" i="13"/>
  <c r="E3612" i="13"/>
  <c r="E3015" i="13"/>
  <c r="E2585" i="13"/>
  <c r="E2180" i="13"/>
  <c r="E1772" i="13"/>
  <c r="E1436" i="13"/>
  <c r="E1020" i="13"/>
  <c r="E10090" i="13"/>
  <c r="E7945" i="13"/>
  <c r="E6978" i="13"/>
  <c r="E5955" i="13"/>
  <c r="E5340" i="13"/>
  <c r="E4693" i="13"/>
  <c r="E4189" i="13"/>
  <c r="E3656" i="13"/>
  <c r="E3097" i="13"/>
  <c r="E2659" i="13"/>
  <c r="E2194" i="13"/>
  <c r="E1836" i="13"/>
  <c r="E1417" i="13"/>
  <c r="E1081" i="13"/>
  <c r="E11196" i="13"/>
  <c r="E8108" i="13"/>
  <c r="E6390" i="13"/>
  <c r="E5403" i="13"/>
  <c r="E4573" i="13"/>
  <c r="E3757" i="13"/>
  <c r="E3048" i="13"/>
  <c r="E2312" i="13"/>
  <c r="E1793" i="13"/>
  <c r="E1187" i="13"/>
  <c r="E757" i="13"/>
  <c r="E313" i="13"/>
  <c r="E12418" i="13"/>
  <c r="E8035" i="13"/>
  <c r="E6619" i="13"/>
  <c r="E5483" i="13"/>
  <c r="E4609" i="13"/>
  <c r="E3885" i="13"/>
  <c r="E3014" i="13"/>
  <c r="E2411" i="13"/>
  <c r="E1766" i="13"/>
  <c r="E1280" i="13"/>
  <c r="E739" i="13"/>
  <c r="E380" i="13"/>
  <c r="E11981" i="13"/>
  <c r="E8375" i="13"/>
  <c r="E6741" i="13"/>
  <c r="E5512" i="13"/>
  <c r="E4751" i="13"/>
  <c r="E3853" i="13"/>
  <c r="E3142" i="13"/>
  <c r="E2383" i="13"/>
  <c r="E1864" i="13"/>
  <c r="E1253" i="13"/>
  <c r="E808" i="13"/>
  <c r="E396" i="13"/>
  <c r="E106" i="13"/>
  <c r="E10453" i="13"/>
  <c r="E8280" i="13"/>
  <c r="E7130" i="13"/>
  <c r="E6163" i="13"/>
  <c r="E5433" i="13"/>
  <c r="E4855" i="13"/>
  <c r="E4295" i="13"/>
  <c r="E3745" i="13"/>
  <c r="E3208" i="13"/>
  <c r="E2711" i="13"/>
  <c r="E2282" i="13"/>
  <c r="E1885" i="13"/>
  <c r="E1508" i="13"/>
  <c r="E1137" i="13"/>
  <c r="E807" i="13"/>
  <c r="E532" i="13"/>
  <c r="E259" i="13"/>
  <c r="E13813" i="13"/>
  <c r="E9459" i="13"/>
  <c r="E7781" i="13"/>
  <c r="E6739" i="13"/>
  <c r="E5872" i="13"/>
  <c r="E5211" i="13"/>
  <c r="E4635" i="13"/>
  <c r="E4088" i="13"/>
  <c r="E9764" i="13"/>
  <c r="E7928" i="13"/>
  <c r="E6866" i="13"/>
  <c r="E5957" i="13"/>
  <c r="E5282" i="13"/>
  <c r="E10634" i="13"/>
  <c r="E8353" i="13"/>
  <c r="E7182" i="13"/>
  <c r="E6211" i="13"/>
  <c r="E5465" i="13"/>
  <c r="E4884" i="13"/>
  <c r="E4318" i="13"/>
  <c r="E3773" i="13"/>
  <c r="E3232" i="13"/>
  <c r="E2732" i="13"/>
  <c r="E2305" i="13"/>
  <c r="E1905" i="13"/>
  <c r="E1526" i="13"/>
  <c r="E1155" i="13"/>
  <c r="E823" i="13"/>
  <c r="E546" i="13"/>
  <c r="E273" i="13"/>
  <c r="E13947" i="13"/>
  <c r="E9513" i="13"/>
  <c r="E7815" i="13"/>
  <c r="E6760" i="13"/>
  <c r="E5885" i="13"/>
  <c r="E5228" i="13"/>
  <c r="E11062" i="13"/>
  <c r="E7309" i="13"/>
  <c r="E5540" i="13"/>
  <c r="E4507" i="13"/>
  <c r="E3671" i="13"/>
  <c r="E2899" i="13"/>
  <c r="E2264" i="13"/>
  <c r="E1687" i="13"/>
  <c r="E1147" i="13"/>
  <c r="E692" i="13"/>
  <c r="E292" i="13"/>
  <c r="E11058" i="13"/>
  <c r="E7308" i="13"/>
  <c r="E5539" i="13"/>
  <c r="E4489" i="13"/>
  <c r="E3670" i="13"/>
  <c r="E2897" i="13"/>
  <c r="E2257" i="13"/>
  <c r="E1686" i="13"/>
  <c r="E1146" i="13"/>
  <c r="E691" i="13"/>
  <c r="E291" i="13"/>
  <c r="E11043" i="13"/>
  <c r="E7289" i="13"/>
  <c r="E5538" i="13"/>
  <c r="E4487" i="13"/>
  <c r="E3665" i="13"/>
  <c r="E2896" i="13"/>
  <c r="E2256" i="13"/>
  <c r="E1685" i="13"/>
  <c r="E1144" i="13"/>
  <c r="E690" i="13"/>
  <c r="E289" i="13"/>
  <c r="E11039" i="13"/>
  <c r="E7288" i="13"/>
  <c r="E5537" i="13"/>
  <c r="E4486" i="13"/>
  <c r="E3664" i="13"/>
  <c r="E2894" i="13"/>
  <c r="E2254" i="13"/>
  <c r="E1684" i="13"/>
  <c r="E1143" i="13"/>
  <c r="E684" i="13"/>
  <c r="E288" i="13"/>
  <c r="E11038" i="13"/>
  <c r="E7286" i="13"/>
  <c r="E5536" i="13"/>
  <c r="E4481" i="13"/>
  <c r="E3658" i="13"/>
  <c r="E8136" i="13"/>
  <c r="E6083" i="13"/>
  <c r="E4831" i="13"/>
  <c r="E3946" i="13"/>
  <c r="E3160" i="13"/>
  <c r="E2465" i="13"/>
  <c r="E1884" i="13"/>
  <c r="E1336" i="13"/>
  <c r="E837" i="13"/>
  <c r="E435" i="13"/>
  <c r="E35" i="13"/>
  <c r="E8042" i="13"/>
  <c r="E6038" i="13"/>
  <c r="E4796" i="13"/>
  <c r="E3928" i="13"/>
  <c r="E3132" i="13"/>
  <c r="E2446" i="13"/>
  <c r="E1869" i="13"/>
  <c r="E1319" i="13"/>
  <c r="E821" i="13"/>
  <c r="E421" i="13"/>
  <c r="E9834" i="13"/>
  <c r="E5573" i="13"/>
  <c r="E3851" i="13"/>
  <c r="E2619" i="13"/>
  <c r="E1700" i="13"/>
  <c r="E859" i="13"/>
  <c r="E214" i="13"/>
  <c r="E7588" i="13"/>
  <c r="E4811" i="13"/>
  <c r="E3352" i="13"/>
  <c r="E2265" i="13"/>
  <c r="E1363" i="13"/>
  <c r="E609" i="13"/>
  <c r="E13595" i="13"/>
  <c r="E6246" i="13"/>
  <c r="E4204" i="13"/>
  <c r="E2883" i="13"/>
  <c r="E1912" i="13"/>
  <c r="E1041" i="13"/>
  <c r="E372" i="13"/>
  <c r="E8758" i="13"/>
  <c r="E5277" i="13"/>
  <c r="E3672" i="13"/>
  <c r="E2493" i="13"/>
  <c r="E1571" i="13"/>
  <c r="E765" i="13"/>
  <c r="E130" i="13"/>
  <c r="E7095" i="13"/>
  <c r="E4583" i="13"/>
  <c r="E3185" i="13"/>
  <c r="E2134" i="13"/>
  <c r="E1240" i="13"/>
  <c r="E524" i="13"/>
  <c r="E10936" i="13"/>
  <c r="E5851" i="13"/>
  <c r="E3998" i="13"/>
  <c r="E2747" i="13"/>
  <c r="E1780" i="13"/>
  <c r="E939" i="13"/>
  <c r="E282" i="13"/>
  <c r="E7749" i="13"/>
  <c r="E4881" i="13"/>
  <c r="E3398" i="13"/>
  <c r="E2298" i="13"/>
  <c r="E1399" i="13"/>
  <c r="E9528" i="13"/>
  <c r="E5494" i="13"/>
  <c r="E3830" i="13"/>
  <c r="E2589" i="13"/>
  <c r="E1666" i="13"/>
  <c r="E836" i="13"/>
  <c r="E4374" i="13"/>
  <c r="E2018" i="13"/>
  <c r="E509" i="13"/>
  <c r="E6572" i="13"/>
  <c r="E3003" i="13"/>
  <c r="E1124" i="13"/>
  <c r="E12798" i="13"/>
  <c r="E4154" i="13"/>
  <c r="E1880" i="13"/>
  <c r="E437" i="13"/>
  <c r="E5760" i="13"/>
  <c r="E2715" i="13"/>
  <c r="E918" i="13"/>
  <c r="E9413" i="13"/>
  <c r="E3790" i="13"/>
  <c r="E1648" i="13"/>
  <c r="E306" i="13"/>
  <c r="E5204" i="13"/>
  <c r="E2448" i="13"/>
  <c r="E748" i="13"/>
  <c r="E7892" i="13"/>
  <c r="E3440" i="13"/>
  <c r="E1429" i="13"/>
  <c r="E181" i="13"/>
  <c r="E4732" i="13"/>
  <c r="E2206" i="13"/>
  <c r="E624" i="13"/>
  <c r="E6833" i="13"/>
  <c r="E3094" i="13"/>
  <c r="E1190" i="13"/>
  <c r="E48" i="13"/>
  <c r="E4252" i="13"/>
  <c r="E1948" i="13"/>
  <c r="E475" i="13"/>
  <c r="E5952" i="13"/>
  <c r="E2786" i="13"/>
  <c r="E972" i="13"/>
  <c r="E10055" i="13"/>
  <c r="E3882" i="13"/>
  <c r="E1706" i="13"/>
  <c r="E350" i="13"/>
  <c r="E5342" i="13"/>
  <c r="E2505" i="13"/>
  <c r="E782" i="13"/>
  <c r="E8205" i="13"/>
  <c r="E3532" i="13"/>
  <c r="E1492" i="13"/>
  <c r="E219" i="13"/>
  <c r="E4833" i="13"/>
  <c r="E2273" i="13"/>
  <c r="E657" i="13"/>
  <c r="E7106" i="13"/>
  <c r="E3200" i="13"/>
  <c r="E1265" i="13"/>
  <c r="E80" i="13"/>
  <c r="E14840" i="13"/>
  <c r="E14460" i="13"/>
  <c r="E13891" i="13"/>
  <c r="E14291" i="13"/>
  <c r="E14373" i="13"/>
  <c r="E14762" i="13"/>
  <c r="E12768" i="13"/>
  <c r="E12631" i="13"/>
  <c r="E13482" i="13"/>
  <c r="E12416" i="13"/>
  <c r="E12862" i="13"/>
  <c r="E14112" i="13"/>
  <c r="E12814" i="13"/>
  <c r="E12390" i="13"/>
  <c r="E10540" i="13"/>
  <c r="E11725" i="13"/>
  <c r="E12620" i="13"/>
  <c r="E12038" i="13"/>
  <c r="E12442" i="13"/>
  <c r="E10249" i="13"/>
  <c r="E10579" i="13"/>
  <c r="E8750" i="13"/>
  <c r="E11866" i="13"/>
  <c r="E9639" i="13"/>
  <c r="E11712" i="13"/>
  <c r="E13865" i="13"/>
  <c r="E10665" i="13"/>
  <c r="E11674" i="13"/>
  <c r="E9838" i="13"/>
  <c r="E10312" i="13"/>
  <c r="E7856" i="13"/>
  <c r="E6528" i="13"/>
  <c r="E9626" i="13"/>
  <c r="E8003" i="13"/>
  <c r="E12945" i="13"/>
  <c r="E9100" i="13"/>
  <c r="E11799" i="13"/>
  <c r="E8735" i="13"/>
  <c r="E10360" i="13"/>
  <c r="E8271" i="13"/>
  <c r="E9533" i="13"/>
  <c r="E7649" i="13"/>
  <c r="E5866" i="13"/>
  <c r="E4698" i="13"/>
  <c r="E9212" i="13"/>
  <c r="E7410" i="13"/>
  <c r="E6025" i="13"/>
  <c r="E11011" i="13"/>
  <c r="E8777" i="13"/>
  <c r="E7445" i="13"/>
  <c r="E6200" i="13"/>
  <c r="E11063" i="13"/>
  <c r="E8799" i="13"/>
  <c r="E7782" i="13"/>
  <c r="E6694" i="13"/>
  <c r="E10178" i="13"/>
  <c r="E8795" i="13"/>
  <c r="E7660" i="13"/>
  <c r="E6929" i="13"/>
  <c r="E5908" i="13"/>
  <c r="E11212" i="13"/>
  <c r="E9310" i="13"/>
  <c r="E7794" i="13"/>
  <c r="E6931" i="13"/>
  <c r="E6027" i="13"/>
  <c r="E12635" i="13"/>
  <c r="E10010" i="13"/>
  <c r="E8252" i="13"/>
  <c r="E7329" i="13"/>
  <c r="E6323" i="13"/>
  <c r="E12906" i="13"/>
  <c r="E10114" i="13"/>
  <c r="E8451" i="13"/>
  <c r="E13188" i="13"/>
  <c r="E9628" i="13"/>
  <c r="E13913" i="13"/>
  <c r="E10418" i="13"/>
  <c r="E8460" i="13"/>
  <c r="E10295" i="13"/>
  <c r="E8031" i="13"/>
  <c r="E6664" i="13"/>
  <c r="E5856" i="13"/>
  <c r="E5134" i="13"/>
  <c r="E4588" i="13"/>
  <c r="E3893" i="13"/>
  <c r="E3221" i="13"/>
  <c r="E2709" i="13"/>
  <c r="E2085" i="13"/>
  <c r="E11606" i="13"/>
  <c r="E8313" i="13"/>
  <c r="E7029" i="13"/>
  <c r="E6131" i="13"/>
  <c r="E5252" i="13"/>
  <c r="E4706" i="13"/>
  <c r="E4084" i="13"/>
  <c r="E3396" i="13"/>
  <c r="E2884" i="13"/>
  <c r="E11709" i="13"/>
  <c r="E8945" i="13"/>
  <c r="E7237" i="13"/>
  <c r="E6156" i="13"/>
  <c r="E5460" i="13"/>
  <c r="E4722" i="13"/>
  <c r="E4195" i="13"/>
  <c r="E3523" i="13"/>
  <c r="E12020" i="13"/>
  <c r="E9111" i="13"/>
  <c r="E7634" i="13"/>
  <c r="E6601" i="13"/>
  <c r="E5830" i="13"/>
  <c r="E5148" i="13"/>
  <c r="E4619" i="13"/>
  <c r="E3954" i="13"/>
  <c r="E3458" i="13"/>
  <c r="E2882" i="13"/>
  <c r="E10192" i="13"/>
  <c r="E8051" i="13"/>
  <c r="E7049" i="13"/>
  <c r="E6124" i="13"/>
  <c r="E5400" i="13"/>
  <c r="E4871" i="13"/>
  <c r="E4191" i="13"/>
  <c r="E3695" i="13"/>
  <c r="E3119" i="13"/>
  <c r="E2623" i="13"/>
  <c r="E9027" i="13"/>
  <c r="E7217" i="13"/>
  <c r="E5678" i="13"/>
  <c r="E4973" i="13"/>
  <c r="E4081" i="13"/>
  <c r="E3270" i="13"/>
  <c r="E2608" i="13"/>
  <c r="E1979" i="13"/>
  <c r="E1471" i="13"/>
  <c r="E895" i="13"/>
  <c r="E399" i="13"/>
  <c r="E10515" i="13"/>
  <c r="E8075" i="13"/>
  <c r="E6242" i="13"/>
  <c r="E5295" i="13"/>
  <c r="E4476" i="13"/>
  <c r="E3687" i="13"/>
  <c r="E2973" i="13"/>
  <c r="E2285" i="13"/>
  <c r="E1758" i="13"/>
  <c r="E1246" i="13"/>
  <c r="E910" i="13"/>
  <c r="E10137" i="13"/>
  <c r="E8244" i="13"/>
  <c r="E6985" i="13"/>
  <c r="E6139" i="13"/>
  <c r="E5417" i="13"/>
  <c r="E4821" i="13"/>
  <c r="E4313" i="13"/>
  <c r="E3707" i="13"/>
  <c r="E3217" i="13"/>
  <c r="E2665" i="13"/>
  <c r="E2284" i="13"/>
  <c r="E1840" i="13"/>
  <c r="E1501" i="13"/>
  <c r="E13237" i="13"/>
  <c r="E9560" i="13"/>
  <c r="E7854" i="13"/>
  <c r="E6762" i="13"/>
  <c r="E5960" i="13"/>
  <c r="E5220" i="13"/>
  <c r="E4696" i="13"/>
  <c r="E4077" i="13"/>
  <c r="E3591" i="13"/>
  <c r="E2992" i="13"/>
  <c r="E2566" i="13"/>
  <c r="E2112" i="13"/>
  <c r="E1756" i="13"/>
  <c r="E1388" i="13"/>
  <c r="E1004" i="13"/>
  <c r="E9987" i="13"/>
  <c r="E7893" i="13"/>
  <c r="E6926" i="13"/>
  <c r="E5925" i="13"/>
  <c r="E5312" i="13"/>
  <c r="E4665" i="13"/>
  <c r="E4168" i="13"/>
  <c r="E3562" i="13"/>
  <c r="E3073" i="13"/>
  <c r="E2601" i="13"/>
  <c r="E2177" i="13"/>
  <c r="E1819" i="13"/>
  <c r="E1401" i="13"/>
  <c r="E1065" i="13"/>
  <c r="E10935" i="13"/>
  <c r="E8036" i="13"/>
  <c r="E6335" i="13"/>
  <c r="E5364" i="13"/>
  <c r="E4433" i="13"/>
  <c r="E3721" i="13"/>
  <c r="E2956" i="13"/>
  <c r="E2289" i="13"/>
  <c r="E1767" i="13"/>
  <c r="E1162" i="13"/>
  <c r="E740" i="13"/>
  <c r="E296" i="13"/>
  <c r="E11982" i="13"/>
  <c r="E7944" i="13"/>
  <c r="E6564" i="13"/>
  <c r="E5329" i="13"/>
  <c r="E4572" i="13"/>
  <c r="E3787" i="13"/>
  <c r="E2984" i="13"/>
  <c r="E2384" i="13"/>
  <c r="E1745" i="13"/>
  <c r="E1254" i="13"/>
  <c r="E722" i="13"/>
  <c r="E363" i="13"/>
  <c r="E11694" i="13"/>
  <c r="E8281" i="13"/>
  <c r="E6502" i="13"/>
  <c r="E5481" i="13"/>
  <c r="E4641" i="13"/>
  <c r="E3817" i="13"/>
  <c r="E3111" i="13"/>
  <c r="E2360" i="13"/>
  <c r="E1837" i="13"/>
  <c r="E1232" i="13"/>
  <c r="E789" i="13"/>
  <c r="E362" i="13"/>
  <c r="E89" i="13"/>
  <c r="E10314" i="13"/>
  <c r="E8170" i="13"/>
  <c r="E7064" i="13"/>
  <c r="E6115" i="13"/>
  <c r="E5398" i="13"/>
  <c r="E4817" i="13"/>
  <c r="E4254" i="13"/>
  <c r="E3718" i="13"/>
  <c r="E3177" i="13"/>
  <c r="E2679" i="13"/>
  <c r="E2258" i="13"/>
  <c r="E1863" i="13"/>
  <c r="E1483" i="13"/>
  <c r="E1112" i="13"/>
  <c r="E788" i="13"/>
  <c r="E515" i="13"/>
  <c r="E242" i="13"/>
  <c r="E13111" i="13"/>
  <c r="E9320" i="13"/>
  <c r="E7716" i="13"/>
  <c r="E6670" i="13"/>
  <c r="E5820" i="13"/>
  <c r="E5177" i="13"/>
  <c r="E4606" i="13"/>
  <c r="E14720" i="13"/>
  <c r="E9613" i="13"/>
  <c r="E7853" i="13"/>
  <c r="E6794" i="13"/>
  <c r="E5912" i="13"/>
  <c r="E5249" i="13"/>
  <c r="E10443" i="13"/>
  <c r="E8262" i="13"/>
  <c r="E7109" i="13"/>
  <c r="E6159" i="13"/>
  <c r="E5430" i="13"/>
  <c r="E4851" i="13"/>
  <c r="E4282" i="13"/>
  <c r="E3741" i="13"/>
  <c r="E3201" i="13"/>
  <c r="E2701" i="13"/>
  <c r="E2278" i="13"/>
  <c r="E1882" i="13"/>
  <c r="E1505" i="13"/>
  <c r="E1130" i="13"/>
  <c r="E804" i="13"/>
  <c r="E529" i="13"/>
  <c r="E256" i="13"/>
  <c r="E13343" i="13"/>
  <c r="E9353" i="13"/>
  <c r="E7731" i="13"/>
  <c r="E6701" i="13"/>
  <c r="E5841" i="13"/>
  <c r="E5190" i="13"/>
  <c r="E10631" i="13"/>
  <c r="E7181" i="13"/>
  <c r="E5464" i="13"/>
  <c r="E4442" i="13"/>
  <c r="E3625" i="13"/>
  <c r="E2854" i="13"/>
  <c r="E2224" i="13"/>
  <c r="E1656" i="13"/>
  <c r="E1120" i="13"/>
  <c r="E664" i="13"/>
  <c r="E268" i="13"/>
  <c r="E10603" i="13"/>
  <c r="E7176" i="13"/>
  <c r="E5463" i="13"/>
  <c r="E4441" i="13"/>
  <c r="E3624" i="13"/>
  <c r="E2849" i="13"/>
  <c r="E2223" i="13"/>
  <c r="E1655" i="13"/>
  <c r="E1111" i="13"/>
  <c r="E663" i="13"/>
  <c r="E267" i="13"/>
  <c r="E10601" i="13"/>
  <c r="E7175" i="13"/>
  <c r="E5457" i="13"/>
  <c r="E4440" i="13"/>
  <c r="E3610" i="13"/>
  <c r="E2848" i="13"/>
  <c r="E2222" i="13"/>
  <c r="E1654" i="13"/>
  <c r="E1110" i="13"/>
  <c r="E662" i="13"/>
  <c r="E266" i="13"/>
  <c r="E10596" i="13"/>
  <c r="E7160" i="13"/>
  <c r="E5456" i="13"/>
  <c r="E4439" i="13"/>
  <c r="E3608" i="13"/>
  <c r="E2842" i="13"/>
  <c r="E2221" i="13"/>
  <c r="E1653" i="13"/>
  <c r="E1108" i="13"/>
  <c r="E661" i="13"/>
  <c r="E265" i="13"/>
  <c r="E10592" i="13"/>
  <c r="E7159" i="13"/>
  <c r="E5454" i="13"/>
  <c r="E4438" i="13"/>
  <c r="E3606" i="13"/>
  <c r="E7973" i="13"/>
  <c r="E5981" i="13"/>
  <c r="E4764" i="13"/>
  <c r="E3900" i="13"/>
  <c r="E3114" i="13"/>
  <c r="E2427" i="13"/>
  <c r="E1850" i="13"/>
  <c r="E1306" i="13"/>
  <c r="E806" i="13"/>
  <c r="E407" i="13"/>
  <c r="E7891" i="13"/>
  <c r="E5938" i="13"/>
  <c r="E4733" i="13"/>
  <c r="E3873" i="13"/>
  <c r="E3086" i="13"/>
  <c r="E2413" i="13"/>
  <c r="E1831" i="13"/>
  <c r="E1287" i="13"/>
  <c r="E795" i="13"/>
  <c r="E394" i="13"/>
  <c r="E9341" i="13"/>
  <c r="E5428" i="13"/>
  <c r="E3772" i="13"/>
  <c r="E2562" i="13"/>
  <c r="E1637" i="13"/>
  <c r="E813" i="13"/>
  <c r="E179" i="13"/>
  <c r="E7351" i="13"/>
  <c r="E4702" i="13"/>
  <c r="E3280" i="13"/>
  <c r="E2203" i="13"/>
  <c r="E1307" i="13"/>
  <c r="E573" i="13"/>
  <c r="E12128" i="13"/>
  <c r="E6044" i="13"/>
  <c r="E4118" i="13"/>
  <c r="E2819" i="13"/>
  <c r="E1849" i="13"/>
  <c r="E997" i="13"/>
  <c r="E331" i="13"/>
  <c r="E8425" i="13"/>
  <c r="E5136" i="13"/>
  <c r="E3585" i="13"/>
  <c r="E2425" i="13"/>
  <c r="E1523" i="13"/>
  <c r="E726" i="13"/>
  <c r="E97" i="13"/>
  <c r="E6836" i="13"/>
  <c r="E4480" i="13"/>
  <c r="E3096" i="13"/>
  <c r="E2072" i="13"/>
  <c r="E1192" i="13"/>
  <c r="E480" i="13"/>
  <c r="E10325" i="13"/>
  <c r="E5663" i="13"/>
  <c r="E3929" i="13"/>
  <c r="E2670" i="13"/>
  <c r="E1732" i="13"/>
  <c r="E892" i="13"/>
  <c r="E247" i="13"/>
  <c r="E7492" i="13"/>
  <c r="E4765" i="13"/>
  <c r="E3325" i="13"/>
  <c r="E2241" i="13"/>
  <c r="E1338" i="13"/>
  <c r="E9125" i="13"/>
  <c r="E5351" i="13"/>
  <c r="E3736" i="13"/>
  <c r="E2530" i="13"/>
  <c r="E1608" i="13"/>
  <c r="E13475" i="13"/>
  <c r="E4185" i="13"/>
  <c r="E1896" i="13"/>
  <c r="E456" i="13"/>
  <c r="E6145" i="13"/>
  <c r="E2871" i="13"/>
  <c r="E1024" i="13"/>
  <c r="E10792" i="13"/>
  <c r="E3977" i="13"/>
  <c r="E1770" i="13"/>
  <c r="E384" i="13"/>
  <c r="E5488" i="13"/>
  <c r="E2578" i="13"/>
  <c r="E833" i="13"/>
  <c r="E8537" i="13"/>
  <c r="E3626" i="13"/>
  <c r="E1541" i="13"/>
  <c r="E236" i="13"/>
  <c r="E4951" i="13"/>
  <c r="E2340" i="13"/>
  <c r="E696" i="13"/>
  <c r="E7366" i="13"/>
  <c r="E3293" i="13"/>
  <c r="E1329" i="13"/>
  <c r="E113" i="13"/>
  <c r="E4514" i="13"/>
  <c r="E2094" i="13"/>
  <c r="E553" i="13"/>
  <c r="E6363" i="13"/>
  <c r="E2957" i="13"/>
  <c r="E1078" i="13"/>
  <c r="E11793" i="13"/>
  <c r="E4073" i="13"/>
  <c r="E1830" i="13"/>
  <c r="E423" i="13"/>
  <c r="E5647" i="13"/>
  <c r="E2657" i="13"/>
  <c r="E881" i="13"/>
  <c r="E8966" i="13"/>
  <c r="E3702" i="13"/>
  <c r="E1601" i="13"/>
  <c r="E280" i="13"/>
  <c r="E5068" i="13"/>
  <c r="E2393" i="13"/>
  <c r="E718" i="13"/>
  <c r="E7619" i="13"/>
  <c r="E3372" i="13"/>
  <c r="E1378" i="13"/>
  <c r="E150" i="13"/>
  <c r="E4629" i="13"/>
  <c r="E2157" i="13"/>
  <c r="E587" i="13"/>
  <c r="E6705" i="13"/>
  <c r="E3051" i="13"/>
  <c r="E1156" i="13"/>
  <c r="E29" i="13"/>
  <c r="E14823" i="13"/>
  <c r="E14380" i="13"/>
  <c r="E13874" i="13"/>
  <c r="E14290" i="13"/>
  <c r="E14321" i="13"/>
  <c r="E14684" i="13"/>
  <c r="E12751" i="13"/>
  <c r="E12614" i="13"/>
  <c r="E13528" i="13"/>
  <c r="E12379" i="13"/>
  <c r="E12841" i="13"/>
  <c r="E14074" i="13"/>
  <c r="E12772" i="13"/>
  <c r="E13341" i="13"/>
  <c r="E10523" i="13"/>
  <c r="E11384" i="13"/>
  <c r="E12480" i="13"/>
  <c r="E11679" i="13"/>
  <c r="E11984" i="13"/>
  <c r="E14146" i="13"/>
  <c r="E10324" i="13"/>
  <c r="E8638" i="13"/>
  <c r="E11530" i="13"/>
  <c r="E9229" i="13"/>
  <c r="E11528" i="13"/>
  <c r="E13715" i="13"/>
  <c r="E10509" i="13"/>
  <c r="E11645" i="13"/>
  <c r="E9112" i="13"/>
  <c r="E10288" i="13"/>
  <c r="E7840" i="13"/>
  <c r="E6512" i="13"/>
  <c r="E9576" i="13"/>
  <c r="E7567" i="13"/>
  <c r="E12874" i="13"/>
  <c r="E9081" i="13"/>
  <c r="E11755" i="13"/>
  <c r="E8717" i="13"/>
  <c r="E9716" i="13"/>
  <c r="E8253" i="13"/>
  <c r="E9496" i="13"/>
  <c r="E7629" i="13"/>
  <c r="E5850" i="13"/>
  <c r="E4538" i="13"/>
  <c r="E9187" i="13"/>
  <c r="E7318" i="13"/>
  <c r="E5993" i="13"/>
  <c r="E10963" i="13"/>
  <c r="E8554" i="13"/>
  <c r="E7409" i="13"/>
  <c r="E6184" i="13"/>
  <c r="E11010" i="13"/>
  <c r="E8776" i="13"/>
  <c r="E7462" i="13"/>
  <c r="E6676" i="13"/>
  <c r="E10136" i="13"/>
  <c r="E8745" i="13"/>
  <c r="E7641" i="13"/>
  <c r="E6635" i="13"/>
  <c r="E5892" i="13"/>
  <c r="E11139" i="13"/>
  <c r="E9257" i="13"/>
  <c r="E7767" i="13"/>
  <c r="E6638" i="13"/>
  <c r="E5927" i="13"/>
  <c r="E12517" i="13"/>
  <c r="E9956" i="13"/>
  <c r="E8186" i="13"/>
  <c r="E7118" i="13"/>
  <c r="E6301" i="13"/>
  <c r="E12763" i="13"/>
  <c r="E10057" i="13"/>
  <c r="E8417" i="13"/>
  <c r="E11695" i="13"/>
  <c r="E9579" i="13"/>
  <c r="E13684" i="13"/>
  <c r="E10359" i="13"/>
  <c r="E8421" i="13"/>
  <c r="E9737" i="13"/>
  <c r="E7990" i="13"/>
  <c r="E6633" i="13"/>
  <c r="E5835" i="13"/>
  <c r="E5048" i="13"/>
  <c r="E4389" i="13"/>
  <c r="E3877" i="13"/>
  <c r="E3189" i="13"/>
  <c r="E2677" i="13"/>
  <c r="E2069" i="13"/>
  <c r="E10292" i="13"/>
  <c r="E8266" i="13"/>
  <c r="E6997" i="13"/>
  <c r="E6107" i="13"/>
  <c r="E5235" i="13"/>
  <c r="E4587" i="13"/>
  <c r="E4068" i="13"/>
  <c r="E3380" i="13"/>
  <c r="E2868" i="13"/>
  <c r="E11579" i="13"/>
  <c r="E8312" i="13"/>
  <c r="E7210" i="13"/>
  <c r="E6033" i="13"/>
  <c r="E5371" i="13"/>
  <c r="E4705" i="13"/>
  <c r="E4003" i="13"/>
  <c r="E3491" i="13"/>
  <c r="E11872" i="13"/>
  <c r="E9056" i="13"/>
  <c r="E7509" i="13"/>
  <c r="E6574" i="13"/>
  <c r="E5761" i="13"/>
  <c r="E5062" i="13"/>
  <c r="E4601" i="13"/>
  <c r="E3938" i="13"/>
  <c r="E3442" i="13"/>
  <c r="E2866" i="13"/>
  <c r="E10091" i="13"/>
  <c r="E8012" i="13"/>
  <c r="E7017" i="13"/>
  <c r="E5916" i="13"/>
  <c r="E5315" i="13"/>
  <c r="E4735" i="13"/>
  <c r="E4175" i="13"/>
  <c r="E3679" i="13"/>
  <c r="E3103" i="13"/>
  <c r="E2607" i="13"/>
  <c r="E8939" i="13"/>
  <c r="E7164" i="13"/>
  <c r="E5614" i="13"/>
  <c r="E4850" i="13"/>
  <c r="E3965" i="13"/>
  <c r="E3244" i="13"/>
  <c r="E2550" i="13"/>
  <c r="E1962" i="13"/>
  <c r="E1455" i="13"/>
  <c r="E879" i="13"/>
  <c r="E383" i="13"/>
  <c r="E10248" i="13"/>
  <c r="E7812" i="13"/>
  <c r="E6209" i="13"/>
  <c r="E5272" i="13"/>
  <c r="E4382" i="13"/>
  <c r="E3661" i="13"/>
  <c r="E2909" i="13"/>
  <c r="E2268" i="13"/>
  <c r="E1742" i="13"/>
  <c r="E1230" i="13"/>
  <c r="E894" i="13"/>
  <c r="E10018" i="13"/>
  <c r="E8193" i="13"/>
  <c r="E6945" i="13"/>
  <c r="E6097" i="13"/>
  <c r="E5317" i="13"/>
  <c r="E4798" i="13"/>
  <c r="E4241" i="13"/>
  <c r="E3686" i="13"/>
  <c r="E3195" i="13"/>
  <c r="E2646" i="13"/>
  <c r="E2267" i="13"/>
  <c r="E1823" i="13"/>
  <c r="E1485" i="13"/>
  <c r="E12879" i="13"/>
  <c r="E9466" i="13"/>
  <c r="E7650" i="13"/>
  <c r="E6717" i="13"/>
  <c r="E5863" i="13"/>
  <c r="E5192" i="13"/>
  <c r="E4674" i="13"/>
  <c r="E4056" i="13"/>
  <c r="E3565" i="13"/>
  <c r="E2971" i="13"/>
  <c r="E2545" i="13"/>
  <c r="E2095" i="13"/>
  <c r="E1740" i="13"/>
  <c r="E1324" i="13"/>
  <c r="E988" i="13"/>
  <c r="E9659" i="13"/>
  <c r="E7847" i="13"/>
  <c r="E6888" i="13"/>
  <c r="E5890" i="13"/>
  <c r="E5289" i="13"/>
  <c r="E4643" i="13"/>
  <c r="E4142" i="13"/>
  <c r="E3537" i="13"/>
  <c r="E3052" i="13"/>
  <c r="E2522" i="13"/>
  <c r="E2160" i="13"/>
  <c r="E1769" i="13"/>
  <c r="E1385" i="13"/>
  <c r="E1049" i="13"/>
  <c r="E10729" i="13"/>
  <c r="E7954" i="13"/>
  <c r="E6286" i="13"/>
  <c r="E5330" i="13"/>
  <c r="E4396" i="13"/>
  <c r="E3690" i="13"/>
  <c r="E2830" i="13"/>
  <c r="E2262" i="13"/>
  <c r="E1699" i="13"/>
  <c r="E1140" i="13"/>
  <c r="E723" i="13"/>
  <c r="E279" i="13"/>
  <c r="E11753" i="13"/>
  <c r="E7870" i="13"/>
  <c r="E6503" i="13"/>
  <c r="E5292" i="13"/>
  <c r="E4537" i="13"/>
  <c r="E3649" i="13"/>
  <c r="E2955" i="13"/>
  <c r="E2311" i="13"/>
  <c r="E1719" i="13"/>
  <c r="E1233" i="13"/>
  <c r="E705" i="13"/>
  <c r="E346" i="13"/>
  <c r="E11404" i="13"/>
  <c r="E8197" i="13"/>
  <c r="E6449" i="13"/>
  <c r="E5435" i="13"/>
  <c r="E4494" i="13"/>
  <c r="E3786" i="13"/>
  <c r="E3011" i="13"/>
  <c r="E2333" i="13"/>
  <c r="E1814" i="13"/>
  <c r="E1206" i="13"/>
  <c r="E772" i="13"/>
  <c r="E345" i="13"/>
  <c r="E72" i="13"/>
  <c r="E10088" i="13"/>
  <c r="E8096" i="13"/>
  <c r="E7002" i="13"/>
  <c r="E6062" i="13"/>
  <c r="E5360" i="13"/>
  <c r="E4783" i="13"/>
  <c r="E4224" i="13"/>
  <c r="E3678" i="13"/>
  <c r="E3137" i="13"/>
  <c r="E2652" i="13"/>
  <c r="E2236" i="13"/>
  <c r="E1835" i="13"/>
  <c r="E1461" i="13"/>
  <c r="E1092" i="13"/>
  <c r="E771" i="13"/>
  <c r="E498" i="13"/>
  <c r="E225" i="13"/>
  <c r="E12692" i="13"/>
  <c r="E9168" i="13"/>
  <c r="E7638" i="13"/>
  <c r="E6613" i="13"/>
  <c r="E5776" i="13"/>
  <c r="E5140" i="13"/>
  <c r="E4562" i="13"/>
  <c r="E13790" i="13"/>
  <c r="E9424" i="13"/>
  <c r="E7780" i="13"/>
  <c r="E6738" i="13"/>
  <c r="E5862" i="13"/>
  <c r="E5209" i="13"/>
  <c r="E10240" i="13"/>
  <c r="E8164" i="13"/>
  <c r="E7050" i="13"/>
  <c r="E6112" i="13"/>
  <c r="E5391" i="13"/>
  <c r="E4813" i="13"/>
  <c r="E4251" i="13"/>
  <c r="E3710" i="13"/>
  <c r="E3164" i="13"/>
  <c r="E2674" i="13"/>
  <c r="E2255" i="13"/>
  <c r="E1855" i="13"/>
  <c r="E1479" i="13"/>
  <c r="E1109" i="13"/>
  <c r="E785" i="13"/>
  <c r="E512" i="13"/>
  <c r="E238" i="13"/>
  <c r="E12822" i="13"/>
  <c r="E9226" i="13"/>
  <c r="E7671" i="13"/>
  <c r="E6629" i="13"/>
  <c r="E5792" i="13"/>
  <c r="E5156" i="13"/>
  <c r="E10235" i="13"/>
  <c r="E7048" i="13"/>
  <c r="E5384" i="13"/>
  <c r="E4385" i="13"/>
  <c r="E3574" i="13"/>
  <c r="E2810" i="13"/>
  <c r="E2191" i="13"/>
  <c r="E1621" i="13"/>
  <c r="E1083" i="13"/>
  <c r="E642" i="13"/>
  <c r="E246" i="13"/>
  <c r="E10214" i="13"/>
  <c r="E7047" i="13"/>
  <c r="E5382" i="13"/>
  <c r="E4379" i="13"/>
  <c r="E3564" i="13"/>
  <c r="E2809" i="13"/>
  <c r="E2190" i="13"/>
  <c r="E1619" i="13"/>
  <c r="E1082" i="13"/>
  <c r="E641" i="13"/>
  <c r="E241" i="13"/>
  <c r="E10212" i="13"/>
  <c r="E7046" i="13"/>
  <c r="E5381" i="13"/>
  <c r="E4378" i="13"/>
  <c r="E3563" i="13"/>
  <c r="E2808" i="13"/>
  <c r="E2185" i="13"/>
  <c r="E1618" i="13"/>
  <c r="E1080" i="13"/>
  <c r="E640" i="13"/>
  <c r="E240" i="13"/>
  <c r="E10195" i="13"/>
  <c r="E7041" i="13"/>
  <c r="E5380" i="13"/>
  <c r="E4376" i="13"/>
  <c r="E3561" i="13"/>
  <c r="E2807" i="13"/>
  <c r="E2179" i="13"/>
  <c r="E1617" i="13"/>
  <c r="E1079" i="13"/>
  <c r="E638" i="13"/>
  <c r="E237" i="13"/>
  <c r="E10193" i="13"/>
  <c r="E7031" i="13"/>
  <c r="E5379" i="13"/>
  <c r="E4375" i="13"/>
  <c r="E14018" i="13"/>
  <c r="E7827" i="13"/>
  <c r="E5886" i="13"/>
  <c r="E4703" i="13"/>
  <c r="E3846" i="13"/>
  <c r="E3064" i="13"/>
  <c r="E2394" i="13"/>
  <c r="E1817" i="13"/>
  <c r="E1269" i="13"/>
  <c r="E780" i="13"/>
  <c r="E385" i="13"/>
  <c r="E13347" i="13"/>
  <c r="E7741" i="13"/>
  <c r="E5842" i="13"/>
  <c r="E4683" i="13"/>
  <c r="E3831" i="13"/>
  <c r="E3040" i="13"/>
  <c r="E2375" i="13"/>
  <c r="E1798" i="13"/>
  <c r="E1256" i="13"/>
  <c r="E766" i="13"/>
  <c r="E371" i="13"/>
  <c r="E8871" i="13"/>
  <c r="E5299" i="13"/>
  <c r="E3691" i="13"/>
  <c r="E2496" i="13"/>
  <c r="E1585" i="13"/>
  <c r="E775" i="13"/>
  <c r="E133" i="13"/>
  <c r="E7102" i="13"/>
  <c r="E4614" i="13"/>
  <c r="E3193" i="13"/>
  <c r="E2142" i="13"/>
  <c r="E1259" i="13"/>
  <c r="E528" i="13"/>
  <c r="E11253" i="13"/>
  <c r="E5858" i="13"/>
  <c r="E4028" i="13"/>
  <c r="E2750" i="13"/>
  <c r="E1799" i="13"/>
  <c r="E945" i="13"/>
  <c r="E286" i="13"/>
  <c r="E8053" i="13"/>
  <c r="E5019" i="13"/>
  <c r="E3496" i="13"/>
  <c r="E2374" i="13"/>
  <c r="E1467" i="13"/>
  <c r="E681" i="13"/>
  <c r="E58" i="13"/>
  <c r="E6600" i="13"/>
  <c r="E4400" i="13"/>
  <c r="E3024" i="13"/>
  <c r="E2020" i="13"/>
  <c r="E1131" i="13"/>
  <c r="E445" i="13"/>
  <c r="E9715" i="13"/>
  <c r="E5521" i="13"/>
  <c r="E3834" i="13"/>
  <c r="E2611" i="13"/>
  <c r="E1675" i="13"/>
  <c r="E852" i="13"/>
  <c r="E202" i="13"/>
  <c r="E7234" i="13"/>
  <c r="E4685" i="13"/>
  <c r="E3249" i="13"/>
  <c r="E2175" i="13"/>
  <c r="E1290" i="13"/>
  <c r="E8648" i="13"/>
  <c r="E5231" i="13"/>
  <c r="E3633" i="13"/>
  <c r="E2464" i="13"/>
  <c r="E1562" i="13"/>
  <c r="E10844" i="13"/>
  <c r="E3996" i="13"/>
  <c r="E1778" i="13"/>
  <c r="E387" i="13"/>
  <c r="E5795" i="13"/>
  <c r="E2729" i="13"/>
  <c r="E923" i="13"/>
  <c r="E9415" i="13"/>
  <c r="E3798" i="13"/>
  <c r="E1664" i="13"/>
  <c r="E314" i="13"/>
  <c r="E5206" i="13"/>
  <c r="E2452" i="13"/>
  <c r="E752" i="13"/>
  <c r="E7895" i="13"/>
  <c r="E3456" i="13"/>
  <c r="E1431" i="13"/>
  <c r="E183" i="13"/>
  <c r="E4736" i="13"/>
  <c r="E2219" i="13"/>
  <c r="E626" i="13"/>
  <c r="E6954" i="13"/>
  <c r="E3134" i="13"/>
  <c r="E1210" i="13"/>
  <c r="E50" i="13"/>
  <c r="E4316" i="13"/>
  <c r="E1981" i="13"/>
  <c r="E497" i="13"/>
  <c r="E6022" i="13"/>
  <c r="E2800" i="13"/>
  <c r="E978" i="13"/>
  <c r="E10068" i="13"/>
  <c r="E3898" i="13"/>
  <c r="E1713" i="13"/>
  <c r="E353" i="13"/>
  <c r="E5348" i="13"/>
  <c r="E2523" i="13"/>
  <c r="E796" i="13"/>
  <c r="E8231" i="13"/>
  <c r="E3534" i="13"/>
  <c r="E1495" i="13"/>
  <c r="E224" i="13"/>
  <c r="E4864" i="13"/>
  <c r="E2275" i="13"/>
  <c r="E660" i="13"/>
  <c r="E7157" i="13"/>
  <c r="E3213" i="13"/>
  <c r="E1267" i="13"/>
  <c r="E82" i="13"/>
  <c r="E4414" i="13"/>
  <c r="E2034" i="13"/>
  <c r="E522" i="13"/>
  <c r="E6256" i="13"/>
  <c r="E2906" i="13"/>
  <c r="E1058" i="13"/>
  <c r="E14806" i="13"/>
  <c r="E14875" i="13"/>
  <c r="E13840" i="13"/>
  <c r="E14239" i="13"/>
  <c r="E14098" i="13"/>
  <c r="E14368" i="13"/>
  <c r="E12734" i="13"/>
  <c r="E12597" i="13"/>
  <c r="E13503" i="13"/>
  <c r="E12361" i="13"/>
  <c r="E12794" i="13"/>
  <c r="E14033" i="13"/>
  <c r="E12569" i="13"/>
  <c r="E13262" i="13"/>
  <c r="E10506" i="13"/>
  <c r="E11348" i="13"/>
  <c r="E12422" i="13"/>
  <c r="E11615" i="13"/>
  <c r="E11676" i="13"/>
  <c r="E13588" i="13"/>
  <c r="E10084" i="13"/>
  <c r="E8606" i="13"/>
  <c r="E11286" i="13"/>
  <c r="E9197" i="13"/>
  <c r="E11154" i="13"/>
  <c r="E13357" i="13"/>
  <c r="E10224" i="13"/>
  <c r="E11611" i="13"/>
  <c r="E9096" i="13"/>
  <c r="E10256" i="13"/>
  <c r="E7808" i="13"/>
  <c r="E6496" i="13"/>
  <c r="E9457" i="13"/>
  <c r="E7487" i="13"/>
  <c r="E12808" i="13"/>
  <c r="E9061" i="13"/>
  <c r="E11716" i="13"/>
  <c r="E8700" i="13"/>
  <c r="E9616" i="13"/>
  <c r="E8236" i="13"/>
  <c r="E9465" i="13"/>
  <c r="E7611" i="13"/>
  <c r="E5802" i="13"/>
  <c r="E12757" i="13"/>
  <c r="E9156" i="13"/>
  <c r="E7080" i="13"/>
  <c r="E5977" i="13"/>
  <c r="E10439" i="13"/>
  <c r="E8454" i="13"/>
  <c r="E7261" i="13"/>
  <c r="E6168" i="13"/>
  <c r="E10519" i="13"/>
  <c r="E8749" i="13"/>
  <c r="E7426" i="13"/>
  <c r="E14175" i="13"/>
  <c r="E10103" i="13"/>
  <c r="E8723" i="13"/>
  <c r="E7623" i="13"/>
  <c r="E6563" i="13"/>
  <c r="E5876" i="13"/>
  <c r="E10763" i="13"/>
  <c r="E9051" i="13"/>
  <c r="E7735" i="13"/>
  <c r="E6593" i="13"/>
  <c r="E5888" i="13"/>
  <c r="E12364" i="13"/>
  <c r="E9906" i="13"/>
  <c r="E8150" i="13"/>
  <c r="E7090" i="13"/>
  <c r="E6278" i="13"/>
  <c r="E12633" i="13"/>
  <c r="E10008" i="13"/>
  <c r="E8381" i="13"/>
  <c r="E11609" i="13"/>
  <c r="E9515" i="13"/>
  <c r="E13458" i="13"/>
  <c r="E10294" i="13"/>
  <c r="E8391" i="13"/>
  <c r="E9376" i="13"/>
  <c r="E7811" i="13"/>
  <c r="E6609" i="13"/>
  <c r="E5811" i="13"/>
  <c r="E5014" i="13"/>
  <c r="E4373" i="13"/>
  <c r="E3861" i="13"/>
  <c r="E3173" i="13"/>
  <c r="E2661" i="13"/>
  <c r="E2053" i="13"/>
  <c r="E10203" i="13"/>
  <c r="E8229" i="13"/>
  <c r="E6966" i="13"/>
  <c r="E6081" i="13"/>
  <c r="E5218" i="13"/>
  <c r="E4569" i="13"/>
  <c r="E4052" i="13"/>
  <c r="E3364" i="13"/>
  <c r="E2852" i="13"/>
  <c r="E10986" i="13"/>
  <c r="E8265" i="13"/>
  <c r="E7178" i="13"/>
  <c r="E5989" i="13"/>
  <c r="E5336" i="13"/>
  <c r="E4688" i="13"/>
  <c r="E3987" i="13"/>
  <c r="E3475" i="13"/>
  <c r="E11699" i="13"/>
  <c r="E8996" i="13"/>
  <c r="E7478" i="13"/>
  <c r="E6547" i="13"/>
  <c r="E5569" i="13"/>
  <c r="E5028" i="13"/>
  <c r="E4466" i="13"/>
  <c r="E3922" i="13"/>
  <c r="E3426" i="13"/>
  <c r="E2850" i="13"/>
  <c r="E10025" i="13"/>
  <c r="E7975" i="13"/>
  <c r="E6990" i="13"/>
  <c r="E5893" i="13"/>
  <c r="E5281" i="13"/>
  <c r="E4667" i="13"/>
  <c r="E4159" i="13"/>
  <c r="E3631" i="13"/>
  <c r="E3087" i="13"/>
  <c r="E2591" i="13"/>
  <c r="E8864" i="13"/>
  <c r="E7127" i="13"/>
  <c r="E5583" i="13"/>
  <c r="E4800" i="13"/>
  <c r="E3944" i="13"/>
  <c r="E3223" i="13"/>
  <c r="E2474" i="13"/>
  <c r="E1945" i="13"/>
  <c r="E1407" i="13"/>
  <c r="E863" i="13"/>
  <c r="E367" i="13"/>
  <c r="E10138" i="13"/>
  <c r="E7713" i="13"/>
  <c r="E6171" i="13"/>
  <c r="E5245" i="13"/>
  <c r="E4361" i="13"/>
  <c r="E3640" i="13"/>
  <c r="E2745" i="13"/>
  <c r="E2251" i="13"/>
  <c r="E1630" i="13"/>
  <c r="E1214" i="13"/>
  <c r="E878" i="13"/>
  <c r="E9915" i="13"/>
  <c r="E8125" i="13"/>
  <c r="E6900" i="13"/>
  <c r="E6064" i="13"/>
  <c r="E5294" i="13"/>
  <c r="E4771" i="13"/>
  <c r="E4151" i="13"/>
  <c r="E3660" i="13"/>
  <c r="E3127" i="13"/>
  <c r="E2625" i="13"/>
  <c r="E2250" i="13"/>
  <c r="E1806" i="13"/>
  <c r="E1469" i="13"/>
  <c r="E12599" i="13"/>
  <c r="E9357" i="13"/>
  <c r="E7607" i="13"/>
  <c r="E6675" i="13"/>
  <c r="E5733" i="13"/>
  <c r="E5170" i="13"/>
  <c r="E4596" i="13"/>
  <c r="E4030" i="13"/>
  <c r="E3544" i="13"/>
  <c r="E2951" i="13"/>
  <c r="E2525" i="13"/>
  <c r="E2078" i="13"/>
  <c r="E1724" i="13"/>
  <c r="E1308" i="13"/>
  <c r="E14019" i="13"/>
  <c r="E9253" i="13"/>
  <c r="E7789" i="13"/>
  <c r="E6759" i="13"/>
  <c r="E5859" i="13"/>
  <c r="E5262" i="13"/>
  <c r="E4616" i="13"/>
  <c r="E4121" i="13"/>
  <c r="E3515" i="13"/>
  <c r="E3032" i="13"/>
  <c r="E2504" i="13"/>
  <c r="E2143" i="13"/>
  <c r="E1705" i="13"/>
  <c r="E1369" i="13"/>
  <c r="E1001" i="13"/>
  <c r="E10503" i="13"/>
  <c r="E7886" i="13"/>
  <c r="E6224" i="13"/>
  <c r="E5297" i="13"/>
  <c r="E4365" i="13"/>
  <c r="E3654" i="13"/>
  <c r="E2798" i="13"/>
  <c r="E2239" i="13"/>
  <c r="E1605" i="13"/>
  <c r="E1117" i="13"/>
  <c r="E672" i="13"/>
  <c r="E262" i="13"/>
  <c r="E11428" i="13"/>
  <c r="E7795" i="13"/>
  <c r="E6450" i="13"/>
  <c r="E5257" i="13"/>
  <c r="E4495" i="13"/>
  <c r="E3622" i="13"/>
  <c r="E2921" i="13"/>
  <c r="E2210" i="13"/>
  <c r="E1698" i="13"/>
  <c r="E1160" i="13"/>
  <c r="E688" i="13"/>
  <c r="E329" i="13"/>
  <c r="E11167" i="13"/>
  <c r="E8102" i="13"/>
  <c r="E6377" i="13"/>
  <c r="E5399" i="13"/>
  <c r="E4461" i="13"/>
  <c r="E3751" i="13"/>
  <c r="E2891" i="13"/>
  <c r="E2310" i="13"/>
  <c r="E1744" i="13"/>
  <c r="E1185" i="13"/>
  <c r="E755" i="13"/>
  <c r="E328" i="13"/>
  <c r="E55" i="13"/>
  <c r="E9938" i="13"/>
  <c r="E8033" i="13"/>
  <c r="E6925" i="13"/>
  <c r="E6016" i="13"/>
  <c r="E5327" i="13"/>
  <c r="E4745" i="13"/>
  <c r="E4187" i="13"/>
  <c r="E3646" i="13"/>
  <c r="E3110" i="13"/>
  <c r="E2621" i="13"/>
  <c r="E2208" i="13"/>
  <c r="E1812" i="13"/>
  <c r="E1440" i="13"/>
  <c r="E1072" i="13"/>
  <c r="E754" i="13"/>
  <c r="E481" i="13"/>
  <c r="E208" i="13"/>
  <c r="E12276" i="13"/>
  <c r="E9047" i="13"/>
  <c r="E7580" i="13"/>
  <c r="E6554" i="13"/>
  <c r="E5725" i="13"/>
  <c r="E5106" i="13"/>
  <c r="E4529" i="13"/>
  <c r="E13082" i="13"/>
  <c r="E9318" i="13"/>
  <c r="E7715" i="13"/>
  <c r="E6668" i="13"/>
  <c r="E5819" i="13"/>
  <c r="E5176" i="13"/>
  <c r="E10085" i="13"/>
  <c r="E8080" i="13"/>
  <c r="E6980" i="13"/>
  <c r="E6049" i="13"/>
  <c r="E5357" i="13"/>
  <c r="E4780" i="13"/>
  <c r="E4216" i="13"/>
  <c r="E3674" i="13"/>
  <c r="E3133" i="13"/>
  <c r="E2649" i="13"/>
  <c r="E2227" i="13"/>
  <c r="E1832" i="13"/>
  <c r="E1458" i="13"/>
  <c r="E1089" i="13"/>
  <c r="E768" i="13"/>
  <c r="E494" i="13"/>
  <c r="E221" i="13"/>
  <c r="E12439" i="13"/>
  <c r="E9109" i="13"/>
  <c r="E7589" i="13"/>
  <c r="E6573" i="13"/>
  <c r="E5746" i="13"/>
  <c r="E5119" i="13"/>
  <c r="E9904" i="13"/>
  <c r="E6920" i="13"/>
  <c r="E5313" i="13"/>
  <c r="E4342" i="13"/>
  <c r="E3528" i="13"/>
  <c r="E2766" i="13"/>
  <c r="E2153" i="13"/>
  <c r="E1589" i="13"/>
  <c r="E1057" i="13"/>
  <c r="E615" i="13"/>
  <c r="E218" i="13"/>
  <c r="E9881" i="13"/>
  <c r="E6919" i="13"/>
  <c r="E5311" i="13"/>
  <c r="E4332" i="13"/>
  <c r="E3527" i="13"/>
  <c r="E2761" i="13"/>
  <c r="E2152" i="13"/>
  <c r="E1588" i="13"/>
  <c r="E1056" i="13"/>
  <c r="E613" i="13"/>
  <c r="E217" i="13"/>
  <c r="E9868" i="13"/>
  <c r="E6918" i="13"/>
  <c r="E5310" i="13"/>
  <c r="E4331" i="13"/>
  <c r="E3517" i="13"/>
  <c r="E2758" i="13"/>
  <c r="E2151" i="13"/>
  <c r="E1587" i="13"/>
  <c r="E1047" i="13"/>
  <c r="E612" i="13"/>
  <c r="E216" i="13"/>
  <c r="E9867" i="13"/>
  <c r="E6913" i="13"/>
  <c r="E5309" i="13"/>
  <c r="E4320" i="13"/>
  <c r="E3511" i="13"/>
  <c r="E2755" i="13"/>
  <c r="E2145" i="13"/>
  <c r="E1586" i="13"/>
  <c r="E1046" i="13"/>
  <c r="E611" i="13"/>
  <c r="E215" i="13"/>
  <c r="E9864" i="13"/>
  <c r="E6910" i="13"/>
  <c r="E5308" i="13"/>
  <c r="E4317" i="13"/>
  <c r="E12849" i="13"/>
  <c r="E7672" i="13"/>
  <c r="E5793" i="13"/>
  <c r="E4657" i="13"/>
  <c r="E3799" i="13"/>
  <c r="E3021" i="13"/>
  <c r="E2356" i="13"/>
  <c r="E1779" i="13"/>
  <c r="E1238" i="13"/>
  <c r="E758" i="13"/>
  <c r="E357" i="13"/>
  <c r="E12441" i="13"/>
  <c r="E7598" i="13"/>
  <c r="E5747" i="13"/>
  <c r="E4617" i="13"/>
  <c r="E3770" i="13"/>
  <c r="E2999" i="13"/>
  <c r="E2342" i="13"/>
  <c r="E1762" i="13"/>
  <c r="E1220" i="13"/>
  <c r="E744" i="13"/>
  <c r="E348" i="13"/>
  <c r="E8437" i="13"/>
  <c r="E5188" i="13"/>
  <c r="E3596" i="13"/>
  <c r="E2430" i="13"/>
  <c r="E1528" i="13"/>
  <c r="E729" i="13"/>
  <c r="E100" i="13"/>
  <c r="E6853" i="13"/>
  <c r="E4511" i="13"/>
  <c r="E3115" i="13"/>
  <c r="E2091" i="13"/>
  <c r="E1200" i="13"/>
  <c r="E492" i="13"/>
  <c r="E10411" i="13"/>
  <c r="E5701" i="13"/>
  <c r="E3932" i="13"/>
  <c r="E2694" i="13"/>
  <c r="E1736" i="13"/>
  <c r="E898" i="13"/>
  <c r="E251" i="13"/>
  <c r="E7769" i="13"/>
  <c r="E4917" i="13"/>
  <c r="E3424" i="13"/>
  <c r="E2313" i="13"/>
  <c r="E1409" i="13"/>
  <c r="E646" i="13"/>
  <c r="E25" i="13"/>
  <c r="E6398" i="13"/>
  <c r="E4300" i="13"/>
  <c r="E2960" i="13"/>
  <c r="E1953" i="13"/>
  <c r="E1090" i="13"/>
  <c r="E404" i="13"/>
  <c r="E9145" i="13"/>
  <c r="E5409" i="13"/>
  <c r="E3739" i="13"/>
  <c r="E2536" i="13"/>
  <c r="E1622" i="13"/>
  <c r="E801" i="13"/>
  <c r="E163" i="13"/>
  <c r="E7014" i="13"/>
  <c r="E4579" i="13"/>
  <c r="E3161" i="13"/>
  <c r="E2124" i="13"/>
  <c r="E1236" i="13"/>
  <c r="E8235" i="13"/>
  <c r="E5125" i="13"/>
  <c r="E3553" i="13"/>
  <c r="E2414" i="13"/>
  <c r="E1499" i="13"/>
  <c r="E9709" i="13"/>
  <c r="E3833" i="13"/>
  <c r="E1669" i="13"/>
  <c r="E322" i="13"/>
  <c r="E5493" i="13"/>
  <c r="E2584" i="13"/>
  <c r="E835" i="13"/>
  <c r="E8644" i="13"/>
  <c r="E3629" i="13"/>
  <c r="E1544" i="13"/>
  <c r="E257" i="13"/>
  <c r="E4983" i="13"/>
  <c r="E2344" i="13"/>
  <c r="E698" i="13"/>
  <c r="E7401" i="13"/>
  <c r="E3296" i="13"/>
  <c r="E1331" i="13"/>
  <c r="E120" i="13"/>
  <c r="E4521" i="13"/>
  <c r="E2100" i="13"/>
  <c r="E555" i="13"/>
  <c r="E6482" i="13"/>
  <c r="E2977" i="13"/>
  <c r="E1104" i="13"/>
  <c r="E12484" i="13"/>
  <c r="E4137" i="13"/>
  <c r="E1868" i="13"/>
  <c r="E425" i="13"/>
  <c r="E5661" i="13"/>
  <c r="E2668" i="13"/>
  <c r="E891" i="13"/>
  <c r="E9084" i="13"/>
  <c r="E3726" i="13"/>
  <c r="E1607" i="13"/>
  <c r="E300" i="13"/>
  <c r="E5087" i="13"/>
  <c r="E2396" i="13"/>
  <c r="E732" i="13"/>
  <c r="E7624" i="13"/>
  <c r="E3389" i="13"/>
  <c r="E1384" i="13"/>
  <c r="E152" i="13"/>
  <c r="E4633" i="13"/>
  <c r="E2169" i="13"/>
  <c r="E595" i="13"/>
  <c r="E6707" i="13"/>
  <c r="E3054" i="13"/>
  <c r="E1163" i="13"/>
  <c r="E32" i="13"/>
  <c r="E4237" i="13"/>
  <c r="E1920" i="13"/>
  <c r="E459" i="13"/>
  <c r="E5931" i="13"/>
  <c r="E2774" i="13"/>
  <c r="E954" i="13"/>
  <c r="E14789" i="13"/>
  <c r="E14283" i="13"/>
  <c r="E13823" i="13"/>
  <c r="E13995" i="13"/>
  <c r="E14056" i="13"/>
  <c r="E14181" i="13"/>
  <c r="E11970" i="13"/>
  <c r="E14559" i="13"/>
  <c r="E13478" i="13"/>
  <c r="E12065" i="13"/>
  <c r="E12774" i="13"/>
  <c r="E12472" i="13"/>
  <c r="E12550" i="13"/>
  <c r="E13075" i="13"/>
  <c r="E10472" i="13"/>
  <c r="E11330" i="13"/>
  <c r="E11476" i="13"/>
  <c r="E11595" i="13"/>
  <c r="E11653" i="13"/>
  <c r="E13500" i="13"/>
  <c r="E10067" i="13"/>
  <c r="E8398" i="13"/>
  <c r="E11234" i="13"/>
  <c r="E9181" i="13"/>
  <c r="E11125" i="13"/>
  <c r="E13308" i="13"/>
  <c r="E9893" i="13"/>
  <c r="E11549" i="13"/>
  <c r="E9080" i="13"/>
  <c r="E10230" i="13"/>
  <c r="E7792" i="13"/>
  <c r="E12437" i="13"/>
  <c r="E9432" i="13"/>
  <c r="E7375" i="13"/>
  <c r="E12673" i="13"/>
  <c r="E8840" i="13"/>
  <c r="E10549" i="13"/>
  <c r="E8496" i="13"/>
  <c r="E9593" i="13"/>
  <c r="E8049" i="13"/>
  <c r="E9437" i="13"/>
  <c r="E6989" i="13"/>
  <c r="E5738" i="13"/>
  <c r="E12388" i="13"/>
  <c r="E9129" i="13"/>
  <c r="E7062" i="13"/>
  <c r="E5849" i="13"/>
  <c r="E10349" i="13"/>
  <c r="E8432" i="13"/>
  <c r="E7243" i="13"/>
  <c r="E6152" i="13"/>
  <c r="E10181" i="13"/>
  <c r="E8726" i="13"/>
  <c r="E7406" i="13"/>
  <c r="E14005" i="13"/>
  <c r="E10059" i="13"/>
  <c r="E8354" i="13"/>
  <c r="E7531" i="13"/>
  <c r="E6545" i="13"/>
  <c r="E5860" i="13"/>
  <c r="E10611" i="13"/>
  <c r="E8743" i="13"/>
  <c r="E7709" i="13"/>
  <c r="E6566" i="13"/>
  <c r="E5869" i="13"/>
  <c r="E12254" i="13"/>
  <c r="E9300" i="13"/>
  <c r="E8119" i="13"/>
  <c r="E7065" i="13"/>
  <c r="E6257" i="13"/>
  <c r="E12516" i="13"/>
  <c r="E9644" i="13"/>
  <c r="E8349" i="13"/>
  <c r="E11517" i="13"/>
  <c r="E9474" i="13"/>
  <c r="E12663" i="13"/>
  <c r="E9658" i="13"/>
  <c r="E8355" i="13"/>
  <c r="E9251" i="13"/>
  <c r="E7740" i="13"/>
  <c r="E6579" i="13"/>
  <c r="E5553" i="13"/>
  <c r="E4997" i="13"/>
  <c r="E4357" i="13"/>
  <c r="E3845" i="13"/>
  <c r="E3157" i="13"/>
  <c r="E2549" i="13"/>
  <c r="E2037" i="13"/>
  <c r="E10128" i="13"/>
  <c r="E8182" i="13"/>
  <c r="E6938" i="13"/>
  <c r="E5810" i="13"/>
  <c r="E5201" i="13"/>
  <c r="E4484" i="13"/>
  <c r="E3972" i="13"/>
  <c r="E3348" i="13"/>
  <c r="E2660" i="13"/>
  <c r="E10772" i="13"/>
  <c r="E8220" i="13"/>
  <c r="E7146" i="13"/>
  <c r="E5965" i="13"/>
  <c r="E5217" i="13"/>
  <c r="E4671" i="13"/>
  <c r="E3971" i="13"/>
  <c r="E3459" i="13"/>
  <c r="E11574" i="13"/>
  <c r="E8944" i="13"/>
  <c r="E7325" i="13"/>
  <c r="E6520" i="13"/>
  <c r="E5550" i="13"/>
  <c r="E5011" i="13"/>
  <c r="E4402" i="13"/>
  <c r="E3906" i="13"/>
  <c r="E3378" i="13"/>
  <c r="E2834" i="13"/>
  <c r="E9942" i="13"/>
  <c r="E7797" i="13"/>
  <c r="E14477" i="13"/>
  <c r="E14749" i="13"/>
  <c r="E13337" i="13"/>
  <c r="E13859" i="13"/>
  <c r="E13579" i="13"/>
  <c r="E14051" i="13"/>
  <c r="E11954" i="13"/>
  <c r="E14470" i="13"/>
  <c r="E13457" i="13"/>
  <c r="E12031" i="13"/>
  <c r="E12753" i="13"/>
  <c r="E12377" i="13"/>
  <c r="E12509" i="13"/>
  <c r="E13004" i="13"/>
  <c r="E10319" i="13"/>
  <c r="E11310" i="13"/>
  <c r="E11383" i="13"/>
  <c r="E11575" i="13"/>
  <c r="E11632" i="13"/>
  <c r="E13365" i="13"/>
  <c r="E10033" i="13"/>
  <c r="E8094" i="13"/>
  <c r="E11100" i="13"/>
  <c r="E8877" i="13"/>
  <c r="E11099" i="13"/>
  <c r="E12370" i="13"/>
  <c r="E9876" i="13"/>
  <c r="E10911" i="13"/>
  <c r="E9064" i="13"/>
  <c r="E9627" i="13"/>
  <c r="E7776" i="13"/>
  <c r="E12055" i="13"/>
  <c r="E9388" i="13"/>
  <c r="E7343" i="13"/>
  <c r="E12381" i="13"/>
  <c r="E8804" i="13"/>
  <c r="E10520" i="13"/>
  <c r="E8461" i="13"/>
  <c r="E9543" i="13"/>
  <c r="E8015" i="13"/>
  <c r="E9371" i="13"/>
  <c r="E6971" i="13"/>
  <c r="E5722" i="13"/>
  <c r="E12301" i="13"/>
  <c r="E9098" i="13"/>
  <c r="E7044" i="13"/>
  <c r="E5609" i="13"/>
  <c r="E10299" i="13"/>
  <c r="E8247" i="13"/>
  <c r="E7153" i="13"/>
  <c r="E13687" i="13"/>
  <c r="E10140" i="13"/>
  <c r="E8476" i="13"/>
  <c r="E7388" i="13"/>
  <c r="E13120" i="13"/>
  <c r="E10027" i="13"/>
  <c r="E8308" i="13"/>
  <c r="E7441" i="13"/>
  <c r="E6507" i="13"/>
  <c r="E5844" i="13"/>
  <c r="E10543" i="13"/>
  <c r="E8710" i="13"/>
  <c r="E7677" i="13"/>
  <c r="E6541" i="13"/>
  <c r="E5848" i="13"/>
  <c r="E12171" i="13"/>
  <c r="E9256" i="13"/>
  <c r="E8085" i="13"/>
  <c r="E7035" i="13"/>
  <c r="E6237" i="13"/>
  <c r="E12356" i="13"/>
  <c r="E9385" i="13"/>
  <c r="E8184" i="13"/>
  <c r="E11432" i="13"/>
  <c r="E9422" i="13"/>
  <c r="E12404" i="13"/>
  <c r="E9595" i="13"/>
  <c r="E8324" i="13"/>
  <c r="E9190" i="13"/>
  <c r="E7701" i="13"/>
  <c r="E6553" i="13"/>
  <c r="E5535" i="13"/>
  <c r="E4980" i="13"/>
  <c r="E4341" i="13"/>
  <c r="E3829" i="13"/>
  <c r="E3141" i="13"/>
  <c r="E2533" i="13"/>
  <c r="E2021" i="13"/>
  <c r="E10052" i="13"/>
  <c r="E8143" i="13"/>
  <c r="E6782" i="13"/>
  <c r="E5787" i="13"/>
  <c r="E5184" i="13"/>
  <c r="E4452" i="13"/>
  <c r="E3940" i="13"/>
  <c r="E3332" i="13"/>
  <c r="E2644" i="13"/>
  <c r="E10663" i="13"/>
  <c r="E8177" i="13"/>
  <c r="E7113" i="13"/>
  <c r="E5942" i="13"/>
  <c r="E5200" i="13"/>
  <c r="E4654" i="13"/>
  <c r="E3955" i="13"/>
  <c r="E3443" i="13"/>
  <c r="E11435" i="13"/>
  <c r="E8886" i="13"/>
  <c r="E7268" i="13"/>
  <c r="E6378" i="13"/>
  <c r="E5532" i="13"/>
  <c r="E4994" i="13"/>
  <c r="E4386" i="13"/>
  <c r="E3890" i="13"/>
  <c r="E3314" i="13"/>
  <c r="E2818" i="13"/>
  <c r="E9718" i="13"/>
  <c r="E7729" i="13"/>
  <c r="E6808" i="13"/>
  <c r="E5846" i="13"/>
  <c r="E5247" i="13"/>
  <c r="E4632" i="13"/>
  <c r="E4127" i="13"/>
  <c r="E3551" i="13"/>
  <c r="E3055" i="13"/>
  <c r="E11907" i="13"/>
  <c r="E8330" i="13"/>
  <c r="E6729" i="13"/>
  <c r="E5527" i="13"/>
  <c r="E4750" i="13"/>
  <c r="E3897" i="13"/>
  <c r="E3176" i="13"/>
  <c r="E2440" i="13"/>
  <c r="E1911" i="13"/>
  <c r="E1247" i="13"/>
  <c r="E751" i="13"/>
  <c r="E175" i="13"/>
  <c r="E9918" i="13"/>
  <c r="E7525" i="13"/>
  <c r="E6099" i="13"/>
  <c r="E5195" i="13"/>
  <c r="E4314" i="13"/>
  <c r="E3593" i="13"/>
  <c r="E2685" i="13"/>
  <c r="E2131" i="13"/>
  <c r="E1534" i="13"/>
  <c r="E1182" i="13"/>
  <c r="E13685" i="13"/>
  <c r="E9686" i="13"/>
  <c r="E7906" i="13"/>
  <c r="E6810" i="13"/>
  <c r="E5998" i="13"/>
  <c r="E5244" i="13"/>
  <c r="E4725" i="13"/>
  <c r="E4104" i="13"/>
  <c r="E3613" i="13"/>
  <c r="E3016" i="13"/>
  <c r="E2586" i="13"/>
  <c r="E2130" i="13"/>
  <c r="E1773" i="13"/>
  <c r="E1405" i="13"/>
  <c r="E12095" i="13"/>
  <c r="E9169" i="13"/>
  <c r="E7523" i="13"/>
  <c r="E6594" i="13"/>
  <c r="E5665" i="13"/>
  <c r="E5120" i="13"/>
  <c r="E4474" i="13"/>
  <c r="E3984" i="13"/>
  <c r="E3382" i="13"/>
  <c r="E2907" i="13"/>
  <c r="E2454" i="13"/>
  <c r="E2044" i="13"/>
  <c r="E1692" i="13"/>
  <c r="E1276" i="13"/>
  <c r="E13205" i="13"/>
  <c r="E9075" i="13"/>
  <c r="E7689" i="13"/>
  <c r="E6542" i="13"/>
  <c r="E5794" i="13"/>
  <c r="E5089" i="13"/>
  <c r="E4566" i="13"/>
  <c r="E4027" i="13"/>
  <c r="E3468" i="13"/>
  <c r="E2988" i="13"/>
  <c r="E2467" i="13"/>
  <c r="E2109" i="13"/>
  <c r="E1673" i="13"/>
  <c r="E1337" i="13"/>
  <c r="E921" i="13"/>
  <c r="E10156" i="13"/>
  <c r="E7400" i="13"/>
  <c r="E6119" i="13"/>
  <c r="E5154" i="13"/>
  <c r="E4298" i="13"/>
  <c r="E3582" i="13"/>
  <c r="E2742" i="13"/>
  <c r="E2189" i="13"/>
  <c r="E1558" i="13"/>
  <c r="E1075" i="13"/>
  <c r="E586" i="13"/>
  <c r="E228" i="13"/>
  <c r="E9953" i="13"/>
  <c r="E7643" i="13"/>
  <c r="E6223" i="13"/>
  <c r="E5186" i="13"/>
  <c r="E4432" i="13"/>
  <c r="E3550" i="13"/>
  <c r="E2858" i="13"/>
  <c r="E2161" i="13"/>
  <c r="E1651" i="13"/>
  <c r="E1051" i="13"/>
  <c r="E653" i="13"/>
  <c r="E210" i="13"/>
  <c r="E10703" i="13"/>
  <c r="E7788" i="13"/>
  <c r="E6269" i="13"/>
  <c r="E5328" i="13"/>
  <c r="E4394" i="13"/>
  <c r="E3680" i="13"/>
  <c r="E2828" i="13"/>
  <c r="E2259" i="13"/>
  <c r="E1624" i="13"/>
  <c r="E1138" i="13"/>
  <c r="E635" i="13"/>
  <c r="E294" i="13"/>
  <c r="E21" i="13"/>
  <c r="E9618" i="13"/>
  <c r="E7867" i="13"/>
  <c r="E6802" i="13"/>
  <c r="E5917" i="13"/>
  <c r="E5255" i="13"/>
  <c r="E4678" i="13"/>
  <c r="E4120" i="13"/>
  <c r="E3579" i="13"/>
  <c r="E3043" i="13"/>
  <c r="E2563" i="13"/>
  <c r="E2158" i="13"/>
  <c r="E1764" i="13"/>
  <c r="E1393" i="13"/>
  <c r="E1028" i="13"/>
  <c r="E720" i="13"/>
  <c r="E446" i="13"/>
  <c r="E173" i="13"/>
  <c r="E11646" i="13"/>
  <c r="E8809" i="13"/>
  <c r="E7448" i="13"/>
  <c r="E6443" i="13"/>
  <c r="E5628" i="13"/>
  <c r="E5035" i="13"/>
  <c r="E4459" i="13"/>
  <c r="E12245" i="13"/>
  <c r="E9034" i="13"/>
  <c r="E7579" i="13"/>
  <c r="E6546" i="13"/>
  <c r="E5724" i="13"/>
  <c r="E5105" i="13"/>
  <c r="E9763" i="13"/>
  <c r="E7927" i="13"/>
  <c r="E6865" i="13"/>
  <c r="E5954" i="13"/>
  <c r="E5280" i="13"/>
  <c r="E4708" i="13"/>
  <c r="E4145" i="13"/>
  <c r="E3607" i="13"/>
  <c r="E3067" i="13"/>
  <c r="E2590" i="13"/>
  <c r="E2178" i="13"/>
  <c r="E1782" i="13"/>
  <c r="E1411" i="13"/>
  <c r="E1045" i="13"/>
  <c r="E733" i="13"/>
  <c r="E460" i="13"/>
  <c r="E187" i="13"/>
  <c r="E11779" i="13"/>
  <c r="E8867" i="13"/>
  <c r="E7468" i="13"/>
  <c r="E6454" i="13"/>
  <c r="E5648" i="13"/>
  <c r="E5052" i="13"/>
  <c r="E9290" i="13"/>
  <c r="E6654" i="13"/>
  <c r="E5174" i="13"/>
  <c r="E4232" i="13"/>
  <c r="E3422" i="13"/>
  <c r="E2689" i="13"/>
  <c r="E2077" i="13"/>
  <c r="E1522" i="13"/>
  <c r="E994" i="13"/>
  <c r="E565" i="13"/>
  <c r="E168" i="13"/>
  <c r="E9287" i="13"/>
  <c r="E6652" i="13"/>
  <c r="E5169" i="13"/>
  <c r="E4217" i="13"/>
  <c r="E3420" i="13"/>
  <c r="E2678" i="13"/>
  <c r="E2076" i="13"/>
  <c r="E1521" i="13"/>
  <c r="E993" i="13"/>
  <c r="E564" i="13"/>
  <c r="E167" i="13"/>
  <c r="E9269" i="13"/>
  <c r="E6650" i="13"/>
  <c r="E5164" i="13"/>
  <c r="E4214" i="13"/>
  <c r="E3419" i="13"/>
  <c r="E2675" i="13"/>
  <c r="E2074" i="13"/>
  <c r="E1520" i="13"/>
  <c r="E992" i="13"/>
  <c r="E562" i="13"/>
  <c r="E166" i="13"/>
  <c r="E9266" i="13"/>
  <c r="E6649" i="13"/>
  <c r="E5160" i="13"/>
  <c r="E4209" i="13"/>
  <c r="E3418" i="13"/>
  <c r="E2673" i="13"/>
  <c r="E2073" i="13"/>
  <c r="E1515" i="13"/>
  <c r="E983" i="13"/>
  <c r="E561" i="13"/>
  <c r="E165" i="13"/>
  <c r="E9252" i="13"/>
  <c r="E6648" i="13"/>
  <c r="E5159" i="13"/>
  <c r="E4208" i="13"/>
  <c r="E11511" i="13"/>
  <c r="E7404" i="13"/>
  <c r="E5603" i="13"/>
  <c r="E4540" i="13"/>
  <c r="E3697" i="13"/>
  <c r="E2926" i="13"/>
  <c r="E2281" i="13"/>
  <c r="E1712" i="13"/>
  <c r="E1171" i="13"/>
  <c r="E708" i="13"/>
  <c r="E308" i="13"/>
  <c r="E11247" i="13"/>
  <c r="E7347" i="13"/>
  <c r="E5565" i="13"/>
  <c r="E4509" i="13"/>
  <c r="E3673" i="13"/>
  <c r="E2903" i="13"/>
  <c r="E2270" i="13"/>
  <c r="E1691" i="13"/>
  <c r="E1153" i="13"/>
  <c r="E694" i="13"/>
  <c r="E298" i="13"/>
  <c r="E7828" i="13"/>
  <c r="E4937" i="13"/>
  <c r="E3436" i="13"/>
  <c r="E2321" i="13"/>
  <c r="E1427" i="13"/>
  <c r="E650" i="13"/>
  <c r="E28" i="13"/>
  <c r="E6460" i="13"/>
  <c r="E4304" i="13"/>
  <c r="E2966" i="13"/>
  <c r="E1974" i="13"/>
  <c r="E1098" i="13"/>
  <c r="E408" i="13"/>
  <c r="E9223" i="13"/>
  <c r="E5415" i="13"/>
  <c r="E3758" i="13"/>
  <c r="E2552" i="13"/>
  <c r="E1635" i="13"/>
  <c r="E805" i="13"/>
  <c r="E172" i="13"/>
  <c r="E7339" i="13"/>
  <c r="E4694" i="13"/>
  <c r="E3258" i="13"/>
  <c r="E2196" i="13"/>
  <c r="E1303" i="13"/>
  <c r="E570" i="13"/>
  <c r="E11913" i="13"/>
  <c r="E6040" i="13"/>
  <c r="E4094" i="13"/>
  <c r="E2813" i="13"/>
  <c r="E1847" i="13"/>
  <c r="E982" i="13"/>
  <c r="E325" i="13"/>
  <c r="E8331" i="13"/>
  <c r="E5129" i="13"/>
  <c r="E3575" i="13"/>
  <c r="E2418" i="13"/>
  <c r="E1512" i="13"/>
  <c r="E724" i="13"/>
  <c r="E86" i="13"/>
  <c r="E6583" i="13"/>
  <c r="E4368" i="13"/>
  <c r="E3006" i="13"/>
  <c r="E2008" i="13"/>
  <c r="E1126" i="13"/>
  <c r="E7730" i="13"/>
  <c r="E4880" i="13"/>
  <c r="E3393" i="13"/>
  <c r="E2291" i="13"/>
  <c r="E1398" i="13"/>
  <c r="E8039" i="13"/>
  <c r="E3488" i="13"/>
  <c r="E1459" i="13"/>
  <c r="E199" i="13"/>
  <c r="E4987" i="13"/>
  <c r="E2346" i="13"/>
  <c r="E701" i="13"/>
  <c r="E7460" i="13"/>
  <c r="E3302" i="13"/>
  <c r="E1333" i="13"/>
  <c r="E126" i="13"/>
  <c r="E4541" i="13"/>
  <c r="E2104" i="13"/>
  <c r="E576" i="13"/>
  <c r="E6484" i="13"/>
  <c r="E3000" i="13"/>
  <c r="E1107" i="13"/>
  <c r="E12574" i="13"/>
  <c r="E4139" i="13"/>
  <c r="E1872" i="13"/>
  <c r="E428" i="13"/>
  <c r="E5755" i="13"/>
  <c r="E2698" i="13"/>
  <c r="E915" i="13"/>
  <c r="E9402" i="13"/>
  <c r="E3783" i="13"/>
  <c r="E1638" i="13"/>
  <c r="E302" i="13"/>
  <c r="E5128" i="13"/>
  <c r="E2417" i="13"/>
  <c r="E745" i="13"/>
  <c r="E7673" i="13"/>
  <c r="E3392" i="13"/>
  <c r="E1397" i="13"/>
  <c r="E155" i="13"/>
  <c r="E4652" i="13"/>
  <c r="E2171" i="13"/>
  <c r="E598" i="13"/>
  <c r="E6716" i="13"/>
  <c r="E3065" i="13"/>
  <c r="E1169" i="13"/>
  <c r="E36" i="13"/>
  <c r="E4248" i="13"/>
  <c r="E1929" i="13"/>
  <c r="E472" i="13"/>
  <c r="E5949" i="13"/>
  <c r="E2777" i="13"/>
  <c r="E963" i="13"/>
  <c r="E9985" i="13"/>
  <c r="E3878" i="13"/>
  <c r="E1702" i="13"/>
  <c r="E337" i="13"/>
  <c r="E5307" i="13"/>
  <c r="E2497" i="13"/>
  <c r="E778" i="13"/>
  <c r="E14445" i="13"/>
  <c r="E14730" i="13"/>
  <c r="E13321" i="13"/>
  <c r="E13839" i="13"/>
  <c r="E13215" i="13"/>
  <c r="E13987" i="13"/>
  <c r="E11922" i="13"/>
  <c r="E14425" i="13"/>
  <c r="E13346" i="13"/>
  <c r="E11265" i="13"/>
  <c r="E12731" i="13"/>
  <c r="E12358" i="13"/>
  <c r="E12490" i="13"/>
  <c r="E12940" i="13"/>
  <c r="E9471" i="13"/>
  <c r="E11292" i="13"/>
  <c r="E11053" i="13"/>
  <c r="E11555" i="13"/>
  <c r="E11415" i="13"/>
  <c r="E12049" i="13"/>
  <c r="E9930" i="13"/>
  <c r="E8062" i="13"/>
  <c r="E10921" i="13"/>
  <c r="E8861" i="13"/>
  <c r="E10531" i="13"/>
  <c r="E12330" i="13"/>
  <c r="E9842" i="13"/>
  <c r="E10888" i="13"/>
  <c r="E9048" i="13"/>
  <c r="E9183" i="13"/>
  <c r="E7760" i="13"/>
  <c r="E12001" i="13"/>
  <c r="E9368" i="13"/>
  <c r="E7311" i="13"/>
  <c r="E11143" i="13"/>
  <c r="E8787" i="13"/>
  <c r="E10493" i="13"/>
  <c r="E8444" i="13"/>
  <c r="E9516" i="13"/>
  <c r="E13399" i="13"/>
  <c r="E9337" i="13"/>
  <c r="E6953" i="13"/>
  <c r="E5690" i="13"/>
  <c r="E12145" i="13"/>
  <c r="E8385" i="13"/>
  <c r="E7026" i="13"/>
  <c r="E5593" i="13"/>
  <c r="E10266" i="13"/>
  <c r="E8200" i="13"/>
  <c r="E7005" i="13"/>
  <c r="E13541" i="13"/>
  <c r="E10106" i="13"/>
  <c r="E8453" i="13"/>
  <c r="E7370" i="13"/>
  <c r="E12052" i="13"/>
  <c r="E9988" i="13"/>
  <c r="E8285" i="13"/>
  <c r="E7421" i="13"/>
  <c r="E6489" i="13"/>
  <c r="E14148" i="13"/>
  <c r="E10485" i="13"/>
  <c r="E8672" i="13"/>
  <c r="E7652" i="13"/>
  <c r="E6519" i="13"/>
  <c r="E5711" i="13"/>
  <c r="E12027" i="13"/>
  <c r="E9217" i="13"/>
  <c r="E8057" i="13"/>
  <c r="E6904" i="13"/>
  <c r="E5985" i="13"/>
  <c r="E12249" i="13"/>
  <c r="E9296" i="13"/>
  <c r="E8118" i="13"/>
  <c r="E11352" i="13"/>
  <c r="E8920" i="13"/>
  <c r="E12277" i="13"/>
  <c r="E9545" i="13"/>
  <c r="E8289" i="13"/>
  <c r="E9124" i="13"/>
  <c r="E7485" i="13"/>
  <c r="E6523" i="13"/>
  <c r="E5517" i="13"/>
  <c r="E4963" i="13"/>
  <c r="E4325" i="13"/>
  <c r="E3637" i="13"/>
  <c r="E3125" i="13"/>
  <c r="E2453" i="13"/>
  <c r="E1941" i="13"/>
  <c r="E9977" i="13"/>
  <c r="E7699" i="13"/>
  <c r="E6724" i="13"/>
  <c r="E5763" i="13"/>
  <c r="E5167" i="13"/>
  <c r="E4436" i="13"/>
  <c r="E3828" i="13"/>
  <c r="E3316" i="13"/>
  <c r="E2628" i="13"/>
  <c r="E10565" i="13"/>
  <c r="E14285" i="13"/>
  <c r="E14426" i="13"/>
  <c r="E13305" i="13"/>
  <c r="E13599" i="13"/>
  <c r="E13164" i="13"/>
  <c r="E13665" i="13"/>
  <c r="E11842" i="13"/>
  <c r="E13751" i="13"/>
  <c r="E13307" i="13"/>
  <c r="E11249" i="13"/>
  <c r="E12710" i="13"/>
  <c r="E12234" i="13"/>
  <c r="E12471" i="13"/>
  <c r="E12776" i="13"/>
  <c r="E9439" i="13"/>
  <c r="E11202" i="13"/>
  <c r="E11017" i="13"/>
  <c r="E11532" i="13"/>
  <c r="E11359" i="13"/>
  <c r="E11973" i="13"/>
  <c r="E9811" i="13"/>
  <c r="E7982" i="13"/>
  <c r="E10872" i="13"/>
  <c r="E8845" i="13"/>
  <c r="E10133" i="13"/>
  <c r="E12295" i="13"/>
  <c r="E14203" i="13"/>
  <c r="E10867" i="13"/>
  <c r="E12438" i="13"/>
  <c r="E9162" i="13"/>
  <c r="E7456" i="13"/>
  <c r="E11902" i="13"/>
  <c r="E8987" i="13"/>
  <c r="E7231" i="13"/>
  <c r="E10956" i="13"/>
  <c r="E8770" i="13"/>
  <c r="E10459" i="13"/>
  <c r="E8427" i="13"/>
  <c r="E9494" i="13"/>
  <c r="E13281" i="13"/>
  <c r="E9216" i="13"/>
  <c r="E6917" i="13"/>
  <c r="E5674" i="13"/>
  <c r="E12073" i="13"/>
  <c r="E8363" i="13"/>
  <c r="E6952" i="13"/>
  <c r="E14523" i="13"/>
  <c r="E10218" i="13"/>
  <c r="E8179" i="13"/>
  <c r="E6787" i="13"/>
  <c r="E13382" i="13"/>
  <c r="E9710" i="13"/>
  <c r="E8404" i="13"/>
  <c r="E7188" i="13"/>
  <c r="E11976" i="13"/>
  <c r="E9955" i="13"/>
  <c r="E8264" i="13"/>
  <c r="E7385" i="13"/>
  <c r="E6471" i="13"/>
  <c r="E13909" i="13"/>
  <c r="E10415" i="13"/>
  <c r="E8639" i="13"/>
  <c r="E7622" i="13"/>
  <c r="E6492" i="13"/>
  <c r="E5616" i="13"/>
  <c r="E11547" i="13"/>
  <c r="E9171" i="13"/>
  <c r="E8028" i="13"/>
  <c r="E6851" i="13"/>
  <c r="E5966" i="13"/>
  <c r="E12129" i="13"/>
  <c r="E9254" i="13"/>
  <c r="E14269" i="13"/>
  <c r="E14314" i="13"/>
  <c r="E14505" i="13"/>
  <c r="E13301" i="13"/>
  <c r="E14803" i="13"/>
  <c r="E14718" i="13"/>
  <c r="E11650" i="13"/>
  <c r="E13194" i="13"/>
  <c r="E12984" i="13"/>
  <c r="E11233" i="13"/>
  <c r="E12378" i="13"/>
  <c r="E12217" i="13"/>
  <c r="E13691" i="13"/>
  <c r="E12742" i="13"/>
  <c r="E9423" i="13"/>
  <c r="E11146" i="13"/>
  <c r="E10999" i="13"/>
  <c r="E14324" i="13"/>
  <c r="E11341" i="13"/>
  <c r="E11935" i="13"/>
  <c r="E9794" i="13"/>
  <c r="E7966" i="13"/>
  <c r="E10208" i="13"/>
  <c r="E8813" i="13"/>
  <c r="E10116" i="13"/>
  <c r="E12255" i="13"/>
  <c r="E14104" i="13"/>
  <c r="E10442" i="13"/>
  <c r="E12383" i="13"/>
  <c r="E9142" i="13"/>
  <c r="E7424" i="13"/>
  <c r="E11853" i="13"/>
  <c r="E8668" i="13"/>
  <c r="E7215" i="13"/>
  <c r="E10719" i="13"/>
  <c r="E8736" i="13"/>
  <c r="E10120" i="13"/>
  <c r="E12094" i="13"/>
  <c r="E9339" i="13"/>
  <c r="E13160" i="13"/>
  <c r="E9016" i="13"/>
  <c r="E6899" i="13"/>
  <c r="E5290" i="13"/>
  <c r="E11993" i="13"/>
  <c r="E8248" i="13"/>
  <c r="E6860" i="13"/>
  <c r="E14219" i="13"/>
  <c r="E9530" i="13"/>
  <c r="E8087" i="13"/>
  <c r="E6749" i="13"/>
  <c r="E13269" i="13"/>
  <c r="E9669" i="13"/>
  <c r="E8246" i="13"/>
  <c r="E7170" i="13"/>
  <c r="E11904" i="13"/>
  <c r="E9812" i="13"/>
  <c r="E8240" i="13"/>
  <c r="E7257" i="13"/>
  <c r="E6453" i="13"/>
  <c r="E13659" i="13"/>
  <c r="E10356" i="13"/>
  <c r="E8457" i="13"/>
  <c r="E7305" i="13"/>
  <c r="E6469" i="13"/>
  <c r="E5580" i="13"/>
  <c r="E11374" i="13"/>
  <c r="E9132" i="13"/>
  <c r="E7676" i="13"/>
  <c r="E6826" i="13"/>
  <c r="E5947" i="13"/>
  <c r="E12026" i="13"/>
  <c r="E9209" i="13"/>
  <c r="E7875" i="13"/>
  <c r="E11194" i="13"/>
  <c r="E8843" i="13"/>
  <c r="E12058" i="13"/>
  <c r="E9445" i="13"/>
  <c r="E11879" i="13"/>
  <c r="E9001" i="13"/>
  <c r="E7303" i="13"/>
  <c r="E6357" i="13"/>
  <c r="E5480" i="13"/>
  <c r="E4741" i="13"/>
  <c r="E4213" i="13"/>
  <c r="E3605" i="13"/>
  <c r="E14544" i="13"/>
  <c r="E14511" i="13"/>
  <c r="E14625" i="13"/>
  <c r="E12467" i="13"/>
  <c r="E13688" i="13"/>
  <c r="E13236" i="13"/>
  <c r="E13558" i="13"/>
  <c r="E14006" i="13"/>
  <c r="E12591" i="13"/>
  <c r="E10529" i="13"/>
  <c r="E11056" i="13"/>
  <c r="E11568" i="13"/>
  <c r="E12662" i="13"/>
  <c r="E11111" i="13"/>
  <c r="E13035" i="13"/>
  <c r="E14249" i="13"/>
  <c r="E13673" i="13"/>
  <c r="E13364" i="13"/>
  <c r="E10722" i="13"/>
  <c r="E11423" i="13"/>
  <c r="E9182" i="13"/>
  <c r="E13310" i="13"/>
  <c r="E10014" i="13"/>
  <c r="E12043" i="13"/>
  <c r="E9945" i="13"/>
  <c r="E10870" i="13"/>
  <c r="E13711" i="13"/>
  <c r="E9907" i="13"/>
  <c r="E10463" i="13"/>
  <c r="E8618" i="13"/>
  <c r="E6688" i="13"/>
  <c r="E10752" i="13"/>
  <c r="E8156" i="13"/>
  <c r="E6351" i="13"/>
  <c r="E9870" i="13"/>
  <c r="E12671" i="13"/>
  <c r="E9386" i="13"/>
  <c r="E10877" i="13"/>
  <c r="E8646" i="13"/>
  <c r="E11356" i="13"/>
  <c r="E8181" i="13"/>
  <c r="E6441" i="13"/>
  <c r="E5050" i="13"/>
  <c r="E10037" i="13"/>
  <c r="E8006" i="13"/>
  <c r="E6366" i="13"/>
  <c r="E13271" i="13"/>
  <c r="E9186" i="13"/>
  <c r="E7591" i="13"/>
  <c r="E6585" i="13"/>
  <c r="E11353" i="13"/>
  <c r="E9492" i="13"/>
  <c r="E7921" i="13"/>
  <c r="E6766" i="13"/>
  <c r="E11059" i="13"/>
  <c r="E9119" i="13"/>
  <c r="E8061" i="13"/>
  <c r="E7001" i="13"/>
  <c r="E6116" i="13"/>
  <c r="E12777" i="13"/>
  <c r="E9490" i="13"/>
  <c r="E8255" i="13"/>
  <c r="E7066" i="13"/>
  <c r="E6110" i="13"/>
  <c r="E5492" i="13"/>
  <c r="E10233" i="13"/>
  <c r="E8742" i="13"/>
  <c r="E7543" i="13"/>
  <c r="E6419" i="13"/>
  <c r="E5749" i="13"/>
  <c r="E10680" i="13"/>
  <c r="E9002" i="13"/>
  <c r="E14070" i="13"/>
  <c r="E10102" i="13"/>
  <c r="E8660" i="13"/>
  <c r="E10698" i="13"/>
  <c r="E9017" i="13"/>
  <c r="E11241" i="13"/>
  <c r="E8183" i="13"/>
  <c r="E7123" i="13"/>
  <c r="E5969" i="13"/>
  <c r="E5321" i="13"/>
  <c r="E4656" i="13"/>
  <c r="E3957" i="13"/>
  <c r="E3445" i="13"/>
  <c r="E2837" i="13"/>
  <c r="E2325" i="13"/>
  <c r="E12193" i="13"/>
  <c r="E8784" i="13"/>
  <c r="E7484" i="13"/>
  <c r="E6227" i="13"/>
  <c r="E5516" i="13"/>
  <c r="E4860" i="13"/>
  <c r="E4148" i="13"/>
  <c r="E3636" i="13"/>
  <c r="E3028" i="13"/>
  <c r="E2516" i="13"/>
  <c r="E9184" i="13"/>
  <c r="E7394" i="13"/>
  <c r="E6436" i="13"/>
  <c r="E5533" i="13"/>
  <c r="E4978" i="13"/>
  <c r="E4259" i="13"/>
  <c r="E3651" i="13"/>
  <c r="E3139" i="13"/>
  <c r="E9438" i="13"/>
  <c r="E8017" i="13"/>
  <c r="E6722" i="13"/>
  <c r="E5919" i="13"/>
  <c r="E5267" i="13"/>
  <c r="E4687" i="13"/>
  <c r="E4178" i="13"/>
  <c r="E3602" i="13"/>
  <c r="E3106" i="13"/>
  <c r="E10638" i="13"/>
  <c r="E8713" i="13"/>
  <c r="E7166" i="13"/>
  <c r="E6270" i="13"/>
  <c r="E5473" i="13"/>
  <c r="E4940" i="13"/>
  <c r="E4383" i="13"/>
  <c r="E3839" i="13"/>
  <c r="E3343" i="13"/>
  <c r="E2703" i="13"/>
  <c r="E10536" i="13"/>
  <c r="E7397" i="13"/>
  <c r="E6101" i="13"/>
  <c r="E5073" i="13"/>
  <c r="E4315" i="13"/>
  <c r="E3479" i="13"/>
  <c r="E2785" i="13"/>
  <c r="E2184" i="13"/>
  <c r="E1551" i="13"/>
  <c r="E1119" i="13"/>
  <c r="E463" i="13"/>
  <c r="E13285" i="13"/>
  <c r="E8329" i="13"/>
  <c r="E6817" i="13"/>
  <c r="E5525" i="13"/>
  <c r="E4749" i="13"/>
  <c r="E3777" i="13"/>
  <c r="E3081" i="13"/>
  <c r="E2404" i="13"/>
  <c r="E1824" i="13"/>
  <c r="E1390" i="13"/>
  <c r="E974" i="13"/>
  <c r="E11490" i="13"/>
  <c r="E8539" i="13"/>
  <c r="E7384" i="13"/>
  <c r="E6283" i="13"/>
  <c r="E5581" i="13"/>
  <c r="E4920" i="13"/>
  <c r="E4407" i="13"/>
  <c r="E3869" i="13"/>
  <c r="E3310" i="13"/>
  <c r="E2844" i="13"/>
  <c r="E2352" i="13"/>
  <c r="E1994" i="13"/>
  <c r="E1565" i="13"/>
  <c r="E1229" i="13"/>
  <c r="E10007" i="13"/>
  <c r="E8188" i="13"/>
  <c r="E6942" i="13"/>
  <c r="E6096" i="13"/>
  <c r="E5393" i="13"/>
  <c r="E4797" i="13"/>
  <c r="E4286" i="13"/>
  <c r="E3681" i="13"/>
  <c r="E3194" i="13"/>
  <c r="E2643" i="13"/>
  <c r="E2266" i="13"/>
  <c r="E1822" i="13"/>
  <c r="E1484" i="13"/>
  <c r="E1068" i="13"/>
  <c r="E10501" i="13"/>
  <c r="E8299" i="13"/>
  <c r="E7107" i="13"/>
  <c r="E6235" i="13"/>
  <c r="E5413" i="13"/>
  <c r="E4889" i="13"/>
  <c r="E4262" i="13"/>
  <c r="E3771" i="13"/>
  <c r="E3165" i="13"/>
  <c r="E2718" i="13"/>
  <c r="E2246" i="13"/>
  <c r="E1887" i="13"/>
  <c r="E1513" i="13"/>
  <c r="E1129" i="13"/>
  <c r="E793" i="13"/>
  <c r="E8400" i="13"/>
  <c r="E6885" i="13"/>
  <c r="E5519" i="13"/>
  <c r="E4754" i="13"/>
  <c r="E3856" i="13"/>
  <c r="E3145" i="13"/>
  <c r="E2390" i="13"/>
  <c r="E1866" i="13"/>
  <c r="E1328" i="13"/>
  <c r="E811" i="13"/>
  <c r="E450" i="13"/>
  <c r="E13923" i="13"/>
  <c r="E8826" i="13"/>
  <c r="E6820" i="13"/>
  <c r="E5685" i="13"/>
  <c r="E4713" i="13"/>
  <c r="E3993" i="13"/>
  <c r="E3112" i="13"/>
  <c r="E2483" i="13"/>
  <c r="E1915" i="13"/>
  <c r="E1348" i="13"/>
  <c r="E888" i="13"/>
  <c r="E432" i="13"/>
  <c r="E73" i="13"/>
  <c r="E8715" i="13"/>
  <c r="E7067" i="13"/>
  <c r="E1590" i="13"/>
  <c r="E4814" i="13"/>
  <c r="E1060" i="13"/>
  <c r="E4041" i="13"/>
  <c r="E659" i="13"/>
  <c r="E4042" i="13"/>
  <c r="E349" i="13"/>
  <c r="E3214" i="13"/>
  <c r="E101" i="13"/>
  <c r="E2520" i="13"/>
  <c r="E103" i="13"/>
  <c r="E1947" i="13"/>
  <c r="E8232" i="13"/>
  <c r="E1498" i="13"/>
  <c r="E5953" i="13"/>
  <c r="E1506" i="13"/>
  <c r="E4686" i="13"/>
  <c r="E1000" i="13"/>
  <c r="E3945" i="13"/>
  <c r="E625" i="13"/>
  <c r="E3948" i="13"/>
  <c r="E305" i="13"/>
  <c r="E3136" i="13"/>
  <c r="E70" i="13"/>
  <c r="E2449" i="13"/>
  <c r="E75" i="13"/>
  <c r="E1879" i="13"/>
  <c r="E7918" i="13"/>
  <c r="E1435" i="13"/>
  <c r="E5791" i="13"/>
  <c r="E1445" i="13"/>
  <c r="E4561" i="13"/>
  <c r="E839" i="13"/>
  <c r="E3644" i="13"/>
  <c r="E1173" i="13"/>
  <c r="E2790" i="13"/>
  <c r="E4668" i="13"/>
  <c r="E838" i="13"/>
  <c r="E2067" i="13"/>
  <c r="E3995" i="13"/>
  <c r="E8658" i="13"/>
  <c r="E643" i="13"/>
  <c r="E2071" i="13"/>
  <c r="E3645" i="13"/>
  <c r="E7273" i="13"/>
  <c r="E645" i="13"/>
  <c r="E1733" i="13"/>
  <c r="E3578" i="13"/>
  <c r="E6230" i="13"/>
  <c r="E405" i="13"/>
  <c r="E1734" i="13"/>
  <c r="E3099" i="13"/>
  <c r="E6043" i="13"/>
  <c r="E206" i="13"/>
  <c r="E1410" i="13"/>
  <c r="E3105" i="13"/>
  <c r="E5155" i="13"/>
  <c r="E178" i="13"/>
  <c r="E1152" i="13"/>
  <c r="E2695" i="13"/>
  <c r="E5158" i="13"/>
  <c r="E12428" i="13"/>
  <c r="E1099" i="13"/>
  <c r="E2379" i="13"/>
  <c r="E4512" i="13"/>
  <c r="E12462" i="13"/>
  <c r="E644" i="13"/>
  <c r="E1493" i="13"/>
  <c r="E2299" i="13"/>
  <c r="E3480" i="13"/>
  <c r="E4984" i="13"/>
  <c r="E7094" i="13"/>
  <c r="E134" i="13"/>
  <c r="E680" i="13"/>
  <c r="E1542" i="13"/>
  <c r="E2544" i="13"/>
  <c r="E3558" i="13"/>
  <c r="E5086" i="13"/>
  <c r="E7284" i="13"/>
  <c r="E3949" i="13"/>
  <c r="E5708" i="13"/>
  <c r="E8543" i="13"/>
  <c r="E388" i="13"/>
  <c r="E956" i="13"/>
  <c r="E1897" i="13"/>
  <c r="E2979" i="13"/>
  <c r="E4048" i="13"/>
  <c r="E5894" i="13"/>
  <c r="E8995" i="13"/>
  <c r="E439" i="13"/>
  <c r="E1216" i="13"/>
  <c r="E1969" i="13"/>
  <c r="E3069" i="13"/>
  <c r="E4167" i="13"/>
  <c r="E6094" i="13"/>
  <c r="E12204" i="13"/>
  <c r="E490" i="13"/>
  <c r="E1284" i="13"/>
  <c r="E2043" i="13"/>
  <c r="E3168" i="13"/>
  <c r="E4612" i="13"/>
  <c r="E6306" i="13"/>
  <c r="E14407" i="13"/>
  <c r="E541" i="13"/>
  <c r="E1352" i="13"/>
  <c r="E2330" i="13"/>
  <c r="E3274" i="13"/>
  <c r="E4731" i="13"/>
  <c r="E6537" i="13"/>
  <c r="E4865" i="13"/>
  <c r="E5980" i="13"/>
  <c r="E7277" i="13"/>
  <c r="E10161" i="13"/>
  <c r="E170" i="13"/>
  <c r="E648" i="13"/>
  <c r="E1202" i="13"/>
  <c r="E1714" i="13"/>
  <c r="E2401" i="13"/>
  <c r="E3034" i="13"/>
  <c r="E3978" i="13"/>
  <c r="E4956" i="13"/>
  <c r="E5816" i="13"/>
  <c r="E7438" i="13"/>
  <c r="E9612" i="13"/>
  <c r="E5507" i="13"/>
  <c r="E6999" i="13"/>
  <c r="E8696" i="13"/>
  <c r="E4222" i="13"/>
  <c r="E5001" i="13"/>
  <c r="E6161" i="13"/>
  <c r="E7929" i="13"/>
  <c r="E10903" i="13"/>
  <c r="E327" i="13"/>
  <c r="E702" i="13"/>
  <c r="E1274" i="13"/>
  <c r="E1935" i="13"/>
  <c r="E2481" i="13"/>
  <c r="E3342" i="13"/>
  <c r="E4089" i="13"/>
  <c r="E5074" i="13"/>
  <c r="E6267" i="13"/>
  <c r="E7639" i="13"/>
  <c r="E11399" i="13"/>
  <c r="E277" i="13"/>
  <c r="E928" i="13"/>
  <c r="E1914" i="13"/>
  <c r="E2737" i="13"/>
  <c r="E4090" i="13"/>
  <c r="E5215" i="13"/>
  <c r="E7321" i="13"/>
  <c r="E107" i="13"/>
  <c r="E829" i="13"/>
  <c r="E1626" i="13"/>
  <c r="E2630" i="13"/>
  <c r="E4091" i="13"/>
  <c r="E5731" i="13"/>
  <c r="E7720" i="13"/>
  <c r="E194" i="13"/>
  <c r="E890" i="13"/>
  <c r="E1916" i="13"/>
  <c r="E3113" i="13"/>
  <c r="E4263" i="13"/>
  <c r="E5976" i="13"/>
  <c r="E8733" i="13"/>
  <c r="E1145" i="13"/>
  <c r="E1689" i="13"/>
  <c r="E2433" i="13"/>
  <c r="E3374" i="13"/>
  <c r="E4305" i="13"/>
  <c r="E5385" i="13"/>
  <c r="E6504" i="13"/>
  <c r="E8825" i="13"/>
  <c r="E1196" i="13"/>
  <c r="E1839" i="13"/>
  <c r="E2507" i="13"/>
  <c r="E3335" i="13"/>
  <c r="E4380" i="13"/>
  <c r="E5500" i="13"/>
  <c r="E6892" i="13"/>
  <c r="E8919" i="13"/>
  <c r="E1309" i="13"/>
  <c r="E2045" i="13"/>
  <c r="E2865" i="13"/>
  <c r="E3639" i="13"/>
  <c r="E4625" i="13"/>
  <c r="E5703" i="13"/>
  <c r="E7473" i="13"/>
  <c r="E11318" i="13"/>
  <c r="E1166" i="13"/>
  <c r="E2046" i="13"/>
  <c r="E3243" i="13"/>
  <c r="E4776" i="13"/>
  <c r="E6140" i="13"/>
  <c r="E9687" i="13"/>
  <c r="E655" i="13"/>
  <c r="E1647" i="13"/>
  <c r="E2765" i="13"/>
  <c r="E3872" i="13"/>
  <c r="E5449" i="13"/>
  <c r="E7917" i="13"/>
  <c r="E2783" i="13"/>
  <c r="E3567" i="13"/>
  <c r="E4598" i="13"/>
  <c r="E5758" i="13"/>
  <c r="E7474" i="13"/>
  <c r="E11320" i="13"/>
  <c r="E3634" i="13"/>
  <c r="E4721" i="13"/>
  <c r="E5987" i="13"/>
  <c r="E8097" i="13"/>
  <c r="E3171" i="13"/>
  <c r="E4371" i="13"/>
  <c r="E5570" i="13"/>
  <c r="E7772" i="13"/>
  <c r="E2564" i="13"/>
  <c r="E3796" i="13"/>
  <c r="E5389" i="13"/>
  <c r="E7545" i="13"/>
  <c r="E14698" i="13"/>
  <c r="E3109" i="13"/>
  <c r="E4707" i="13"/>
  <c r="E7149" i="13"/>
  <c r="E8257" i="13"/>
  <c r="E8764" i="13"/>
  <c r="E9049" i="13"/>
  <c r="E6743" i="13"/>
  <c r="E10747" i="13"/>
  <c r="E7276" i="13"/>
  <c r="E5972" i="13"/>
  <c r="E9148" i="13"/>
  <c r="E7960" i="13"/>
  <c r="E6713" i="13"/>
  <c r="E13864" i="13"/>
  <c r="E5034" i="13"/>
  <c r="E11921" i="13"/>
  <c r="E9720" i="13"/>
  <c r="E6879" i="13"/>
  <c r="E7344" i="13"/>
  <c r="E11768" i="13"/>
  <c r="E12075" i="13"/>
  <c r="E9214" i="13"/>
  <c r="E13566" i="13"/>
  <c r="E9407" i="13"/>
  <c r="E14644" i="13"/>
  <c r="E14038" i="13"/>
  <c r="E14055" i="13"/>
  <c r="E14817" i="13"/>
  <c r="E1701" i="13"/>
  <c r="E5057" i="13"/>
  <c r="E1157" i="13"/>
  <c r="E5331" i="13"/>
  <c r="E715" i="13"/>
  <c r="E4238" i="13"/>
  <c r="E402" i="13"/>
  <c r="E3388" i="13"/>
  <c r="E473" i="13"/>
  <c r="E2651" i="13"/>
  <c r="E154" i="13"/>
  <c r="E2054" i="13"/>
  <c r="E8979" i="13"/>
  <c r="E2172" i="13"/>
  <c r="E6342" i="13"/>
  <c r="E1616" i="13"/>
  <c r="E4882" i="13"/>
  <c r="E1101" i="13"/>
  <c r="E5198" i="13"/>
  <c r="E677" i="13"/>
  <c r="E4138" i="13"/>
  <c r="E376" i="13"/>
  <c r="E3294" i="13"/>
  <c r="E434" i="13"/>
  <c r="E2577" i="13"/>
  <c r="E121" i="13"/>
  <c r="E1992" i="13"/>
  <c r="E8640" i="13"/>
  <c r="E2106" i="13"/>
  <c r="E6144" i="13"/>
  <c r="E1559" i="13"/>
  <c r="E4761" i="13"/>
  <c r="E938" i="13"/>
  <c r="E4795" i="13"/>
  <c r="E1235" i="13"/>
  <c r="E2872" i="13"/>
  <c r="E4763" i="13"/>
  <c r="E885" i="13"/>
  <c r="E2415" i="13"/>
  <c r="E4076" i="13"/>
  <c r="E9137" i="13"/>
  <c r="E678" i="13"/>
  <c r="E2127" i="13"/>
  <c r="E4201" i="13"/>
  <c r="E7494" i="13"/>
  <c r="E679" i="13"/>
  <c r="E1781" i="13"/>
  <c r="E3657" i="13"/>
  <c r="E7496" i="13"/>
  <c r="E451" i="13"/>
  <c r="E1796" i="13"/>
  <c r="E3190" i="13"/>
  <c r="E6239" i="13"/>
  <c r="E452" i="13"/>
  <c r="E1472" i="13"/>
  <c r="E3192" i="13"/>
  <c r="E5278" i="13"/>
  <c r="E213" i="13"/>
  <c r="E1473" i="13"/>
  <c r="E2753" i="13"/>
  <c r="E5279" i="13"/>
  <c r="E13946" i="13"/>
  <c r="E1154" i="13"/>
  <c r="E2754" i="13"/>
  <c r="E4623" i="13"/>
  <c r="E14176" i="13"/>
  <c r="E667" i="13"/>
  <c r="E1524" i="13"/>
  <c r="E2521" i="13"/>
  <c r="E3530" i="13"/>
  <c r="E5054" i="13"/>
  <c r="E7219" i="13"/>
  <c r="E162" i="13"/>
  <c r="E730" i="13"/>
  <c r="E1574" i="13"/>
  <c r="E2583" i="13"/>
  <c r="E3600" i="13"/>
  <c r="E5157" i="13"/>
  <c r="E7533" i="13"/>
  <c r="E4000" i="13"/>
  <c r="E5797" i="13"/>
  <c r="E8759" i="13"/>
  <c r="E411" i="13"/>
  <c r="E1016" i="13"/>
  <c r="E1930" i="13"/>
  <c r="E3025" i="13"/>
  <c r="E4108" i="13"/>
  <c r="E5995" i="13"/>
  <c r="E9544" i="13"/>
  <c r="E462" i="13"/>
  <c r="E1243" i="13"/>
  <c r="E2002" i="13"/>
  <c r="E3120" i="13"/>
  <c r="E4273" i="13"/>
  <c r="E6192" i="13"/>
  <c r="E12992" i="13"/>
  <c r="E514" i="13"/>
  <c r="E1315" i="13"/>
  <c r="E2119" i="13"/>
  <c r="E3226" i="13"/>
  <c r="E4662" i="13"/>
  <c r="E6418" i="13"/>
  <c r="E19" i="13"/>
  <c r="E592" i="13"/>
  <c r="E1383" i="13"/>
  <c r="E2372" i="13"/>
  <c r="E3324" i="13"/>
  <c r="E4788" i="13"/>
  <c r="E6792" i="13"/>
  <c r="E4903" i="13"/>
  <c r="E6023" i="13"/>
  <c r="E7340" i="13"/>
  <c r="E10326" i="13"/>
  <c r="E204" i="13"/>
  <c r="E665" i="13"/>
  <c r="E1223" i="13"/>
  <c r="E1735" i="13"/>
  <c r="E2428" i="13"/>
  <c r="E3098" i="13"/>
  <c r="E4014" i="13"/>
  <c r="E4990" i="13"/>
  <c r="E5861" i="13"/>
  <c r="E7497" i="13"/>
  <c r="E9934" i="13"/>
  <c r="E5542" i="13"/>
  <c r="E7051" i="13"/>
  <c r="E8797" i="13"/>
  <c r="E4253" i="13"/>
  <c r="E5069" i="13"/>
  <c r="E6219" i="13"/>
  <c r="E8009" i="13"/>
  <c r="E11117" i="13"/>
  <c r="E344" i="13"/>
  <c r="E737" i="13"/>
  <c r="E1299" i="13"/>
  <c r="E1963" i="13"/>
  <c r="E2511" i="13"/>
  <c r="E3373" i="13"/>
  <c r="E4156" i="13"/>
  <c r="E5107" i="13"/>
  <c r="E6322" i="13"/>
  <c r="E7717" i="13"/>
  <c r="E11667" i="13"/>
  <c r="E311" i="13"/>
  <c r="E1009" i="13"/>
  <c r="E1936" i="13"/>
  <c r="E2769" i="13"/>
  <c r="E4188" i="13"/>
  <c r="E5361" i="13"/>
  <c r="E7398" i="13"/>
  <c r="E124" i="13"/>
  <c r="E908" i="13"/>
  <c r="E1672" i="13"/>
  <c r="E2739" i="13"/>
  <c r="E4123" i="13"/>
  <c r="E5781" i="13"/>
  <c r="E8716" i="13"/>
  <c r="E211" i="13"/>
  <c r="E968" i="13"/>
  <c r="E1939" i="13"/>
  <c r="E3180" i="13"/>
  <c r="E4329" i="13"/>
  <c r="E6019" i="13"/>
  <c r="E9207" i="13"/>
  <c r="E1161" i="13"/>
  <c r="E1870" i="13"/>
  <c r="E2450" i="13"/>
  <c r="E3400" i="13"/>
  <c r="E4398" i="13"/>
  <c r="E5438" i="13"/>
  <c r="E6584" i="13"/>
  <c r="E8912" i="13"/>
  <c r="E1212" i="13"/>
  <c r="E1907" i="13"/>
  <c r="E2624" i="13"/>
  <c r="E3356" i="13"/>
  <c r="E4406" i="13"/>
  <c r="E5523" i="13"/>
  <c r="E7124" i="13"/>
  <c r="E9270" i="13"/>
  <c r="E1325" i="13"/>
  <c r="E2062" i="13"/>
  <c r="E2888" i="13"/>
  <c r="E3776" i="13"/>
  <c r="E4697" i="13"/>
  <c r="E5734" i="13"/>
  <c r="E7524" i="13"/>
  <c r="E11687" i="13"/>
  <c r="E1198" i="13"/>
  <c r="E2097" i="13"/>
  <c r="E3265" i="13"/>
  <c r="E4799" i="13"/>
  <c r="E6765" i="13"/>
  <c r="E9796" i="13"/>
  <c r="E703" i="13"/>
  <c r="E1663" i="13"/>
  <c r="E2806" i="13"/>
  <c r="E3918" i="13"/>
  <c r="E5474" i="13"/>
  <c r="E8076" i="13"/>
  <c r="E2799" i="13"/>
  <c r="E3823" i="13"/>
  <c r="E4615" i="13"/>
  <c r="E5779" i="13"/>
  <c r="E7563" i="13"/>
  <c r="E11818" i="13"/>
  <c r="E3650" i="13"/>
  <c r="E4738" i="13"/>
  <c r="E6102" i="13"/>
  <c r="E8137" i="13"/>
  <c r="E3187" i="13"/>
  <c r="E4387" i="13"/>
  <c r="E5589" i="13"/>
  <c r="E7809" i="13"/>
  <c r="E2580" i="13"/>
  <c r="E3812" i="13"/>
  <c r="E5534" i="13"/>
  <c r="E7577" i="13"/>
  <c r="E1797" i="13"/>
  <c r="E3429" i="13"/>
  <c r="E4724" i="13"/>
  <c r="E7180" i="13"/>
  <c r="E8608" i="13"/>
  <c r="E8808" i="13"/>
  <c r="E9088" i="13"/>
  <c r="E6773" i="13"/>
  <c r="E11289" i="13"/>
  <c r="E7878" i="13"/>
  <c r="E6132" i="13"/>
  <c r="E9175" i="13"/>
  <c r="E7981" i="13"/>
  <c r="E6731" i="13"/>
  <c r="E6297" i="13"/>
  <c r="E5098" i="13"/>
  <c r="E12848" i="13"/>
  <c r="E10042" i="13"/>
  <c r="E6895" i="13"/>
  <c r="E8601" i="13"/>
  <c r="E13786" i="13"/>
  <c r="E13497" i="13"/>
  <c r="E9248" i="13"/>
  <c r="E14242" i="13"/>
  <c r="E11093" i="13"/>
  <c r="E11440" i="13"/>
  <c r="E14065" i="13"/>
  <c r="E14075" i="13"/>
  <c r="E14870" i="13"/>
  <c r="E1919" i="13"/>
  <c r="E4630" i="13"/>
  <c r="E596" i="13"/>
  <c r="E11769" i="13"/>
  <c r="E7750" i="13"/>
  <c r="E822" i="13"/>
  <c r="E3601" i="13"/>
  <c r="E3001" i="13"/>
  <c r="E1771" i="13"/>
  <c r="E5265" i="13"/>
  <c r="E977" i="13"/>
  <c r="E1035" i="13"/>
  <c r="E8043" i="13"/>
  <c r="E3835" i="13"/>
  <c r="E3836" i="13"/>
  <c r="E1572" i="13"/>
  <c r="E2902" i="13"/>
  <c r="E2905" i="13"/>
  <c r="E880" i="13"/>
  <c r="E3627" i="13"/>
  <c r="E920" i="13"/>
  <c r="E5305" i="13"/>
  <c r="E5984" i="13"/>
  <c r="E2001" i="13"/>
  <c r="E12987" i="13"/>
  <c r="E4661" i="13"/>
  <c r="E1382" i="13"/>
  <c r="E4781" i="13"/>
  <c r="E1451" i="13"/>
  <c r="E4913" i="13"/>
  <c r="E7530" i="13"/>
  <c r="E699" i="13"/>
  <c r="E2478" i="13"/>
  <c r="E5061" i="13"/>
  <c r="E5627" i="13"/>
  <c r="E4321" i="13"/>
  <c r="E11959" i="13"/>
  <c r="E2009" i="13"/>
  <c r="E5180" i="13"/>
  <c r="E499" i="13"/>
  <c r="E1986" i="13"/>
  <c r="E7522" i="13"/>
  <c r="E1987" i="13"/>
  <c r="E5880" i="13"/>
  <c r="E1053" i="13"/>
  <c r="E6182" i="13"/>
  <c r="E2699" i="13"/>
  <c r="E7158" i="13"/>
  <c r="E2683" i="13"/>
  <c r="E5579" i="13"/>
  <c r="E1453" i="13"/>
  <c r="E4898" i="13"/>
  <c r="E12101" i="13"/>
  <c r="E4849" i="13"/>
  <c r="E735" i="13"/>
  <c r="E5556" i="13"/>
  <c r="E3871" i="13"/>
  <c r="E12476" i="13"/>
  <c r="E8214" i="13"/>
  <c r="E5875" i="13"/>
  <c r="E3557" i="13"/>
  <c r="E13174" i="13"/>
  <c r="D10" i="14"/>
  <c r="B75" i="7" s="1"/>
  <c r="E2033" i="13"/>
  <c r="E8874" i="13"/>
  <c r="E1477" i="13"/>
  <c r="E6259" i="13"/>
  <c r="E1061" i="13"/>
  <c r="E4846" i="13"/>
  <c r="E1062" i="13"/>
  <c r="E3881" i="13"/>
  <c r="E666" i="13"/>
  <c r="E3228" i="13"/>
  <c r="E352" i="13"/>
  <c r="E3230" i="13"/>
  <c r="E46" i="13"/>
  <c r="E2524" i="13"/>
  <c r="E8234" i="13"/>
  <c r="E1951" i="13"/>
  <c r="E8298" i="13"/>
  <c r="E1428" i="13"/>
  <c r="E6077" i="13"/>
  <c r="E1003" i="13"/>
  <c r="E4734" i="13"/>
  <c r="E1005" i="13"/>
  <c r="E3789" i="13"/>
  <c r="E627" i="13"/>
  <c r="E3146" i="13"/>
  <c r="E309" i="13"/>
  <c r="E3152" i="13"/>
  <c r="E12586" i="13"/>
  <c r="E2458" i="13"/>
  <c r="E7925" i="13"/>
  <c r="E1881" i="13"/>
  <c r="E7926" i="13"/>
  <c r="E1237" i="13"/>
  <c r="E5505" i="13"/>
  <c r="E1446" i="13"/>
  <c r="E3088" i="13"/>
  <c r="E5979" i="13"/>
  <c r="E1032" i="13"/>
  <c r="E2603" i="13"/>
  <c r="E4470" i="13"/>
  <c r="E10838" i="13"/>
  <c r="E1085" i="13"/>
  <c r="E2306" i="13"/>
  <c r="E4473" i="13"/>
  <c r="E8688" i="13"/>
  <c r="E802" i="13"/>
  <c r="E2307" i="13"/>
  <c r="E3930" i="13"/>
  <c r="E8402" i="13"/>
  <c r="E605" i="13"/>
  <c r="E1958" i="13"/>
  <c r="E3931" i="13"/>
  <c r="E6838" i="13"/>
  <c r="E572" i="13"/>
  <c r="E1683" i="13"/>
  <c r="E3434" i="13"/>
  <c r="E6850" i="13"/>
  <c r="E332" i="13"/>
  <c r="E1636" i="13"/>
  <c r="E3049" i="13"/>
  <c r="E5745" i="13"/>
  <c r="E333" i="13"/>
  <c r="E1312" i="13"/>
  <c r="E2967" i="13"/>
  <c r="E5056" i="13"/>
  <c r="E198" i="13"/>
  <c r="E912" i="13"/>
  <c r="E1632" i="13"/>
  <c r="E2642" i="13"/>
  <c r="E3725" i="13"/>
  <c r="E5263" i="13"/>
  <c r="E8643" i="13"/>
  <c r="E234" i="13"/>
  <c r="E952" i="13"/>
  <c r="E1681" i="13"/>
  <c r="E2710" i="13"/>
  <c r="E4043" i="13"/>
  <c r="E5377" i="13"/>
  <c r="E8978" i="13"/>
  <c r="E4161" i="13"/>
  <c r="E6091" i="13"/>
  <c r="E12173" i="13"/>
  <c r="E488" i="13"/>
  <c r="E1282" i="13"/>
  <c r="E2040" i="13"/>
  <c r="E3163" i="13"/>
  <c r="E4595" i="13"/>
  <c r="E6294" i="13"/>
  <c r="E14334" i="13"/>
  <c r="E539" i="13"/>
  <c r="E1350" i="13"/>
  <c r="E2327" i="13"/>
  <c r="E3271" i="13"/>
  <c r="E4728" i="13"/>
  <c r="E6535" i="13"/>
  <c r="E44" i="13"/>
  <c r="E741" i="13"/>
  <c r="E1419" i="13"/>
  <c r="E2400" i="13"/>
  <c r="E3369" i="13"/>
  <c r="E4838" i="13"/>
  <c r="E7558" i="13"/>
  <c r="E96" i="13"/>
  <c r="E792" i="13"/>
  <c r="E1491" i="13"/>
  <c r="E2477" i="13"/>
  <c r="E3768" i="13"/>
  <c r="E4982" i="13"/>
  <c r="E7835" i="13"/>
  <c r="E5009" i="13"/>
  <c r="E6187" i="13"/>
  <c r="E7972" i="13"/>
  <c r="E11006" i="13"/>
  <c r="E341" i="13"/>
  <c r="E716" i="13"/>
  <c r="E1296" i="13"/>
  <c r="E1954" i="13"/>
  <c r="E2503" i="13"/>
  <c r="E3370" i="13"/>
  <c r="E4113" i="13"/>
  <c r="E5104" i="13"/>
  <c r="E6310" i="13"/>
  <c r="E7693" i="13"/>
  <c r="E11610" i="13"/>
  <c r="E5680" i="13"/>
  <c r="E7249" i="13"/>
  <c r="E10086" i="13"/>
  <c r="E4353" i="13"/>
  <c r="E5359" i="13"/>
  <c r="E6374" i="13"/>
  <c r="E8279" i="13"/>
  <c r="E20" i="13"/>
  <c r="E395" i="13"/>
  <c r="E886" i="13"/>
  <c r="E1367" i="13"/>
  <c r="E2035" i="13"/>
  <c r="E2768" i="13"/>
  <c r="E3481" i="13"/>
  <c r="E4425" i="13"/>
  <c r="E5214" i="13"/>
  <c r="E6501" i="13"/>
  <c r="E8487" i="13"/>
  <c r="E12759" i="13"/>
  <c r="E516" i="13"/>
  <c r="E1114" i="13"/>
  <c r="E2014" i="13"/>
  <c r="E3209" i="13"/>
  <c r="E4296" i="13"/>
  <c r="E5683" i="13"/>
  <c r="E8034" i="13"/>
  <c r="E176" i="13"/>
  <c r="E967" i="13"/>
  <c r="E2015" i="13"/>
  <c r="E3075" i="13"/>
  <c r="E4328" i="13"/>
  <c r="E5923" i="13"/>
  <c r="E9205" i="13"/>
  <c r="E467" i="13"/>
  <c r="E1095" i="13"/>
  <c r="E2089" i="13"/>
  <c r="E3278" i="13"/>
  <c r="E4830" i="13"/>
  <c r="E6821" i="13"/>
  <c r="E9984" i="13"/>
  <c r="E1257" i="13"/>
  <c r="E1938" i="13"/>
  <c r="E2738" i="13"/>
  <c r="E3494" i="13"/>
  <c r="E4520" i="13"/>
  <c r="E5601" i="13"/>
  <c r="E7195" i="13"/>
  <c r="E10330" i="13"/>
  <c r="E1260" i="13"/>
  <c r="E1993" i="13"/>
  <c r="E2762" i="13"/>
  <c r="E3706" i="13"/>
  <c r="E4497" i="13"/>
  <c r="E5605" i="13"/>
  <c r="E7341" i="13"/>
  <c r="E10639" i="13"/>
  <c r="E1549" i="13"/>
  <c r="E2113" i="13"/>
  <c r="E2952" i="13"/>
  <c r="E3985" i="13"/>
  <c r="E5021" i="13"/>
  <c r="E6030" i="13"/>
  <c r="E7653" i="13"/>
  <c r="E12351" i="13"/>
  <c r="E1422" i="13"/>
  <c r="E2336" i="13"/>
  <c r="E3568" i="13"/>
  <c r="E4872" i="13"/>
  <c r="E6946" i="13"/>
  <c r="E13713" i="13"/>
  <c r="E783" i="13"/>
  <c r="E1808" i="13"/>
  <c r="E2870" i="13"/>
  <c r="E4362" i="13"/>
  <c r="E6069" i="13"/>
  <c r="E8250" i="13"/>
  <c r="E2927" i="13"/>
  <c r="E3887" i="13"/>
  <c r="E4957" i="13"/>
  <c r="E5871" i="13"/>
  <c r="E7656" i="13"/>
  <c r="E12856" i="13"/>
  <c r="E3858" i="13"/>
  <c r="E4960" i="13"/>
  <c r="E6251" i="13"/>
  <c r="E8263" i="13"/>
  <c r="E3235" i="13"/>
  <c r="E4551" i="13"/>
  <c r="E5899" i="13"/>
  <c r="E8098" i="13"/>
  <c r="E2948" i="13"/>
  <c r="E4356" i="13"/>
  <c r="E5697" i="13"/>
  <c r="E7669" i="13"/>
  <c r="E2341" i="13"/>
  <c r="E3573" i="13"/>
  <c r="E5408" i="13"/>
  <c r="E7453" i="13"/>
  <c r="E9138" i="13"/>
  <c r="E10157" i="13"/>
  <c r="E10604" i="13"/>
  <c r="E7566" i="13"/>
  <c r="E5526" i="13"/>
  <c r="E8352" i="13"/>
  <c r="E6361" i="13"/>
  <c r="E11005" i="13"/>
  <c r="E9529" i="13"/>
  <c r="E7983" i="13"/>
  <c r="E6440" i="13"/>
  <c r="E5226" i="13"/>
  <c r="E8612" i="13"/>
  <c r="E13848" i="13"/>
  <c r="E8395" i="13"/>
  <c r="E8755" i="13"/>
  <c r="E14021" i="13"/>
  <c r="E9912" i="13"/>
  <c r="E11448" i="13"/>
  <c r="E10948" i="13"/>
  <c r="E12508" i="13"/>
  <c r="E11979" i="13"/>
  <c r="E12699" i="13"/>
  <c r="E12483" i="13"/>
  <c r="E13485" i="13"/>
  <c r="B72" i="7"/>
  <c r="B74" i="7"/>
  <c r="E1376" i="13"/>
  <c r="E970" i="13"/>
  <c r="E281" i="13"/>
  <c r="E7229" i="13"/>
  <c r="E5752" i="13"/>
  <c r="E556" i="13"/>
  <c r="E10764" i="13"/>
  <c r="E7486" i="13"/>
  <c r="E3005" i="13"/>
  <c r="E2531" i="13"/>
  <c r="E2243" i="13"/>
  <c r="E2244" i="13"/>
  <c r="E525" i="13"/>
  <c r="E526" i="13"/>
  <c r="E297" i="13"/>
  <c r="E1264" i="13"/>
  <c r="E1591" i="13"/>
  <c r="E5191" i="13"/>
  <c r="E2669" i="13"/>
  <c r="E4107" i="13"/>
  <c r="E1242" i="13"/>
  <c r="E4272" i="13"/>
  <c r="E1314" i="13"/>
  <c r="E6414" i="13"/>
  <c r="E2367" i="13"/>
  <c r="E69" i="13"/>
  <c r="E2444" i="13"/>
  <c r="E4976" i="13"/>
  <c r="E1270" i="13"/>
  <c r="E6007" i="13"/>
  <c r="E9163" i="13"/>
  <c r="E8169" i="13"/>
  <c r="E1346" i="13"/>
  <c r="E4393" i="13"/>
  <c r="E7931" i="13"/>
  <c r="E2857" i="13"/>
  <c r="E948" i="13"/>
  <c r="E9074" i="13"/>
  <c r="E3248" i="13"/>
  <c r="E1193" i="13"/>
  <c r="E5490" i="13"/>
  <c r="E1976" i="13"/>
  <c r="E7291" i="13"/>
  <c r="E2929" i="13"/>
  <c r="E7612" i="13"/>
  <c r="E2166" i="13"/>
  <c r="E12970" i="13"/>
  <c r="E2846" i="13"/>
  <c r="E8195" i="13"/>
  <c r="E4923" i="13"/>
  <c r="E7625" i="13"/>
  <c r="E4909" i="13"/>
  <c r="E3219" i="13"/>
  <c r="E4419" i="13"/>
  <c r="E2612" i="13"/>
  <c r="E4164" i="13"/>
  <c r="E5590" i="13"/>
  <c r="E7636" i="13"/>
  <c r="E5185" i="13"/>
  <c r="E7240" i="13"/>
  <c r="E9093" i="13"/>
  <c r="E10053" i="13"/>
  <c r="E9170" i="13"/>
  <c r="E7514" i="13"/>
  <c r="E5509" i="13"/>
  <c r="E8321" i="13"/>
  <c r="E6276" i="13"/>
  <c r="E9779" i="13"/>
  <c r="E8984" i="13"/>
  <c r="E7609" i="13"/>
  <c r="E6422" i="13"/>
  <c r="E5210" i="13"/>
  <c r="E13053" i="13"/>
  <c r="E12603" i="13"/>
  <c r="E8191" i="13"/>
  <c r="E8669" i="13"/>
  <c r="E13938" i="13"/>
  <c r="E14240" i="13"/>
  <c r="E11395" i="13"/>
  <c r="E10914" i="13"/>
  <c r="E11896" i="13"/>
  <c r="E11552" i="13"/>
  <c r="E200" i="13"/>
  <c r="E2154" i="13"/>
  <c r="E9841" i="13"/>
  <c r="E1592" i="13"/>
  <c r="E6706" i="13"/>
  <c r="E1703" i="13"/>
  <c r="E5060" i="13"/>
  <c r="E1168" i="13"/>
  <c r="E4044" i="13"/>
  <c r="E731" i="13"/>
  <c r="E4249" i="13"/>
  <c r="E422" i="13"/>
  <c r="E3390" i="13"/>
  <c r="E104" i="13"/>
  <c r="E2658" i="13"/>
  <c r="E161" i="13"/>
  <c r="E2068" i="13"/>
  <c r="E9143" i="13"/>
  <c r="E1538" i="13"/>
  <c r="E6472" i="13"/>
  <c r="E1639" i="13"/>
  <c r="E4942" i="13"/>
  <c r="E1106" i="13"/>
  <c r="E3969" i="13"/>
  <c r="E697" i="13"/>
  <c r="E4140" i="13"/>
  <c r="E382" i="13"/>
  <c r="E3297" i="13"/>
  <c r="E76" i="13"/>
  <c r="E2579" i="13"/>
  <c r="E135" i="13"/>
  <c r="E1999" i="13"/>
  <c r="E8647" i="13"/>
  <c r="E1344" i="13"/>
  <c r="E5845" i="13"/>
  <c r="E1776" i="13"/>
  <c r="E3159" i="13"/>
  <c r="E6147" i="13"/>
  <c r="E1077" i="13"/>
  <c r="E2663" i="13"/>
  <c r="E5126" i="13"/>
  <c r="E11816" i="13"/>
  <c r="E1128" i="13"/>
  <c r="E2358" i="13"/>
  <c r="E4582" i="13"/>
  <c r="E13477" i="13"/>
  <c r="E854" i="13"/>
  <c r="E2363" i="13"/>
  <c r="E4016" i="13"/>
  <c r="E8739" i="13"/>
  <c r="E855" i="13"/>
  <c r="E2022" i="13"/>
  <c r="E4026" i="13"/>
  <c r="E7100" i="13"/>
  <c r="E606" i="13"/>
  <c r="E2023" i="13"/>
  <c r="E3501" i="13"/>
  <c r="E7101" i="13"/>
  <c r="E373" i="13"/>
  <c r="E1690" i="13"/>
  <c r="E3504" i="13"/>
  <c r="E5884" i="13"/>
  <c r="E374" i="13"/>
  <c r="E1365" i="13"/>
  <c r="E3050" i="13"/>
  <c r="E5889" i="13"/>
  <c r="E220" i="13"/>
  <c r="E936" i="13"/>
  <c r="E1659" i="13"/>
  <c r="E2691" i="13"/>
  <c r="E4017" i="13"/>
  <c r="E5334" i="13"/>
  <c r="E8868" i="13"/>
  <c r="E258" i="13"/>
  <c r="E979" i="13"/>
  <c r="E1748" i="13"/>
  <c r="E2752" i="13"/>
  <c r="E4097" i="13"/>
  <c r="E5452" i="13"/>
  <c r="E9228" i="13"/>
  <c r="E4270" i="13"/>
  <c r="E6190" i="13"/>
  <c r="E12981" i="13"/>
  <c r="E510" i="13"/>
  <c r="E1313" i="13"/>
  <c r="E2107" i="13"/>
  <c r="E3224" i="13"/>
  <c r="E4660" i="13"/>
  <c r="E6413" i="13"/>
  <c r="E16" i="13"/>
  <c r="E589" i="13"/>
  <c r="E1381" i="13"/>
  <c r="E2366" i="13"/>
  <c r="E3322" i="13"/>
  <c r="E4779" i="13"/>
  <c r="E6790" i="13"/>
  <c r="E67" i="13"/>
  <c r="E763" i="13"/>
  <c r="E1450" i="13"/>
  <c r="E2443" i="13"/>
  <c r="E3466" i="13"/>
  <c r="E4908" i="13"/>
  <c r="E7688" i="13"/>
  <c r="E118" i="13"/>
  <c r="E819" i="13"/>
  <c r="E1554" i="13"/>
  <c r="E2519" i="13"/>
  <c r="E3815" i="13"/>
  <c r="E5041" i="13"/>
  <c r="E7996" i="13"/>
  <c r="E5085" i="13"/>
  <c r="E6231" i="13"/>
  <c r="E8040" i="13"/>
  <c r="E11246" i="13"/>
  <c r="E358" i="13"/>
  <c r="E750" i="13"/>
  <c r="E1317" i="13"/>
  <c r="E1982" i="13"/>
  <c r="E2534" i="13"/>
  <c r="E3402" i="13"/>
  <c r="E4184" i="13"/>
  <c r="E5137" i="13"/>
  <c r="E6370" i="13"/>
  <c r="E7778" i="13"/>
  <c r="E11948" i="13"/>
  <c r="E5775" i="13"/>
  <c r="E7314" i="13"/>
  <c r="E10269" i="13"/>
  <c r="E4392" i="13"/>
  <c r="E5397" i="13"/>
  <c r="E6500" i="13"/>
  <c r="E8370" i="13"/>
  <c r="E37" i="13"/>
  <c r="E412" i="13"/>
  <c r="E906" i="13"/>
  <c r="E1414" i="13"/>
  <c r="E2059" i="13"/>
  <c r="E2794" i="13"/>
  <c r="E3512" i="13"/>
  <c r="E4460" i="13"/>
  <c r="E5288" i="13"/>
  <c r="E6561" i="13"/>
  <c r="E8589" i="13"/>
  <c r="E13116" i="13"/>
  <c r="E533" i="13"/>
  <c r="E1159" i="13"/>
  <c r="E2036" i="13"/>
  <c r="E3245" i="13"/>
  <c r="E4327" i="13"/>
  <c r="E5879" i="13"/>
  <c r="E8592" i="13"/>
  <c r="E193" i="13"/>
  <c r="E987" i="13"/>
  <c r="E2038" i="13"/>
  <c r="E3246" i="13"/>
  <c r="E4462" i="13"/>
  <c r="E5975" i="13"/>
  <c r="E9330" i="13"/>
  <c r="E484" i="13"/>
  <c r="E1234" i="13"/>
  <c r="E2162" i="13"/>
  <c r="E3319" i="13"/>
  <c r="E4863" i="13"/>
  <c r="E6949" i="13"/>
  <c r="E10320" i="13"/>
  <c r="E1305" i="13"/>
  <c r="E1955" i="13"/>
  <c r="E2759" i="13"/>
  <c r="E3750" i="13"/>
  <c r="E4543" i="13"/>
  <c r="E5694" i="13"/>
  <c r="E7246" i="13"/>
  <c r="E10633" i="13"/>
  <c r="E1292" i="13"/>
  <c r="E2010" i="13"/>
  <c r="E2823" i="13"/>
  <c r="E3728" i="13"/>
  <c r="E4770" i="13"/>
  <c r="E5638" i="13"/>
  <c r="E7380" i="13"/>
  <c r="E11140" i="13"/>
  <c r="E1581" i="13"/>
  <c r="E2199" i="13"/>
  <c r="E2972" i="13"/>
  <c r="E4010" i="13"/>
  <c r="E5094" i="13"/>
  <c r="E6241" i="13"/>
  <c r="E7710" i="13"/>
  <c r="E12601" i="13"/>
  <c r="E1454" i="13"/>
  <c r="E2547" i="13"/>
  <c r="E3614" i="13"/>
  <c r="E4899" i="13"/>
  <c r="E6993" i="13"/>
  <c r="E15" i="13"/>
  <c r="E991" i="13"/>
  <c r="E1894" i="13"/>
  <c r="E2890" i="13"/>
  <c r="E4384" i="13"/>
  <c r="E6141" i="13"/>
  <c r="E8471" i="13"/>
  <c r="E2959" i="13"/>
  <c r="E3903" i="13"/>
  <c r="E4974" i="13"/>
  <c r="E6245" i="13"/>
  <c r="E7692" i="13"/>
  <c r="E14408" i="13"/>
  <c r="E3874" i="13"/>
  <c r="E4977" i="13"/>
  <c r="E6325" i="13"/>
  <c r="E8511" i="13"/>
  <c r="E3267" i="13"/>
  <c r="E4637" i="13"/>
  <c r="E5920" i="13"/>
  <c r="E8141" i="13"/>
  <c r="E3044" i="13"/>
  <c r="E4372" i="13"/>
  <c r="E5719" i="13"/>
  <c r="E8725" i="13"/>
  <c r="E2357" i="13"/>
  <c r="E3589" i="13"/>
  <c r="E5426" i="13"/>
  <c r="E8144" i="13"/>
  <c r="E9225" i="13"/>
  <c r="E10595" i="13"/>
  <c r="E10742" i="13"/>
  <c r="E7596" i="13"/>
  <c r="E5543" i="13"/>
  <c r="E8388" i="13"/>
  <c r="E6983" i="13"/>
  <c r="E11170" i="13"/>
  <c r="E9562" i="13"/>
  <c r="E8005" i="13"/>
  <c r="E6824" i="13"/>
  <c r="E6154" i="13"/>
  <c r="E8663" i="13"/>
  <c r="E8104" i="13"/>
  <c r="E8532" i="13"/>
  <c r="E8789" i="13"/>
  <c r="E10848" i="13"/>
  <c r="E10049" i="13"/>
  <c r="E11479" i="13"/>
  <c r="E10965" i="13"/>
  <c r="E12567" i="13"/>
  <c r="E10513" i="13"/>
  <c r="E13631" i="13"/>
  <c r="E13165" i="13"/>
  <c r="E13517" i="13"/>
  <c r="C5" i="11"/>
  <c r="B15" i="7"/>
  <c r="B6" i="11"/>
  <c r="F65" i="9"/>
  <c r="B34" i="7"/>
  <c r="D7" i="11"/>
  <c r="F7" i="11" s="1"/>
  <c r="B61" i="7"/>
  <c r="B60" i="7"/>
  <c r="E5939" i="13"/>
  <c r="E2923" i="13"/>
  <c r="E1844" i="13"/>
  <c r="E4515" i="13"/>
  <c r="E2841" i="13"/>
  <c r="E6974" i="13"/>
  <c r="E1335" i="13"/>
  <c r="E4280" i="13"/>
  <c r="E760" i="13"/>
  <c r="E1906" i="13"/>
  <c r="E3351" i="13"/>
  <c r="E5568" i="13"/>
  <c r="E171" i="13"/>
  <c r="E8423" i="13"/>
  <c r="E3744" i="13"/>
  <c r="E9539" i="13"/>
  <c r="E6191" i="13"/>
  <c r="E2118" i="13"/>
  <c r="E18" i="13"/>
  <c r="E6791" i="13"/>
  <c r="E3467" i="13"/>
  <c r="E10738" i="13"/>
  <c r="E3339" i="13"/>
  <c r="E11371" i="13"/>
  <c r="E5326" i="13"/>
  <c r="E867" i="13"/>
  <c r="E3441" i="13"/>
  <c r="E12283" i="13"/>
  <c r="E5637" i="13"/>
  <c r="E2892" i="13"/>
  <c r="E398" i="13"/>
  <c r="E4787" i="13"/>
  <c r="E3447" i="13"/>
  <c r="E9152" i="13"/>
  <c r="E4449" i="13"/>
  <c r="E2096" i="13"/>
  <c r="E3384" i="13"/>
  <c r="E3842" i="13"/>
  <c r="E14770" i="13"/>
  <c r="E269" i="13"/>
  <c r="E2272" i="13"/>
  <c r="E11277" i="13"/>
  <c r="E1804" i="13"/>
  <c r="E7141" i="13"/>
  <c r="E1810" i="13"/>
  <c r="E5341" i="13"/>
  <c r="E1268" i="13"/>
  <c r="E4443" i="13"/>
  <c r="E794" i="13"/>
  <c r="E4446" i="13"/>
  <c r="E474" i="13"/>
  <c r="E3542" i="13"/>
  <c r="E230" i="13"/>
  <c r="E2787" i="13"/>
  <c r="E231" i="13"/>
  <c r="E2176" i="13"/>
  <c r="E10179" i="13"/>
  <c r="E1749" i="13"/>
  <c r="E6890" i="13"/>
  <c r="E1750" i="13"/>
  <c r="E5203" i="13"/>
  <c r="E1219" i="13"/>
  <c r="E4345" i="13"/>
  <c r="E749" i="13"/>
  <c r="E4346" i="13"/>
  <c r="E436" i="13"/>
  <c r="E3462" i="13"/>
  <c r="E186" i="13"/>
  <c r="E2716" i="13"/>
  <c r="E197" i="13"/>
  <c r="E2121" i="13"/>
  <c r="E9508" i="13"/>
  <c r="E1568" i="13"/>
  <c r="E6183" i="13"/>
  <c r="E1833" i="13"/>
  <c r="E3239" i="13"/>
  <c r="E6360" i="13"/>
  <c r="E1188" i="13"/>
  <c r="E2733" i="13"/>
  <c r="E5260" i="13"/>
  <c r="E13467" i="13"/>
  <c r="E1191" i="13"/>
  <c r="E2479" i="13"/>
  <c r="E4691" i="13"/>
  <c r="E24" i="13"/>
  <c r="E893" i="13"/>
  <c r="E2424" i="13"/>
  <c r="E4202" i="13"/>
  <c r="E9146" i="13"/>
  <c r="E897" i="13"/>
  <c r="E2083" i="13"/>
  <c r="E4102" i="13"/>
  <c r="E7529" i="13"/>
  <c r="E647" i="13"/>
  <c r="E2090" i="13"/>
  <c r="E3590" i="13"/>
  <c r="E7348" i="13"/>
  <c r="E453" i="13"/>
  <c r="E1738" i="13"/>
  <c r="E3595" i="13"/>
  <c r="E6047" i="13"/>
  <c r="E410" i="13"/>
  <c r="E1474" i="13"/>
  <c r="E3116" i="13"/>
  <c r="E6048" i="13"/>
  <c r="E248" i="13"/>
  <c r="E964" i="13"/>
  <c r="E1730" i="13"/>
  <c r="E2730" i="13"/>
  <c r="E4071" i="13"/>
  <c r="E5411" i="13"/>
  <c r="E9110" i="13"/>
  <c r="E284" i="13"/>
  <c r="E1013" i="13"/>
  <c r="E1956" i="13"/>
  <c r="E2792" i="13"/>
  <c r="E4144" i="13"/>
  <c r="E5529" i="13"/>
  <c r="E9523" i="13"/>
  <c r="E4592" i="13"/>
  <c r="E6291" i="13"/>
  <c r="E14198" i="13"/>
  <c r="E538" i="13"/>
  <c r="E1345" i="13"/>
  <c r="E2326" i="13"/>
  <c r="E3261" i="13"/>
  <c r="E4719" i="13"/>
  <c r="E6534" i="13"/>
  <c r="E43" i="13"/>
  <c r="E736" i="13"/>
  <c r="E1413" i="13"/>
  <c r="E2398" i="13"/>
  <c r="E3368" i="13"/>
  <c r="E4836" i="13"/>
  <c r="E7550" i="13"/>
  <c r="E94" i="13"/>
  <c r="E787" i="13"/>
  <c r="E1482" i="13"/>
  <c r="E2476" i="13"/>
  <c r="E3767" i="13"/>
  <c r="E4981" i="13"/>
  <c r="E7833" i="13"/>
  <c r="E146" i="13"/>
  <c r="E845" i="13"/>
  <c r="E1755" i="13"/>
  <c r="E2556" i="13"/>
  <c r="E3866" i="13"/>
  <c r="E5103" i="13"/>
  <c r="E8163" i="13"/>
  <c r="E5300" i="13"/>
  <c r="E6288" i="13"/>
  <c r="E8116" i="13"/>
  <c r="E11484" i="13"/>
  <c r="E375" i="13"/>
  <c r="E864" i="13"/>
  <c r="E1339" i="13"/>
  <c r="E2004" i="13"/>
  <c r="E2558" i="13"/>
  <c r="E3437" i="13"/>
  <c r="E4390" i="13"/>
  <c r="E5175" i="13"/>
  <c r="E6426" i="13"/>
  <c r="E7852" i="13"/>
  <c r="E12244" i="13"/>
  <c r="E6051" i="13"/>
  <c r="E7374" i="13"/>
  <c r="E10444" i="13"/>
  <c r="E4423" i="13"/>
  <c r="E5432" i="13"/>
  <c r="E6868" i="13"/>
  <c r="E8486" i="13"/>
  <c r="E54" i="13"/>
  <c r="E429" i="13"/>
  <c r="E925" i="13"/>
  <c r="E1555" i="13"/>
  <c r="E2086" i="13"/>
  <c r="E2827" i="13"/>
  <c r="E3548" i="13"/>
  <c r="E4492" i="13"/>
  <c r="E5511" i="13"/>
  <c r="E6616" i="13"/>
  <c r="E8711" i="13"/>
  <c r="E13820" i="13"/>
  <c r="E550" i="13"/>
  <c r="E1368" i="13"/>
  <c r="E2137" i="13"/>
  <c r="E3276" i="13"/>
  <c r="E4363" i="13"/>
  <c r="E6017" i="13"/>
  <c r="E8811" i="13"/>
  <c r="E278" i="13"/>
  <c r="E1010" i="13"/>
  <c r="E2065" i="13"/>
  <c r="E3345" i="13"/>
  <c r="E4680" i="13"/>
  <c r="E6018" i="13"/>
  <c r="E9482" i="13"/>
  <c r="E501" i="13"/>
  <c r="E1396" i="13"/>
  <c r="E2212" i="13"/>
  <c r="E3350" i="13"/>
  <c r="E4901" i="13"/>
  <c r="E7011" i="13"/>
  <c r="E12783" i="13"/>
  <c r="E1321" i="13"/>
  <c r="E1972" i="13"/>
  <c r="E2778" i="13"/>
  <c r="E3793" i="13"/>
  <c r="E4593" i="13"/>
  <c r="E5727" i="13"/>
  <c r="E7287" i="13"/>
  <c r="E10791" i="13"/>
  <c r="E1468" i="13"/>
  <c r="E2027" i="13"/>
  <c r="E2843" i="13"/>
  <c r="E3753" i="13"/>
  <c r="E4819" i="13"/>
  <c r="E5702" i="13"/>
  <c r="E7431" i="13"/>
  <c r="E11278" i="13"/>
  <c r="E1597" i="13"/>
  <c r="E2335" i="13"/>
  <c r="E2993" i="13"/>
  <c r="E4032" i="13"/>
  <c r="E5121" i="13"/>
  <c r="E6312" i="13"/>
  <c r="E8074" i="13"/>
  <c r="E12894" i="13"/>
  <c r="E1470" i="13"/>
  <c r="E2568" i="13"/>
  <c r="E3755" i="13"/>
  <c r="E5122" i="13"/>
  <c r="E7076" i="13"/>
  <c r="E95" i="13"/>
  <c r="E1135" i="13"/>
  <c r="E1928" i="13"/>
  <c r="E3082" i="13"/>
  <c r="E4409" i="13"/>
  <c r="E6210" i="13"/>
  <c r="E9925" i="13"/>
  <c r="E3039" i="13"/>
  <c r="E3983" i="13"/>
  <c r="E4991" i="13"/>
  <c r="E6293" i="13"/>
  <c r="E8443" i="13"/>
  <c r="E3090" i="13"/>
  <c r="E4130" i="13"/>
  <c r="E5199" i="13"/>
  <c r="E6686" i="13"/>
  <c r="E9293" i="13"/>
  <c r="E3635" i="13"/>
  <c r="E4773" i="13"/>
  <c r="E6380" i="13"/>
  <c r="E9113" i="13"/>
  <c r="E3060" i="13"/>
  <c r="E4388" i="13"/>
  <c r="E5742" i="13"/>
  <c r="E8835" i="13"/>
  <c r="E2373" i="13"/>
  <c r="E3621" i="13"/>
  <c r="E5444" i="13"/>
  <c r="E8230" i="13"/>
  <c r="E9506" i="13"/>
  <c r="E10732" i="13"/>
  <c r="E10831" i="13"/>
  <c r="E7621" i="13"/>
  <c r="E5560" i="13"/>
  <c r="E9443" i="13"/>
  <c r="E7019" i="13"/>
  <c r="E11228" i="13"/>
  <c r="E9602" i="13"/>
  <c r="E8025" i="13"/>
  <c r="E7984" i="13"/>
  <c r="E6753" i="13"/>
  <c r="E9036" i="13"/>
  <c r="E8189" i="13"/>
  <c r="E8549" i="13"/>
  <c r="E10435" i="13"/>
  <c r="E10891" i="13"/>
  <c r="E10066" i="13"/>
  <c r="E11563" i="13"/>
  <c r="E10982" i="13"/>
  <c r="E12642" i="13"/>
  <c r="E10641" i="13"/>
  <c r="E14193" i="13"/>
  <c r="E13250" i="13"/>
  <c r="E14237" i="13"/>
  <c r="E8115" i="13"/>
  <c r="E866" i="13"/>
  <c r="E3696" i="13"/>
  <c r="E3066" i="13"/>
  <c r="E2408" i="13"/>
  <c r="E1318" i="13"/>
  <c r="E916" i="13"/>
  <c r="E254" i="13"/>
  <c r="E2345" i="13"/>
  <c r="E1127" i="13"/>
  <c r="E5840" i="13"/>
  <c r="E10160" i="13"/>
  <c r="E4391" i="13"/>
  <c r="E8050" i="13"/>
  <c r="E6610" i="13"/>
  <c r="E6628" i="13"/>
  <c r="E1575" i="13"/>
  <c r="E299" i="13"/>
  <c r="E4812" i="13"/>
  <c r="E2609" i="13"/>
  <c r="E212" i="13"/>
  <c r="E1640" i="13"/>
  <c r="E8744" i="13"/>
  <c r="E461" i="13"/>
  <c r="E3117" i="13"/>
  <c r="E513" i="13"/>
  <c r="E3225" i="13"/>
  <c r="E590" i="13"/>
  <c r="E3323" i="13"/>
  <c r="E764" i="13"/>
  <c r="E7691" i="13"/>
  <c r="E6126" i="13"/>
  <c r="E324" i="13"/>
  <c r="E1809" i="13"/>
  <c r="E4086" i="13"/>
  <c r="E7630" i="13"/>
  <c r="E7186" i="13"/>
  <c r="E6321" i="13"/>
  <c r="E378" i="13"/>
  <c r="E2594" i="13"/>
  <c r="E6446" i="13"/>
  <c r="E1093" i="13"/>
  <c r="E4256" i="13"/>
  <c r="E158" i="13"/>
  <c r="E4190" i="13"/>
  <c r="E1988" i="13"/>
  <c r="E9833" i="13"/>
  <c r="E1921" i="13"/>
  <c r="E4493" i="13"/>
  <c r="E1244" i="13"/>
  <c r="E3659" i="13"/>
  <c r="E10131" i="13"/>
  <c r="E3963" i="13"/>
  <c r="E5902" i="13"/>
  <c r="E1406" i="13"/>
  <c r="E6901" i="13"/>
  <c r="E1743" i="13"/>
  <c r="E4337" i="13"/>
  <c r="E2879" i="13"/>
  <c r="E5824" i="13"/>
  <c r="E6155" i="13"/>
  <c r="E7912" i="13"/>
  <c r="E2133" i="13"/>
  <c r="E12355" i="13"/>
  <c r="E336" i="13"/>
  <c r="E2380" i="13"/>
  <c r="E30" i="13"/>
  <c r="E2498" i="13"/>
  <c r="E7618" i="13"/>
  <c r="E1923" i="13"/>
  <c r="E5584" i="13"/>
  <c r="E1379" i="13"/>
  <c r="E5950" i="13"/>
  <c r="E877" i="13"/>
  <c r="E4645" i="13"/>
  <c r="E545" i="13"/>
  <c r="E3723" i="13"/>
  <c r="E616" i="13"/>
  <c r="E2935" i="13"/>
  <c r="E301" i="13"/>
  <c r="E2304" i="13"/>
  <c r="E11833" i="13"/>
  <c r="E2445" i="13"/>
  <c r="E7365" i="13"/>
  <c r="E1871" i="13"/>
  <c r="E5445" i="13"/>
  <c r="E1330" i="13"/>
  <c r="E5756" i="13"/>
  <c r="E826" i="13"/>
  <c r="E4528" i="13"/>
  <c r="E505" i="13"/>
  <c r="E3628" i="13"/>
  <c r="E577" i="13"/>
  <c r="E2862" i="13"/>
  <c r="E263" i="13"/>
  <c r="E2231" i="13"/>
  <c r="E10793" i="13"/>
  <c r="E2242" i="13"/>
  <c r="E6588" i="13"/>
  <c r="E1883" i="13"/>
  <c r="E3320" i="13"/>
  <c r="E6582" i="13"/>
  <c r="E1504" i="13"/>
  <c r="E2793" i="13"/>
  <c r="E5375" i="13"/>
  <c r="E52" i="13"/>
  <c r="E1239" i="13"/>
  <c r="E2875" i="13"/>
  <c r="E4801" i="13"/>
  <c r="E53" i="13"/>
  <c r="E940" i="13"/>
  <c r="E2488" i="13"/>
  <c r="E4802" i="13"/>
  <c r="E9717" i="13"/>
  <c r="E944" i="13"/>
  <c r="E2135" i="13"/>
  <c r="E4203" i="13"/>
  <c r="E9729" i="13"/>
  <c r="E683" i="13"/>
  <c r="E2140" i="13"/>
  <c r="E3675" i="13"/>
  <c r="E7540" i="13"/>
  <c r="E693" i="13"/>
  <c r="E1800" i="13"/>
  <c r="E3676" i="13"/>
  <c r="E6247" i="13"/>
  <c r="E454" i="13"/>
  <c r="E1801" i="13"/>
  <c r="E3198" i="13"/>
  <c r="E6255" i="13"/>
  <c r="E270" i="13"/>
  <c r="E996" i="13"/>
  <c r="E1946" i="13"/>
  <c r="E2775" i="13"/>
  <c r="E4134" i="13"/>
  <c r="E5487" i="13"/>
  <c r="E9382" i="13"/>
  <c r="E334" i="13"/>
  <c r="E1042" i="13"/>
  <c r="E1998" i="13"/>
  <c r="E2838" i="13"/>
  <c r="E4205" i="13"/>
  <c r="E5699" i="13"/>
  <c r="E9837" i="13"/>
  <c r="E4659" i="13"/>
  <c r="E6412" i="13"/>
  <c r="E14" i="13"/>
  <c r="E10" i="13" s="1"/>
  <c r="B17" i="7" s="1"/>
  <c r="E588" i="13"/>
  <c r="E1380" i="13"/>
  <c r="E2364" i="13"/>
  <c r="E3321" i="13"/>
  <c r="E4768" i="13"/>
  <c r="E6778" i="13"/>
  <c r="E66" i="13"/>
  <c r="E762" i="13"/>
  <c r="E1448" i="13"/>
  <c r="E2442" i="13"/>
  <c r="E3465" i="13"/>
  <c r="E4907" i="13"/>
  <c r="E7683" i="13"/>
  <c r="E117" i="13"/>
  <c r="E818" i="13"/>
  <c r="E1553" i="13"/>
  <c r="E2518" i="13"/>
  <c r="E3814" i="13"/>
  <c r="E5033" i="13"/>
  <c r="E7992" i="13"/>
  <c r="E196" i="13"/>
  <c r="E876" i="13"/>
  <c r="E1795" i="13"/>
  <c r="E2602" i="13"/>
  <c r="E3913" i="13"/>
  <c r="E5241" i="13"/>
  <c r="E8347" i="13"/>
  <c r="E5333" i="13"/>
  <c r="E6338" i="13"/>
  <c r="E8210" i="13"/>
  <c r="E12087" i="13"/>
  <c r="E392" i="13"/>
  <c r="E883" i="13"/>
  <c r="E1364" i="13"/>
  <c r="E2032" i="13"/>
  <c r="E2617" i="13"/>
  <c r="E3469" i="13"/>
  <c r="E4417" i="13"/>
  <c r="E5208" i="13"/>
  <c r="E6486" i="13"/>
  <c r="E8000" i="13"/>
  <c r="E12664" i="13"/>
  <c r="E6113" i="13"/>
  <c r="E7442" i="13"/>
  <c r="E10635" i="13"/>
  <c r="E4491" i="13"/>
  <c r="E5469" i="13"/>
  <c r="E6923" i="13"/>
  <c r="E8587" i="13"/>
  <c r="E71" i="13"/>
  <c r="E464" i="13"/>
  <c r="E946" i="13"/>
  <c r="E1576" i="13"/>
  <c r="E2108" i="13"/>
  <c r="E2856" i="13"/>
  <c r="E3611" i="13"/>
  <c r="E4531" i="13"/>
  <c r="E5548" i="13"/>
  <c r="E6674" i="13"/>
  <c r="E8810" i="13"/>
  <c r="E38" i="13"/>
  <c r="E567" i="13"/>
  <c r="E1441" i="13"/>
  <c r="E2209" i="13"/>
  <c r="E3308" i="13"/>
  <c r="E4426" i="13"/>
  <c r="E6070" i="13"/>
  <c r="E8954" i="13"/>
  <c r="E414" i="13"/>
  <c r="E1030" i="13"/>
  <c r="E2088" i="13"/>
  <c r="E3377" i="13"/>
  <c r="E4753" i="13"/>
  <c r="E6389" i="13"/>
  <c r="E9629" i="13"/>
  <c r="E518" i="13"/>
  <c r="E1418" i="13"/>
  <c r="E2362" i="13"/>
  <c r="E3484" i="13"/>
  <c r="E4934" i="13"/>
  <c r="E7070" i="13"/>
  <c r="E809" i="13"/>
  <c r="E1353" i="13"/>
  <c r="E2041" i="13"/>
  <c r="E2797" i="13"/>
  <c r="E3818" i="13"/>
  <c r="E4866" i="13"/>
  <c r="E5759" i="13"/>
  <c r="E7467" i="13"/>
  <c r="E10934" i="13"/>
  <c r="E1500" i="13"/>
  <c r="E2061" i="13"/>
  <c r="E2864" i="13"/>
  <c r="E3847" i="13"/>
  <c r="E4847" i="13"/>
  <c r="E6063" i="13"/>
  <c r="E7470" i="13"/>
  <c r="E11486" i="13"/>
  <c r="E1661" i="13"/>
  <c r="E2369" i="13"/>
  <c r="E3036" i="13"/>
  <c r="E4057" i="13"/>
  <c r="E5143" i="13"/>
  <c r="E6474" i="13"/>
  <c r="E8459" i="13"/>
  <c r="E13282" i="13"/>
  <c r="E1486" i="13"/>
  <c r="E2587" i="13"/>
  <c r="E3990" i="13"/>
  <c r="E5222" i="13"/>
  <c r="E7306" i="13"/>
  <c r="E111" i="13"/>
  <c r="E1151" i="13"/>
  <c r="E2030" i="13"/>
  <c r="E3150" i="13"/>
  <c r="E4456" i="13"/>
  <c r="E6396" i="13"/>
  <c r="E10699" i="13"/>
  <c r="E3071" i="13"/>
  <c r="E4095" i="13"/>
  <c r="E5008" i="13"/>
  <c r="E6344" i="13"/>
  <c r="E8762" i="13"/>
  <c r="E3122" i="13"/>
  <c r="E4194" i="13"/>
  <c r="E5335" i="13"/>
  <c r="E6995" i="13"/>
  <c r="E9813" i="13"/>
  <c r="E3667" i="13"/>
  <c r="E4995" i="13"/>
  <c r="E6577" i="13"/>
  <c r="E9236" i="13"/>
  <c r="E3076" i="13"/>
  <c r="E4404" i="13"/>
  <c r="E6205" i="13"/>
  <c r="E9314" i="13"/>
  <c r="E2389" i="13"/>
  <c r="E3941" i="13"/>
  <c r="E5462" i="13"/>
  <c r="E8837" i="13"/>
  <c r="E10632" i="13"/>
  <c r="E11102" i="13"/>
  <c r="E10889" i="13"/>
  <c r="E7651" i="13"/>
  <c r="E6087" i="13"/>
  <c r="E9542" i="13"/>
  <c r="E7037" i="13"/>
  <c r="E11512" i="13"/>
  <c r="E9635" i="13"/>
  <c r="E9154" i="13"/>
  <c r="E8026" i="13"/>
  <c r="E6771" i="13"/>
  <c r="E9194" i="13"/>
  <c r="E8326" i="13"/>
  <c r="E9972" i="13"/>
  <c r="E10695" i="13"/>
  <c r="E10919" i="13"/>
  <c r="E10152" i="13"/>
  <c r="E11901" i="13"/>
  <c r="E14110" i="13"/>
  <c r="E13348" i="13"/>
  <c r="E10657" i="13"/>
  <c r="E14224" i="13"/>
  <c r="E13267" i="13"/>
  <c r="B9" i="11"/>
  <c r="F72" i="9"/>
  <c r="B92" i="7"/>
  <c r="D6" i="11" l="1"/>
  <c r="F6" i="11" s="1"/>
  <c r="B36" i="7"/>
  <c r="B35" i="7"/>
  <c r="D9" i="11"/>
  <c r="F9" i="11" s="1"/>
  <c r="B94" i="7"/>
  <c r="B93" i="7"/>
  <c r="C8" i="11"/>
  <c r="B73" i="7"/>
  <c r="B5" i="11"/>
  <c r="B18" i="7"/>
  <c r="F61" i="9"/>
  <c r="E7" i="11"/>
  <c r="G67" i="9"/>
  <c r="B20" i="11"/>
  <c r="E6" i="11" l="1"/>
  <c r="G65" i="9"/>
  <c r="B19" i="11"/>
  <c r="E9" i="11"/>
  <c r="G72" i="9"/>
  <c r="B22" i="11"/>
  <c r="D5" i="11"/>
  <c r="F5" i="11" s="1"/>
  <c r="B20" i="7"/>
  <c r="B19" i="7"/>
  <c r="F69" i="9"/>
  <c r="B8" i="11"/>
  <c r="B76" i="7"/>
  <c r="E5" i="11" l="1"/>
  <c r="G61" i="9"/>
  <c r="B18" i="11"/>
  <c r="B78" i="7"/>
  <c r="D8" i="11"/>
  <c r="F8" i="11" s="1"/>
  <c r="B77" i="7"/>
  <c r="E8" i="11" l="1"/>
  <c r="G69" i="9"/>
  <c r="B21" i="11"/>
</calcChain>
</file>

<file path=xl/sharedStrings.xml><?xml version="1.0" encoding="utf-8"?>
<sst xmlns="http://schemas.openxmlformats.org/spreadsheetml/2006/main" count="6295" uniqueCount="806">
  <si>
    <t>Analyse des données d'un mémoire (TFE) – Version Excel</t>
  </si>
  <si>
    <t>Fréquence et facteurs associés à la prééclampsie chez les femmes enceintes – structure hospitalière de Kara, Togo (étude transversale analytique, données simulées)</t>
  </si>
  <si>
    <t>Avertissement : toutes les données sont entièrement synthétiques (fictives), créées pour l'enseignement. Aucun résultat ne doit être cité comme une donnée réelle.</t>
  </si>
  <si>
    <t>Ce classeur reprend l'analyse complète du script R « 02_analyse_TFE.R »</t>
  </si>
  <si>
    <t>•  Fonctionne dans Microsoft Excel 2016 et versions ultérieures. Aucune macro, aucun complément : uniquement des formules classiques (COUNTIFS, AVERAGEIFS, SUMPRODUCT, MEDIAN, QUARTILE, CHITEST, HYPGEOMDIST, BETADIST…).</t>
  </si>
  <si>
    <t>•  Tous les résultats sont des formules : si vous modifiez une valeur dans la feuille Donnees, les tableaux, tests et graphiques se recalculent automatiquement (calcul automatique activé).</t>
  </si>
  <si>
    <t>•  Une cellule vide dans Donnees = valeur manquante (NA dans R). Ne tapez pas « NA » ni « 0 » à la place d'une valeur manquante.</t>
  </si>
  <si>
    <t>•  Ne modifiez pas les cellules des feuilles d'analyse : elles contiennent les formules. Les cellules de la feuille Donnees (colonnes A à V) sont les seules à saisir.</t>
  </si>
  <si>
    <t>•  Les colonnes W à AB de la feuille Donnees sont calculées par formule (tranches d'âge, groupes de parité, etc.), comme les fonctions cut() dans R.</t>
  </si>
  <si>
    <t>•  Tests exacts de Fisher : 2 × 2 (Q6, Q7, Q9) calculés pour toutes données ; tableaux 4 × 2 (Q5) et 3 × 2 (Q8) calculés par énumération (feuilles Fisher_Q5 et Fisher_Q8), valables pour les effectifs actuels : un message d'alerte s'affiche si les marges changent.</t>
  </si>
  <si>
    <t>Correspondance avec le script R et la fiche des 10 questions</t>
  </si>
  <si>
    <t>Feuille</t>
  </si>
  <si>
    <t>Contenu</t>
  </si>
  <si>
    <t>Questions / sections R</t>
  </si>
  <si>
    <t>Donnees</t>
  </si>
  <si>
    <t>400 femmes, 22 variables + 6 colonnes calculées</t>
  </si>
  <si>
    <t>Section 1 (importation)</t>
  </si>
  <si>
    <t>Dictionnaire</t>
  </si>
  <si>
    <t>Signification, type, codage et manquants</t>
  </si>
  <si>
    <t>Dictionnaire des variables</t>
  </si>
  <si>
    <t>1_Exploration</t>
  </si>
  <si>
    <t>Dimensions, manquants, résumé, aperçu</t>
  </si>
  <si>
    <t>Section 2 (dim, str, summary, head)</t>
  </si>
  <si>
    <t>2_Description</t>
  </si>
  <si>
    <t>Âge, caractéristiques sociodémographiques et obstétricales ; histogramme</t>
  </si>
  <si>
    <t>Questions 1 à 3 ; Tableaux 1 et 2</t>
  </si>
  <si>
    <t>3_Frequence</t>
  </si>
  <si>
    <t>Proportion de prééclampsie et types de diagnostic</t>
  </si>
  <si>
    <t>Question 4 ; Tableau 3</t>
  </si>
  <si>
    <t>4_Facteurs</t>
  </si>
  <si>
    <t>Tableaux croisés, effectifs attendus, choix du test, p-values</t>
  </si>
  <si>
    <t>Questions 5 à 9 ; Tableau 4</t>
  </si>
  <si>
    <t>Fisher_2x2, Fisher_Q5, Fisher_Q8</t>
  </si>
  <si>
    <t>Calcul du test exact de Fisher</t>
  </si>
  <si>
    <t>fisher.test()</t>
  </si>
  <si>
    <t>5_Comparaison</t>
  </si>
  <si>
    <t>Test t de Welch, test de Wilcoxon, données du boxplot</t>
  </si>
  <si>
    <t>Question 10</t>
  </si>
  <si>
    <t>6_Tableaux</t>
  </si>
  <si>
    <t>Tableaux 1 à 5 prêts pour le mémoire (liés aux feuilles d'analyse)</t>
  </si>
  <si>
    <t>Section 4</t>
  </si>
  <si>
    <t>7_Graphiques</t>
  </si>
  <si>
    <t>Section 6 (ggplot2)</t>
  </si>
  <si>
    <t>8_Synthese</t>
  </si>
  <si>
    <t>Synthèse des tests et des résultats</t>
  </si>
  <si>
    <t>Section 5 et fichier de synthèse</t>
  </si>
  <si>
    <t>Démarche à retenir</t>
  </si>
  <si>
    <t>Je formule une question → j'identifie mes variables → je choisis une analyse → j'obtiens un résultat → je l'interprète → je le présente dans mon mémoire.</t>
  </si>
  <si>
    <t>Attention : facteur associé ne signifie pas cause. Un résultat non significatif (p ≥ 0,05) ne prouve pas l'absence d'association.</t>
  </si>
  <si>
    <t>id_patiente</t>
  </si>
  <si>
    <t>age_ans</t>
  </si>
  <si>
    <t>situation_matrimoniale</t>
  </si>
  <si>
    <t>niveau_instruction</t>
  </si>
  <si>
    <t>profession</t>
  </si>
  <si>
    <t>milieu_residence</t>
  </si>
  <si>
    <t>gestite</t>
  </si>
  <si>
    <t>parite</t>
  </si>
  <si>
    <t>atcd_preeclampsie</t>
  </si>
  <si>
    <t>atcd_hta_chronique</t>
  </si>
  <si>
    <t>atcd_familial_hta</t>
  </si>
  <si>
    <t>atcd_diabete</t>
  </si>
  <si>
    <t>age_gestationnel_sa</t>
  </si>
  <si>
    <t>nb_cpn</t>
  </si>
  <si>
    <t>type_grossesse</t>
  </si>
  <si>
    <t>imc</t>
  </si>
  <si>
    <t>pas_mmhg</t>
  </si>
  <si>
    <t>pad_mmhg</t>
  </si>
  <si>
    <t>proteinurie</t>
  </si>
  <si>
    <t>signes_gravite</t>
  </si>
  <si>
    <t>type_diagnostic</t>
  </si>
  <si>
    <t>preeclampsie</t>
  </si>
  <si>
    <t>tranche_age</t>
  </si>
  <si>
    <t>groupe_parite</t>
  </si>
  <si>
    <t>groupe_cpn</t>
  </si>
  <si>
    <t>groupe_age_gest</t>
  </si>
  <si>
    <t>rang_age</t>
  </si>
  <si>
    <t>inclus_Q6</t>
  </si>
  <si>
    <t>Colonnes W à AB (en bleu-vert) : variables créées par formule (équivalent des cut() de R). Cellule vide = valeur manquante (NA).</t>
  </si>
  <si>
    <t>F001</t>
  </si>
  <si>
    <t>Mariée</t>
  </si>
  <si>
    <t>Secondaire</t>
  </si>
  <si>
    <t>Ménagère</t>
  </si>
  <si>
    <t>Urbain</t>
  </si>
  <si>
    <t>Non</t>
  </si>
  <si>
    <t>Unique</t>
  </si>
  <si>
    <t>Négative</t>
  </si>
  <si>
    <t>Non applicable</t>
  </si>
  <si>
    <t>Normotendue</t>
  </si>
  <si>
    <t>F002</t>
  </si>
  <si>
    <t>Union libre</t>
  </si>
  <si>
    <t>Élève/Étudiante</t>
  </si>
  <si>
    <t>Oui</t>
  </si>
  <si>
    <t>F003</t>
  </si>
  <si>
    <t>Primaire</t>
  </si>
  <si>
    <t>Rural</t>
  </si>
  <si>
    <t>F004</t>
  </si>
  <si>
    <t>Commerçante</t>
  </si>
  <si>
    <t>F005</t>
  </si>
  <si>
    <t>Célibataire</t>
  </si>
  <si>
    <t>Salariée</t>
  </si>
  <si>
    <t>F006</t>
  </si>
  <si>
    <t>Agricultrice</t>
  </si>
  <si>
    <t>F007</t>
  </si>
  <si>
    <t>F008</t>
  </si>
  <si>
    <t>F009</t>
  </si>
  <si>
    <t>F010</t>
  </si>
  <si>
    <t>Traces</t>
  </si>
  <si>
    <t>Prééclampsie surajoutée</t>
  </si>
  <si>
    <t>F011</t>
  </si>
  <si>
    <t>Supérieur</t>
  </si>
  <si>
    <t>HTA gestationnelle</t>
  </si>
  <si>
    <t>F012</t>
  </si>
  <si>
    <t>Artisane</t>
  </si>
  <si>
    <t>1+</t>
  </si>
  <si>
    <t>Prééclampsie</t>
  </si>
  <si>
    <t>F013</t>
  </si>
  <si>
    <t>F014</t>
  </si>
  <si>
    <t>F015</t>
  </si>
  <si>
    <t>2+</t>
  </si>
  <si>
    <t>F016</t>
  </si>
  <si>
    <t>F017</t>
  </si>
  <si>
    <t>F018</t>
  </si>
  <si>
    <t>F019</t>
  </si>
  <si>
    <t>F020</t>
  </si>
  <si>
    <t>Aucun</t>
  </si>
  <si>
    <t>F021</t>
  </si>
  <si>
    <t>F022</t>
  </si>
  <si>
    <t>F023</t>
  </si>
  <si>
    <t>F024</t>
  </si>
  <si>
    <t>F025</t>
  </si>
  <si>
    <t>F026</t>
  </si>
  <si>
    <t>F027</t>
  </si>
  <si>
    <t>HTA chronique seule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</si>
  <si>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</si>
  <si>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</si>
  <si>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</si>
  <si>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</si>
  <si>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</si>
  <si>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</si>
  <si>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</si>
  <si>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</si>
  <si>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</si>
  <si>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</si>
  <si>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</si>
  <si>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</si>
  <si>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</si>
  <si>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Multiple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</si>
  <si>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</si>
  <si>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</si>
  <si>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</si>
  <si>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</si>
  <si>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</si>
  <si>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</si>
  <si>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</si>
  <si>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</si>
  <si>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</si>
  <si>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</si>
  <si>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</si>
  <si>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</si>
  <si>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</si>
  <si>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</si>
  <si>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</si>
  <si>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</si>
  <si>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</si>
  <si>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</si>
  <si>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</si>
  <si>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</si>
  <si>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</si>
  <si>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</si>
  <si>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</si>
  <si>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</si>
  <si>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</si>
  <si>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</si>
  <si>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Veuve/divorcée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</si>
  <si>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</si>
  <si>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</si>
  <si>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</si>
  <si>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</si>
  <si>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</si>
  <si>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</si>
  <si>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</si>
  <si>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</si>
  <si>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</si>
  <si>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</si>
  <si>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</si>
  <si>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</si>
  <si>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</si>
  <si>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</si>
  <si>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</si>
  <si>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</si>
  <si>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</si>
  <si>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</si>
  <si>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3+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</si>
  <si>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</si>
  <si>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</si>
  <si>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</si>
  <si>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</si>
  <si>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</si>
  <si>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</si>
  <si>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</si>
  <si>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</si>
  <si>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</si>
  <si>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</si>
  <si>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</si>
  <si>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</si>
  <si>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</si>
  <si>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</si>
  <si>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</si>
  <si>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</si>
  <si>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</si>
  <si>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</si>
  <si>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</si>
  <si>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</si>
  <si>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</si>
  <si>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</si>
  <si>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</si>
  <si>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</si>
  <si>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</si>
  <si>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</si>
  <si>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</si>
  <si>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</si>
  <si>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</si>
  <si>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</si>
  <si>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</si>
  <si>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</si>
  <si>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</si>
  <si>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</si>
  <si>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</si>
  <si>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</si>
  <si>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</si>
  <si>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</si>
  <si>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</si>
  <si>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</si>
  <si>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</si>
  <si>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</si>
  <si>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</si>
  <si>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</si>
  <si>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</si>
  <si>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</si>
  <si>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</si>
  <si>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</si>
  <si>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</si>
  <si>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</si>
  <si>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</si>
  <si>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</si>
  <si>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</si>
  <si>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</si>
  <si>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</si>
  <si>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</si>
  <si>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</si>
  <si>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</si>
  <si>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</si>
  <si>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</si>
  <si>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</si>
  <si>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</si>
  <si>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</si>
  <si>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</si>
  <si>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</si>
  <si>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</si>
  <si>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</si>
  <si>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</si>
  <si>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</si>
  <si>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</si>
  <si>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</si>
  <si>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</si>
  <si>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</si>
  <si>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</si>
  <si>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</si>
  <si>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</si>
  <si>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</si>
  <si>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</si>
  <si>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</si>
  <si>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</si>
  <si>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</si>
  <si>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</si>
  <si>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</si>
  <si>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</si>
  <si>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</si>
  <si>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</si>
  <si>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</si>
  <si>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</si>
  <si>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</si>
  <si>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</si>
  <si>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</si>
  <si>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</si>
  <si>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</si>
  <si>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</si>
  <si>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</si>
  <si>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</si>
  <si>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</si>
  <si>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</si>
  <si>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</si>
  <si>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</si>
  <si>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</si>
  <si>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</si>
  <si>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</si>
  <si>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</si>
  <si>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</si>
  <si>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</si>
  <si>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</si>
  <si>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</si>
  <si>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</si>
  <si>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</si>
  <si>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</si>
  <si>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</si>
  <si>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</si>
  <si>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</si>
  <si>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</si>
  <si>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</si>
  <si>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</si>
  <si>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</si>
  <si>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</si>
  <si>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</si>
  <si>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</si>
  <si>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</si>
  <si>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</si>
  <si>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</si>
  <si>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</si>
  <si>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</si>
  <si>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</si>
  <si>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</si>
  <si>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</si>
  <si>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</si>
  <si>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</si>
  <si>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</si>
  <si>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</si>
  <si>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</si>
  <si>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</si>
  <si>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</si>
  <si>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</si>
  <si>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</si>
  <si>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</si>
  <si>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</si>
  <si>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</si>
  <si>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</si>
  <si>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</si>
  <si>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</si>
  <si>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</si>
  <si>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</si>
  <si>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</si>
  <si>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</si>
  <si>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</si>
  <si>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</si>
  <si>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</si>
  <si>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</si>
  <si>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</si>
  <si>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</si>
  <si>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</si>
  <si>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</si>
  <si>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</si>
  <si>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</si>
  <si>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</si>
  <si>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</si>
  <si>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</si>
  <si>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</si>
  <si>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</si>
  <si>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</si>
  <si>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</si>
  <si>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</si>
  <si>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</si>
  <si>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</si>
  <si>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</si>
  <si>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</si>
  <si>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</si>
  <si>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</si>
  <si>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</si>
  <si>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</si>
  <si>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</si>
  <si>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</si>
  <si>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</si>
  <si>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</si>
  <si>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</si>
  <si>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</si>
  <si>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</si>
  <si>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</si>
  <si>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</si>
  <si>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</si>
  <si>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</si>
  <si>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</si>
  <si>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</si>
  <si>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</si>
  <si>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</si>
  <si>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</si>
  <si>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</si>
  <si>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</si>
  <si>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</si>
  <si>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</si>
  <si>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</si>
  <si>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</si>
  <si>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</si>
  <si>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</si>
  <si>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</si>
  <si>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</si>
  <si>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</si>
  <si>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</si>
  <si>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</si>
  <si>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</si>
  <si>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</si>
  <si>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</si>
  <si>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</si>
  <si>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</si>
  <si>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</si>
  <si>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</si>
  <si>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</si>
  <si>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</si>
  <si>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</si>
  <si>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</si>
  <si>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</si>
  <si>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</si>
  <si>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</si>
  <si>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</si>
  <si>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</si>
  <si>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</si>
  <si>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</si>
  <si>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</si>
  <si>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</si>
  <si>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</si>
  <si>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</si>
  <si>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</si>
  <si>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</si>
  <si>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</si>
  <si>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</si>
  <si>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</si>
  <si>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</si>
  <si>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</si>
  <si>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</si>
  <si>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</si>
  <si>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</si>
  <si>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</si>
  <si>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</si>
  <si>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</si>
  <si>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</si>
  <si>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</si>
  <si>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</si>
  <si>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</si>
  <si>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</si>
  <si>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</si>
  <si>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</si>
  <si>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</si>
  <si>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</si>
  <si>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</si>
  <si>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</si>
  <si>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</si>
  <si>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</si>
  <si>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</si>
  <si>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</si>
  <si>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</si>
  <si>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</si>
  <si>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</si>
  <si>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</si>
  <si>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</si>
  <si>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</si>
  <si>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</si>
  <si>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</si>
  <si>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</si>
  <si>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</si>
  <si>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</si>
  <si>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</si>
  <si>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</si>
  <si>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</si>
  <si>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</si>
  <si>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</si>
  <si>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</si>
  <si>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</si>
  <si>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</si>
  <si>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</si>
  <si>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</si>
  <si>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</si>
  <si>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</si>
  <si>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</si>
  <si>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</si>
  <si>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</si>
  <si>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</si>
  <si>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</si>
  <si>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</si>
  <si>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</si>
  <si>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</si>
  <si>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</si>
  <si>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</si>
  <si>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</si>
  <si>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</si>
  <si>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</si>
  <si>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</si>
  <si>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</si>
  <si>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</si>
  <si>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</si>
  <si>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</si>
  <si>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</si>
  <si>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</si>
  <si>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</si>
  <si>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</si>
  <si>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</si>
  <si>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</si>
  <si>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</si>
  <si>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</si>
  <si>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</si>
  <si>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</si>
  <si>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</si>
  <si>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</si>
  <si>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</si>
  <si>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</si>
  <si>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</si>
  <si>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</si>
  <si>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</si>
  <si>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</si>
  <si>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</si>
  <si>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</si>
  <si>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</si>
  <si>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F400</t>
  </si>
  <si>
    <t>Données entièrement synthétiques (fictives) – usage pédagogique exclusivement</t>
  </si>
  <si>
    <t>Colonne</t>
  </si>
  <si>
    <t>Variable</t>
  </si>
  <si>
    <t>Signification</t>
  </si>
  <si>
    <t>Type statistique</t>
  </si>
  <si>
    <t>Unité</t>
  </si>
  <si>
    <t>Codage / modalités</t>
  </si>
  <si>
    <t>Valeurs manquantes (formule)</t>
  </si>
  <si>
    <t>Signification des manquants</t>
  </si>
  <si>
    <t>A</t>
  </si>
  <si>
    <t>Identifiant anonymisé de la patiente (fictif)</t>
  </si>
  <si>
    <t>Qualitative (identifiant)</t>
  </si>
  <si>
    <t>–</t>
  </si>
  <si>
    <t>F001 à F400</t>
  </si>
  <si>
    <t>B</t>
  </si>
  <si>
    <t>Âge de la femme à l'inclusion</t>
  </si>
  <si>
    <t>Quantitative discrète</t>
  </si>
  <si>
    <t>années</t>
  </si>
  <si>
    <t>Nombre entier (observé : 17 à 45)</t>
  </si>
  <si>
    <t>C</t>
  </si>
  <si>
    <t>Situation matrimoniale</t>
  </si>
  <si>
    <t>Qualitative nominale</t>
  </si>
  <si>
    <t>Mariée ; Union libre ; Célibataire ; Veuve/divorcée</t>
  </si>
  <si>
    <t>D</t>
  </si>
  <si>
    <t>Plus haut niveau d'études atteint</t>
  </si>
  <si>
    <t>Qualitative ordinale</t>
  </si>
  <si>
    <t>Aucun ; Primaire ; Secondaire ; Supérieur</t>
  </si>
  <si>
    <t>non renseigné</t>
  </si>
  <si>
    <t>E</t>
  </si>
  <si>
    <t>Profession principale</t>
  </si>
  <si>
    <t>Ménagère ; Commerçante ; Agricultrice ; Élève/Étudiante ; Artisane ; Salariée</t>
  </si>
  <si>
    <t>non renseignée</t>
  </si>
  <si>
    <t>F</t>
  </si>
  <si>
    <t>Milieu de résidence</t>
  </si>
  <si>
    <t>Qualitative nominale (2 modalités)</t>
  </si>
  <si>
    <t>Urbain ; Rural</t>
  </si>
  <si>
    <t>G</t>
  </si>
  <si>
    <t>Nombre total de grossesses, y compris la grossesse actuelle et les pertes (fausses couches, avortements)</t>
  </si>
  <si>
    <t>nombre</t>
  </si>
  <si>
    <t>1, 2, 3 … (toujours ≥ parité + 1)</t>
  </si>
  <si>
    <t>H</t>
  </si>
  <si>
    <t>Nombre d'accouchements antérieurs (≥ 28 SA). La grossesse actuelle n'est pas comptée</t>
  </si>
  <si>
    <t>0 = nullipare ; 1, 2, 3 …</t>
  </si>
  <si>
    <t>I</t>
  </si>
  <si>
    <t>Antécédent personnel de prééclampsie lors d'une grossesse précédente</t>
  </si>
  <si>
    <t>Oui ; Non ; Non applicable (aucune grossesse antérieure : parité = 0)</t>
  </si>
  <si>
    <t>information non retrouvée dans le dossier (femmes déjà accouchées)</t>
  </si>
  <si>
    <t>J</t>
  </si>
  <si>
    <t>HTA connue avant la grossesse (ou avant 20 SA)</t>
  </si>
  <si>
    <t>Oui ; Non</t>
  </si>
  <si>
    <t>K</t>
  </si>
  <si>
    <t>Antécédent familial d'HTA (mère ou sœur)</t>
  </si>
  <si>
    <t>L</t>
  </si>
  <si>
    <t>Diabète connu avant la grossesse</t>
  </si>
  <si>
    <t>M</t>
  </si>
  <si>
    <t>Âge gestationnel au moment du diagnostic ou de la dernière consultation</t>
  </si>
  <si>
    <t>semaines d'aménorrhée (SA)</t>
  </si>
  <si>
    <t>20 à 41</t>
  </si>
  <si>
    <t>N</t>
  </si>
  <si>
    <t>Nombre de consultations prénatales (CPN) effectuées</t>
  </si>
  <si>
    <t>0 à 10</t>
  </si>
  <si>
    <t>O</t>
  </si>
  <si>
    <t>Type de grossesse</t>
  </si>
  <si>
    <t>Unique ; Multiple</t>
  </si>
  <si>
    <t>P</t>
  </si>
  <si>
    <t>Indice de masse corporelle à la 1re consultation prénatale</t>
  </si>
  <si>
    <t>Quantitative continue</t>
  </si>
  <si>
    <t>kg/m²</t>
  </si>
  <si>
    <t>Nombre décimal (observé : 16,0 à 36,2)</t>
  </si>
  <si>
    <t>poids ou taille non mesuré</t>
  </si>
  <si>
    <t>Q</t>
  </si>
  <si>
    <t>Pression artérielle systolique retenue pour le diagnostic (valeur confirmée)</t>
  </si>
  <si>
    <t>mmHg</t>
  </si>
  <si>
    <t>Nombre entier</t>
  </si>
  <si>
    <t>R</t>
  </si>
  <si>
    <t>Pression artérielle diastolique retenue pour le diagnostic (valeur confirmée)</t>
  </si>
  <si>
    <t>S</t>
  </si>
  <si>
    <t>Protéinurie à la bandelette urinaire</t>
  </si>
  <si>
    <t>Négative ; Traces ; 1+ ; 2+ ; 3+ (≥ 1+ = positive)</t>
  </si>
  <si>
    <t>T</t>
  </si>
  <si>
    <t>Présence d'un signe de gravité : PA ≥ 160/110 mmHg ou signe clinique/biologique d'atteinte d'organe (céphalées persistantes, troubles visuels, douleur épigastrique, etc.)</t>
  </si>
  <si>
    <t>Oui ; Non ; Non applicable (femme sans prééclampsie)</t>
  </si>
  <si>
    <t>U</t>
  </si>
  <si>
    <t>Diagnostic final retenu (5 catégories exclusives)</t>
  </si>
  <si>
    <t>Normotendue ; HTA gestationnelle ; HTA chronique seule ; Prééclampsie ; Prééclampsie surajoutée</t>
  </si>
  <si>
    <t>V</t>
  </si>
  <si>
    <t>VARIABLE PRINCIPALE. Prééclampsie, toutes formes confondues (= Prééclampsie ou Prééclampsie surajoutée)</t>
  </si>
  <si>
    <t>Une cellule vide dans la feuille Donnees correspond à NA (donnée manquante). « Non applicable » est une vraie modalité, à ne pas confondre avec une donnée manquante.</t>
  </si>
  <si>
    <t>Section 2 – Exploration du jeu de données</t>
  </si>
  <si>
    <t>Équivalent de dim(), names(), str(), summary(), colSums(is.na()) et head() dans R</t>
  </si>
  <si>
    <t>Dimensions du jeu de données (dim)</t>
  </si>
  <si>
    <t>Nombre d'observations (femmes)</t>
  </si>
  <si>
    <t>Nombre de variables (colonnes d'origine)</t>
  </si>
  <si>
    <t>Variables, type et valeurs manquantes (names, str, colSums(is.na))</t>
  </si>
  <si>
    <t>Type</t>
  </si>
  <si>
    <t>Effectif renseigné</t>
  </si>
  <si>
    <t>Valeurs manquantes</t>
  </si>
  <si>
    <t>% manquant</t>
  </si>
  <si>
    <t>Résumé des variables quantitatives (summary)</t>
  </si>
  <si>
    <t>N valides</t>
  </si>
  <si>
    <t>Minimum</t>
  </si>
  <si>
    <t>1er quartile</t>
  </si>
  <si>
    <t>Médiane</t>
  </si>
  <si>
    <t>Moyenne</t>
  </si>
  <si>
    <t>3e quartile</t>
  </si>
  <si>
    <t>Maximum</t>
  </si>
  <si>
    <t>Aperçu des 6 premières patientes (head)</t>
  </si>
  <si>
    <t>Partie A – Description de la population (Questions 1 à 3)</t>
  </si>
  <si>
    <t>Les pourcentages sont calculés sur les effectifs valides (hors données manquantes)</t>
  </si>
  <si>
    <t>QUESTION 1 : Quel est l'âge moyen des femmes enceintes incluses dans l'étude ?</t>
  </si>
  <si>
    <t>Statistique</t>
  </si>
  <si>
    <t>Valeur</t>
  </si>
  <si>
    <t>Histogramme (Graphique 1) : effectifs par classe d'âge</t>
  </si>
  <si>
    <t>Effectif valide</t>
  </si>
  <si>
    <t>Classe (ans)</t>
  </si>
  <si>
    <t>Borne basse (exclue)</t>
  </si>
  <si>
    <t>Borne haute (incluse)</t>
  </si>
  <si>
    <t>Effectif</t>
  </si>
  <si>
    <t>Écart-type</t>
  </si>
  <si>
    <t>Total</t>
  </si>
  <si>
    <t>QUESTION 2 : Quelles sont les principales caractéristiques sociodémographiques ?  →  Tableau 1</t>
  </si>
  <si>
    <t>Modalité</t>
  </si>
  <si>
    <t>Pourcentage (%)</t>
  </si>
  <si>
    <t>Tranche d'âge</t>
  </si>
  <si>
    <t>Moins de 20 ans</t>
  </si>
  <si>
    <t>20-29 ans</t>
  </si>
  <si>
    <t>30-34 ans</t>
  </si>
  <si>
    <t>35 ans et plus</t>
  </si>
  <si>
    <t>Niveau d'instruction</t>
  </si>
  <si>
    <t>Données manquantes</t>
  </si>
  <si>
    <t>Profession</t>
  </si>
  <si>
    <t>QUESTION 3 : Quelles sont les caractéristiques obstétricales des participantes ?  →  Tableau 2</t>
  </si>
  <si>
    <t>Gestité</t>
  </si>
  <si>
    <t>Parité</t>
  </si>
  <si>
    <t>Nombre de CPN</t>
  </si>
  <si>
    <t>Âge gestationnel (SA)</t>
  </si>
  <si>
    <t>Nullipare (0)</t>
  </si>
  <si>
    <t>1-2 accouchements</t>
  </si>
  <si>
    <t>3 accouchements et plus</t>
  </si>
  <si>
    <t>Moins de 4 CPN</t>
  </si>
  <si>
    <t>4 à 7 CPN</t>
  </si>
  <si>
    <t>8 CPN et plus</t>
  </si>
  <si>
    <t>Âge gestationnel</t>
  </si>
  <si>
    <t>20-27 SA</t>
  </si>
  <si>
    <t>28-36 SA</t>
  </si>
  <si>
    <t>37 SA et plus</t>
  </si>
  <si>
    <t>Partie B – Fréquence de la prééclampsie (Question 4)</t>
  </si>
  <si>
    <t>QUESTION 4 : Quelle est la proportion de femmes présentant une prééclampsie ?  →  Tableau 3</t>
  </si>
  <si>
    <t>Données du Graphique 2</t>
  </si>
  <si>
    <t>Prééclampsie (toutes formes)</t>
  </si>
  <si>
    <t>Statut</t>
  </si>
  <si>
    <t>Type de diagnostic</t>
  </si>
  <si>
    <t>Absence de prééclampsie</t>
  </si>
  <si>
    <t>Attention : ce pourcentage décrit l'échantillon, pas la prévalence de la prééclampsie dans la population générale de Kara.</t>
  </si>
  <si>
    <t>Partie C – Facteurs associés à la prééclampsie (Questions 5 à 9)</t>
  </si>
  <si>
    <t>Règle : effectifs attendus tous ≥ 5 → test du Chi-deux ; au moins un &lt; 5 → test exact de Fisher. Seuil : 5 %.</t>
  </si>
  <si>
    <t>QUESTION 5 : Existe-t-il une association entre l'âge maternel et la prééclampsie ?</t>
  </si>
  <si>
    <t>H0 : la fréquence de la prééclampsie est la même dans toutes les tranches d'âge.  H1 : elle diffère dans au moins une tranche.</t>
  </si>
  <si>
    <t>Effectifs attendus sous H0</t>
  </si>
  <si>
    <t>% sans prééclampsie</t>
  </si>
  <si>
    <t>% avec prééclampsie</t>
  </si>
  <si>
    <t>Effectif attendu minimum</t>
  </si>
  <si>
    <t>Test retenu</t>
  </si>
  <si>
    <t>p-value du Chi-deux (Pearson)</t>
  </si>
  <si>
    <t>p-value du test exact de Fisher</t>
  </si>
  <si>
    <t>p-value retenue</t>
  </si>
  <si>
    <t>p-value affichée</t>
  </si>
  <si>
    <t>Conclusion</t>
  </si>
  <si>
    <t>QUESTION 6 : Les femmes ayant un antécédent de prééclampsie présentent-elles plus souvent une prééclampsie ?  (femmes déjà accouchées, antécédent renseigné)</t>
  </si>
  <si>
    <t>H0 : la fréquence de la prééclampsie est la même avec ou sans antécédent.  H1 : elle diffère.  (Analyse restreinte : parité ≥ 1 et antécédent Oui/Non)</t>
  </si>
  <si>
    <t>Effectif analysé (femmes déjà accouchées, antécédent renseigné) :</t>
  </si>
  <si>
    <t>QUESTION 7 : Existe-t-il une association entre l'HTA chronique et la prééclampsie ?</t>
  </si>
  <si>
    <t>Rappel : la prééclampsie « toutes formes » inclut la prééclampsie surajoutée, qui ne peut survenir que chez les femmes ayant une HTA chronique.</t>
  </si>
  <si>
    <t>Diagnostic final</t>
  </si>
  <si>
    <t>Sans HTA chronique</t>
  </si>
  <si>
    <t>Avec HTA chronique</t>
  </si>
  <si>
    <t>QUESTION 7 (suite) : Tableau 2 × 2 HTA chronique × prééclampsie</t>
  </si>
  <si>
    <t>H0 : la fréquence de la prééclampsie est la même avec ou sans HTA chronique.  H1 : elle diffère.</t>
  </si>
  <si>
    <t>QUESTION 8 : La fréquence de la prééclampsie varie-t-elle selon la parité ?</t>
  </si>
  <si>
    <t>H0 : la fréquence de la prééclampsie est la même dans les trois groupes de parité.  H1 : elle diffère dans au moins un groupe.</t>
  </si>
  <si>
    <t>QUESTION 9 : Existe-t-il une association entre la grossesse multiple et la prééclampsie ?</t>
  </si>
  <si>
    <t>H0 : la fréquence de la prééclampsie est la même pour les grossesses uniques et multiples.  H1 : elle diffère.</t>
  </si>
  <si>
    <t>Partie D – Comparaison de groupes (Question 10)</t>
  </si>
  <si>
    <t>QUESTION 10 : L'âge moyen diffère-t-il entre les femmes avec et sans prééclampsie ?</t>
  </si>
  <si>
    <t>H0 : les moyennes d'âge sont égales.  H1 : les moyennes d'âge sont différentes.</t>
  </si>
  <si>
    <t>Groupe</t>
  </si>
  <si>
    <t>Âge</t>
  </si>
  <si>
    <t>Effectif (ex æquo)</t>
  </si>
  <si>
    <t>Condition : au moins 30 femmes par groupe → test t de Student (Welch) ; sinon test de Wilcoxon</t>
  </si>
  <si>
    <t>Test t de Student (version de Welch)</t>
  </si>
  <si>
    <t>Variance de la moyenne, groupe sans prééclampsie (s²/n)</t>
  </si>
  <si>
    <t>Variance de la moyenne, groupe avec prééclampsie (s²/n)</t>
  </si>
  <si>
    <t>Statistique t (sans − avec)</t>
  </si>
  <si>
    <t>Degrés de liberté (Welch-Satterthwaite)</t>
  </si>
  <si>
    <t>p-value bilatérale</t>
  </si>
  <si>
    <t>Test de Wilcoxon (Mann-Whitney, approximation normale avec correction de continuité)</t>
  </si>
  <si>
    <t>Somme des rangs, groupe sans prééclampsie</t>
  </si>
  <si>
    <t>Statistique W</t>
  </si>
  <si>
    <t>Correction pour ex æquo (Σ t³ − t)</t>
  </si>
  <si>
    <t>Écart-type de W</t>
  </si>
  <si>
    <t>z (avec correction de continuité)</t>
  </si>
  <si>
    <t>Résultat retenu</t>
  </si>
  <si>
    <t>Différence de moyennes (avec − sans)</t>
  </si>
  <si>
    <t>Données du boxplot (Graphique 4) : minimum, quartiles, moustaches (règle 1,5 × IQR, comme ggplot2)</t>
  </si>
  <si>
    <t>Données d'appui du Graphique 4 (boxplot)</t>
  </si>
  <si>
    <t>Q1 (base)</t>
  </si>
  <si>
    <t>Médiane − Q1</t>
  </si>
  <si>
    <t>Q3 − médiane</t>
  </si>
  <si>
    <t>Moustache basse</t>
  </si>
  <si>
    <t>Moustache haute</t>
  </si>
  <si>
    <t>Écart interquartile (IQR)</t>
  </si>
  <si>
    <t>Base invisible (Q1)</t>
  </si>
  <si>
    <t>Boîte basse (médiane − Q1)</t>
  </si>
  <si>
    <t>Boîte haute (Q3 − médiane)</t>
  </si>
  <si>
    <t>Longueur moustache basse (Q1 − bas)</t>
  </si>
  <si>
    <t>Longueur moustache haute (haut − Q3)</t>
  </si>
  <si>
    <t>Section 4 – Tableaux pour le mémoire (Tableaux 1 à 5)</t>
  </si>
  <si>
    <t>Tous les chiffres sont liés par formules aux feuilles d'analyse : ils se mettent à jour si les données changent</t>
  </si>
  <si>
    <t>Tableau 1 : caractéristiques sociodémographiques</t>
  </si>
  <si>
    <t>Tableau 2a : caractéristiques obstétricales (variables quantitatives)</t>
  </si>
  <si>
    <t>Tableau 2b : caractéristiques obstétricales (classes)</t>
  </si>
  <si>
    <t>Tableau 3 : fréquence de la prééclampsie</t>
  </si>
  <si>
    <t>Tableau 4 : facteurs associés à la prééclampsie (pourcentage = part de cas dans chaque groupe)</t>
  </si>
  <si>
    <t>Facteur</t>
  </si>
  <si>
    <t>Effectif total</t>
  </si>
  <si>
    <t>Cas de prééclampsie</t>
  </si>
  <si>
    <t>% de cas</t>
  </si>
  <si>
    <t>Test</t>
  </si>
  <si>
    <t>p-value</t>
  </si>
  <si>
    <t>Âge maternel</t>
  </si>
  <si>
    <t>Antécédent de prééclampsie (femmes déjà accouchées)</t>
  </si>
  <si>
    <t>HTA chronique</t>
  </si>
  <si>
    <t>Tableau 5 : caractéristiques selon le statut de prééclampsie (description)</t>
  </si>
  <si>
    <t>Caractéristique</t>
  </si>
  <si>
    <t>Âge maternel (ans), moyenne (écart-type)</t>
  </si>
  <si>
    <t>IMC (kg/m2), moyenne (écart-type)</t>
  </si>
  <si>
    <t>Nombre de CPN, moyenne (écart-type)</t>
  </si>
  <si>
    <t>Âge gestationnel (SA), moyenne (écart-type)</t>
  </si>
  <si>
    <t>Âge &lt; 20 ans, n (%)</t>
  </si>
  <si>
    <t>Âge &gt;= 35 ans, n (%)</t>
  </si>
  <si>
    <t>Nullipare, n (%)</t>
  </si>
  <si>
    <t>HTA chronique, n (%)</t>
  </si>
  <si>
    <t>Antécédent familial d'HTA, n (%)</t>
  </si>
  <si>
    <t>Diabète préexistant, n (%)</t>
  </si>
  <si>
    <t>Grossesse multiple, n (%)</t>
  </si>
  <si>
    <t>Section 6 – Graphiques</t>
  </si>
  <si>
    <t>Équivalents des graphiques ggplot2 (aux couleurs Omicaa Lab). Clic droit &gt; Enregistrer en tant qu'image pour les insérer dans Word.</t>
  </si>
  <si>
    <t>Boxplot : boîte = 1er quartile à 3e quartile, trait blanc = médiane, moustaches = règle 1,5 × IQR, losange blanc = moyenne (les valeurs extrêmes isolées ne sont pas tracées).</t>
  </si>
  <si>
    <t>Section 5 – Synthèse des tests statistiques et des résultats</t>
  </si>
  <si>
    <t>Question</t>
  </si>
  <si>
    <t>Effectif attendu min.</t>
  </si>
  <si>
    <t>Q5 Âge (tranches) × prééclampsie</t>
  </si>
  <si>
    <t>Q6 Antécédent de prééclampsie × prééclampsie</t>
  </si>
  <si>
    <t>Q7 HTA chronique × prééclampsie</t>
  </si>
  <si>
    <t>Q8 Parité × prééclampsie</t>
  </si>
  <si>
    <t>Q9 Grossesse multiple × prééclampsie</t>
  </si>
  <si>
    <t>Q10 Âge moyen selon le statut</t>
  </si>
  <si>
    <t>Synthèse des principaux résultats (équivalent du fichier Synthese_resultats)</t>
  </si>
  <si>
    <t>Résultat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</si>
  <si>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</si>
  <si>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</si>
  <si>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</si>
  <si>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</si>
  <si>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</si>
  <si>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</si>
  <si>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</si>
  <si>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</si>
  <si>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</si>
  <si>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</si>
  <si>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Rappels : une association statistique n'est pas une causalité ; p ≥ 0,05 ne prouve pas l'absence d'association ; données synthétiques.</t>
  </si>
  <si>
    <t>Test exact de Fisher 2 × 2 (Questions 6, 7 et 9)</t>
  </si>
  <si>
    <t>p-value bilatérale = somme des probabilités hypergéométriques ≤ à celle du tableau observé (même règle que fisher.test de R)</t>
  </si>
  <si>
    <t>Q6 Antécédent</t>
  </si>
  <si>
    <t>Q7 HTA chronique</t>
  </si>
  <si>
    <t>Q9 Grossesse multiple</t>
  </si>
  <si>
    <t>Cas observés dans la 1re ligne (a)</t>
  </si>
  <si>
    <t>Taille de la 1re ligne</t>
  </si>
  <si>
    <t>Total des cas (colonne Oui)</t>
  </si>
  <si>
    <t>Total général</t>
  </si>
  <si>
    <t>Probabilité du tableau observé</t>
  </si>
  <si>
    <t>p-value de Fisher (bilatérale)</t>
  </si>
  <si>
    <t>x (cas dans la 1re ligne)</t>
  </si>
  <si>
    <t>P(x) Q6</t>
  </si>
  <si>
    <t>P(x) Q7</t>
  </si>
  <si>
    <t>P(x) Q9</t>
  </si>
  <si>
    <t>Test exact de Fisher – Question 5 (âge en 4 tranches)</t>
  </si>
  <si>
    <t>Test exact de Fisher r × 2 : toutes les répartitions possibles des cas entre les groupes (marges fixées), construites pour les marges ci-dessous.</t>
  </si>
  <si>
    <t>Effectifs des groupes (formules)</t>
  </si>
  <si>
    <t>Total des cas</t>
  </si>
  <si>
    <t>Marges utilisées à la construction</t>
  </si>
  <si>
    <t>a1 (cas groupe 1)</t>
  </si>
  <si>
    <t>a2 (cas groupe 2)</t>
  </si>
  <si>
    <t>a3 (cas groupe 3)</t>
  </si>
  <si>
    <t>a4 (cas groupe 4)</t>
  </si>
  <si>
    <t>Probabilité</t>
  </si>
  <si>
    <t>Test exact de Fisher – Question 8 (parité en 3 groupes)</t>
  </si>
  <si>
    <t>5 graphiques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</si>
</sst>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0"/>
    <numFmt numFmtId="166" formatCode="0.000000000"/>
    <numFmt numFmtId="167" formatCode="0.0000"/>
  </numFmts>
  <fonts count="8" x14ac:knownFonts="1">
    <font>
      <sz val="11"/>
      <color theme="1"/>
      <name val="Calibri"/>
      <family val="2"/>
      <scheme val="minor"/>
    </font>
    <font>
      <b/>
      <sz val="10"/>
      <name val="Calibri"/>
    </font>
    <font>
      <b/>
      <sz val="10"/>
      <color rgb="FF0097B2"/>
      <name val="Calibri"/>
    </font>
    <font>
      <sz val="10"/>
      <name val="Calibri"/>
    </font>
    <font>
      <i/>
      <sz val="10"/>
      <color rgb="FF595959"/>
      <name val="Calibri"/>
    </font>
    <font>
      <b/>
      <sz val="18"/>
      <name val="Calibri"/>
    </font>
    <font>
      <b/>
      <sz val="12"/>
      <color rgb="FF0097B2"/>
      <name val="Calibri"/>
    </font>
    <font>
      <b/>
      <sz val="10"/>
      <color rgb="FFFF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BBBBBB"/>
      </bottom>
      <diagonal/>
    </border>
    <border>
      <left/>
      <right/>
      <top/>
      <bottom style="medium">
        <color rgb="FF0097B2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5" fillId="0" borderId="0" xfId="0" applyFont="1"/>
    <xf numFmtId="0" fontId="4" fillId="0" borderId="0" xfId="0" applyFont="1"/>
    <xf numFmtId="0" fontId="7" fillId="0" borderId="0" xfId="0" applyFont="1"/>
    <xf numFmtId="0" fontId="6" fillId="0" borderId="4" xfId="0" applyFont="1" applyBorder="1"/>
    <xf numFmtId="0" fontId="0" fillId="0" borderId="4" xfId="0" applyBorder="1"/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3" fillId="0" borderId="3" xfId="0" applyFont="1" applyBorder="1" applyAlignment="1">
      <alignment vertical="top" wrapText="1"/>
    </xf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3" xfId="0" applyFont="1" applyBorder="1" applyAlignment="1">
      <alignment horizontal="center"/>
    </xf>
    <xf numFmtId="0" fontId="1" fillId="0" borderId="3" xfId="0" applyFont="1" applyBorder="1"/>
    <xf numFmtId="0" fontId="3" fillId="0" borderId="3" xfId="0" applyFont="1" applyBorder="1"/>
    <xf numFmtId="164" fontId="3" fillId="0" borderId="3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3" xfId="0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2" xfId="0" applyBorder="1"/>
    <xf numFmtId="164" fontId="1" fillId="0" borderId="2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7" fontId="3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/>
    <xf numFmtId="2" fontId="3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3" fillId="0" borderId="3" xfId="0" applyNumberFormat="1" applyFont="1" applyBorder="1" applyAlignment="1">
      <alignment horizontal="center"/>
    </xf>
    <xf numFmtId="1" fontId="3" fillId="0" borderId="3" xfId="0" applyNumberFormat="1" applyFont="1" applyBorder="1"/>
    <xf numFmtId="166" fontId="1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t>Distribution de l'âge maternel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0097B2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'2_Description'!$D$7:$D$22</c:f>
              <c:strCache>
                <c:ptCount val="16"/>
                <c:pt idx="0">
                  <c:v>15-16</c:v>
                </c:pt>
                <c:pt idx="1">
                  <c:v>17-18</c:v>
                </c:pt>
                <c:pt idx="2">
                  <c:v>19-20</c:v>
                </c:pt>
                <c:pt idx="3">
                  <c:v>21-22</c:v>
                </c:pt>
                <c:pt idx="4">
                  <c:v>23-24</c:v>
                </c:pt>
                <c:pt idx="5">
                  <c:v>25-26</c:v>
                </c:pt>
                <c:pt idx="6">
                  <c:v>27-28</c:v>
                </c:pt>
                <c:pt idx="7">
                  <c:v>29-30</c:v>
                </c:pt>
                <c:pt idx="8">
                  <c:v>31-32</c:v>
                </c:pt>
                <c:pt idx="9">
                  <c:v>33-34</c:v>
                </c:pt>
                <c:pt idx="10">
                  <c:v>35-36</c:v>
                </c:pt>
                <c:pt idx="11">
                  <c:v>37-38</c:v>
                </c:pt>
                <c:pt idx="12">
                  <c:v>39-40</c:v>
                </c:pt>
                <c:pt idx="13">
                  <c:v>41-42</c:v>
                </c:pt>
                <c:pt idx="14">
                  <c:v>43-44</c:v>
                </c:pt>
                <c:pt idx="15">
                  <c:v>45-46</c:v>
                </c:pt>
              </c:strCache>
            </c:strRef>
          </c:cat>
          <c:val>
            <c:numRef>
              <c:f>'2_Description'!$G$7:$G$22</c:f>
              <c:numCache>
                <c:formatCode>General</c:formatCode>
                <c:ptCount val="16"/>
                <c:pt idx="0">
                  <c:v>0</c:v>
                </c:pt>
                <c:pt idx="1">
                  <c:v>7</c:v>
                </c:pt>
                <c:pt idx="2">
                  <c:v>32</c:v>
                </c:pt>
                <c:pt idx="3">
                  <c:v>44</c:v>
                </c:pt>
                <c:pt idx="4">
                  <c:v>72</c:v>
                </c:pt>
                <c:pt idx="5">
                  <c:v>66</c:v>
                </c:pt>
                <c:pt idx="6">
                  <c:v>66</c:v>
                </c:pt>
                <c:pt idx="7">
                  <c:v>41</c:v>
                </c:pt>
                <c:pt idx="8">
                  <c:v>26</c:v>
                </c:pt>
                <c:pt idx="9">
                  <c:v>21</c:v>
                </c:pt>
                <c:pt idx="10">
                  <c:v>10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904-4013-A7FA-5D55B26BE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Âge maternel (années)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Effectif (nombre de femmes)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t>Fréquence de la prééclampsie dans l'échantillon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0097B2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B54-44B5-BA81-B4C0BA7C2A0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'3_Frequence'!$G$6:$G$7</c:f>
              <c:strCache>
                <c:ptCount val="2"/>
                <c:pt idx="0">
                  <c:v>Prééclampsie</c:v>
                </c:pt>
                <c:pt idx="1">
                  <c:v>Absence de prééclampsie</c:v>
                </c:pt>
              </c:strCache>
            </c:strRef>
          </c:cat>
          <c:val>
            <c:numRef>
              <c:f>'3_Frequence'!$H$6:$H$7</c:f>
              <c:numCache>
                <c:formatCode>General</c:formatCode>
                <c:ptCount val="2"/>
                <c:pt idx="0">
                  <c:v>48</c:v>
                </c:pt>
                <c:pt idx="1">
                  <c:v>352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B54-44B5-BA81-B4C0BA7C2A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Effectif (nombre de femmes)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t>Prééclampsie selon la tranche d'âge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0097B2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'4_Facteurs'!$A$8:$A$11</c:f>
              <c:strCache>
                <c:ptCount val="4"/>
                <c:pt idx="0">
                  <c:v>Moins de 20 ans</c:v>
                </c:pt>
                <c:pt idx="1">
                  <c:v>20-29 ans</c:v>
                </c:pt>
                <c:pt idx="2">
                  <c:v>30-34 ans</c:v>
                </c:pt>
                <c:pt idx="3">
                  <c:v>35 ans et plus</c:v>
                </c:pt>
              </c:strCache>
            </c:strRef>
          </c:cat>
          <c:val>
            <c:numRef>
              <c:f>'4_Facteurs'!$F$8:$F$11</c:f>
              <c:numCache>
                <c:formatCode>0.0</c:formatCode>
                <c:ptCount val="4"/>
                <c:pt idx="0">
                  <c:v>23.809523809523807</c:v>
                </c:pt>
                <c:pt idx="1">
                  <c:v>10.726643598615917</c:v>
                </c:pt>
                <c:pt idx="2">
                  <c:v>10.76923076923077</c:v>
                </c:pt>
                <c:pt idx="3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6CE-426C-93EA-FBB43894F9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Tranche d'âge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Prééclampsie (% du groupe)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t>Âge maternel selon le statut de prééclampsie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base</c:v>
          </c:tx>
          <c:spPr>
            <a:noFill/>
            <a:ln>
              <a:noFill/>
              <a:prstDash val="solid"/>
            </a:ln>
          </c:spPr>
          <c:invertIfNegative val="1"/>
          <c:errBars>
            <c:errBarType val="minus"/>
            <c:errValType val="cust"/>
            <c:noEndCap val="0"/>
            <c:minus>
              <c:numRef>
                <c:f>'5_Comparaison'!$P$36:$P$37</c:f>
                <c:numCache>
                  <c:formatCode>General</c:formatCode>
                  <c:ptCount val="2"/>
                  <c:pt idx="0">
                    <c:v>5</c:v>
                  </c:pt>
                  <c:pt idx="1">
                    <c:v>5</c:v>
                  </c:pt>
                </c:numCache>
              </c:numRef>
            </c:minus>
          </c:errBars>
          <c:cat>
            <c:strRef>
              <c:f>'5_Comparaison'!$L$36:$L$37</c:f>
              <c:strCache>
                <c:ptCount val="2"/>
                <c:pt idx="0">
                  <c:v>Absence de prééclampsie</c:v>
                </c:pt>
                <c:pt idx="1">
                  <c:v>Prééclampsie</c:v>
                </c:pt>
              </c:strCache>
            </c:strRef>
          </c:cat>
          <c:val>
            <c:numRef>
              <c:f>'5_Comparaison'!$M$36:$M$37</c:f>
              <c:numCache>
                <c:formatCode>0.00</c:formatCode>
                <c:ptCount val="2"/>
                <c:pt idx="0">
                  <c:v>23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5-42FF-97BC-7D7102307F9C}"/>
            </c:ext>
          </c:extLst>
        </c:ser>
        <c:ser>
          <c:idx val="1"/>
          <c:order val="1"/>
          <c:tx>
            <c:v>Boîte basse</c:v>
          </c:tx>
          <c:spPr>
            <a:solidFill>
              <a:srgbClr val="0097B2"/>
            </a:solidFill>
            <a:ln w="19050">
              <a:solidFill>
                <a:srgbClr val="FFFFFF"/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FF000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2C55-42FF-97BC-7D7102307F9C}"/>
              </c:ext>
            </c:extLst>
          </c:dPt>
          <c:cat>
            <c:strRef>
              <c:f>'5_Comparaison'!$L$36:$L$37</c:f>
              <c:strCache>
                <c:ptCount val="2"/>
                <c:pt idx="0">
                  <c:v>Absence de prééclampsie</c:v>
                </c:pt>
                <c:pt idx="1">
                  <c:v>Prééclampsie</c:v>
                </c:pt>
              </c:strCache>
            </c:strRef>
          </c:cat>
          <c:val>
            <c:numRef>
              <c:f>'5_Comparaison'!$N$36:$N$37</c:f>
              <c:numCache>
                <c:formatCode>0.00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C55-42FF-97BC-7D7102307F9C}"/>
            </c:ext>
          </c:extLst>
        </c:ser>
        <c:ser>
          <c:idx val="2"/>
          <c:order val="2"/>
          <c:tx>
            <c:v>Boîte haute</c:v>
          </c:tx>
          <c:spPr>
            <a:solidFill>
              <a:srgbClr val="0097B2"/>
            </a:solidFill>
            <a:ln w="19050">
              <a:solidFill>
                <a:srgbClr val="FFFFFF"/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FF000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C55-42FF-97BC-7D7102307F9C}"/>
              </c:ext>
            </c:extLst>
          </c:dPt>
          <c:errBars>
            <c:errBarType val="plus"/>
            <c:errValType val="cust"/>
            <c:noEndCap val="0"/>
            <c:plus>
              <c:numRef>
                <c:f>'5_Comparaison'!$Q$36:$Q$37</c:f>
                <c:numCache>
                  <c:formatCode>General</c:formatCode>
                  <c:ptCount val="2"/>
                  <c:pt idx="0">
                    <c:v>9</c:v>
                  </c:pt>
                  <c:pt idx="1">
                    <c:v>9.75</c:v>
                  </c:pt>
                </c:numCache>
              </c:numRef>
            </c:plus>
          </c:errBars>
          <c:cat>
            <c:strRef>
              <c:f>'5_Comparaison'!$L$36:$L$37</c:f>
              <c:strCache>
                <c:ptCount val="2"/>
                <c:pt idx="0">
                  <c:v>Absence de prééclampsie</c:v>
                </c:pt>
                <c:pt idx="1">
                  <c:v>Prééclampsie</c:v>
                </c:pt>
              </c:strCache>
            </c:strRef>
          </c:cat>
          <c:val>
            <c:numRef>
              <c:f>'5_Comparaison'!$O$36:$O$37</c:f>
              <c:numCache>
                <c:formatCode>0.00</c:formatCode>
                <c:ptCount val="2"/>
                <c:pt idx="0">
                  <c:v>3</c:v>
                </c:pt>
                <c:pt idx="1">
                  <c:v>4.25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2C55-42FF-97BC-7D7102307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"/>
        <c:axId val="100"/>
      </c:barChart>
      <c:lineChart>
        <c:grouping val="standard"/>
        <c:varyColors val="1"/>
        <c:ser>
          <c:idx val="3"/>
          <c:order val="3"/>
          <c:tx>
            <c:v>Moyenne</c:v>
          </c:tx>
          <c:spPr>
            <a:ln>
              <a:noFill/>
              <a:prstDash val="solid"/>
            </a:ln>
          </c:spPr>
          <c:marker>
            <c:symbol val="diamond"/>
            <c:size val="9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val>
            <c:numRef>
              <c:f>'5_Comparaison'!$R$36:$R$37</c:f>
              <c:numCache>
                <c:formatCode>0.00</c:formatCode>
                <c:ptCount val="2"/>
                <c:pt idx="0">
                  <c:v>26.389204545454547</c:v>
                </c:pt>
                <c:pt idx="1">
                  <c:v>26.520833333333332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2C55-42FF-97BC-7D7102307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1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Âge maternel (années)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t>Prééclampsie actuelle selon l'antécédent de prééclampsie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Absence de prééclampsie</c:v>
          </c:tx>
          <c:spPr>
            <a:solidFill>
              <a:srgbClr val="0097B2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'4_Facteurs'!$A$26:$A$27</c:f>
              <c:strCache>
                <c:ptCount val="2"/>
                <c:pt idx="0">
                  <c:v>Non</c:v>
                </c:pt>
                <c:pt idx="1">
                  <c:v>Oui</c:v>
                </c:pt>
              </c:strCache>
            </c:strRef>
          </c:cat>
          <c:val>
            <c:numRef>
              <c:f>'4_Facteurs'!$E$26:$E$27</c:f>
              <c:numCache>
                <c:formatCode>0.0</c:formatCode>
                <c:ptCount val="2"/>
                <c:pt idx="0">
                  <c:v>92.248062015503876</c:v>
                </c:pt>
                <c:pt idx="1">
                  <c:v>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A93-4B4D-9659-98DEA98312DC}"/>
            </c:ext>
          </c:extLst>
        </c:ser>
        <c:ser>
          <c:idx val="1"/>
          <c:order val="1"/>
          <c:tx>
            <c:v>Prééclampsie</c:v>
          </c:tx>
          <c:spPr>
            <a:solidFill>
              <a:srgbClr val="FF000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'4_Facteurs'!$A$26:$A$27</c:f>
              <c:strCache>
                <c:ptCount val="2"/>
                <c:pt idx="0">
                  <c:v>Non</c:v>
                </c:pt>
                <c:pt idx="1">
                  <c:v>Oui</c:v>
                </c:pt>
              </c:strCache>
            </c:strRef>
          </c:cat>
          <c:val>
            <c:numRef>
              <c:f>'4_Facteurs'!$F$26:$F$27</c:f>
              <c:numCache>
                <c:formatCode>0.0</c:formatCode>
                <c:ptCount val="2"/>
                <c:pt idx="0">
                  <c:v>7.7519379844961236</c:v>
                </c:pt>
                <c:pt idx="1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A93-4B4D-9659-98DEA98312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Antécédent personnel de prééclampsie (femmes déjà accouchées)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Pourcentage de femmes (%)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09750" cy="9334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3</xdr:row>
      <xdr:rowOff>0</xdr:rowOff>
    </xdr:from>
    <xdr:ext cx="576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23</xdr:row>
      <xdr:rowOff>0</xdr:rowOff>
    </xdr:from>
    <xdr:ext cx="576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23</xdr:row>
      <xdr:rowOff>0</xdr:rowOff>
    </xdr:from>
    <xdr:ext cx="576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760000" cy="32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7:C36"/>
  <sheetViews>
    <sheetView showGridLines="0" topLeftCell="A25" zoomScale="250" zoomScaleNormal="250" workbookViewId="0">
      <selection activeCell="B38" sqref="B38"/>
    </sheetView>
  </sheetViews>
  <sheetFormatPr baseColWidth="10" defaultColWidth="9.140625" defaultRowHeight="15" x14ac:dyDescent="0.25"/>
  <cols>
    <col min="1" max="1" width="34" customWidth="1"/>
    <col min="2" max="2" width="70" customWidth="1"/>
    <col min="3" max="3" width="44" customWidth="1"/>
  </cols>
  <sheetData>
    <row r="7" spans="1:3" ht="23.25" x14ac:dyDescent="0.35">
      <c r="A7" s="1" t="s">
        <v>0</v>
      </c>
    </row>
    <row r="8" spans="1:3" x14ac:dyDescent="0.25">
      <c r="A8" s="2" t="s">
        <v>1</v>
      </c>
    </row>
    <row r="10" spans="1:3" x14ac:dyDescent="0.25">
      <c r="A10" s="3" t="s">
        <v>2</v>
      </c>
    </row>
    <row r="12" spans="1:3" ht="15.75" x14ac:dyDescent="0.25">
      <c r="A12" s="4" t="s">
        <v>3</v>
      </c>
      <c r="B12" s="5"/>
      <c r="C12" s="5"/>
    </row>
    <row r="13" spans="1:3" ht="42" customHeight="1" x14ac:dyDescent="0.25">
      <c r="A13" s="45" t="s">
        <v>4</v>
      </c>
      <c r="B13" s="46"/>
      <c r="C13" s="46"/>
    </row>
    <row r="14" spans="1:3" ht="42" customHeight="1" x14ac:dyDescent="0.25">
      <c r="A14" s="45" t="s">
        <v>5</v>
      </c>
      <c r="B14" s="46"/>
      <c r="C14" s="46"/>
    </row>
    <row r="15" spans="1:3" ht="42" customHeight="1" x14ac:dyDescent="0.25">
      <c r="A15" s="45" t="s">
        <v>6</v>
      </c>
      <c r="B15" s="46"/>
      <c r="C15" s="46"/>
    </row>
    <row r="16" spans="1:3" ht="42" customHeight="1" x14ac:dyDescent="0.25">
      <c r="A16" s="45" t="s">
        <v>7</v>
      </c>
      <c r="B16" s="46"/>
      <c r="C16" s="46"/>
    </row>
    <row r="17" spans="1:3" ht="42" customHeight="1" x14ac:dyDescent="0.25">
      <c r="A17" s="45" t="s">
        <v>8</v>
      </c>
      <c r="B17" s="46"/>
      <c r="C17" s="46"/>
    </row>
    <row r="18" spans="1:3" ht="42" customHeight="1" x14ac:dyDescent="0.25">
      <c r="A18" s="45" t="s">
        <v>9</v>
      </c>
      <c r="B18" s="46"/>
      <c r="C18" s="46"/>
    </row>
    <row r="20" spans="1:3" ht="15.75" x14ac:dyDescent="0.25">
      <c r="A20" s="4" t="s">
        <v>10</v>
      </c>
      <c r="B20" s="5"/>
      <c r="C20" s="5"/>
    </row>
    <row r="21" spans="1:3" x14ac:dyDescent="0.25">
      <c r="A21" s="6" t="s">
        <v>11</v>
      </c>
      <c r="B21" s="7" t="s">
        <v>12</v>
      </c>
      <c r="C21" s="7" t="s">
        <v>13</v>
      </c>
    </row>
    <row r="22" spans="1:3" x14ac:dyDescent="0.25">
      <c r="A22" s="8" t="s">
        <v>14</v>
      </c>
      <c r="B22" s="9" t="s">
        <v>15</v>
      </c>
      <c r="C22" s="9" t="s">
        <v>16</v>
      </c>
    </row>
    <row r="23" spans="1:3" x14ac:dyDescent="0.25">
      <c r="A23" s="8" t="s">
        <v>17</v>
      </c>
      <c r="B23" s="9" t="s">
        <v>18</v>
      </c>
      <c r="C23" s="9" t="s">
        <v>19</v>
      </c>
    </row>
    <row r="24" spans="1:3" x14ac:dyDescent="0.25">
      <c r="A24" s="8" t="s">
        <v>20</v>
      </c>
      <c r="B24" s="9" t="s">
        <v>21</v>
      </c>
      <c r="C24" s="9" t="s">
        <v>22</v>
      </c>
    </row>
    <row r="25" spans="1:3" x14ac:dyDescent="0.25">
      <c r="A25" s="8" t="s">
        <v>23</v>
      </c>
      <c r="B25" s="9" t="s">
        <v>24</v>
      </c>
      <c r="C25" s="9" t="s">
        <v>25</v>
      </c>
    </row>
    <row r="26" spans="1:3" x14ac:dyDescent="0.25">
      <c r="A26" s="8" t="s">
        <v>26</v>
      </c>
      <c r="B26" s="9" t="s">
        <v>27</v>
      </c>
      <c r="C26" s="9" t="s">
        <v>28</v>
      </c>
    </row>
    <row r="27" spans="1:3" x14ac:dyDescent="0.25">
      <c r="A27" s="8" t="s">
        <v>29</v>
      </c>
      <c r="B27" s="9" t="s">
        <v>30</v>
      </c>
      <c r="C27" s="9" t="s">
        <v>31</v>
      </c>
    </row>
    <row r="28" spans="1:3" x14ac:dyDescent="0.25">
      <c r="A28" s="8" t="s">
        <v>32</v>
      </c>
      <c r="B28" s="9" t="s">
        <v>33</v>
      </c>
      <c r="C28" s="9" t="s">
        <v>34</v>
      </c>
    </row>
    <row r="29" spans="1:3" x14ac:dyDescent="0.25">
      <c r="A29" s="8" t="s">
        <v>35</v>
      </c>
      <c r="B29" s="9" t="s">
        <v>36</v>
      </c>
      <c r="C29" s="9" t="s">
        <v>37</v>
      </c>
    </row>
    <row r="30" spans="1:3" x14ac:dyDescent="0.25">
      <c r="A30" s="8" t="s">
        <v>38</v>
      </c>
      <c r="B30" s="9" t="s">
        <v>39</v>
      </c>
      <c r="C30" s="9" t="s">
        <v>40</v>
      </c>
    </row>
    <row r="31" spans="1:3" x14ac:dyDescent="0.25">
      <c r="A31" s="8" t="s">
        <v>41</v>
      </c>
      <c r="B31" s="9" t="s">
        <v>805</v>
      </c>
      <c r="C31" s="9" t="s">
        <v>42</v>
      </c>
    </row>
    <row r="32" spans="1:3" x14ac:dyDescent="0.25">
      <c r="A32" s="8" t="s">
        <v>43</v>
      </c>
      <c r="B32" s="9" t="s">
        <v>44</v>
      </c>
      <c r="C32" s="9" t="s">
        <v>45</v>
      </c>
    </row>
    <row r="34" spans="1:3" ht="15.75" x14ac:dyDescent="0.25">
      <c r="A34" s="4" t="s">
        <v>46</v>
      </c>
      <c r="B34" s="5"/>
      <c r="C34" s="5"/>
    </row>
    <row r="35" spans="1:3" x14ac:dyDescent="0.25">
      <c r="A35" s="10" t="s">
        <v>47</v>
      </c>
    </row>
    <row r="36" spans="1:3" x14ac:dyDescent="0.25">
      <c r="A36" s="3" t="s">
        <v>48</v>
      </c>
    </row>
  </sheetData>
  <mergeCells count="6">
    <mergeCell ref="A13:C13"/>
    <mergeCell ref="A14:C14"/>
    <mergeCell ref="A17:C17"/>
    <mergeCell ref="A18:C18"/>
    <mergeCell ref="A15:C15"/>
    <mergeCell ref="A16:C16"/>
  </mergeCells>
  <hyperlinks>
    <hyperlink ref="A22" location="'Donnees'!A1" display="Donnees" xr:uid="{00000000-0004-0000-0000-000000000000}"/>
    <hyperlink ref="A23" location="'Dictionnaire'!A1" display="Dictionnaire" xr:uid="{00000000-0004-0000-0000-000001000000}"/>
    <hyperlink ref="A24" location="'1_Exploration'!A1" display="1_Exploration" xr:uid="{00000000-0004-0000-0000-000002000000}"/>
    <hyperlink ref="A25" location="'2_Description'!A1" display="2_Description" xr:uid="{00000000-0004-0000-0000-000003000000}"/>
    <hyperlink ref="A26" location="'3_Frequence'!A1" display="3_Frequence" xr:uid="{00000000-0004-0000-0000-000004000000}"/>
    <hyperlink ref="A27" location="'4_Facteurs'!A1" display="4_Facteurs" xr:uid="{00000000-0004-0000-0000-000005000000}"/>
    <hyperlink ref="A28" location="'Fisher_2x2'!A1" display="Fisher_2x2, Fisher_Q5, Fisher_Q8" xr:uid="{00000000-0004-0000-0000-000006000000}"/>
    <hyperlink ref="A29" location="'5_Comparaison'!A1" display="5_Comparaison" xr:uid="{00000000-0004-0000-0000-000007000000}"/>
    <hyperlink ref="A30" location="'6_Tableaux'!A1" display="6_Tableaux" xr:uid="{00000000-0004-0000-0000-000008000000}"/>
    <hyperlink ref="A31" location="'7_Graphiques'!A1" display="7_Graphiques" xr:uid="{00000000-0004-0000-0000-000009000000}"/>
    <hyperlink ref="A32" location="'8_Synthese'!A1" display="8_Synthese" xr:uid="{00000000-0004-0000-0000-00000A000000}"/>
  </hyperlinks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4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C52" sqref="C52"/>
    </sheetView>
  </sheetViews>
  <sheetFormatPr baseColWidth="10" defaultColWidth="9.140625" defaultRowHeight="15" x14ac:dyDescent="0.25"/>
  <cols>
    <col min="1" max="2" width="15" customWidth="1"/>
    <col min="3" max="5" width="17" customWidth="1"/>
    <col min="6" max="8" width="15" customWidth="1"/>
    <col min="9" max="9" width="19" customWidth="1"/>
    <col min="10" max="20" width="15" customWidth="1"/>
    <col min="21" max="21" width="24" customWidth="1"/>
    <col min="22" max="22" width="15" customWidth="1"/>
    <col min="23" max="23" width="17" customWidth="1"/>
    <col min="24" max="24" width="22" customWidth="1"/>
    <col min="25" max="25" width="16" customWidth="1"/>
    <col min="26" max="26" width="14" customWidth="1"/>
    <col min="27" max="28" width="15" customWidth="1"/>
  </cols>
  <sheetData>
    <row r="1" spans="1:30" x14ac:dyDescent="0.25">
      <c r="A1" s="11" t="s">
        <v>49</v>
      </c>
      <c r="B1" s="11" t="s">
        <v>50</v>
      </c>
      <c r="C1" s="11" t="s">
        <v>51</v>
      </c>
      <c r="D1" s="11" t="s">
        <v>52</v>
      </c>
      <c r="E1" s="11" t="s">
        <v>53</v>
      </c>
      <c r="F1" s="11" t="s">
        <v>54</v>
      </c>
      <c r="G1" s="11" t="s">
        <v>55</v>
      </c>
      <c r="H1" s="11" t="s">
        <v>56</v>
      </c>
      <c r="I1" s="11" t="s">
        <v>57</v>
      </c>
      <c r="J1" s="11" t="s">
        <v>58</v>
      </c>
      <c r="K1" s="11" t="s">
        <v>59</v>
      </c>
      <c r="L1" s="11" t="s">
        <v>60</v>
      </c>
      <c r="M1" s="11" t="s">
        <v>61</v>
      </c>
      <c r="N1" s="11" t="s">
        <v>62</v>
      </c>
      <c r="O1" s="11" t="s">
        <v>63</v>
      </c>
      <c r="P1" s="11" t="s">
        <v>64</v>
      </c>
      <c r="Q1" s="11" t="s">
        <v>65</v>
      </c>
      <c r="R1" s="11" t="s">
        <v>66</v>
      </c>
      <c r="S1" s="11" t="s">
        <v>67</v>
      </c>
      <c r="T1" s="11" t="s">
        <v>68</v>
      </c>
      <c r="U1" s="11" t="s">
        <v>69</v>
      </c>
      <c r="V1" s="11" t="s">
        <v>70</v>
      </c>
      <c r="W1" s="12" t="s">
        <v>71</v>
      </c>
      <c r="X1" s="12" t="s">
        <v>72</v>
      </c>
      <c r="Y1" s="12" t="s">
        <v>73</v>
      </c>
      <c r="Z1" s="12" t="s">
        <v>74</v>
      </c>
      <c r="AA1" s="12" t="s">
        <v>75</v>
      </c>
      <c r="AB1" s="12" t="s">
        <v>76</v>
      </c>
      <c r="AD1" s="2" t="s">
        <v>77</v>
      </c>
    </row>
    <row r="2" spans="1:30" x14ac:dyDescent="0.25">
      <c r="A2" s="13" t="s">
        <v>78</v>
      </c>
      <c r="B2" s="13">
        <v>24</v>
      </c>
      <c r="C2" s="13" t="s">
        <v>79</v>
      </c>
      <c r="D2" s="13" t="s">
        <v>80</v>
      </c>
      <c r="E2" s="13" t="s">
        <v>81</v>
      </c>
      <c r="F2" s="13" t="s">
        <v>82</v>
      </c>
      <c r="G2" s="13">
        <v>3</v>
      </c>
      <c r="H2" s="13">
        <v>2</v>
      </c>
      <c r="I2" s="13" t="s">
        <v>83</v>
      </c>
      <c r="J2" s="13" t="s">
        <v>83</v>
      </c>
      <c r="K2" s="13" t="s">
        <v>83</v>
      </c>
      <c r="L2" s="13" t="s">
        <v>83</v>
      </c>
      <c r="M2" s="13">
        <v>36</v>
      </c>
      <c r="N2" s="13">
        <v>5</v>
      </c>
      <c r="O2" s="13" t="s">
        <v>84</v>
      </c>
      <c r="P2" s="13">
        <v>19.8</v>
      </c>
      <c r="Q2" s="13">
        <v>119</v>
      </c>
      <c r="R2" s="13">
        <v>71</v>
      </c>
      <c r="S2" s="13" t="s">
        <v>85</v>
      </c>
      <c r="T2" s="13" t="s">
        <v>86</v>
      </c>
      <c r="U2" s="13" t="s">
        <v>87</v>
      </c>
      <c r="V2" s="13" t="s">
        <v>83</v>
      </c>
      <c r="W2" s="13" t="str">
        <f t="shared" ref="W2:W65" si="0">IF(B2="","",IF(B2&lt;=19,"Moins de 20 ans",IF(B2&lt;=29,"20-29 ans",IF(B2&lt;=34,"30-34 ans","35 ans et plus"))))</f>
        <v>20-29 ans</v>
      </c>
      <c r="X2" s="13" t="str">
        <f t="shared" ref="X2:X65" si="1">IF(H2="","",IF(H2=0,"Nullipare (0)",IF(H2&lt;=2,"1-2 accouchements","3 accouchements et plus")))</f>
        <v>1-2 accouchements</v>
      </c>
      <c r="Y2" s="13" t="str">
        <f t="shared" ref="Y2:Y65" si="2">IF(N2="","",IF(N2&lt;=3,"Moins de 4 CPN",IF(N2&lt;=7,"4 à 7 CPN","8 CPN et plus")))</f>
        <v>4 à 7 CPN</v>
      </c>
      <c r="Z2" s="13" t="str">
        <f t="shared" ref="Z2:Z65" si="3">IF(M2="","",IF(M2&lt;=27,"20-27 SA",IF(M2&lt;=36,"28-36 SA","37 SA et plus")))</f>
        <v>28-36 SA</v>
      </c>
      <c r="AA2" s="13">
        <f t="shared" ref="AA2:AA65" si="4">RANK(B2,$B$2:$B$401,1)+(COUNTIF($B$2:$B$401,B2)-1)/2</f>
        <v>139.5</v>
      </c>
      <c r="AB2" s="13">
        <f t="shared" ref="AB2:AB65" si="5">IF(AND(H2&gt;=1,OR(I2="Oui",I2="Non")),1,0)</f>
        <v>1</v>
      </c>
    </row>
    <row r="3" spans="1:30" x14ac:dyDescent="0.25">
      <c r="A3" s="13" t="s">
        <v>88</v>
      </c>
      <c r="B3" s="13">
        <v>24</v>
      </c>
      <c r="C3" s="13" t="s">
        <v>89</v>
      </c>
      <c r="D3" s="13" t="s">
        <v>80</v>
      </c>
      <c r="E3" s="13" t="s">
        <v>90</v>
      </c>
      <c r="F3" s="13" t="s">
        <v>82</v>
      </c>
      <c r="G3" s="13">
        <v>2</v>
      </c>
      <c r="H3" s="13">
        <v>1</v>
      </c>
      <c r="I3" s="13" t="s">
        <v>83</v>
      </c>
      <c r="J3" s="13" t="s">
        <v>83</v>
      </c>
      <c r="K3" s="13" t="s">
        <v>91</v>
      </c>
      <c r="L3" s="13" t="s">
        <v>83</v>
      </c>
      <c r="M3" s="13">
        <v>40</v>
      </c>
      <c r="N3" s="13">
        <v>4</v>
      </c>
      <c r="O3" s="13" t="s">
        <v>84</v>
      </c>
      <c r="P3" s="13">
        <v>21.7</v>
      </c>
      <c r="Q3" s="13">
        <v>113</v>
      </c>
      <c r="R3" s="13">
        <v>77</v>
      </c>
      <c r="S3" s="13" t="s">
        <v>85</v>
      </c>
      <c r="T3" s="13" t="s">
        <v>86</v>
      </c>
      <c r="U3" s="13" t="s">
        <v>87</v>
      </c>
      <c r="V3" s="13" t="s">
        <v>83</v>
      </c>
      <c r="W3" s="13" t="str">
        <f t="shared" si="0"/>
        <v>20-29 ans</v>
      </c>
      <c r="X3" s="13" t="str">
        <f t="shared" si="1"/>
        <v>1-2 accouchements</v>
      </c>
      <c r="Y3" s="13" t="str">
        <f t="shared" si="2"/>
        <v>4 à 7 CPN</v>
      </c>
      <c r="Z3" s="13" t="str">
        <f t="shared" si="3"/>
        <v>37 SA et plus</v>
      </c>
      <c r="AA3" s="13">
        <f t="shared" si="4"/>
        <v>139.5</v>
      </c>
      <c r="AB3" s="13">
        <f t="shared" si="5"/>
        <v>1</v>
      </c>
    </row>
    <row r="4" spans="1:30" x14ac:dyDescent="0.25">
      <c r="A4" s="13" t="s">
        <v>92</v>
      </c>
      <c r="B4" s="13">
        <v>34</v>
      </c>
      <c r="C4" s="13" t="s">
        <v>89</v>
      </c>
      <c r="D4" s="13" t="s">
        <v>93</v>
      </c>
      <c r="E4" s="13" t="s">
        <v>81</v>
      </c>
      <c r="F4" s="13" t="s">
        <v>94</v>
      </c>
      <c r="G4" s="13">
        <v>1</v>
      </c>
      <c r="H4" s="13">
        <v>0</v>
      </c>
      <c r="I4" s="13" t="s">
        <v>86</v>
      </c>
      <c r="J4" s="13" t="s">
        <v>83</v>
      </c>
      <c r="K4" s="13" t="s">
        <v>83</v>
      </c>
      <c r="L4" s="13" t="s">
        <v>83</v>
      </c>
      <c r="M4" s="13">
        <v>33</v>
      </c>
      <c r="N4" s="13">
        <v>6</v>
      </c>
      <c r="O4" s="13" t="s">
        <v>84</v>
      </c>
      <c r="P4" s="13">
        <v>29.2</v>
      </c>
      <c r="Q4" s="13">
        <v>114</v>
      </c>
      <c r="R4" s="13">
        <v>69</v>
      </c>
      <c r="S4" s="13" t="s">
        <v>85</v>
      </c>
      <c r="T4" s="13" t="s">
        <v>86</v>
      </c>
      <c r="U4" s="13" t="s">
        <v>87</v>
      </c>
      <c r="V4" s="13" t="s">
        <v>83</v>
      </c>
      <c r="W4" s="13" t="str">
        <f t="shared" si="0"/>
        <v>30-34 ans</v>
      </c>
      <c r="X4" s="13" t="str">
        <f t="shared" si="1"/>
        <v>Nullipare (0)</v>
      </c>
      <c r="Y4" s="13" t="str">
        <f t="shared" si="2"/>
        <v>4 à 7 CPN</v>
      </c>
      <c r="Z4" s="13" t="str">
        <f t="shared" si="3"/>
        <v>28-36 SA</v>
      </c>
      <c r="AA4" s="13">
        <f t="shared" si="4"/>
        <v>372</v>
      </c>
      <c r="AB4" s="13">
        <f t="shared" si="5"/>
        <v>0</v>
      </c>
    </row>
    <row r="5" spans="1:30" x14ac:dyDescent="0.25">
      <c r="A5" s="13" t="s">
        <v>95</v>
      </c>
      <c r="B5" s="13">
        <v>20</v>
      </c>
      <c r="C5" s="13" t="s">
        <v>79</v>
      </c>
      <c r="D5" s="13" t="s">
        <v>80</v>
      </c>
      <c r="E5" s="13" t="s">
        <v>96</v>
      </c>
      <c r="F5" s="13" t="s">
        <v>94</v>
      </c>
      <c r="G5" s="13">
        <v>1</v>
      </c>
      <c r="H5" s="13">
        <v>0</v>
      </c>
      <c r="I5" s="13" t="s">
        <v>86</v>
      </c>
      <c r="J5" s="13" t="s">
        <v>83</v>
      </c>
      <c r="K5" s="13" t="s">
        <v>83</v>
      </c>
      <c r="L5" s="13" t="s">
        <v>83</v>
      </c>
      <c r="M5" s="13">
        <v>34</v>
      </c>
      <c r="N5" s="13">
        <v>0</v>
      </c>
      <c r="O5" s="13" t="s">
        <v>84</v>
      </c>
      <c r="P5" s="13">
        <v>21</v>
      </c>
      <c r="Q5" s="13">
        <v>115</v>
      </c>
      <c r="R5" s="13">
        <v>70</v>
      </c>
      <c r="S5" s="13" t="s">
        <v>85</v>
      </c>
      <c r="T5" s="13" t="s">
        <v>86</v>
      </c>
      <c r="U5" s="13" t="s">
        <v>87</v>
      </c>
      <c r="V5" s="13" t="s">
        <v>83</v>
      </c>
      <c r="W5" s="13" t="str">
        <f t="shared" si="0"/>
        <v>20-29 ans</v>
      </c>
      <c r="X5" s="13" t="str">
        <f t="shared" si="1"/>
        <v>Nullipare (0)</v>
      </c>
      <c r="Y5" s="13" t="str">
        <f t="shared" si="2"/>
        <v>Moins de 4 CPN</v>
      </c>
      <c r="Z5" s="13" t="str">
        <f t="shared" si="3"/>
        <v>28-36 SA</v>
      </c>
      <c r="AA5" s="13">
        <f t="shared" si="4"/>
        <v>30.5</v>
      </c>
      <c r="AB5" s="13">
        <f t="shared" si="5"/>
        <v>0</v>
      </c>
    </row>
    <row r="6" spans="1:30" x14ac:dyDescent="0.25">
      <c r="A6" s="13" t="s">
        <v>97</v>
      </c>
      <c r="B6" s="13">
        <v>20</v>
      </c>
      <c r="C6" s="13" t="s">
        <v>98</v>
      </c>
      <c r="D6" s="13" t="s">
        <v>80</v>
      </c>
      <c r="E6" s="13" t="s">
        <v>99</v>
      </c>
      <c r="F6" s="13" t="s">
        <v>82</v>
      </c>
      <c r="G6" s="13">
        <v>1</v>
      </c>
      <c r="H6" s="13">
        <v>0</v>
      </c>
      <c r="I6" s="13" t="s">
        <v>86</v>
      </c>
      <c r="J6" s="13" t="s">
        <v>83</v>
      </c>
      <c r="K6" s="13" t="s">
        <v>83</v>
      </c>
      <c r="L6" s="13" t="s">
        <v>83</v>
      </c>
      <c r="M6" s="13">
        <v>33</v>
      </c>
      <c r="N6" s="13">
        <v>4</v>
      </c>
      <c r="O6" s="13" t="s">
        <v>84</v>
      </c>
      <c r="P6" s="13">
        <v>24.1</v>
      </c>
      <c r="Q6" s="13">
        <v>102</v>
      </c>
      <c r="R6" s="13">
        <v>66</v>
      </c>
      <c r="S6" s="13" t="s">
        <v>85</v>
      </c>
      <c r="T6" s="13" t="s">
        <v>86</v>
      </c>
      <c r="U6" s="13" t="s">
        <v>87</v>
      </c>
      <c r="V6" s="13" t="s">
        <v>83</v>
      </c>
      <c r="W6" s="13" t="str">
        <f t="shared" si="0"/>
        <v>20-29 ans</v>
      </c>
      <c r="X6" s="13" t="str">
        <f t="shared" si="1"/>
        <v>Nullipare (0)</v>
      </c>
      <c r="Y6" s="13" t="str">
        <f t="shared" si="2"/>
        <v>4 à 7 CPN</v>
      </c>
      <c r="Z6" s="13" t="str">
        <f t="shared" si="3"/>
        <v>28-36 SA</v>
      </c>
      <c r="AA6" s="13">
        <f t="shared" si="4"/>
        <v>30.5</v>
      </c>
      <c r="AB6" s="13">
        <f t="shared" si="5"/>
        <v>0</v>
      </c>
    </row>
    <row r="7" spans="1:30" x14ac:dyDescent="0.25">
      <c r="A7" s="13" t="s">
        <v>100</v>
      </c>
      <c r="B7" s="13">
        <v>24</v>
      </c>
      <c r="C7" s="13" t="s">
        <v>79</v>
      </c>
      <c r="D7" s="13" t="s">
        <v>80</v>
      </c>
      <c r="E7" s="13" t="s">
        <v>101</v>
      </c>
      <c r="F7" s="13" t="s">
        <v>94</v>
      </c>
      <c r="G7" s="13">
        <v>1</v>
      </c>
      <c r="H7" s="13">
        <v>0</v>
      </c>
      <c r="I7" s="13" t="s">
        <v>86</v>
      </c>
      <c r="J7" s="13" t="s">
        <v>83</v>
      </c>
      <c r="K7" s="13" t="s">
        <v>83</v>
      </c>
      <c r="L7" s="13" t="s">
        <v>83</v>
      </c>
      <c r="M7" s="13">
        <v>35</v>
      </c>
      <c r="O7" s="13" t="s">
        <v>84</v>
      </c>
      <c r="P7" s="13">
        <v>30.5</v>
      </c>
      <c r="Q7" s="13">
        <v>102</v>
      </c>
      <c r="R7" s="13">
        <v>63</v>
      </c>
      <c r="S7" s="13" t="s">
        <v>85</v>
      </c>
      <c r="T7" s="13" t="s">
        <v>86</v>
      </c>
      <c r="U7" s="13" t="s">
        <v>87</v>
      </c>
      <c r="V7" s="13" t="s">
        <v>83</v>
      </c>
      <c r="W7" s="13" t="str">
        <f t="shared" si="0"/>
        <v>20-29 ans</v>
      </c>
      <c r="X7" s="13" t="str">
        <f t="shared" si="1"/>
        <v>Nullipare (0)</v>
      </c>
      <c r="Y7" s="13" t="str">
        <f t="shared" si="2"/>
        <v/>
      </c>
      <c r="Z7" s="13" t="str">
        <f t="shared" si="3"/>
        <v>28-36 SA</v>
      </c>
      <c r="AA7" s="13">
        <f t="shared" si="4"/>
        <v>139.5</v>
      </c>
      <c r="AB7" s="13">
        <f t="shared" si="5"/>
        <v>0</v>
      </c>
    </row>
    <row r="8" spans="1:30" x14ac:dyDescent="0.25">
      <c r="A8" s="13" t="s">
        <v>102</v>
      </c>
      <c r="B8" s="13">
        <v>33</v>
      </c>
      <c r="C8" s="13" t="s">
        <v>79</v>
      </c>
      <c r="D8" s="13" t="s">
        <v>93</v>
      </c>
      <c r="E8" s="13" t="s">
        <v>96</v>
      </c>
      <c r="F8" s="13" t="s">
        <v>82</v>
      </c>
      <c r="G8" s="13">
        <v>3</v>
      </c>
      <c r="H8" s="13">
        <v>2</v>
      </c>
      <c r="I8" s="13" t="s">
        <v>91</v>
      </c>
      <c r="J8" s="13" t="s">
        <v>83</v>
      </c>
      <c r="K8" s="13" t="s">
        <v>91</v>
      </c>
      <c r="L8" s="13" t="s">
        <v>83</v>
      </c>
      <c r="M8" s="13">
        <v>34</v>
      </c>
      <c r="N8" s="13">
        <v>1</v>
      </c>
      <c r="O8" s="13" t="s">
        <v>84</v>
      </c>
      <c r="P8" s="13">
        <v>28.9</v>
      </c>
      <c r="Q8" s="13">
        <v>118</v>
      </c>
      <c r="R8" s="13">
        <v>67</v>
      </c>
      <c r="S8" s="13" t="s">
        <v>85</v>
      </c>
      <c r="T8" s="13" t="s">
        <v>86</v>
      </c>
      <c r="U8" s="13" t="s">
        <v>87</v>
      </c>
      <c r="V8" s="13" t="s">
        <v>83</v>
      </c>
      <c r="W8" s="13" t="str">
        <f t="shared" si="0"/>
        <v>30-34 ans</v>
      </c>
      <c r="X8" s="13" t="str">
        <f t="shared" si="1"/>
        <v>1-2 accouchements</v>
      </c>
      <c r="Y8" s="13" t="str">
        <f t="shared" si="2"/>
        <v>Moins de 4 CPN</v>
      </c>
      <c r="Z8" s="13" t="str">
        <f t="shared" si="3"/>
        <v>28-36 SA</v>
      </c>
      <c r="AA8" s="13">
        <f t="shared" si="4"/>
        <v>361.5</v>
      </c>
      <c r="AB8" s="13">
        <f t="shared" si="5"/>
        <v>1</v>
      </c>
    </row>
    <row r="9" spans="1:30" x14ac:dyDescent="0.25">
      <c r="A9" s="13" t="s">
        <v>103</v>
      </c>
      <c r="B9" s="13">
        <v>23</v>
      </c>
      <c r="C9" s="13" t="s">
        <v>79</v>
      </c>
      <c r="D9" s="13" t="s">
        <v>80</v>
      </c>
      <c r="E9" s="13" t="s">
        <v>99</v>
      </c>
      <c r="F9" s="13" t="s">
        <v>94</v>
      </c>
      <c r="G9" s="13">
        <v>4</v>
      </c>
      <c r="H9" s="13">
        <v>3</v>
      </c>
      <c r="I9" s="13" t="s">
        <v>83</v>
      </c>
      <c r="J9" s="13" t="s">
        <v>83</v>
      </c>
      <c r="K9" s="13" t="s">
        <v>91</v>
      </c>
      <c r="L9" s="13" t="s">
        <v>83</v>
      </c>
      <c r="M9" s="13">
        <v>35</v>
      </c>
      <c r="N9" s="13">
        <v>3</v>
      </c>
      <c r="O9" s="13" t="s">
        <v>84</v>
      </c>
      <c r="P9" s="13">
        <v>20.5</v>
      </c>
      <c r="Q9" s="13">
        <v>125</v>
      </c>
      <c r="R9" s="13">
        <v>84</v>
      </c>
      <c r="S9" s="13" t="s">
        <v>85</v>
      </c>
      <c r="T9" s="13" t="s">
        <v>86</v>
      </c>
      <c r="U9" s="13" t="s">
        <v>87</v>
      </c>
      <c r="V9" s="13" t="s">
        <v>83</v>
      </c>
      <c r="W9" s="13" t="str">
        <f t="shared" si="0"/>
        <v>20-29 ans</v>
      </c>
      <c r="X9" s="13" t="str">
        <f t="shared" si="1"/>
        <v>3 accouchements et plus</v>
      </c>
      <c r="Y9" s="13" t="str">
        <f t="shared" si="2"/>
        <v>Moins de 4 CPN</v>
      </c>
      <c r="Z9" s="13" t="str">
        <f t="shared" si="3"/>
        <v>28-36 SA</v>
      </c>
      <c r="AA9" s="13">
        <f t="shared" si="4"/>
        <v>103.5</v>
      </c>
      <c r="AB9" s="13">
        <f t="shared" si="5"/>
        <v>1</v>
      </c>
    </row>
    <row r="10" spans="1:30" x14ac:dyDescent="0.25">
      <c r="A10" s="13" t="s">
        <v>104</v>
      </c>
      <c r="B10" s="13">
        <v>26</v>
      </c>
      <c r="C10" s="13" t="s">
        <v>98</v>
      </c>
      <c r="D10" s="13" t="s">
        <v>93</v>
      </c>
      <c r="E10" s="13" t="s">
        <v>81</v>
      </c>
      <c r="F10" s="13" t="s">
        <v>82</v>
      </c>
      <c r="G10" s="13">
        <v>3</v>
      </c>
      <c r="H10" s="13">
        <v>2</v>
      </c>
      <c r="I10" s="13" t="s">
        <v>91</v>
      </c>
      <c r="J10" s="13" t="s">
        <v>83</v>
      </c>
      <c r="K10" s="13" t="s">
        <v>83</v>
      </c>
      <c r="L10" s="13" t="s">
        <v>83</v>
      </c>
      <c r="M10" s="13">
        <v>29</v>
      </c>
      <c r="O10" s="13" t="s">
        <v>84</v>
      </c>
      <c r="P10" s="13">
        <v>32.9</v>
      </c>
      <c r="Q10" s="13">
        <v>116</v>
      </c>
      <c r="R10" s="13">
        <v>66</v>
      </c>
      <c r="S10" s="13" t="s">
        <v>85</v>
      </c>
      <c r="T10" s="13" t="s">
        <v>86</v>
      </c>
      <c r="U10" s="13" t="s">
        <v>87</v>
      </c>
      <c r="V10" s="13" t="s">
        <v>83</v>
      </c>
      <c r="W10" s="13" t="str">
        <f t="shared" si="0"/>
        <v>20-29 ans</v>
      </c>
      <c r="X10" s="13" t="str">
        <f t="shared" si="1"/>
        <v>1-2 accouchements</v>
      </c>
      <c r="Y10" s="13" t="str">
        <f t="shared" si="2"/>
        <v/>
      </c>
      <c r="Z10" s="13" t="str">
        <f t="shared" si="3"/>
        <v>28-36 SA</v>
      </c>
      <c r="AA10" s="13">
        <f t="shared" si="4"/>
        <v>206</v>
      </c>
      <c r="AB10" s="13">
        <f t="shared" si="5"/>
        <v>1</v>
      </c>
    </row>
    <row r="11" spans="1:30" x14ac:dyDescent="0.25">
      <c r="A11" s="13" t="s">
        <v>105</v>
      </c>
      <c r="B11" s="13">
        <v>29</v>
      </c>
      <c r="C11" s="13" t="s">
        <v>89</v>
      </c>
      <c r="D11" s="13" t="s">
        <v>93</v>
      </c>
      <c r="E11" s="13" t="s">
        <v>81</v>
      </c>
      <c r="F11" s="13" t="s">
        <v>82</v>
      </c>
      <c r="G11" s="13">
        <v>1</v>
      </c>
      <c r="H11" s="13">
        <v>0</v>
      </c>
      <c r="I11" s="13" t="s">
        <v>86</v>
      </c>
      <c r="J11" s="13" t="s">
        <v>91</v>
      </c>
      <c r="K11" s="13" t="s">
        <v>83</v>
      </c>
      <c r="L11" s="13" t="s">
        <v>83</v>
      </c>
      <c r="M11" s="13">
        <v>38</v>
      </c>
      <c r="N11" s="13">
        <v>2</v>
      </c>
      <c r="O11" s="13" t="s">
        <v>84</v>
      </c>
      <c r="P11" s="13">
        <v>30.9</v>
      </c>
      <c r="Q11" s="13">
        <v>149</v>
      </c>
      <c r="R11" s="13">
        <v>97</v>
      </c>
      <c r="S11" s="13" t="s">
        <v>106</v>
      </c>
      <c r="T11" s="13" t="s">
        <v>91</v>
      </c>
      <c r="U11" s="13" t="s">
        <v>107</v>
      </c>
      <c r="V11" s="13" t="s">
        <v>91</v>
      </c>
      <c r="W11" s="13" t="str">
        <f t="shared" si="0"/>
        <v>20-29 ans</v>
      </c>
      <c r="X11" s="13" t="str">
        <f t="shared" si="1"/>
        <v>Nullipare (0)</v>
      </c>
      <c r="Y11" s="13" t="str">
        <f t="shared" si="2"/>
        <v>Moins de 4 CPN</v>
      </c>
      <c r="Z11" s="13" t="str">
        <f t="shared" si="3"/>
        <v>37 SA et plus</v>
      </c>
      <c r="AA11" s="13">
        <f t="shared" si="4"/>
        <v>299</v>
      </c>
      <c r="AB11" s="13">
        <f t="shared" si="5"/>
        <v>0</v>
      </c>
    </row>
    <row r="12" spans="1:30" x14ac:dyDescent="0.25">
      <c r="A12" s="13" t="s">
        <v>108</v>
      </c>
      <c r="B12" s="13">
        <v>21</v>
      </c>
      <c r="C12" s="13" t="s">
        <v>89</v>
      </c>
      <c r="D12" s="13" t="s">
        <v>109</v>
      </c>
      <c r="E12" s="13" t="s">
        <v>96</v>
      </c>
      <c r="F12" s="13" t="s">
        <v>82</v>
      </c>
      <c r="G12" s="13">
        <v>2</v>
      </c>
      <c r="H12" s="13">
        <v>1</v>
      </c>
      <c r="I12" s="13" t="s">
        <v>83</v>
      </c>
      <c r="J12" s="13" t="s">
        <v>83</v>
      </c>
      <c r="K12" s="13" t="s">
        <v>91</v>
      </c>
      <c r="L12" s="13" t="s">
        <v>83</v>
      </c>
      <c r="M12" s="13">
        <v>34</v>
      </c>
      <c r="N12" s="13">
        <v>5</v>
      </c>
      <c r="O12" s="13" t="s">
        <v>84</v>
      </c>
      <c r="P12" s="13">
        <v>27.2</v>
      </c>
      <c r="Q12" s="13">
        <v>146</v>
      </c>
      <c r="R12" s="13">
        <v>89</v>
      </c>
      <c r="S12" s="13" t="s">
        <v>85</v>
      </c>
      <c r="T12" s="13" t="s">
        <v>86</v>
      </c>
      <c r="U12" s="13" t="s">
        <v>110</v>
      </c>
      <c r="V12" s="13" t="s">
        <v>83</v>
      </c>
      <c r="W12" s="13" t="str">
        <f t="shared" si="0"/>
        <v>20-29 ans</v>
      </c>
      <c r="X12" s="13" t="str">
        <f t="shared" si="1"/>
        <v>1-2 accouchements</v>
      </c>
      <c r="Y12" s="13" t="str">
        <f t="shared" si="2"/>
        <v>4 à 7 CPN</v>
      </c>
      <c r="Z12" s="13" t="str">
        <f t="shared" si="3"/>
        <v>28-36 SA</v>
      </c>
      <c r="AA12" s="13">
        <f t="shared" si="4"/>
        <v>48</v>
      </c>
      <c r="AB12" s="13">
        <f t="shared" si="5"/>
        <v>1</v>
      </c>
    </row>
    <row r="13" spans="1:30" x14ac:dyDescent="0.25">
      <c r="A13" s="13" t="s">
        <v>111</v>
      </c>
      <c r="B13" s="13">
        <v>24</v>
      </c>
      <c r="C13" s="13" t="s">
        <v>79</v>
      </c>
      <c r="D13" s="13" t="s">
        <v>93</v>
      </c>
      <c r="E13" s="13" t="s">
        <v>112</v>
      </c>
      <c r="F13" s="13" t="s">
        <v>94</v>
      </c>
      <c r="G13" s="13">
        <v>2</v>
      </c>
      <c r="H13" s="13">
        <v>1</v>
      </c>
      <c r="I13" s="13" t="s">
        <v>83</v>
      </c>
      <c r="J13" s="13" t="s">
        <v>83</v>
      </c>
      <c r="K13" s="13" t="s">
        <v>83</v>
      </c>
      <c r="L13" s="13" t="s">
        <v>83</v>
      </c>
      <c r="M13" s="13">
        <v>38</v>
      </c>
      <c r="N13" s="13">
        <v>3</v>
      </c>
      <c r="O13" s="13" t="s">
        <v>84</v>
      </c>
      <c r="P13" s="13">
        <v>24.4</v>
      </c>
      <c r="Q13" s="13">
        <v>151</v>
      </c>
      <c r="R13" s="13">
        <v>105</v>
      </c>
      <c r="S13" s="13" t="s">
        <v>113</v>
      </c>
      <c r="T13" s="13" t="s">
        <v>91</v>
      </c>
      <c r="U13" s="13" t="s">
        <v>114</v>
      </c>
      <c r="V13" s="13" t="s">
        <v>91</v>
      </c>
      <c r="W13" s="13" t="str">
        <f t="shared" si="0"/>
        <v>20-29 ans</v>
      </c>
      <c r="X13" s="13" t="str">
        <f t="shared" si="1"/>
        <v>1-2 accouchements</v>
      </c>
      <c r="Y13" s="13" t="str">
        <f t="shared" si="2"/>
        <v>Moins de 4 CPN</v>
      </c>
      <c r="Z13" s="13" t="str">
        <f t="shared" si="3"/>
        <v>37 SA et plus</v>
      </c>
      <c r="AA13" s="13">
        <f t="shared" si="4"/>
        <v>139.5</v>
      </c>
      <c r="AB13" s="13">
        <f t="shared" si="5"/>
        <v>1</v>
      </c>
    </row>
    <row r="14" spans="1:30" x14ac:dyDescent="0.25">
      <c r="A14" s="13" t="s">
        <v>115</v>
      </c>
      <c r="B14" s="13">
        <v>24</v>
      </c>
      <c r="C14" s="13" t="s">
        <v>79</v>
      </c>
      <c r="D14" s="13" t="s">
        <v>93</v>
      </c>
      <c r="E14" s="13" t="s">
        <v>96</v>
      </c>
      <c r="F14" s="13" t="s">
        <v>82</v>
      </c>
      <c r="G14" s="13">
        <v>3</v>
      </c>
      <c r="H14" s="13">
        <v>1</v>
      </c>
      <c r="I14" s="13" t="s">
        <v>83</v>
      </c>
      <c r="J14" s="13" t="s">
        <v>83</v>
      </c>
      <c r="K14" s="13" t="s">
        <v>83</v>
      </c>
      <c r="L14" s="13" t="s">
        <v>83</v>
      </c>
      <c r="M14" s="13">
        <v>37</v>
      </c>
      <c r="N14" s="13">
        <v>5</v>
      </c>
      <c r="O14" s="13" t="s">
        <v>84</v>
      </c>
      <c r="P14" s="13">
        <v>23.2</v>
      </c>
      <c r="Q14" s="13">
        <v>98</v>
      </c>
      <c r="R14" s="13">
        <v>65</v>
      </c>
      <c r="S14" s="13" t="s">
        <v>85</v>
      </c>
      <c r="T14" s="13" t="s">
        <v>86</v>
      </c>
      <c r="U14" s="13" t="s">
        <v>87</v>
      </c>
      <c r="V14" s="13" t="s">
        <v>83</v>
      </c>
      <c r="W14" s="13" t="str">
        <f t="shared" si="0"/>
        <v>20-29 ans</v>
      </c>
      <c r="X14" s="13" t="str">
        <f t="shared" si="1"/>
        <v>1-2 accouchements</v>
      </c>
      <c r="Y14" s="13" t="str">
        <f t="shared" si="2"/>
        <v>4 à 7 CPN</v>
      </c>
      <c r="Z14" s="13" t="str">
        <f t="shared" si="3"/>
        <v>37 SA et plus</v>
      </c>
      <c r="AA14" s="13">
        <f t="shared" si="4"/>
        <v>139.5</v>
      </c>
      <c r="AB14" s="13">
        <f t="shared" si="5"/>
        <v>1</v>
      </c>
    </row>
    <row r="15" spans="1:30" x14ac:dyDescent="0.25">
      <c r="A15" s="13" t="s">
        <v>116</v>
      </c>
      <c r="B15" s="13">
        <v>28</v>
      </c>
      <c r="C15" s="13" t="s">
        <v>79</v>
      </c>
      <c r="D15" s="13" t="s">
        <v>93</v>
      </c>
      <c r="E15" s="13" t="s">
        <v>96</v>
      </c>
      <c r="F15" s="13" t="s">
        <v>82</v>
      </c>
      <c r="G15" s="13">
        <v>5</v>
      </c>
      <c r="H15" s="13">
        <v>4</v>
      </c>
      <c r="I15" s="13" t="s">
        <v>83</v>
      </c>
      <c r="J15" s="13" t="s">
        <v>83</v>
      </c>
      <c r="K15" s="13" t="s">
        <v>83</v>
      </c>
      <c r="L15" s="13" t="s">
        <v>83</v>
      </c>
      <c r="M15" s="13">
        <v>35</v>
      </c>
      <c r="N15" s="13">
        <v>8</v>
      </c>
      <c r="O15" s="13" t="s">
        <v>84</v>
      </c>
      <c r="P15" s="13">
        <v>20.5</v>
      </c>
      <c r="Q15" s="13">
        <v>144</v>
      </c>
      <c r="R15" s="13">
        <v>95</v>
      </c>
      <c r="S15" s="13" t="s">
        <v>85</v>
      </c>
      <c r="T15" s="13" t="s">
        <v>86</v>
      </c>
      <c r="U15" s="13" t="s">
        <v>110</v>
      </c>
      <c r="V15" s="13" t="s">
        <v>83</v>
      </c>
      <c r="W15" s="13" t="str">
        <f t="shared" si="0"/>
        <v>20-29 ans</v>
      </c>
      <c r="X15" s="13" t="str">
        <f t="shared" si="1"/>
        <v>3 accouchements et plus</v>
      </c>
      <c r="Y15" s="13" t="str">
        <f t="shared" si="2"/>
        <v>8 CPN et plus</v>
      </c>
      <c r="Z15" s="13" t="str">
        <f t="shared" si="3"/>
        <v>28-36 SA</v>
      </c>
      <c r="AA15" s="13">
        <f t="shared" si="4"/>
        <v>276</v>
      </c>
      <c r="AB15" s="13">
        <f t="shared" si="5"/>
        <v>1</v>
      </c>
    </row>
    <row r="16" spans="1:30" x14ac:dyDescent="0.25">
      <c r="A16" s="13" t="s">
        <v>117</v>
      </c>
      <c r="B16" s="13">
        <v>27</v>
      </c>
      <c r="C16" s="13" t="s">
        <v>89</v>
      </c>
      <c r="D16" s="13" t="s">
        <v>109</v>
      </c>
      <c r="E16" s="13" t="s">
        <v>81</v>
      </c>
      <c r="F16" s="13" t="s">
        <v>94</v>
      </c>
      <c r="G16" s="13">
        <v>4</v>
      </c>
      <c r="H16" s="13">
        <v>3</v>
      </c>
      <c r="I16" s="13" t="s">
        <v>83</v>
      </c>
      <c r="J16" s="13" t="s">
        <v>83</v>
      </c>
      <c r="K16" s="13" t="s">
        <v>83</v>
      </c>
      <c r="L16" s="13" t="s">
        <v>83</v>
      </c>
      <c r="M16" s="13">
        <v>29</v>
      </c>
      <c r="N16" s="13">
        <v>1</v>
      </c>
      <c r="O16" s="13" t="s">
        <v>84</v>
      </c>
      <c r="P16" s="13">
        <v>20.8</v>
      </c>
      <c r="Q16" s="13">
        <v>138</v>
      </c>
      <c r="R16" s="13">
        <v>98</v>
      </c>
      <c r="S16" s="13" t="s">
        <v>118</v>
      </c>
      <c r="T16" s="13" t="s">
        <v>83</v>
      </c>
      <c r="U16" s="13" t="s">
        <v>114</v>
      </c>
      <c r="V16" s="13" t="s">
        <v>91</v>
      </c>
      <c r="W16" s="13" t="str">
        <f t="shared" si="0"/>
        <v>20-29 ans</v>
      </c>
      <c r="X16" s="13" t="str">
        <f t="shared" si="1"/>
        <v>3 accouchements et plus</v>
      </c>
      <c r="Y16" s="13" t="str">
        <f t="shared" si="2"/>
        <v>Moins de 4 CPN</v>
      </c>
      <c r="Z16" s="13" t="str">
        <f t="shared" si="3"/>
        <v>28-36 SA</v>
      </c>
      <c r="AA16" s="13">
        <f t="shared" si="4"/>
        <v>243</v>
      </c>
      <c r="AB16" s="13">
        <f t="shared" si="5"/>
        <v>1</v>
      </c>
    </row>
    <row r="17" spans="1:28" x14ac:dyDescent="0.25">
      <c r="A17" s="13" t="s">
        <v>119</v>
      </c>
      <c r="B17" s="13">
        <v>29</v>
      </c>
      <c r="C17" s="13" t="s">
        <v>79</v>
      </c>
      <c r="D17" s="13" t="s">
        <v>109</v>
      </c>
      <c r="E17" s="13" t="s">
        <v>101</v>
      </c>
      <c r="F17" s="13" t="s">
        <v>94</v>
      </c>
      <c r="G17" s="13">
        <v>3</v>
      </c>
      <c r="H17" s="13">
        <v>2</v>
      </c>
      <c r="I17" s="13" t="s">
        <v>83</v>
      </c>
      <c r="J17" s="13" t="s">
        <v>83</v>
      </c>
      <c r="K17" s="13" t="s">
        <v>83</v>
      </c>
      <c r="L17" s="13" t="s">
        <v>83</v>
      </c>
      <c r="M17" s="13">
        <v>39</v>
      </c>
      <c r="N17" s="13">
        <v>3</v>
      </c>
      <c r="O17" s="13" t="s">
        <v>84</v>
      </c>
      <c r="P17" s="13">
        <v>19.399999999999999</v>
      </c>
      <c r="Q17" s="13">
        <v>112</v>
      </c>
      <c r="R17" s="13">
        <v>75</v>
      </c>
      <c r="S17" s="13" t="s">
        <v>85</v>
      </c>
      <c r="T17" s="13" t="s">
        <v>86</v>
      </c>
      <c r="U17" s="13" t="s">
        <v>87</v>
      </c>
      <c r="V17" s="13" t="s">
        <v>83</v>
      </c>
      <c r="W17" s="13" t="str">
        <f t="shared" si="0"/>
        <v>20-29 ans</v>
      </c>
      <c r="X17" s="13" t="str">
        <f t="shared" si="1"/>
        <v>1-2 accouchements</v>
      </c>
      <c r="Y17" s="13" t="str">
        <f t="shared" si="2"/>
        <v>Moins de 4 CPN</v>
      </c>
      <c r="Z17" s="13" t="str">
        <f t="shared" si="3"/>
        <v>37 SA et plus</v>
      </c>
      <c r="AA17" s="13">
        <f t="shared" si="4"/>
        <v>299</v>
      </c>
      <c r="AB17" s="13">
        <f t="shared" si="5"/>
        <v>1</v>
      </c>
    </row>
    <row r="18" spans="1:28" x14ac:dyDescent="0.25">
      <c r="A18" s="13" t="s">
        <v>120</v>
      </c>
      <c r="B18" s="13">
        <v>31</v>
      </c>
      <c r="C18" s="13" t="s">
        <v>79</v>
      </c>
      <c r="D18" s="13" t="s">
        <v>93</v>
      </c>
      <c r="E18" s="13" t="s">
        <v>96</v>
      </c>
      <c r="F18" s="13" t="s">
        <v>82</v>
      </c>
      <c r="G18" s="13">
        <v>7</v>
      </c>
      <c r="H18" s="13">
        <v>5</v>
      </c>
      <c r="I18" s="13" t="s">
        <v>91</v>
      </c>
      <c r="J18" s="13" t="s">
        <v>83</v>
      </c>
      <c r="K18" s="13" t="s">
        <v>83</v>
      </c>
      <c r="L18" s="13" t="s">
        <v>83</v>
      </c>
      <c r="M18" s="13">
        <v>28</v>
      </c>
      <c r="N18" s="13">
        <v>3</v>
      </c>
      <c r="O18" s="13" t="s">
        <v>84</v>
      </c>
      <c r="P18" s="13">
        <v>25.1</v>
      </c>
      <c r="Q18" s="13">
        <v>104</v>
      </c>
      <c r="R18" s="13">
        <v>66</v>
      </c>
      <c r="S18" s="13" t="s">
        <v>85</v>
      </c>
      <c r="T18" s="13" t="s">
        <v>86</v>
      </c>
      <c r="U18" s="13" t="s">
        <v>87</v>
      </c>
      <c r="V18" s="13" t="s">
        <v>83</v>
      </c>
      <c r="W18" s="13" t="str">
        <f t="shared" si="0"/>
        <v>30-34 ans</v>
      </c>
      <c r="X18" s="13" t="str">
        <f t="shared" si="1"/>
        <v>3 accouchements et plus</v>
      </c>
      <c r="Y18" s="13" t="str">
        <f t="shared" si="2"/>
        <v>Moins de 4 CPN</v>
      </c>
      <c r="Z18" s="13" t="str">
        <f t="shared" si="3"/>
        <v>28-36 SA</v>
      </c>
      <c r="AA18" s="13">
        <f t="shared" si="4"/>
        <v>334.5</v>
      </c>
      <c r="AB18" s="13">
        <f t="shared" si="5"/>
        <v>1</v>
      </c>
    </row>
    <row r="19" spans="1:28" x14ac:dyDescent="0.25">
      <c r="A19" s="13" t="s">
        <v>121</v>
      </c>
      <c r="B19" s="13">
        <v>26</v>
      </c>
      <c r="C19" s="13" t="s">
        <v>79</v>
      </c>
      <c r="D19" s="13" t="s">
        <v>93</v>
      </c>
      <c r="E19" s="13" t="s">
        <v>101</v>
      </c>
      <c r="F19" s="13" t="s">
        <v>94</v>
      </c>
      <c r="G19" s="13">
        <v>4</v>
      </c>
      <c r="H19" s="13">
        <v>3</v>
      </c>
      <c r="I19" s="13" t="s">
        <v>91</v>
      </c>
      <c r="J19" s="13" t="s">
        <v>83</v>
      </c>
      <c r="K19" s="13" t="s">
        <v>83</v>
      </c>
      <c r="L19" s="13" t="s">
        <v>83</v>
      </c>
      <c r="M19" s="13">
        <v>37</v>
      </c>
      <c r="N19" s="13">
        <v>6</v>
      </c>
      <c r="O19" s="13" t="s">
        <v>84</v>
      </c>
      <c r="P19" s="13">
        <v>25.1</v>
      </c>
      <c r="Q19" s="13">
        <v>151</v>
      </c>
      <c r="R19" s="13">
        <v>91</v>
      </c>
      <c r="S19" s="13" t="s">
        <v>85</v>
      </c>
      <c r="T19" s="13" t="s">
        <v>91</v>
      </c>
      <c r="U19" s="13" t="s">
        <v>114</v>
      </c>
      <c r="V19" s="13" t="s">
        <v>91</v>
      </c>
      <c r="W19" s="13" t="str">
        <f t="shared" si="0"/>
        <v>20-29 ans</v>
      </c>
      <c r="X19" s="13" t="str">
        <f t="shared" si="1"/>
        <v>3 accouchements et plus</v>
      </c>
      <c r="Y19" s="13" t="str">
        <f t="shared" si="2"/>
        <v>4 à 7 CPN</v>
      </c>
      <c r="Z19" s="13" t="str">
        <f t="shared" si="3"/>
        <v>37 SA et plus</v>
      </c>
      <c r="AA19" s="13">
        <f t="shared" si="4"/>
        <v>206</v>
      </c>
      <c r="AB19" s="13">
        <f t="shared" si="5"/>
        <v>1</v>
      </c>
    </row>
    <row r="20" spans="1:28" x14ac:dyDescent="0.25">
      <c r="A20" s="13" t="s">
        <v>122</v>
      </c>
      <c r="B20" s="13">
        <v>27</v>
      </c>
      <c r="C20" s="13" t="s">
        <v>79</v>
      </c>
      <c r="D20" s="13" t="s">
        <v>109</v>
      </c>
      <c r="E20" s="13" t="s">
        <v>96</v>
      </c>
      <c r="F20" s="13" t="s">
        <v>94</v>
      </c>
      <c r="G20" s="13">
        <v>4</v>
      </c>
      <c r="H20" s="13">
        <v>3</v>
      </c>
      <c r="I20" s="13" t="s">
        <v>83</v>
      </c>
      <c r="J20" s="13" t="s">
        <v>83</v>
      </c>
      <c r="K20" s="13" t="s">
        <v>83</v>
      </c>
      <c r="L20" s="13" t="s">
        <v>83</v>
      </c>
      <c r="M20" s="13">
        <v>30</v>
      </c>
      <c r="N20" s="13">
        <v>2</v>
      </c>
      <c r="O20" s="13" t="s">
        <v>84</v>
      </c>
      <c r="P20" s="13">
        <v>28.3</v>
      </c>
      <c r="Q20" s="13">
        <v>119</v>
      </c>
      <c r="R20" s="13">
        <v>71</v>
      </c>
      <c r="S20" s="13" t="s">
        <v>85</v>
      </c>
      <c r="T20" s="13" t="s">
        <v>86</v>
      </c>
      <c r="U20" s="13" t="s">
        <v>87</v>
      </c>
      <c r="V20" s="13" t="s">
        <v>83</v>
      </c>
      <c r="W20" s="13" t="str">
        <f t="shared" si="0"/>
        <v>20-29 ans</v>
      </c>
      <c r="X20" s="13" t="str">
        <f t="shared" si="1"/>
        <v>3 accouchements et plus</v>
      </c>
      <c r="Y20" s="13" t="str">
        <f t="shared" si="2"/>
        <v>Moins de 4 CPN</v>
      </c>
      <c r="Z20" s="13" t="str">
        <f t="shared" si="3"/>
        <v>28-36 SA</v>
      </c>
      <c r="AA20" s="13">
        <f t="shared" si="4"/>
        <v>243</v>
      </c>
      <c r="AB20" s="13">
        <f t="shared" si="5"/>
        <v>1</v>
      </c>
    </row>
    <row r="21" spans="1:28" x14ac:dyDescent="0.25">
      <c r="A21" s="13" t="s">
        <v>123</v>
      </c>
      <c r="B21" s="13">
        <v>23</v>
      </c>
      <c r="C21" s="13" t="s">
        <v>79</v>
      </c>
      <c r="D21" s="13" t="s">
        <v>124</v>
      </c>
      <c r="E21" s="13" t="s">
        <v>81</v>
      </c>
      <c r="F21" s="13" t="s">
        <v>94</v>
      </c>
      <c r="G21" s="13">
        <v>2</v>
      </c>
      <c r="H21" s="13">
        <v>1</v>
      </c>
      <c r="I21" s="13" t="s">
        <v>83</v>
      </c>
      <c r="J21" s="13" t="s">
        <v>83</v>
      </c>
      <c r="K21" s="13" t="s">
        <v>83</v>
      </c>
      <c r="L21" s="13" t="s">
        <v>83</v>
      </c>
      <c r="M21" s="13">
        <v>35</v>
      </c>
      <c r="N21" s="13">
        <v>4</v>
      </c>
      <c r="O21" s="13" t="s">
        <v>84</v>
      </c>
      <c r="P21" s="13">
        <v>21.6</v>
      </c>
      <c r="Q21" s="13">
        <v>104</v>
      </c>
      <c r="R21" s="13">
        <v>69</v>
      </c>
      <c r="S21" s="13" t="s">
        <v>85</v>
      </c>
      <c r="T21" s="13" t="s">
        <v>86</v>
      </c>
      <c r="U21" s="13" t="s">
        <v>87</v>
      </c>
      <c r="V21" s="13" t="s">
        <v>83</v>
      </c>
      <c r="W21" s="13" t="str">
        <f t="shared" si="0"/>
        <v>20-29 ans</v>
      </c>
      <c r="X21" s="13" t="str">
        <f t="shared" si="1"/>
        <v>1-2 accouchements</v>
      </c>
      <c r="Y21" s="13" t="str">
        <f t="shared" si="2"/>
        <v>4 à 7 CPN</v>
      </c>
      <c r="Z21" s="13" t="str">
        <f t="shared" si="3"/>
        <v>28-36 SA</v>
      </c>
      <c r="AA21" s="13">
        <f t="shared" si="4"/>
        <v>103.5</v>
      </c>
      <c r="AB21" s="13">
        <f t="shared" si="5"/>
        <v>1</v>
      </c>
    </row>
    <row r="22" spans="1:28" x14ac:dyDescent="0.25">
      <c r="A22" s="13" t="s">
        <v>125</v>
      </c>
      <c r="B22" s="13">
        <v>27</v>
      </c>
      <c r="C22" s="13" t="s">
        <v>79</v>
      </c>
      <c r="D22" s="13" t="s">
        <v>80</v>
      </c>
      <c r="E22" s="13" t="s">
        <v>112</v>
      </c>
      <c r="F22" s="13" t="s">
        <v>82</v>
      </c>
      <c r="G22" s="13">
        <v>3</v>
      </c>
      <c r="H22" s="13">
        <v>1</v>
      </c>
      <c r="I22" s="13" t="s">
        <v>83</v>
      </c>
      <c r="J22" s="13" t="s">
        <v>83</v>
      </c>
      <c r="K22" s="13" t="s">
        <v>91</v>
      </c>
      <c r="L22" s="13" t="s">
        <v>83</v>
      </c>
      <c r="M22" s="13">
        <v>39</v>
      </c>
      <c r="N22" s="13">
        <v>4</v>
      </c>
      <c r="O22" s="13" t="s">
        <v>84</v>
      </c>
      <c r="P22" s="13">
        <v>27.3</v>
      </c>
      <c r="Q22" s="13">
        <v>104</v>
      </c>
      <c r="R22" s="13">
        <v>65</v>
      </c>
      <c r="S22" s="13" t="s">
        <v>106</v>
      </c>
      <c r="T22" s="13" t="s">
        <v>86</v>
      </c>
      <c r="U22" s="13" t="s">
        <v>87</v>
      </c>
      <c r="V22" s="13" t="s">
        <v>83</v>
      </c>
      <c r="W22" s="13" t="str">
        <f t="shared" si="0"/>
        <v>20-29 ans</v>
      </c>
      <c r="X22" s="13" t="str">
        <f t="shared" si="1"/>
        <v>1-2 accouchements</v>
      </c>
      <c r="Y22" s="13" t="str">
        <f t="shared" si="2"/>
        <v>4 à 7 CPN</v>
      </c>
      <c r="Z22" s="13" t="str">
        <f t="shared" si="3"/>
        <v>37 SA et plus</v>
      </c>
      <c r="AA22" s="13">
        <f t="shared" si="4"/>
        <v>243</v>
      </c>
      <c r="AB22" s="13">
        <f t="shared" si="5"/>
        <v>1</v>
      </c>
    </row>
    <row r="23" spans="1:28" x14ac:dyDescent="0.25">
      <c r="A23" s="13" t="s">
        <v>126</v>
      </c>
      <c r="B23" s="13">
        <v>27</v>
      </c>
      <c r="C23" s="13" t="s">
        <v>79</v>
      </c>
      <c r="D23" s="13" t="s">
        <v>80</v>
      </c>
      <c r="E23" s="13" t="s">
        <v>96</v>
      </c>
      <c r="F23" s="13" t="s">
        <v>94</v>
      </c>
      <c r="G23" s="13">
        <v>5</v>
      </c>
      <c r="H23" s="13">
        <v>3</v>
      </c>
      <c r="I23" s="13" t="s">
        <v>83</v>
      </c>
      <c r="J23" s="13" t="s">
        <v>83</v>
      </c>
      <c r="K23" s="13" t="s">
        <v>83</v>
      </c>
      <c r="L23" s="13" t="s">
        <v>83</v>
      </c>
      <c r="M23" s="13">
        <v>30</v>
      </c>
      <c r="N23" s="13">
        <v>3</v>
      </c>
      <c r="O23" s="13" t="s">
        <v>84</v>
      </c>
      <c r="P23" s="13">
        <v>22.2</v>
      </c>
      <c r="Q23" s="13">
        <v>125</v>
      </c>
      <c r="R23" s="13">
        <v>78</v>
      </c>
      <c r="S23" s="13" t="s">
        <v>85</v>
      </c>
      <c r="T23" s="13" t="s">
        <v>86</v>
      </c>
      <c r="U23" s="13" t="s">
        <v>87</v>
      </c>
      <c r="V23" s="13" t="s">
        <v>83</v>
      </c>
      <c r="W23" s="13" t="str">
        <f t="shared" si="0"/>
        <v>20-29 ans</v>
      </c>
      <c r="X23" s="13" t="str">
        <f t="shared" si="1"/>
        <v>3 accouchements et plus</v>
      </c>
      <c r="Y23" s="13" t="str">
        <f t="shared" si="2"/>
        <v>Moins de 4 CPN</v>
      </c>
      <c r="Z23" s="13" t="str">
        <f t="shared" si="3"/>
        <v>28-36 SA</v>
      </c>
      <c r="AA23" s="13">
        <f t="shared" si="4"/>
        <v>243</v>
      </c>
      <c r="AB23" s="13">
        <f t="shared" si="5"/>
        <v>1</v>
      </c>
    </row>
    <row r="24" spans="1:28" x14ac:dyDescent="0.25">
      <c r="A24" s="13" t="s">
        <v>127</v>
      </c>
      <c r="B24" s="13">
        <v>26</v>
      </c>
      <c r="C24" s="13" t="s">
        <v>89</v>
      </c>
      <c r="D24" s="13" t="s">
        <v>93</v>
      </c>
      <c r="E24" s="13" t="s">
        <v>81</v>
      </c>
      <c r="F24" s="13" t="s">
        <v>82</v>
      </c>
      <c r="G24" s="13">
        <v>4</v>
      </c>
      <c r="H24" s="13">
        <v>2</v>
      </c>
      <c r="I24" s="13" t="s">
        <v>83</v>
      </c>
      <c r="J24" s="13" t="s">
        <v>83</v>
      </c>
      <c r="K24" s="13" t="s">
        <v>83</v>
      </c>
      <c r="L24" s="13" t="s">
        <v>83</v>
      </c>
      <c r="M24" s="13">
        <v>37</v>
      </c>
      <c r="N24" s="13">
        <v>0</v>
      </c>
      <c r="O24" s="13" t="s">
        <v>84</v>
      </c>
      <c r="P24" s="13">
        <v>25.9</v>
      </c>
      <c r="Q24" s="13">
        <v>103</v>
      </c>
      <c r="R24" s="13">
        <v>67</v>
      </c>
      <c r="S24" s="13" t="s">
        <v>85</v>
      </c>
      <c r="T24" s="13" t="s">
        <v>86</v>
      </c>
      <c r="U24" s="13" t="s">
        <v>87</v>
      </c>
      <c r="V24" s="13" t="s">
        <v>83</v>
      </c>
      <c r="W24" s="13" t="str">
        <f t="shared" si="0"/>
        <v>20-29 ans</v>
      </c>
      <c r="X24" s="13" t="str">
        <f t="shared" si="1"/>
        <v>1-2 accouchements</v>
      </c>
      <c r="Y24" s="13" t="str">
        <f t="shared" si="2"/>
        <v>Moins de 4 CPN</v>
      </c>
      <c r="Z24" s="13" t="str">
        <f t="shared" si="3"/>
        <v>37 SA et plus</v>
      </c>
      <c r="AA24" s="13">
        <f t="shared" si="4"/>
        <v>206</v>
      </c>
      <c r="AB24" s="13">
        <f t="shared" si="5"/>
        <v>1</v>
      </c>
    </row>
    <row r="25" spans="1:28" x14ac:dyDescent="0.25">
      <c r="A25" s="13" t="s">
        <v>128</v>
      </c>
      <c r="B25" s="13">
        <v>32</v>
      </c>
      <c r="C25" s="13" t="s">
        <v>79</v>
      </c>
      <c r="D25" s="13" t="s">
        <v>93</v>
      </c>
      <c r="E25" s="13" t="s">
        <v>96</v>
      </c>
      <c r="F25" s="13" t="s">
        <v>82</v>
      </c>
      <c r="G25" s="13">
        <v>4</v>
      </c>
      <c r="H25" s="13">
        <v>3</v>
      </c>
      <c r="I25" s="13" t="s">
        <v>91</v>
      </c>
      <c r="J25" s="13" t="s">
        <v>83</v>
      </c>
      <c r="K25" s="13" t="s">
        <v>83</v>
      </c>
      <c r="L25" s="13" t="s">
        <v>83</v>
      </c>
      <c r="M25" s="13">
        <v>39</v>
      </c>
      <c r="N25" s="13">
        <v>1</v>
      </c>
      <c r="O25" s="13" t="s">
        <v>84</v>
      </c>
      <c r="P25" s="13">
        <v>25.8</v>
      </c>
      <c r="Q25" s="13">
        <v>93</v>
      </c>
      <c r="R25" s="13">
        <v>62</v>
      </c>
      <c r="S25" s="13" t="s">
        <v>85</v>
      </c>
      <c r="T25" s="13" t="s">
        <v>86</v>
      </c>
      <c r="U25" s="13" t="s">
        <v>87</v>
      </c>
      <c r="V25" s="13" t="s">
        <v>83</v>
      </c>
      <c r="W25" s="13" t="str">
        <f t="shared" si="0"/>
        <v>30-34 ans</v>
      </c>
      <c r="X25" s="13" t="str">
        <f t="shared" si="1"/>
        <v>3 accouchements et plus</v>
      </c>
      <c r="Y25" s="13" t="str">
        <f t="shared" si="2"/>
        <v>Moins de 4 CPN</v>
      </c>
      <c r="Z25" s="13" t="str">
        <f t="shared" si="3"/>
        <v>37 SA et plus</v>
      </c>
      <c r="AA25" s="13">
        <f t="shared" si="4"/>
        <v>347.5</v>
      </c>
      <c r="AB25" s="13">
        <f t="shared" si="5"/>
        <v>1</v>
      </c>
    </row>
    <row r="26" spans="1:28" x14ac:dyDescent="0.25">
      <c r="A26" s="13" t="s">
        <v>129</v>
      </c>
      <c r="B26" s="13">
        <v>22</v>
      </c>
      <c r="C26" s="13" t="s">
        <v>89</v>
      </c>
      <c r="D26" s="13" t="s">
        <v>93</v>
      </c>
      <c r="E26" s="13" t="s">
        <v>101</v>
      </c>
      <c r="F26" s="13" t="s">
        <v>94</v>
      </c>
      <c r="G26" s="13">
        <v>2</v>
      </c>
      <c r="H26" s="13">
        <v>0</v>
      </c>
      <c r="I26" s="13" t="s">
        <v>86</v>
      </c>
      <c r="J26" s="13" t="s">
        <v>83</v>
      </c>
      <c r="K26" s="13" t="s">
        <v>83</v>
      </c>
      <c r="L26" s="13" t="s">
        <v>83</v>
      </c>
      <c r="M26" s="13">
        <v>37</v>
      </c>
      <c r="N26" s="13">
        <v>5</v>
      </c>
      <c r="O26" s="13" t="s">
        <v>84</v>
      </c>
      <c r="P26" s="13">
        <v>21.6</v>
      </c>
      <c r="Q26" s="13">
        <v>113</v>
      </c>
      <c r="R26" s="13">
        <v>74</v>
      </c>
      <c r="S26" s="13" t="s">
        <v>85</v>
      </c>
      <c r="T26" s="13" t="s">
        <v>86</v>
      </c>
      <c r="U26" s="13" t="s">
        <v>87</v>
      </c>
      <c r="V26" s="13" t="s">
        <v>83</v>
      </c>
      <c r="W26" s="13" t="str">
        <f t="shared" si="0"/>
        <v>20-29 ans</v>
      </c>
      <c r="X26" s="13" t="str">
        <f t="shared" si="1"/>
        <v>Nullipare (0)</v>
      </c>
      <c r="Y26" s="13" t="str">
        <f t="shared" si="2"/>
        <v>4 à 7 CPN</v>
      </c>
      <c r="Z26" s="13" t="str">
        <f t="shared" si="3"/>
        <v>37 SA et plus</v>
      </c>
      <c r="AA26" s="13">
        <f t="shared" si="4"/>
        <v>70</v>
      </c>
      <c r="AB26" s="13">
        <f t="shared" si="5"/>
        <v>0</v>
      </c>
    </row>
    <row r="27" spans="1:28" x14ac:dyDescent="0.25">
      <c r="A27" s="13" t="s">
        <v>130</v>
      </c>
      <c r="B27" s="13">
        <v>30</v>
      </c>
      <c r="C27" s="13" t="s">
        <v>98</v>
      </c>
      <c r="D27" s="13" t="s">
        <v>124</v>
      </c>
      <c r="E27" s="13" t="s">
        <v>101</v>
      </c>
      <c r="F27" s="13" t="s">
        <v>94</v>
      </c>
      <c r="G27" s="13">
        <v>5</v>
      </c>
      <c r="H27" s="13">
        <v>3</v>
      </c>
      <c r="I27" s="13" t="s">
        <v>83</v>
      </c>
      <c r="J27" s="13" t="s">
        <v>83</v>
      </c>
      <c r="K27" s="13" t="s">
        <v>83</v>
      </c>
      <c r="L27" s="13" t="s">
        <v>83</v>
      </c>
      <c r="M27" s="13">
        <v>28</v>
      </c>
      <c r="N27" s="13">
        <v>3</v>
      </c>
      <c r="O27" s="13" t="s">
        <v>84</v>
      </c>
      <c r="P27" s="13">
        <v>23.4</v>
      </c>
      <c r="Q27" s="13">
        <v>124</v>
      </c>
      <c r="R27" s="13">
        <v>74</v>
      </c>
      <c r="S27" s="13" t="s">
        <v>85</v>
      </c>
      <c r="T27" s="13" t="s">
        <v>86</v>
      </c>
      <c r="U27" s="13" t="s">
        <v>87</v>
      </c>
      <c r="V27" s="13" t="s">
        <v>83</v>
      </c>
      <c r="W27" s="13" t="str">
        <f t="shared" si="0"/>
        <v>30-34 ans</v>
      </c>
      <c r="X27" s="13" t="str">
        <f t="shared" si="1"/>
        <v>3 accouchements et plus</v>
      </c>
      <c r="Y27" s="13" t="str">
        <f t="shared" si="2"/>
        <v>Moins de 4 CPN</v>
      </c>
      <c r="Z27" s="13" t="str">
        <f t="shared" si="3"/>
        <v>28-36 SA</v>
      </c>
      <c r="AA27" s="13">
        <f t="shared" si="4"/>
        <v>319.5</v>
      </c>
      <c r="AB27" s="13">
        <f t="shared" si="5"/>
        <v>1</v>
      </c>
    </row>
    <row r="28" spans="1:28" x14ac:dyDescent="0.25">
      <c r="A28" s="13" t="s">
        <v>131</v>
      </c>
      <c r="B28" s="13">
        <v>21</v>
      </c>
      <c r="C28" s="13" t="s">
        <v>79</v>
      </c>
      <c r="D28" s="13" t="s">
        <v>93</v>
      </c>
      <c r="E28" s="13" t="s">
        <v>101</v>
      </c>
      <c r="F28" s="13" t="s">
        <v>94</v>
      </c>
      <c r="G28" s="13">
        <v>3</v>
      </c>
      <c r="H28" s="13">
        <v>2</v>
      </c>
      <c r="I28" s="13" t="s">
        <v>83</v>
      </c>
      <c r="J28" s="13" t="s">
        <v>91</v>
      </c>
      <c r="K28" s="13" t="s">
        <v>83</v>
      </c>
      <c r="L28" s="13" t="s">
        <v>83</v>
      </c>
      <c r="M28" s="13">
        <v>30</v>
      </c>
      <c r="N28" s="13">
        <v>3</v>
      </c>
      <c r="O28" s="13" t="s">
        <v>84</v>
      </c>
      <c r="P28" s="13">
        <v>26.5</v>
      </c>
      <c r="Q28" s="13">
        <v>150</v>
      </c>
      <c r="R28" s="13">
        <v>91</v>
      </c>
      <c r="S28" s="13" t="s">
        <v>85</v>
      </c>
      <c r="T28" s="13" t="s">
        <v>86</v>
      </c>
      <c r="U28" s="13" t="s">
        <v>132</v>
      </c>
      <c r="V28" s="13" t="s">
        <v>83</v>
      </c>
      <c r="W28" s="13" t="str">
        <f t="shared" si="0"/>
        <v>20-29 ans</v>
      </c>
      <c r="X28" s="13" t="str">
        <f t="shared" si="1"/>
        <v>1-2 accouchements</v>
      </c>
      <c r="Y28" s="13" t="str">
        <f t="shared" si="2"/>
        <v>Moins de 4 CPN</v>
      </c>
      <c r="Z28" s="13" t="str">
        <f t="shared" si="3"/>
        <v>28-36 SA</v>
      </c>
      <c r="AA28" s="13">
        <f t="shared" si="4"/>
        <v>48</v>
      </c>
      <c r="AB28" s="13">
        <f t="shared" si="5"/>
        <v>1</v>
      </c>
    </row>
    <row r="29" spans="1:28" x14ac:dyDescent="0.25">
      <c r="A29" s="13" t="s">
        <v>133</v>
      </c>
      <c r="B29" s="13">
        <v>22</v>
      </c>
      <c r="C29" s="13" t="s">
        <v>89</v>
      </c>
      <c r="D29" s="13" t="s">
        <v>93</v>
      </c>
      <c r="E29" s="13" t="s">
        <v>101</v>
      </c>
      <c r="F29" s="13" t="s">
        <v>94</v>
      </c>
      <c r="G29" s="13">
        <v>2</v>
      </c>
      <c r="H29" s="13">
        <v>1</v>
      </c>
      <c r="J29" s="13" t="s">
        <v>83</v>
      </c>
      <c r="K29" s="13" t="s">
        <v>83</v>
      </c>
      <c r="L29" s="13" t="s">
        <v>83</v>
      </c>
      <c r="M29" s="13">
        <v>36</v>
      </c>
      <c r="N29" s="13">
        <v>1</v>
      </c>
      <c r="O29" s="13" t="s">
        <v>84</v>
      </c>
      <c r="P29" s="13">
        <v>23.1</v>
      </c>
      <c r="Q29" s="13">
        <v>104</v>
      </c>
      <c r="R29" s="13">
        <v>59</v>
      </c>
      <c r="S29" s="13" t="s">
        <v>85</v>
      </c>
      <c r="T29" s="13" t="s">
        <v>86</v>
      </c>
      <c r="U29" s="13" t="s">
        <v>87</v>
      </c>
      <c r="V29" s="13" t="s">
        <v>83</v>
      </c>
      <c r="W29" s="13" t="str">
        <f t="shared" si="0"/>
        <v>20-29 ans</v>
      </c>
      <c r="X29" s="13" t="str">
        <f t="shared" si="1"/>
        <v>1-2 accouchements</v>
      </c>
      <c r="Y29" s="13" t="str">
        <f t="shared" si="2"/>
        <v>Moins de 4 CPN</v>
      </c>
      <c r="Z29" s="13" t="str">
        <f t="shared" si="3"/>
        <v>28-36 SA</v>
      </c>
      <c r="AA29" s="13">
        <f t="shared" si="4"/>
        <v>70</v>
      </c>
      <c r="AB29" s="13">
        <f t="shared" si="5"/>
        <v>0</v>
      </c>
    </row>
    <row r="30" spans="1:28" x14ac:dyDescent="0.25">
      <c r="A30" s="13" t="s">
        <v>134</v>
      </c>
      <c r="B30" s="13">
        <v>27</v>
      </c>
      <c r="C30" s="13" t="s">
        <v>89</v>
      </c>
      <c r="D30" s="13" t="s">
        <v>124</v>
      </c>
      <c r="E30" s="13" t="s">
        <v>96</v>
      </c>
      <c r="F30" s="13" t="s">
        <v>82</v>
      </c>
      <c r="G30" s="13">
        <v>4</v>
      </c>
      <c r="H30" s="13">
        <v>2</v>
      </c>
      <c r="I30" s="13" t="s">
        <v>83</v>
      </c>
      <c r="J30" s="13" t="s">
        <v>83</v>
      </c>
      <c r="K30" s="13" t="s">
        <v>91</v>
      </c>
      <c r="L30" s="13" t="s">
        <v>83</v>
      </c>
      <c r="M30" s="13">
        <v>39</v>
      </c>
      <c r="N30" s="13">
        <v>5</v>
      </c>
      <c r="O30" s="13" t="s">
        <v>84</v>
      </c>
      <c r="P30" s="13">
        <v>30.6</v>
      </c>
      <c r="Q30" s="13">
        <v>115</v>
      </c>
      <c r="R30" s="13">
        <v>74</v>
      </c>
      <c r="S30" s="13" t="s">
        <v>85</v>
      </c>
      <c r="T30" s="13" t="s">
        <v>86</v>
      </c>
      <c r="U30" s="13" t="s">
        <v>87</v>
      </c>
      <c r="V30" s="13" t="s">
        <v>83</v>
      </c>
      <c r="W30" s="13" t="str">
        <f t="shared" si="0"/>
        <v>20-29 ans</v>
      </c>
      <c r="X30" s="13" t="str">
        <f t="shared" si="1"/>
        <v>1-2 accouchements</v>
      </c>
      <c r="Y30" s="13" t="str">
        <f t="shared" si="2"/>
        <v>4 à 7 CPN</v>
      </c>
      <c r="Z30" s="13" t="str">
        <f t="shared" si="3"/>
        <v>37 SA et plus</v>
      </c>
      <c r="AA30" s="13">
        <f t="shared" si="4"/>
        <v>243</v>
      </c>
      <c r="AB30" s="13">
        <f t="shared" si="5"/>
        <v>1</v>
      </c>
    </row>
    <row r="31" spans="1:28" x14ac:dyDescent="0.25">
      <c r="A31" s="13" t="s">
        <v>135</v>
      </c>
      <c r="B31" s="13">
        <v>26</v>
      </c>
      <c r="C31" s="13" t="s">
        <v>89</v>
      </c>
      <c r="D31" s="13" t="s">
        <v>80</v>
      </c>
      <c r="E31" s="13" t="s">
        <v>81</v>
      </c>
      <c r="F31" s="13" t="s">
        <v>94</v>
      </c>
      <c r="G31" s="13">
        <v>1</v>
      </c>
      <c r="H31" s="13">
        <v>0</v>
      </c>
      <c r="I31" s="13" t="s">
        <v>86</v>
      </c>
      <c r="J31" s="13" t="s">
        <v>83</v>
      </c>
      <c r="K31" s="13" t="s">
        <v>83</v>
      </c>
      <c r="L31" s="13" t="s">
        <v>83</v>
      </c>
      <c r="M31" s="13">
        <v>30</v>
      </c>
      <c r="N31" s="13">
        <v>1</v>
      </c>
      <c r="O31" s="13" t="s">
        <v>84</v>
      </c>
      <c r="P31" s="13">
        <v>21.7</v>
      </c>
      <c r="Q31" s="13">
        <v>119</v>
      </c>
      <c r="R31" s="13">
        <v>80</v>
      </c>
      <c r="S31" s="13" t="s">
        <v>85</v>
      </c>
      <c r="T31" s="13" t="s">
        <v>86</v>
      </c>
      <c r="U31" s="13" t="s">
        <v>87</v>
      </c>
      <c r="V31" s="13" t="s">
        <v>83</v>
      </c>
      <c r="W31" s="13" t="str">
        <f t="shared" si="0"/>
        <v>20-29 ans</v>
      </c>
      <c r="X31" s="13" t="str">
        <f t="shared" si="1"/>
        <v>Nullipare (0)</v>
      </c>
      <c r="Y31" s="13" t="str">
        <f t="shared" si="2"/>
        <v>Moins de 4 CPN</v>
      </c>
      <c r="Z31" s="13" t="str">
        <f t="shared" si="3"/>
        <v>28-36 SA</v>
      </c>
      <c r="AA31" s="13">
        <f t="shared" si="4"/>
        <v>206</v>
      </c>
      <c r="AB31" s="13">
        <f t="shared" si="5"/>
        <v>0</v>
      </c>
    </row>
    <row r="32" spans="1:28" x14ac:dyDescent="0.25">
      <c r="A32" s="13" t="s">
        <v>136</v>
      </c>
      <c r="B32" s="13">
        <v>25</v>
      </c>
      <c r="C32" s="13" t="s">
        <v>79</v>
      </c>
      <c r="D32" s="13" t="s">
        <v>80</v>
      </c>
      <c r="E32" s="13" t="s">
        <v>96</v>
      </c>
      <c r="F32" s="13" t="s">
        <v>82</v>
      </c>
      <c r="G32" s="13">
        <v>3</v>
      </c>
      <c r="H32" s="13">
        <v>2</v>
      </c>
      <c r="J32" s="13" t="s">
        <v>83</v>
      </c>
      <c r="K32" s="13" t="s">
        <v>83</v>
      </c>
      <c r="L32" s="13" t="s">
        <v>83</v>
      </c>
      <c r="M32" s="13">
        <v>39</v>
      </c>
      <c r="N32" s="13">
        <v>2</v>
      </c>
      <c r="O32" s="13" t="s">
        <v>84</v>
      </c>
      <c r="P32" s="13">
        <v>29.7</v>
      </c>
      <c r="Q32" s="13">
        <v>110</v>
      </c>
      <c r="R32" s="13">
        <v>63</v>
      </c>
      <c r="S32" s="13" t="s">
        <v>106</v>
      </c>
      <c r="T32" s="13" t="s">
        <v>86</v>
      </c>
      <c r="U32" s="13" t="s">
        <v>87</v>
      </c>
      <c r="V32" s="13" t="s">
        <v>83</v>
      </c>
      <c r="W32" s="13" t="str">
        <f t="shared" si="0"/>
        <v>20-29 ans</v>
      </c>
      <c r="X32" s="13" t="str">
        <f t="shared" si="1"/>
        <v>1-2 accouchements</v>
      </c>
      <c r="Y32" s="13" t="str">
        <f t="shared" si="2"/>
        <v>Moins de 4 CPN</v>
      </c>
      <c r="Z32" s="13" t="str">
        <f t="shared" si="3"/>
        <v>37 SA et plus</v>
      </c>
      <c r="AA32" s="13">
        <f t="shared" si="4"/>
        <v>173</v>
      </c>
      <c r="AB32" s="13">
        <f t="shared" si="5"/>
        <v>0</v>
      </c>
    </row>
    <row r="33" spans="1:28" x14ac:dyDescent="0.25">
      <c r="A33" s="13" t="s">
        <v>137</v>
      </c>
      <c r="B33" s="13">
        <v>26</v>
      </c>
      <c r="C33" s="13" t="s">
        <v>79</v>
      </c>
      <c r="D33" s="13" t="s">
        <v>109</v>
      </c>
      <c r="E33" s="13" t="s">
        <v>81</v>
      </c>
      <c r="F33" s="13" t="s">
        <v>94</v>
      </c>
      <c r="G33" s="13">
        <v>5</v>
      </c>
      <c r="H33" s="13">
        <v>4</v>
      </c>
      <c r="J33" s="13" t="s">
        <v>83</v>
      </c>
      <c r="K33" s="13" t="s">
        <v>83</v>
      </c>
      <c r="L33" s="13" t="s">
        <v>83</v>
      </c>
      <c r="M33" s="13">
        <v>24</v>
      </c>
      <c r="N33" s="13">
        <v>2</v>
      </c>
      <c r="O33" s="13" t="s">
        <v>84</v>
      </c>
      <c r="P33" s="13">
        <v>25.4</v>
      </c>
      <c r="Q33" s="13">
        <v>121</v>
      </c>
      <c r="R33" s="13">
        <v>76</v>
      </c>
      <c r="S33" s="13" t="s">
        <v>85</v>
      </c>
      <c r="T33" s="13" t="s">
        <v>86</v>
      </c>
      <c r="U33" s="13" t="s">
        <v>87</v>
      </c>
      <c r="V33" s="13" t="s">
        <v>83</v>
      </c>
      <c r="W33" s="13" t="str">
        <f t="shared" si="0"/>
        <v>20-29 ans</v>
      </c>
      <c r="X33" s="13" t="str">
        <f t="shared" si="1"/>
        <v>3 accouchements et plus</v>
      </c>
      <c r="Y33" s="13" t="str">
        <f t="shared" si="2"/>
        <v>Moins de 4 CPN</v>
      </c>
      <c r="Z33" s="13" t="str">
        <f t="shared" si="3"/>
        <v>20-27 SA</v>
      </c>
      <c r="AA33" s="13">
        <f t="shared" si="4"/>
        <v>206</v>
      </c>
      <c r="AB33" s="13">
        <f t="shared" si="5"/>
        <v>0</v>
      </c>
    </row>
    <row r="34" spans="1:28" x14ac:dyDescent="0.25">
      <c r="A34" s="13" t="s">
        <v>138</v>
      </c>
      <c r="B34" s="13">
        <v>25</v>
      </c>
      <c r="C34" s="13" t="s">
        <v>79</v>
      </c>
      <c r="D34" s="13" t="s">
        <v>93</v>
      </c>
      <c r="E34" s="13" t="s">
        <v>96</v>
      </c>
      <c r="F34" s="13" t="s">
        <v>82</v>
      </c>
      <c r="G34" s="13">
        <v>3</v>
      </c>
      <c r="H34" s="13">
        <v>2</v>
      </c>
      <c r="I34" s="13" t="s">
        <v>83</v>
      </c>
      <c r="J34" s="13" t="s">
        <v>83</v>
      </c>
      <c r="K34" s="13" t="s">
        <v>83</v>
      </c>
      <c r="L34" s="13" t="s">
        <v>83</v>
      </c>
      <c r="M34" s="13">
        <v>38</v>
      </c>
      <c r="N34" s="13">
        <v>1</v>
      </c>
      <c r="O34" s="13" t="s">
        <v>84</v>
      </c>
      <c r="P34" s="13">
        <v>27.6</v>
      </c>
      <c r="Q34" s="13">
        <v>119</v>
      </c>
      <c r="R34" s="13">
        <v>80</v>
      </c>
      <c r="S34" s="13" t="s">
        <v>85</v>
      </c>
      <c r="T34" s="13" t="s">
        <v>86</v>
      </c>
      <c r="U34" s="13" t="s">
        <v>87</v>
      </c>
      <c r="V34" s="13" t="s">
        <v>83</v>
      </c>
      <c r="W34" s="13" t="str">
        <f t="shared" si="0"/>
        <v>20-29 ans</v>
      </c>
      <c r="X34" s="13" t="str">
        <f t="shared" si="1"/>
        <v>1-2 accouchements</v>
      </c>
      <c r="Y34" s="13" t="str">
        <f t="shared" si="2"/>
        <v>Moins de 4 CPN</v>
      </c>
      <c r="Z34" s="13" t="str">
        <f t="shared" si="3"/>
        <v>37 SA et plus</v>
      </c>
      <c r="AA34" s="13">
        <f t="shared" si="4"/>
        <v>173</v>
      </c>
      <c r="AB34" s="13">
        <f t="shared" si="5"/>
        <v>1</v>
      </c>
    </row>
    <row r="35" spans="1:28" x14ac:dyDescent="0.25">
      <c r="A35" s="13" t="s">
        <v>139</v>
      </c>
      <c r="B35" s="13">
        <v>33</v>
      </c>
      <c r="C35" s="13" t="s">
        <v>79</v>
      </c>
      <c r="D35" s="13" t="s">
        <v>80</v>
      </c>
      <c r="E35" s="13" t="s">
        <v>81</v>
      </c>
      <c r="F35" s="13" t="s">
        <v>94</v>
      </c>
      <c r="G35" s="13">
        <v>3</v>
      </c>
      <c r="H35" s="13">
        <v>2</v>
      </c>
      <c r="J35" s="13" t="s">
        <v>91</v>
      </c>
      <c r="K35" s="13" t="s">
        <v>83</v>
      </c>
      <c r="L35" s="13" t="s">
        <v>83</v>
      </c>
      <c r="M35" s="13">
        <v>34</v>
      </c>
      <c r="N35" s="13">
        <v>3</v>
      </c>
      <c r="O35" s="13" t="s">
        <v>84</v>
      </c>
      <c r="P35" s="13">
        <v>30.6</v>
      </c>
      <c r="Q35" s="13">
        <v>158</v>
      </c>
      <c r="R35" s="13">
        <v>98</v>
      </c>
      <c r="S35" s="13" t="s">
        <v>85</v>
      </c>
      <c r="T35" s="13" t="s">
        <v>86</v>
      </c>
      <c r="U35" s="13" t="s">
        <v>132</v>
      </c>
      <c r="V35" s="13" t="s">
        <v>83</v>
      </c>
      <c r="W35" s="13" t="str">
        <f t="shared" si="0"/>
        <v>30-34 ans</v>
      </c>
      <c r="X35" s="13" t="str">
        <f t="shared" si="1"/>
        <v>1-2 accouchements</v>
      </c>
      <c r="Y35" s="13" t="str">
        <f t="shared" si="2"/>
        <v>Moins de 4 CPN</v>
      </c>
      <c r="Z35" s="13" t="str">
        <f t="shared" si="3"/>
        <v>28-36 SA</v>
      </c>
      <c r="AA35" s="13">
        <f t="shared" si="4"/>
        <v>361.5</v>
      </c>
      <c r="AB35" s="13">
        <f t="shared" si="5"/>
        <v>0</v>
      </c>
    </row>
    <row r="36" spans="1:28" x14ac:dyDescent="0.25">
      <c r="A36" s="13" t="s">
        <v>140</v>
      </c>
      <c r="B36" s="13">
        <v>23</v>
      </c>
      <c r="C36" s="13" t="s">
        <v>79</v>
      </c>
      <c r="D36" s="13" t="s">
        <v>93</v>
      </c>
      <c r="E36" s="13" t="s">
        <v>101</v>
      </c>
      <c r="F36" s="13" t="s">
        <v>94</v>
      </c>
      <c r="G36" s="13">
        <v>2</v>
      </c>
      <c r="H36" s="13">
        <v>1</v>
      </c>
      <c r="I36" s="13" t="s">
        <v>83</v>
      </c>
      <c r="J36" s="13" t="s">
        <v>83</v>
      </c>
      <c r="K36" s="13" t="s">
        <v>83</v>
      </c>
      <c r="L36" s="13" t="s">
        <v>83</v>
      </c>
      <c r="M36" s="13">
        <v>37</v>
      </c>
      <c r="N36" s="13">
        <v>0</v>
      </c>
      <c r="O36" s="13" t="s">
        <v>84</v>
      </c>
      <c r="P36" s="13">
        <v>16.7</v>
      </c>
      <c r="Q36" s="13">
        <v>131</v>
      </c>
      <c r="R36" s="13">
        <v>74</v>
      </c>
      <c r="S36" s="13" t="s">
        <v>85</v>
      </c>
      <c r="T36" s="13" t="s">
        <v>86</v>
      </c>
      <c r="U36" s="13" t="s">
        <v>87</v>
      </c>
      <c r="V36" s="13" t="s">
        <v>83</v>
      </c>
      <c r="W36" s="13" t="str">
        <f t="shared" si="0"/>
        <v>20-29 ans</v>
      </c>
      <c r="X36" s="13" t="str">
        <f t="shared" si="1"/>
        <v>1-2 accouchements</v>
      </c>
      <c r="Y36" s="13" t="str">
        <f t="shared" si="2"/>
        <v>Moins de 4 CPN</v>
      </c>
      <c r="Z36" s="13" t="str">
        <f t="shared" si="3"/>
        <v>37 SA et plus</v>
      </c>
      <c r="AA36" s="13">
        <f t="shared" si="4"/>
        <v>103.5</v>
      </c>
      <c r="AB36" s="13">
        <f t="shared" si="5"/>
        <v>1</v>
      </c>
    </row>
    <row r="37" spans="1:28" x14ac:dyDescent="0.25">
      <c r="A37" s="13" t="s">
        <v>141</v>
      </c>
      <c r="B37" s="13">
        <v>25</v>
      </c>
      <c r="C37" s="13" t="s">
        <v>79</v>
      </c>
      <c r="D37" s="13" t="s">
        <v>93</v>
      </c>
      <c r="E37" s="13" t="s">
        <v>96</v>
      </c>
      <c r="F37" s="13" t="s">
        <v>94</v>
      </c>
      <c r="G37" s="13">
        <v>3</v>
      </c>
      <c r="H37" s="13">
        <v>1</v>
      </c>
      <c r="I37" s="13" t="s">
        <v>83</v>
      </c>
      <c r="J37" s="13" t="s">
        <v>83</v>
      </c>
      <c r="K37" s="13" t="s">
        <v>91</v>
      </c>
      <c r="L37" s="13" t="s">
        <v>83</v>
      </c>
      <c r="M37" s="13">
        <v>35</v>
      </c>
      <c r="N37" s="13">
        <v>5</v>
      </c>
      <c r="O37" s="13" t="s">
        <v>84</v>
      </c>
      <c r="P37" s="13">
        <v>28.1</v>
      </c>
      <c r="Q37" s="13">
        <v>128</v>
      </c>
      <c r="R37" s="13">
        <v>73</v>
      </c>
      <c r="S37" s="13" t="s">
        <v>85</v>
      </c>
      <c r="T37" s="13" t="s">
        <v>86</v>
      </c>
      <c r="U37" s="13" t="s">
        <v>87</v>
      </c>
      <c r="V37" s="13" t="s">
        <v>83</v>
      </c>
      <c r="W37" s="13" t="str">
        <f t="shared" si="0"/>
        <v>20-29 ans</v>
      </c>
      <c r="X37" s="13" t="str">
        <f t="shared" si="1"/>
        <v>1-2 accouchements</v>
      </c>
      <c r="Y37" s="13" t="str">
        <f t="shared" si="2"/>
        <v>4 à 7 CPN</v>
      </c>
      <c r="Z37" s="13" t="str">
        <f t="shared" si="3"/>
        <v>28-36 SA</v>
      </c>
      <c r="AA37" s="13">
        <f t="shared" si="4"/>
        <v>173</v>
      </c>
      <c r="AB37" s="13">
        <f t="shared" si="5"/>
        <v>1</v>
      </c>
    </row>
    <row r="38" spans="1:28" x14ac:dyDescent="0.25">
      <c r="A38" s="13" t="s">
        <v>142</v>
      </c>
      <c r="B38" s="13">
        <v>21</v>
      </c>
      <c r="C38" s="13" t="s">
        <v>98</v>
      </c>
      <c r="D38" s="13" t="s">
        <v>93</v>
      </c>
      <c r="E38" s="13" t="s">
        <v>81</v>
      </c>
      <c r="F38" s="13" t="s">
        <v>94</v>
      </c>
      <c r="G38" s="13">
        <v>3</v>
      </c>
      <c r="H38" s="13">
        <v>2</v>
      </c>
      <c r="I38" s="13" t="s">
        <v>83</v>
      </c>
      <c r="J38" s="13" t="s">
        <v>91</v>
      </c>
      <c r="K38" s="13" t="s">
        <v>83</v>
      </c>
      <c r="L38" s="13" t="s">
        <v>83</v>
      </c>
      <c r="M38" s="13">
        <v>30</v>
      </c>
      <c r="N38" s="13">
        <v>5</v>
      </c>
      <c r="O38" s="13" t="s">
        <v>84</v>
      </c>
      <c r="P38" s="13">
        <v>23.5</v>
      </c>
      <c r="Q38" s="13">
        <v>158</v>
      </c>
      <c r="R38" s="13">
        <v>100</v>
      </c>
      <c r="S38" s="13" t="s">
        <v>85</v>
      </c>
      <c r="T38" s="13" t="s">
        <v>86</v>
      </c>
      <c r="U38" s="13" t="s">
        <v>132</v>
      </c>
      <c r="V38" s="13" t="s">
        <v>83</v>
      </c>
      <c r="W38" s="13" t="str">
        <f t="shared" si="0"/>
        <v>20-29 ans</v>
      </c>
      <c r="X38" s="13" t="str">
        <f t="shared" si="1"/>
        <v>1-2 accouchements</v>
      </c>
      <c r="Y38" s="13" t="str">
        <f t="shared" si="2"/>
        <v>4 à 7 CPN</v>
      </c>
      <c r="Z38" s="13" t="str">
        <f t="shared" si="3"/>
        <v>28-36 SA</v>
      </c>
      <c r="AA38" s="13">
        <f t="shared" si="4"/>
        <v>48</v>
      </c>
      <c r="AB38" s="13">
        <f t="shared" si="5"/>
        <v>1</v>
      </c>
    </row>
    <row r="39" spans="1:28" x14ac:dyDescent="0.25">
      <c r="A39" s="13" t="s">
        <v>143</v>
      </c>
      <c r="B39" s="13">
        <v>28</v>
      </c>
      <c r="C39" s="13" t="s">
        <v>79</v>
      </c>
      <c r="D39" s="13" t="s">
        <v>93</v>
      </c>
      <c r="E39" s="13" t="s">
        <v>96</v>
      </c>
      <c r="F39" s="13" t="s">
        <v>82</v>
      </c>
      <c r="G39" s="13">
        <v>4</v>
      </c>
      <c r="H39" s="13">
        <v>3</v>
      </c>
      <c r="I39" s="13" t="s">
        <v>83</v>
      </c>
      <c r="J39" s="13" t="s">
        <v>83</v>
      </c>
      <c r="K39" s="13" t="s">
        <v>83</v>
      </c>
      <c r="L39" s="13" t="s">
        <v>83</v>
      </c>
      <c r="M39" s="13">
        <v>30</v>
      </c>
      <c r="N39" s="13">
        <v>2</v>
      </c>
      <c r="O39" s="13" t="s">
        <v>84</v>
      </c>
      <c r="P39" s="13">
        <v>23</v>
      </c>
      <c r="Q39" s="13">
        <v>100</v>
      </c>
      <c r="R39" s="13">
        <v>61</v>
      </c>
      <c r="S39" s="13" t="s">
        <v>85</v>
      </c>
      <c r="T39" s="13" t="s">
        <v>86</v>
      </c>
      <c r="U39" s="13" t="s">
        <v>87</v>
      </c>
      <c r="V39" s="13" t="s">
        <v>83</v>
      </c>
      <c r="W39" s="13" t="str">
        <f t="shared" si="0"/>
        <v>20-29 ans</v>
      </c>
      <c r="X39" s="13" t="str">
        <f t="shared" si="1"/>
        <v>3 accouchements et plus</v>
      </c>
      <c r="Y39" s="13" t="str">
        <f t="shared" si="2"/>
        <v>Moins de 4 CPN</v>
      </c>
      <c r="Z39" s="13" t="str">
        <f t="shared" si="3"/>
        <v>28-36 SA</v>
      </c>
      <c r="AA39" s="13">
        <f t="shared" si="4"/>
        <v>276</v>
      </c>
      <c r="AB39" s="13">
        <f t="shared" si="5"/>
        <v>1</v>
      </c>
    </row>
    <row r="40" spans="1:28" x14ac:dyDescent="0.25">
      <c r="A40" s="13" t="s">
        <v>144</v>
      </c>
      <c r="B40" s="13">
        <v>22</v>
      </c>
      <c r="C40" s="13" t="s">
        <v>89</v>
      </c>
      <c r="D40" s="13" t="s">
        <v>93</v>
      </c>
      <c r="E40" s="13" t="s">
        <v>96</v>
      </c>
      <c r="F40" s="13" t="s">
        <v>82</v>
      </c>
      <c r="G40" s="13">
        <v>1</v>
      </c>
      <c r="H40" s="13">
        <v>0</v>
      </c>
      <c r="I40" s="13" t="s">
        <v>86</v>
      </c>
      <c r="J40" s="13" t="s">
        <v>83</v>
      </c>
      <c r="L40" s="13" t="s">
        <v>83</v>
      </c>
      <c r="M40" s="13">
        <v>36</v>
      </c>
      <c r="N40" s="13">
        <v>2</v>
      </c>
      <c r="O40" s="13" t="s">
        <v>84</v>
      </c>
      <c r="P40" s="13">
        <v>22.5</v>
      </c>
      <c r="Q40" s="13">
        <v>117</v>
      </c>
      <c r="R40" s="13">
        <v>83</v>
      </c>
      <c r="S40" s="13" t="s">
        <v>85</v>
      </c>
      <c r="T40" s="13" t="s">
        <v>86</v>
      </c>
      <c r="U40" s="13" t="s">
        <v>87</v>
      </c>
      <c r="V40" s="13" t="s">
        <v>83</v>
      </c>
      <c r="W40" s="13" t="str">
        <f t="shared" si="0"/>
        <v>20-29 ans</v>
      </c>
      <c r="X40" s="13" t="str">
        <f t="shared" si="1"/>
        <v>Nullipare (0)</v>
      </c>
      <c r="Y40" s="13" t="str">
        <f t="shared" si="2"/>
        <v>Moins de 4 CPN</v>
      </c>
      <c r="Z40" s="13" t="str">
        <f t="shared" si="3"/>
        <v>28-36 SA</v>
      </c>
      <c r="AA40" s="13">
        <f t="shared" si="4"/>
        <v>70</v>
      </c>
      <c r="AB40" s="13">
        <f t="shared" si="5"/>
        <v>0</v>
      </c>
    </row>
    <row r="41" spans="1:28" x14ac:dyDescent="0.25">
      <c r="A41" s="13" t="s">
        <v>145</v>
      </c>
      <c r="B41" s="13">
        <v>26</v>
      </c>
      <c r="C41" s="13" t="s">
        <v>98</v>
      </c>
      <c r="D41" s="13" t="s">
        <v>109</v>
      </c>
      <c r="E41" s="13" t="s">
        <v>90</v>
      </c>
      <c r="F41" s="13" t="s">
        <v>82</v>
      </c>
      <c r="G41" s="13">
        <v>2</v>
      </c>
      <c r="H41" s="13">
        <v>0</v>
      </c>
      <c r="I41" s="13" t="s">
        <v>86</v>
      </c>
      <c r="J41" s="13" t="s">
        <v>83</v>
      </c>
      <c r="K41" s="13" t="s">
        <v>83</v>
      </c>
      <c r="L41" s="13" t="s">
        <v>83</v>
      </c>
      <c r="M41" s="13">
        <v>39</v>
      </c>
      <c r="N41" s="13">
        <v>4</v>
      </c>
      <c r="O41" s="13" t="s">
        <v>146</v>
      </c>
      <c r="P41" s="13">
        <v>21.4</v>
      </c>
      <c r="Q41" s="13">
        <v>108</v>
      </c>
      <c r="R41" s="13">
        <v>67</v>
      </c>
      <c r="S41" s="13" t="s">
        <v>85</v>
      </c>
      <c r="T41" s="13" t="s">
        <v>86</v>
      </c>
      <c r="U41" s="13" t="s">
        <v>87</v>
      </c>
      <c r="V41" s="13" t="s">
        <v>83</v>
      </c>
      <c r="W41" s="13" t="str">
        <f t="shared" si="0"/>
        <v>20-29 ans</v>
      </c>
      <c r="X41" s="13" t="str">
        <f t="shared" si="1"/>
        <v>Nullipare (0)</v>
      </c>
      <c r="Y41" s="13" t="str">
        <f t="shared" si="2"/>
        <v>4 à 7 CPN</v>
      </c>
      <c r="Z41" s="13" t="str">
        <f t="shared" si="3"/>
        <v>37 SA et plus</v>
      </c>
      <c r="AA41" s="13">
        <f t="shared" si="4"/>
        <v>206</v>
      </c>
      <c r="AB41" s="13">
        <f t="shared" si="5"/>
        <v>0</v>
      </c>
    </row>
    <row r="42" spans="1:28" x14ac:dyDescent="0.25">
      <c r="A42" s="13" t="s">
        <v>147</v>
      </c>
      <c r="B42" s="13">
        <v>26</v>
      </c>
      <c r="C42" s="13" t="s">
        <v>89</v>
      </c>
      <c r="D42" s="13" t="s">
        <v>80</v>
      </c>
      <c r="E42" s="13" t="s">
        <v>96</v>
      </c>
      <c r="F42" s="13" t="s">
        <v>82</v>
      </c>
      <c r="G42" s="13">
        <v>5</v>
      </c>
      <c r="H42" s="13">
        <v>4</v>
      </c>
      <c r="I42" s="13" t="s">
        <v>83</v>
      </c>
      <c r="J42" s="13" t="s">
        <v>83</v>
      </c>
      <c r="K42" s="13" t="s">
        <v>83</v>
      </c>
      <c r="L42" s="13" t="s">
        <v>83</v>
      </c>
      <c r="M42" s="13">
        <v>30</v>
      </c>
      <c r="N42" s="13">
        <v>3</v>
      </c>
      <c r="O42" s="13" t="s">
        <v>84</v>
      </c>
      <c r="P42" s="13">
        <v>25.9</v>
      </c>
      <c r="Q42" s="13">
        <v>105</v>
      </c>
      <c r="R42" s="13">
        <v>60</v>
      </c>
      <c r="S42" s="13" t="s">
        <v>85</v>
      </c>
      <c r="T42" s="13" t="s">
        <v>86</v>
      </c>
      <c r="U42" s="13" t="s">
        <v>87</v>
      </c>
      <c r="V42" s="13" t="s">
        <v>83</v>
      </c>
      <c r="W42" s="13" t="str">
        <f t="shared" si="0"/>
        <v>20-29 ans</v>
      </c>
      <c r="X42" s="13" t="str">
        <f t="shared" si="1"/>
        <v>3 accouchements et plus</v>
      </c>
      <c r="Y42" s="13" t="str">
        <f t="shared" si="2"/>
        <v>Moins de 4 CPN</v>
      </c>
      <c r="Z42" s="13" t="str">
        <f t="shared" si="3"/>
        <v>28-36 SA</v>
      </c>
      <c r="AA42" s="13">
        <f t="shared" si="4"/>
        <v>206</v>
      </c>
      <c r="AB42" s="13">
        <f t="shared" si="5"/>
        <v>1</v>
      </c>
    </row>
    <row r="43" spans="1:28" x14ac:dyDescent="0.25">
      <c r="A43" s="13" t="s">
        <v>148</v>
      </c>
      <c r="B43" s="13">
        <v>23</v>
      </c>
      <c r="C43" s="13" t="s">
        <v>89</v>
      </c>
      <c r="D43" s="13" t="s">
        <v>80</v>
      </c>
      <c r="E43" s="13" t="s">
        <v>112</v>
      </c>
      <c r="F43" s="13" t="s">
        <v>82</v>
      </c>
      <c r="G43" s="13">
        <v>1</v>
      </c>
      <c r="H43" s="13">
        <v>0</v>
      </c>
      <c r="I43" s="13" t="s">
        <v>86</v>
      </c>
      <c r="J43" s="13" t="s">
        <v>83</v>
      </c>
      <c r="K43" s="13" t="s">
        <v>83</v>
      </c>
      <c r="L43" s="13" t="s">
        <v>83</v>
      </c>
      <c r="M43" s="13">
        <v>29</v>
      </c>
      <c r="N43" s="13">
        <v>2</v>
      </c>
      <c r="O43" s="13" t="s">
        <v>84</v>
      </c>
      <c r="P43" s="13">
        <v>20.7</v>
      </c>
      <c r="Q43" s="13">
        <v>148</v>
      </c>
      <c r="R43" s="13">
        <v>89</v>
      </c>
      <c r="S43" s="13" t="s">
        <v>118</v>
      </c>
      <c r="T43" s="13" t="s">
        <v>83</v>
      </c>
      <c r="U43" s="13" t="s">
        <v>114</v>
      </c>
      <c r="V43" s="13" t="s">
        <v>91</v>
      </c>
      <c r="W43" s="13" t="str">
        <f t="shared" si="0"/>
        <v>20-29 ans</v>
      </c>
      <c r="X43" s="13" t="str">
        <f t="shared" si="1"/>
        <v>Nullipare (0)</v>
      </c>
      <c r="Y43" s="13" t="str">
        <f t="shared" si="2"/>
        <v>Moins de 4 CPN</v>
      </c>
      <c r="Z43" s="13" t="str">
        <f t="shared" si="3"/>
        <v>28-36 SA</v>
      </c>
      <c r="AA43" s="13">
        <f t="shared" si="4"/>
        <v>103.5</v>
      </c>
      <c r="AB43" s="13">
        <f t="shared" si="5"/>
        <v>0</v>
      </c>
    </row>
    <row r="44" spans="1:28" x14ac:dyDescent="0.25">
      <c r="A44" s="13" t="s">
        <v>149</v>
      </c>
      <c r="B44" s="13">
        <v>23</v>
      </c>
      <c r="C44" s="13" t="s">
        <v>79</v>
      </c>
      <c r="D44" s="13" t="s">
        <v>93</v>
      </c>
      <c r="E44" s="13" t="s">
        <v>96</v>
      </c>
      <c r="F44" s="13" t="s">
        <v>82</v>
      </c>
      <c r="G44" s="13">
        <v>4</v>
      </c>
      <c r="H44" s="13">
        <v>2</v>
      </c>
      <c r="I44" s="13" t="s">
        <v>83</v>
      </c>
      <c r="J44" s="13" t="s">
        <v>83</v>
      </c>
      <c r="K44" s="13" t="s">
        <v>91</v>
      </c>
      <c r="L44" s="13" t="s">
        <v>83</v>
      </c>
      <c r="M44" s="13">
        <v>34</v>
      </c>
      <c r="N44" s="13">
        <v>4</v>
      </c>
      <c r="O44" s="13" t="s">
        <v>84</v>
      </c>
      <c r="P44" s="13">
        <v>32.799999999999997</v>
      </c>
      <c r="Q44" s="13">
        <v>160</v>
      </c>
      <c r="R44" s="13">
        <v>102</v>
      </c>
      <c r="S44" s="13" t="s">
        <v>113</v>
      </c>
      <c r="T44" s="13" t="s">
        <v>91</v>
      </c>
      <c r="U44" s="13" t="s">
        <v>114</v>
      </c>
      <c r="V44" s="13" t="s">
        <v>91</v>
      </c>
      <c r="W44" s="13" t="str">
        <f t="shared" si="0"/>
        <v>20-29 ans</v>
      </c>
      <c r="X44" s="13" t="str">
        <f t="shared" si="1"/>
        <v>1-2 accouchements</v>
      </c>
      <c r="Y44" s="13" t="str">
        <f t="shared" si="2"/>
        <v>4 à 7 CPN</v>
      </c>
      <c r="Z44" s="13" t="str">
        <f t="shared" si="3"/>
        <v>28-36 SA</v>
      </c>
      <c r="AA44" s="13">
        <f t="shared" si="4"/>
        <v>103.5</v>
      </c>
      <c r="AB44" s="13">
        <f t="shared" si="5"/>
        <v>1</v>
      </c>
    </row>
    <row r="45" spans="1:28" x14ac:dyDescent="0.25">
      <c r="A45" s="13" t="s">
        <v>150</v>
      </c>
      <c r="B45" s="13">
        <v>20</v>
      </c>
      <c r="C45" s="13" t="s">
        <v>98</v>
      </c>
      <c r="D45" s="13" t="s">
        <v>124</v>
      </c>
      <c r="E45" s="13" t="s">
        <v>81</v>
      </c>
      <c r="F45" s="13" t="s">
        <v>82</v>
      </c>
      <c r="G45" s="13">
        <v>1</v>
      </c>
      <c r="H45" s="13">
        <v>0</v>
      </c>
      <c r="I45" s="13" t="s">
        <v>86</v>
      </c>
      <c r="J45" s="13" t="s">
        <v>83</v>
      </c>
      <c r="K45" s="13" t="s">
        <v>83</v>
      </c>
      <c r="L45" s="13" t="s">
        <v>83</v>
      </c>
      <c r="M45" s="13">
        <v>37</v>
      </c>
      <c r="N45" s="13">
        <v>7</v>
      </c>
      <c r="O45" s="13" t="s">
        <v>84</v>
      </c>
      <c r="P45" s="13">
        <v>23.1</v>
      </c>
      <c r="Q45" s="13">
        <v>117</v>
      </c>
      <c r="R45" s="13">
        <v>78</v>
      </c>
      <c r="S45" s="13" t="s">
        <v>113</v>
      </c>
      <c r="T45" s="13" t="s">
        <v>86</v>
      </c>
      <c r="U45" s="13" t="s">
        <v>87</v>
      </c>
      <c r="V45" s="13" t="s">
        <v>83</v>
      </c>
      <c r="W45" s="13" t="str">
        <f t="shared" si="0"/>
        <v>20-29 ans</v>
      </c>
      <c r="X45" s="13" t="str">
        <f t="shared" si="1"/>
        <v>Nullipare (0)</v>
      </c>
      <c r="Y45" s="13" t="str">
        <f t="shared" si="2"/>
        <v>4 à 7 CPN</v>
      </c>
      <c r="Z45" s="13" t="str">
        <f t="shared" si="3"/>
        <v>37 SA et plus</v>
      </c>
      <c r="AA45" s="13">
        <f t="shared" si="4"/>
        <v>30.5</v>
      </c>
      <c r="AB45" s="13">
        <f t="shared" si="5"/>
        <v>0</v>
      </c>
    </row>
    <row r="46" spans="1:28" x14ac:dyDescent="0.25">
      <c r="A46" s="13" t="s">
        <v>151</v>
      </c>
      <c r="B46" s="13">
        <v>25</v>
      </c>
      <c r="C46" s="13" t="s">
        <v>79</v>
      </c>
      <c r="D46" s="13" t="s">
        <v>124</v>
      </c>
      <c r="E46" s="13" t="s">
        <v>96</v>
      </c>
      <c r="F46" s="13" t="s">
        <v>82</v>
      </c>
      <c r="G46" s="13">
        <v>1</v>
      </c>
      <c r="H46" s="13">
        <v>0</v>
      </c>
      <c r="I46" s="13" t="s">
        <v>86</v>
      </c>
      <c r="J46" s="13" t="s">
        <v>83</v>
      </c>
      <c r="K46" s="13" t="s">
        <v>83</v>
      </c>
      <c r="L46" s="13" t="s">
        <v>83</v>
      </c>
      <c r="M46" s="13">
        <v>33</v>
      </c>
      <c r="N46" s="13">
        <v>3</v>
      </c>
      <c r="O46" s="13" t="s">
        <v>84</v>
      </c>
      <c r="P46" s="13">
        <v>25.6</v>
      </c>
      <c r="Q46" s="13">
        <v>121</v>
      </c>
      <c r="R46" s="13">
        <v>69</v>
      </c>
      <c r="S46" s="13" t="s">
        <v>85</v>
      </c>
      <c r="T46" s="13" t="s">
        <v>86</v>
      </c>
      <c r="U46" s="13" t="s">
        <v>87</v>
      </c>
      <c r="V46" s="13" t="s">
        <v>83</v>
      </c>
      <c r="W46" s="13" t="str">
        <f t="shared" si="0"/>
        <v>20-29 ans</v>
      </c>
      <c r="X46" s="13" t="str">
        <f t="shared" si="1"/>
        <v>Nullipare (0)</v>
      </c>
      <c r="Y46" s="13" t="str">
        <f t="shared" si="2"/>
        <v>Moins de 4 CPN</v>
      </c>
      <c r="Z46" s="13" t="str">
        <f t="shared" si="3"/>
        <v>28-36 SA</v>
      </c>
      <c r="AA46" s="13">
        <f t="shared" si="4"/>
        <v>173</v>
      </c>
      <c r="AB46" s="13">
        <f t="shared" si="5"/>
        <v>0</v>
      </c>
    </row>
    <row r="47" spans="1:28" x14ac:dyDescent="0.25">
      <c r="A47" s="13" t="s">
        <v>152</v>
      </c>
      <c r="B47" s="13">
        <v>23</v>
      </c>
      <c r="C47" s="13" t="s">
        <v>79</v>
      </c>
      <c r="D47" s="13" t="s">
        <v>109</v>
      </c>
      <c r="E47" s="13" t="s">
        <v>99</v>
      </c>
      <c r="F47" s="13" t="s">
        <v>82</v>
      </c>
      <c r="G47" s="13">
        <v>1</v>
      </c>
      <c r="H47" s="13">
        <v>0</v>
      </c>
      <c r="I47" s="13" t="s">
        <v>86</v>
      </c>
      <c r="J47" s="13" t="s">
        <v>83</v>
      </c>
      <c r="K47" s="13" t="s">
        <v>91</v>
      </c>
      <c r="L47" s="13" t="s">
        <v>83</v>
      </c>
      <c r="M47" s="13">
        <v>38</v>
      </c>
      <c r="N47" s="13">
        <v>6</v>
      </c>
      <c r="O47" s="13" t="s">
        <v>84</v>
      </c>
      <c r="P47" s="13">
        <v>24.2</v>
      </c>
      <c r="Q47" s="13">
        <v>113</v>
      </c>
      <c r="R47" s="13">
        <v>64</v>
      </c>
      <c r="S47" s="13" t="s">
        <v>85</v>
      </c>
      <c r="T47" s="13" t="s">
        <v>86</v>
      </c>
      <c r="U47" s="13" t="s">
        <v>87</v>
      </c>
      <c r="V47" s="13" t="s">
        <v>83</v>
      </c>
      <c r="W47" s="13" t="str">
        <f t="shared" si="0"/>
        <v>20-29 ans</v>
      </c>
      <c r="X47" s="13" t="str">
        <f t="shared" si="1"/>
        <v>Nullipare (0)</v>
      </c>
      <c r="Y47" s="13" t="str">
        <f t="shared" si="2"/>
        <v>4 à 7 CPN</v>
      </c>
      <c r="Z47" s="13" t="str">
        <f t="shared" si="3"/>
        <v>37 SA et plus</v>
      </c>
      <c r="AA47" s="13">
        <f t="shared" si="4"/>
        <v>103.5</v>
      </c>
      <c r="AB47" s="13">
        <f t="shared" si="5"/>
        <v>0</v>
      </c>
    </row>
    <row r="48" spans="1:28" x14ac:dyDescent="0.25">
      <c r="A48" s="13" t="s">
        <v>153</v>
      </c>
      <c r="B48" s="13">
        <v>26</v>
      </c>
      <c r="C48" s="13" t="s">
        <v>79</v>
      </c>
      <c r="D48" s="13" t="s">
        <v>80</v>
      </c>
      <c r="F48" s="13" t="s">
        <v>82</v>
      </c>
      <c r="G48" s="13">
        <v>5</v>
      </c>
      <c r="H48" s="13">
        <v>4</v>
      </c>
      <c r="I48" s="13" t="s">
        <v>83</v>
      </c>
      <c r="J48" s="13" t="s">
        <v>91</v>
      </c>
      <c r="K48" s="13" t="s">
        <v>91</v>
      </c>
      <c r="L48" s="13" t="s">
        <v>83</v>
      </c>
      <c r="M48" s="13">
        <v>41</v>
      </c>
      <c r="N48" s="13">
        <v>3</v>
      </c>
      <c r="O48" s="13" t="s">
        <v>84</v>
      </c>
      <c r="P48" s="13">
        <v>27.2</v>
      </c>
      <c r="Q48" s="13">
        <v>141</v>
      </c>
      <c r="R48" s="13">
        <v>94</v>
      </c>
      <c r="S48" s="13" t="s">
        <v>85</v>
      </c>
      <c r="T48" s="13" t="s">
        <v>86</v>
      </c>
      <c r="U48" s="13" t="s">
        <v>132</v>
      </c>
      <c r="V48" s="13" t="s">
        <v>83</v>
      </c>
      <c r="W48" s="13" t="str">
        <f t="shared" si="0"/>
        <v>20-29 ans</v>
      </c>
      <c r="X48" s="13" t="str">
        <f t="shared" si="1"/>
        <v>3 accouchements et plus</v>
      </c>
      <c r="Y48" s="13" t="str">
        <f t="shared" si="2"/>
        <v>Moins de 4 CPN</v>
      </c>
      <c r="Z48" s="13" t="str">
        <f t="shared" si="3"/>
        <v>37 SA et plus</v>
      </c>
      <c r="AA48" s="13">
        <f t="shared" si="4"/>
        <v>206</v>
      </c>
      <c r="AB48" s="13">
        <f t="shared" si="5"/>
        <v>1</v>
      </c>
    </row>
    <row r="49" spans="1:28" x14ac:dyDescent="0.25">
      <c r="A49" s="13" t="s">
        <v>154</v>
      </c>
      <c r="B49" s="13">
        <v>26</v>
      </c>
      <c r="C49" s="13" t="s">
        <v>98</v>
      </c>
      <c r="D49" s="13" t="s">
        <v>93</v>
      </c>
      <c r="E49" s="13" t="s">
        <v>96</v>
      </c>
      <c r="F49" s="13" t="s">
        <v>82</v>
      </c>
      <c r="G49" s="13">
        <v>2</v>
      </c>
      <c r="H49" s="13">
        <v>1</v>
      </c>
      <c r="I49" s="13" t="s">
        <v>83</v>
      </c>
      <c r="J49" s="13" t="s">
        <v>83</v>
      </c>
      <c r="K49" s="13" t="s">
        <v>91</v>
      </c>
      <c r="L49" s="13" t="s">
        <v>83</v>
      </c>
      <c r="M49" s="13">
        <v>37</v>
      </c>
      <c r="N49" s="13">
        <v>2</v>
      </c>
      <c r="O49" s="13" t="s">
        <v>84</v>
      </c>
      <c r="P49" s="13">
        <v>23.5</v>
      </c>
      <c r="Q49" s="13">
        <v>111</v>
      </c>
      <c r="R49" s="13">
        <v>69</v>
      </c>
      <c r="S49" s="13" t="s">
        <v>85</v>
      </c>
      <c r="T49" s="13" t="s">
        <v>86</v>
      </c>
      <c r="U49" s="13" t="s">
        <v>87</v>
      </c>
      <c r="V49" s="13" t="s">
        <v>83</v>
      </c>
      <c r="W49" s="13" t="str">
        <f t="shared" si="0"/>
        <v>20-29 ans</v>
      </c>
      <c r="X49" s="13" t="str">
        <f t="shared" si="1"/>
        <v>1-2 accouchements</v>
      </c>
      <c r="Y49" s="13" t="str">
        <f t="shared" si="2"/>
        <v>Moins de 4 CPN</v>
      </c>
      <c r="Z49" s="13" t="str">
        <f t="shared" si="3"/>
        <v>37 SA et plus</v>
      </c>
      <c r="AA49" s="13">
        <f t="shared" si="4"/>
        <v>206</v>
      </c>
      <c r="AB49" s="13">
        <f t="shared" si="5"/>
        <v>1</v>
      </c>
    </row>
    <row r="50" spans="1:28" x14ac:dyDescent="0.25">
      <c r="A50" s="13" t="s">
        <v>155</v>
      </c>
      <c r="B50" s="13">
        <v>32</v>
      </c>
      <c r="C50" s="13" t="s">
        <v>79</v>
      </c>
      <c r="D50" s="13" t="s">
        <v>80</v>
      </c>
      <c r="E50" s="13" t="s">
        <v>96</v>
      </c>
      <c r="F50" s="13" t="s">
        <v>82</v>
      </c>
      <c r="G50" s="13">
        <v>5</v>
      </c>
      <c r="H50" s="13">
        <v>3</v>
      </c>
      <c r="I50" s="13" t="s">
        <v>83</v>
      </c>
      <c r="J50" s="13" t="s">
        <v>83</v>
      </c>
      <c r="K50" s="13" t="s">
        <v>83</v>
      </c>
      <c r="L50" s="13" t="s">
        <v>83</v>
      </c>
      <c r="M50" s="13">
        <v>36</v>
      </c>
      <c r="N50" s="13">
        <v>3</v>
      </c>
      <c r="O50" s="13" t="s">
        <v>84</v>
      </c>
      <c r="P50" s="13">
        <v>26</v>
      </c>
      <c r="Q50" s="13">
        <v>102</v>
      </c>
      <c r="R50" s="13">
        <v>62</v>
      </c>
      <c r="S50" s="13" t="s">
        <v>85</v>
      </c>
      <c r="T50" s="13" t="s">
        <v>86</v>
      </c>
      <c r="U50" s="13" t="s">
        <v>87</v>
      </c>
      <c r="V50" s="13" t="s">
        <v>83</v>
      </c>
      <c r="W50" s="13" t="str">
        <f t="shared" si="0"/>
        <v>30-34 ans</v>
      </c>
      <c r="X50" s="13" t="str">
        <f t="shared" si="1"/>
        <v>3 accouchements et plus</v>
      </c>
      <c r="Y50" s="13" t="str">
        <f t="shared" si="2"/>
        <v>Moins de 4 CPN</v>
      </c>
      <c r="Z50" s="13" t="str">
        <f t="shared" si="3"/>
        <v>28-36 SA</v>
      </c>
      <c r="AA50" s="13">
        <f t="shared" si="4"/>
        <v>347.5</v>
      </c>
      <c r="AB50" s="13">
        <f t="shared" si="5"/>
        <v>1</v>
      </c>
    </row>
    <row r="51" spans="1:28" x14ac:dyDescent="0.25">
      <c r="A51" s="13" t="s">
        <v>156</v>
      </c>
      <c r="B51" s="13">
        <v>29</v>
      </c>
      <c r="C51" s="13" t="s">
        <v>98</v>
      </c>
      <c r="D51" s="13" t="s">
        <v>80</v>
      </c>
      <c r="E51" s="13" t="s">
        <v>90</v>
      </c>
      <c r="F51" s="13" t="s">
        <v>82</v>
      </c>
      <c r="G51" s="13">
        <v>2</v>
      </c>
      <c r="H51" s="13">
        <v>1</v>
      </c>
      <c r="I51" s="13" t="s">
        <v>83</v>
      </c>
      <c r="J51" s="13" t="s">
        <v>83</v>
      </c>
      <c r="K51" s="13" t="s">
        <v>83</v>
      </c>
      <c r="L51" s="13" t="s">
        <v>83</v>
      </c>
      <c r="M51" s="13">
        <v>30</v>
      </c>
      <c r="N51" s="13">
        <v>2</v>
      </c>
      <c r="O51" s="13" t="s">
        <v>84</v>
      </c>
      <c r="P51" s="13">
        <v>19.399999999999999</v>
      </c>
      <c r="Q51" s="13">
        <v>134</v>
      </c>
      <c r="R51" s="13">
        <v>77</v>
      </c>
      <c r="S51" s="13" t="s">
        <v>85</v>
      </c>
      <c r="T51" s="13" t="s">
        <v>86</v>
      </c>
      <c r="U51" s="13" t="s">
        <v>87</v>
      </c>
      <c r="V51" s="13" t="s">
        <v>83</v>
      </c>
      <c r="W51" s="13" t="str">
        <f t="shared" si="0"/>
        <v>20-29 ans</v>
      </c>
      <c r="X51" s="13" t="str">
        <f t="shared" si="1"/>
        <v>1-2 accouchements</v>
      </c>
      <c r="Y51" s="13" t="str">
        <f t="shared" si="2"/>
        <v>Moins de 4 CPN</v>
      </c>
      <c r="Z51" s="13" t="str">
        <f t="shared" si="3"/>
        <v>28-36 SA</v>
      </c>
      <c r="AA51" s="13">
        <f t="shared" si="4"/>
        <v>299</v>
      </c>
      <c r="AB51" s="13">
        <f t="shared" si="5"/>
        <v>1</v>
      </c>
    </row>
    <row r="52" spans="1:28" x14ac:dyDescent="0.25">
      <c r="A52" s="13" t="s">
        <v>157</v>
      </c>
      <c r="B52" s="13">
        <v>23</v>
      </c>
      <c r="C52" s="13" t="s">
        <v>79</v>
      </c>
      <c r="D52" s="13" t="s">
        <v>109</v>
      </c>
      <c r="E52" s="13" t="s">
        <v>101</v>
      </c>
      <c r="F52" s="13" t="s">
        <v>82</v>
      </c>
      <c r="G52" s="13">
        <v>5</v>
      </c>
      <c r="H52" s="13">
        <v>2</v>
      </c>
      <c r="I52" s="13" t="s">
        <v>83</v>
      </c>
      <c r="J52" s="13" t="s">
        <v>83</v>
      </c>
      <c r="K52" s="13" t="s">
        <v>83</v>
      </c>
      <c r="L52" s="13" t="s">
        <v>83</v>
      </c>
      <c r="M52" s="13">
        <v>29</v>
      </c>
      <c r="N52" s="13">
        <v>5</v>
      </c>
      <c r="O52" s="13" t="s">
        <v>84</v>
      </c>
      <c r="P52" s="13">
        <v>20.7</v>
      </c>
      <c r="Q52" s="13">
        <v>107</v>
      </c>
      <c r="R52" s="13">
        <v>69</v>
      </c>
      <c r="S52" s="13" t="s">
        <v>85</v>
      </c>
      <c r="T52" s="13" t="s">
        <v>86</v>
      </c>
      <c r="U52" s="13" t="s">
        <v>87</v>
      </c>
      <c r="V52" s="13" t="s">
        <v>83</v>
      </c>
      <c r="W52" s="13" t="str">
        <f t="shared" si="0"/>
        <v>20-29 ans</v>
      </c>
      <c r="X52" s="13" t="str">
        <f t="shared" si="1"/>
        <v>1-2 accouchements</v>
      </c>
      <c r="Y52" s="13" t="str">
        <f t="shared" si="2"/>
        <v>4 à 7 CPN</v>
      </c>
      <c r="Z52" s="13" t="str">
        <f t="shared" si="3"/>
        <v>28-36 SA</v>
      </c>
      <c r="AA52" s="13">
        <f t="shared" si="4"/>
        <v>103.5</v>
      </c>
      <c r="AB52" s="13">
        <f t="shared" si="5"/>
        <v>1</v>
      </c>
    </row>
    <row r="53" spans="1:28" x14ac:dyDescent="0.25">
      <c r="A53" s="13" t="s">
        <v>158</v>
      </c>
      <c r="B53" s="13">
        <v>23</v>
      </c>
      <c r="C53" s="13" t="s">
        <v>89</v>
      </c>
      <c r="D53" s="13" t="s">
        <v>93</v>
      </c>
      <c r="E53" s="13" t="s">
        <v>81</v>
      </c>
      <c r="F53" s="13" t="s">
        <v>82</v>
      </c>
      <c r="G53" s="13">
        <v>1</v>
      </c>
      <c r="H53" s="13">
        <v>0</v>
      </c>
      <c r="I53" s="13" t="s">
        <v>86</v>
      </c>
      <c r="J53" s="13" t="s">
        <v>83</v>
      </c>
      <c r="K53" s="13" t="s">
        <v>83</v>
      </c>
      <c r="L53" s="13" t="s">
        <v>83</v>
      </c>
      <c r="M53" s="13">
        <v>27</v>
      </c>
      <c r="N53" s="13">
        <v>5</v>
      </c>
      <c r="O53" s="13" t="s">
        <v>84</v>
      </c>
      <c r="P53" s="13">
        <v>35.299999999999997</v>
      </c>
      <c r="Q53" s="13">
        <v>147</v>
      </c>
      <c r="R53" s="13">
        <v>90</v>
      </c>
      <c r="S53" s="13" t="s">
        <v>113</v>
      </c>
      <c r="T53" s="13" t="s">
        <v>83</v>
      </c>
      <c r="U53" s="13" t="s">
        <v>114</v>
      </c>
      <c r="V53" s="13" t="s">
        <v>91</v>
      </c>
      <c r="W53" s="13" t="str">
        <f t="shared" si="0"/>
        <v>20-29 ans</v>
      </c>
      <c r="X53" s="13" t="str">
        <f t="shared" si="1"/>
        <v>Nullipare (0)</v>
      </c>
      <c r="Y53" s="13" t="str">
        <f t="shared" si="2"/>
        <v>4 à 7 CPN</v>
      </c>
      <c r="Z53" s="13" t="str">
        <f t="shared" si="3"/>
        <v>20-27 SA</v>
      </c>
      <c r="AA53" s="13">
        <f t="shared" si="4"/>
        <v>103.5</v>
      </c>
      <c r="AB53" s="13">
        <f t="shared" si="5"/>
        <v>0</v>
      </c>
    </row>
    <row r="54" spans="1:28" x14ac:dyDescent="0.25">
      <c r="A54" s="13" t="s">
        <v>159</v>
      </c>
      <c r="B54" s="13">
        <v>25</v>
      </c>
      <c r="C54" s="13" t="s">
        <v>89</v>
      </c>
      <c r="D54" s="13" t="s">
        <v>93</v>
      </c>
      <c r="E54" s="13" t="s">
        <v>96</v>
      </c>
      <c r="F54" s="13" t="s">
        <v>82</v>
      </c>
      <c r="G54" s="13">
        <v>3</v>
      </c>
      <c r="H54" s="13">
        <v>2</v>
      </c>
      <c r="I54" s="13" t="s">
        <v>83</v>
      </c>
      <c r="J54" s="13" t="s">
        <v>91</v>
      </c>
      <c r="K54" s="13" t="s">
        <v>91</v>
      </c>
      <c r="L54" s="13" t="s">
        <v>83</v>
      </c>
      <c r="M54" s="13">
        <v>35</v>
      </c>
      <c r="N54" s="13">
        <v>0</v>
      </c>
      <c r="O54" s="13" t="s">
        <v>84</v>
      </c>
      <c r="P54" s="13">
        <v>31.8</v>
      </c>
      <c r="Q54" s="13">
        <v>129</v>
      </c>
      <c r="R54" s="13">
        <v>89</v>
      </c>
      <c r="S54" s="13" t="s">
        <v>85</v>
      </c>
      <c r="T54" s="13" t="s">
        <v>86</v>
      </c>
      <c r="U54" s="13" t="s">
        <v>132</v>
      </c>
      <c r="V54" s="13" t="s">
        <v>83</v>
      </c>
      <c r="W54" s="13" t="str">
        <f t="shared" si="0"/>
        <v>20-29 ans</v>
      </c>
      <c r="X54" s="13" t="str">
        <f t="shared" si="1"/>
        <v>1-2 accouchements</v>
      </c>
      <c r="Y54" s="13" t="str">
        <f t="shared" si="2"/>
        <v>Moins de 4 CPN</v>
      </c>
      <c r="Z54" s="13" t="str">
        <f t="shared" si="3"/>
        <v>28-36 SA</v>
      </c>
      <c r="AA54" s="13">
        <f t="shared" si="4"/>
        <v>173</v>
      </c>
      <c r="AB54" s="13">
        <f t="shared" si="5"/>
        <v>1</v>
      </c>
    </row>
    <row r="55" spans="1:28" x14ac:dyDescent="0.25">
      <c r="A55" s="13" t="s">
        <v>160</v>
      </c>
      <c r="B55" s="13">
        <v>22</v>
      </c>
      <c r="C55" s="13" t="s">
        <v>79</v>
      </c>
      <c r="D55" s="13" t="s">
        <v>124</v>
      </c>
      <c r="E55" s="13" t="s">
        <v>81</v>
      </c>
      <c r="F55" s="13" t="s">
        <v>82</v>
      </c>
      <c r="G55" s="13">
        <v>3</v>
      </c>
      <c r="H55" s="13">
        <v>1</v>
      </c>
      <c r="I55" s="13" t="s">
        <v>83</v>
      </c>
      <c r="J55" s="13" t="s">
        <v>83</v>
      </c>
      <c r="L55" s="13" t="s">
        <v>83</v>
      </c>
      <c r="M55" s="13">
        <v>37</v>
      </c>
      <c r="N55" s="13">
        <v>5</v>
      </c>
      <c r="O55" s="13" t="s">
        <v>84</v>
      </c>
      <c r="P55" s="13">
        <v>24.9</v>
      </c>
      <c r="Q55" s="13">
        <v>105</v>
      </c>
      <c r="R55" s="13">
        <v>71</v>
      </c>
      <c r="S55" s="13" t="s">
        <v>85</v>
      </c>
      <c r="T55" s="13" t="s">
        <v>86</v>
      </c>
      <c r="U55" s="13" t="s">
        <v>87</v>
      </c>
      <c r="V55" s="13" t="s">
        <v>83</v>
      </c>
      <c r="W55" s="13" t="str">
        <f t="shared" si="0"/>
        <v>20-29 ans</v>
      </c>
      <c r="X55" s="13" t="str">
        <f t="shared" si="1"/>
        <v>1-2 accouchements</v>
      </c>
      <c r="Y55" s="13" t="str">
        <f t="shared" si="2"/>
        <v>4 à 7 CPN</v>
      </c>
      <c r="Z55" s="13" t="str">
        <f t="shared" si="3"/>
        <v>37 SA et plus</v>
      </c>
      <c r="AA55" s="13">
        <f t="shared" si="4"/>
        <v>70</v>
      </c>
      <c r="AB55" s="13">
        <f t="shared" si="5"/>
        <v>1</v>
      </c>
    </row>
    <row r="56" spans="1:28" x14ac:dyDescent="0.25">
      <c r="A56" s="13" t="s">
        <v>161</v>
      </c>
      <c r="B56" s="13">
        <v>24</v>
      </c>
      <c r="C56" s="13" t="s">
        <v>79</v>
      </c>
      <c r="D56" s="13" t="s">
        <v>80</v>
      </c>
      <c r="E56" s="13" t="s">
        <v>101</v>
      </c>
      <c r="F56" s="13" t="s">
        <v>94</v>
      </c>
      <c r="G56" s="13">
        <v>4</v>
      </c>
      <c r="H56" s="13">
        <v>3</v>
      </c>
      <c r="I56" s="13" t="s">
        <v>83</v>
      </c>
      <c r="J56" s="13" t="s">
        <v>83</v>
      </c>
      <c r="K56" s="13" t="s">
        <v>83</v>
      </c>
      <c r="L56" s="13" t="s">
        <v>83</v>
      </c>
      <c r="M56" s="13">
        <v>39</v>
      </c>
      <c r="N56" s="13">
        <v>1</v>
      </c>
      <c r="O56" s="13" t="s">
        <v>84</v>
      </c>
      <c r="P56" s="13">
        <v>23.8</v>
      </c>
      <c r="Q56" s="13">
        <v>118</v>
      </c>
      <c r="R56" s="13">
        <v>67</v>
      </c>
      <c r="S56" s="13" t="s">
        <v>85</v>
      </c>
      <c r="T56" s="13" t="s">
        <v>86</v>
      </c>
      <c r="U56" s="13" t="s">
        <v>87</v>
      </c>
      <c r="V56" s="13" t="s">
        <v>83</v>
      </c>
      <c r="W56" s="13" t="str">
        <f t="shared" si="0"/>
        <v>20-29 ans</v>
      </c>
      <c r="X56" s="13" t="str">
        <f t="shared" si="1"/>
        <v>3 accouchements et plus</v>
      </c>
      <c r="Y56" s="13" t="str">
        <f t="shared" si="2"/>
        <v>Moins de 4 CPN</v>
      </c>
      <c r="Z56" s="13" t="str">
        <f t="shared" si="3"/>
        <v>37 SA et plus</v>
      </c>
      <c r="AA56" s="13">
        <f t="shared" si="4"/>
        <v>139.5</v>
      </c>
      <c r="AB56" s="13">
        <f t="shared" si="5"/>
        <v>1</v>
      </c>
    </row>
    <row r="57" spans="1:28" x14ac:dyDescent="0.25">
      <c r="A57" s="13" t="s">
        <v>162</v>
      </c>
      <c r="B57" s="13">
        <v>26</v>
      </c>
      <c r="C57" s="13" t="s">
        <v>98</v>
      </c>
      <c r="D57" s="13" t="s">
        <v>93</v>
      </c>
      <c r="E57" s="13" t="s">
        <v>81</v>
      </c>
      <c r="F57" s="13" t="s">
        <v>94</v>
      </c>
      <c r="G57" s="13">
        <v>3</v>
      </c>
      <c r="H57" s="13">
        <v>2</v>
      </c>
      <c r="I57" s="13" t="s">
        <v>83</v>
      </c>
      <c r="J57" s="13" t="s">
        <v>83</v>
      </c>
      <c r="K57" s="13" t="s">
        <v>83</v>
      </c>
      <c r="L57" s="13" t="s">
        <v>83</v>
      </c>
      <c r="M57" s="13">
        <v>36</v>
      </c>
      <c r="N57" s="13">
        <v>2</v>
      </c>
      <c r="O57" s="13" t="s">
        <v>84</v>
      </c>
      <c r="P57" s="13">
        <v>24.8</v>
      </c>
      <c r="Q57" s="13">
        <v>116</v>
      </c>
      <c r="R57" s="13">
        <v>69</v>
      </c>
      <c r="S57" s="13" t="s">
        <v>85</v>
      </c>
      <c r="T57" s="13" t="s">
        <v>86</v>
      </c>
      <c r="U57" s="13" t="s">
        <v>87</v>
      </c>
      <c r="V57" s="13" t="s">
        <v>83</v>
      </c>
      <c r="W57" s="13" t="str">
        <f t="shared" si="0"/>
        <v>20-29 ans</v>
      </c>
      <c r="X57" s="13" t="str">
        <f t="shared" si="1"/>
        <v>1-2 accouchements</v>
      </c>
      <c r="Y57" s="13" t="str">
        <f t="shared" si="2"/>
        <v>Moins de 4 CPN</v>
      </c>
      <c r="Z57" s="13" t="str">
        <f t="shared" si="3"/>
        <v>28-36 SA</v>
      </c>
      <c r="AA57" s="13">
        <f t="shared" si="4"/>
        <v>206</v>
      </c>
      <c r="AB57" s="13">
        <f t="shared" si="5"/>
        <v>1</v>
      </c>
    </row>
    <row r="58" spans="1:28" x14ac:dyDescent="0.25">
      <c r="A58" s="13" t="s">
        <v>163</v>
      </c>
      <c r="B58" s="13">
        <v>30</v>
      </c>
      <c r="C58" s="13" t="s">
        <v>79</v>
      </c>
      <c r="D58" s="13" t="s">
        <v>109</v>
      </c>
      <c r="E58" s="13" t="s">
        <v>112</v>
      </c>
      <c r="F58" s="13" t="s">
        <v>94</v>
      </c>
      <c r="G58" s="13">
        <v>4</v>
      </c>
      <c r="H58" s="13">
        <v>2</v>
      </c>
      <c r="I58" s="13" t="s">
        <v>83</v>
      </c>
      <c r="J58" s="13" t="s">
        <v>83</v>
      </c>
      <c r="K58" s="13" t="s">
        <v>83</v>
      </c>
      <c r="L58" s="13" t="s">
        <v>83</v>
      </c>
      <c r="M58" s="13">
        <v>34</v>
      </c>
      <c r="N58" s="13">
        <v>3</v>
      </c>
      <c r="O58" s="13" t="s">
        <v>84</v>
      </c>
      <c r="P58" s="13">
        <v>32.9</v>
      </c>
      <c r="Q58" s="13">
        <v>104</v>
      </c>
      <c r="R58" s="13">
        <v>63</v>
      </c>
      <c r="S58" s="13" t="s">
        <v>85</v>
      </c>
      <c r="T58" s="13" t="s">
        <v>86</v>
      </c>
      <c r="U58" s="13" t="s">
        <v>87</v>
      </c>
      <c r="V58" s="13" t="s">
        <v>83</v>
      </c>
      <c r="W58" s="13" t="str">
        <f t="shared" si="0"/>
        <v>30-34 ans</v>
      </c>
      <c r="X58" s="13" t="str">
        <f t="shared" si="1"/>
        <v>1-2 accouchements</v>
      </c>
      <c r="Y58" s="13" t="str">
        <f t="shared" si="2"/>
        <v>Moins de 4 CPN</v>
      </c>
      <c r="Z58" s="13" t="str">
        <f t="shared" si="3"/>
        <v>28-36 SA</v>
      </c>
      <c r="AA58" s="13">
        <f t="shared" si="4"/>
        <v>319.5</v>
      </c>
      <c r="AB58" s="13">
        <f t="shared" si="5"/>
        <v>1</v>
      </c>
    </row>
    <row r="59" spans="1:28" x14ac:dyDescent="0.25">
      <c r="A59" s="13" t="s">
        <v>164</v>
      </c>
      <c r="B59" s="13">
        <v>40</v>
      </c>
      <c r="C59" s="13" t="s">
        <v>98</v>
      </c>
      <c r="D59" s="13" t="s">
        <v>80</v>
      </c>
      <c r="E59" s="13" t="s">
        <v>81</v>
      </c>
      <c r="F59" s="13" t="s">
        <v>94</v>
      </c>
      <c r="G59" s="13">
        <v>6</v>
      </c>
      <c r="H59" s="13">
        <v>5</v>
      </c>
      <c r="I59" s="13" t="s">
        <v>83</v>
      </c>
      <c r="J59" s="13" t="s">
        <v>83</v>
      </c>
      <c r="K59" s="13" t="s">
        <v>83</v>
      </c>
      <c r="L59" s="13" t="s">
        <v>83</v>
      </c>
      <c r="M59" s="13">
        <v>26</v>
      </c>
      <c r="N59" s="13">
        <v>0</v>
      </c>
      <c r="O59" s="13" t="s">
        <v>84</v>
      </c>
      <c r="P59" s="13">
        <v>24.6</v>
      </c>
      <c r="Q59" s="13">
        <v>118</v>
      </c>
      <c r="R59" s="13">
        <v>73</v>
      </c>
      <c r="S59" s="13" t="s">
        <v>85</v>
      </c>
      <c r="T59" s="13" t="s">
        <v>86</v>
      </c>
      <c r="U59" s="13" t="s">
        <v>87</v>
      </c>
      <c r="V59" s="13" t="s">
        <v>83</v>
      </c>
      <c r="W59" s="13" t="str">
        <f t="shared" si="0"/>
        <v>35 ans et plus</v>
      </c>
      <c r="X59" s="13" t="str">
        <f t="shared" si="1"/>
        <v>3 accouchements et plus</v>
      </c>
      <c r="Y59" s="13" t="str">
        <f t="shared" si="2"/>
        <v>Moins de 4 CPN</v>
      </c>
      <c r="Z59" s="13" t="str">
        <f t="shared" si="3"/>
        <v>20-27 SA</v>
      </c>
      <c r="AA59" s="13">
        <f t="shared" si="4"/>
        <v>393.5</v>
      </c>
      <c r="AB59" s="13">
        <f t="shared" si="5"/>
        <v>1</v>
      </c>
    </row>
    <row r="60" spans="1:28" x14ac:dyDescent="0.25">
      <c r="A60" s="13" t="s">
        <v>165</v>
      </c>
      <c r="B60" s="13">
        <v>19</v>
      </c>
      <c r="C60" s="13" t="s">
        <v>98</v>
      </c>
      <c r="D60" s="13" t="s">
        <v>80</v>
      </c>
      <c r="E60" s="13" t="s">
        <v>90</v>
      </c>
      <c r="F60" s="13" t="s">
        <v>94</v>
      </c>
      <c r="G60" s="13">
        <v>2</v>
      </c>
      <c r="H60" s="13">
        <v>1</v>
      </c>
      <c r="I60" s="13" t="s">
        <v>83</v>
      </c>
      <c r="J60" s="13" t="s">
        <v>83</v>
      </c>
      <c r="K60" s="13" t="s">
        <v>83</v>
      </c>
      <c r="L60" s="13" t="s">
        <v>83</v>
      </c>
      <c r="M60" s="13">
        <v>21</v>
      </c>
      <c r="N60" s="13">
        <v>2</v>
      </c>
      <c r="O60" s="13" t="s">
        <v>84</v>
      </c>
      <c r="P60" s="13">
        <v>24.2</v>
      </c>
      <c r="Q60" s="13">
        <v>99</v>
      </c>
      <c r="R60" s="13">
        <v>63</v>
      </c>
      <c r="S60" s="13" t="s">
        <v>85</v>
      </c>
      <c r="T60" s="13" t="s">
        <v>86</v>
      </c>
      <c r="U60" s="13" t="s">
        <v>87</v>
      </c>
      <c r="V60" s="13" t="s">
        <v>83</v>
      </c>
      <c r="W60" s="13" t="str">
        <f t="shared" si="0"/>
        <v>Moins de 20 ans</v>
      </c>
      <c r="X60" s="13" t="str">
        <f t="shared" si="1"/>
        <v>1-2 accouchements</v>
      </c>
      <c r="Y60" s="13" t="str">
        <f t="shared" si="2"/>
        <v>Moins de 4 CPN</v>
      </c>
      <c r="Z60" s="13" t="str">
        <f t="shared" si="3"/>
        <v>20-27 SA</v>
      </c>
      <c r="AA60" s="13">
        <f t="shared" si="4"/>
        <v>14.5</v>
      </c>
      <c r="AB60" s="13">
        <f t="shared" si="5"/>
        <v>1</v>
      </c>
    </row>
    <row r="61" spans="1:28" x14ac:dyDescent="0.25">
      <c r="A61" s="13" t="s">
        <v>166</v>
      </c>
      <c r="B61" s="13">
        <v>26</v>
      </c>
      <c r="C61" s="13" t="s">
        <v>89</v>
      </c>
      <c r="D61" s="13" t="s">
        <v>109</v>
      </c>
      <c r="E61" s="13" t="s">
        <v>96</v>
      </c>
      <c r="F61" s="13" t="s">
        <v>82</v>
      </c>
      <c r="G61" s="13">
        <v>3</v>
      </c>
      <c r="H61" s="13">
        <v>2</v>
      </c>
      <c r="I61" s="13" t="s">
        <v>91</v>
      </c>
      <c r="J61" s="13" t="s">
        <v>83</v>
      </c>
      <c r="K61" s="13" t="s">
        <v>83</v>
      </c>
      <c r="L61" s="13" t="s">
        <v>83</v>
      </c>
      <c r="M61" s="13">
        <v>40</v>
      </c>
      <c r="N61" s="13">
        <v>6</v>
      </c>
      <c r="O61" s="13" t="s">
        <v>84</v>
      </c>
      <c r="P61" s="13">
        <v>23.8</v>
      </c>
      <c r="Q61" s="13">
        <v>108</v>
      </c>
      <c r="R61" s="13">
        <v>65</v>
      </c>
      <c r="S61" s="13" t="s">
        <v>85</v>
      </c>
      <c r="T61" s="13" t="s">
        <v>86</v>
      </c>
      <c r="U61" s="13" t="s">
        <v>87</v>
      </c>
      <c r="V61" s="13" t="s">
        <v>83</v>
      </c>
      <c r="W61" s="13" t="str">
        <f t="shared" si="0"/>
        <v>20-29 ans</v>
      </c>
      <c r="X61" s="13" t="str">
        <f t="shared" si="1"/>
        <v>1-2 accouchements</v>
      </c>
      <c r="Y61" s="13" t="str">
        <f t="shared" si="2"/>
        <v>4 à 7 CPN</v>
      </c>
      <c r="Z61" s="13" t="str">
        <f t="shared" si="3"/>
        <v>37 SA et plus</v>
      </c>
      <c r="AA61" s="13">
        <f t="shared" si="4"/>
        <v>206</v>
      </c>
      <c r="AB61" s="13">
        <f t="shared" si="5"/>
        <v>1</v>
      </c>
    </row>
    <row r="62" spans="1:28" x14ac:dyDescent="0.25">
      <c r="A62" s="13" t="s">
        <v>167</v>
      </c>
      <c r="B62" s="13">
        <v>27</v>
      </c>
      <c r="C62" s="13" t="s">
        <v>98</v>
      </c>
      <c r="D62" s="13" t="s">
        <v>93</v>
      </c>
      <c r="E62" s="13" t="s">
        <v>90</v>
      </c>
      <c r="F62" s="13" t="s">
        <v>94</v>
      </c>
      <c r="G62" s="13">
        <v>3</v>
      </c>
      <c r="H62" s="13">
        <v>1</v>
      </c>
      <c r="I62" s="13" t="s">
        <v>83</v>
      </c>
      <c r="J62" s="13" t="s">
        <v>83</v>
      </c>
      <c r="L62" s="13" t="s">
        <v>83</v>
      </c>
      <c r="M62" s="13">
        <v>35</v>
      </c>
      <c r="N62" s="13">
        <v>3</v>
      </c>
      <c r="O62" s="13" t="s">
        <v>84</v>
      </c>
      <c r="Q62" s="13">
        <v>110</v>
      </c>
      <c r="R62" s="13">
        <v>69</v>
      </c>
      <c r="S62" s="13" t="s">
        <v>85</v>
      </c>
      <c r="T62" s="13" t="s">
        <v>86</v>
      </c>
      <c r="U62" s="13" t="s">
        <v>87</v>
      </c>
      <c r="V62" s="13" t="s">
        <v>83</v>
      </c>
      <c r="W62" s="13" t="str">
        <f t="shared" si="0"/>
        <v>20-29 ans</v>
      </c>
      <c r="X62" s="13" t="str">
        <f t="shared" si="1"/>
        <v>1-2 accouchements</v>
      </c>
      <c r="Y62" s="13" t="str">
        <f t="shared" si="2"/>
        <v>Moins de 4 CPN</v>
      </c>
      <c r="Z62" s="13" t="str">
        <f t="shared" si="3"/>
        <v>28-36 SA</v>
      </c>
      <c r="AA62" s="13">
        <f t="shared" si="4"/>
        <v>243</v>
      </c>
      <c r="AB62" s="13">
        <f t="shared" si="5"/>
        <v>1</v>
      </c>
    </row>
    <row r="63" spans="1:28" x14ac:dyDescent="0.25">
      <c r="A63" s="13" t="s">
        <v>168</v>
      </c>
      <c r="B63" s="13">
        <v>26</v>
      </c>
      <c r="C63" s="13" t="s">
        <v>98</v>
      </c>
      <c r="D63" s="13" t="s">
        <v>109</v>
      </c>
      <c r="E63" s="13" t="s">
        <v>81</v>
      </c>
      <c r="F63" s="13" t="s">
        <v>82</v>
      </c>
      <c r="G63" s="13">
        <v>2</v>
      </c>
      <c r="H63" s="13">
        <v>1</v>
      </c>
      <c r="I63" s="13" t="s">
        <v>83</v>
      </c>
      <c r="J63" s="13" t="s">
        <v>83</v>
      </c>
      <c r="K63" s="13" t="s">
        <v>91</v>
      </c>
      <c r="L63" s="13" t="s">
        <v>83</v>
      </c>
      <c r="M63" s="13">
        <v>36</v>
      </c>
      <c r="N63" s="13">
        <v>0</v>
      </c>
      <c r="O63" s="13" t="s">
        <v>84</v>
      </c>
      <c r="P63" s="13">
        <v>28.6</v>
      </c>
      <c r="Q63" s="13">
        <v>110</v>
      </c>
      <c r="R63" s="13">
        <v>66</v>
      </c>
      <c r="S63" s="13" t="s">
        <v>85</v>
      </c>
      <c r="T63" s="13" t="s">
        <v>86</v>
      </c>
      <c r="U63" s="13" t="s">
        <v>87</v>
      </c>
      <c r="V63" s="13" t="s">
        <v>83</v>
      </c>
      <c r="W63" s="13" t="str">
        <f t="shared" si="0"/>
        <v>20-29 ans</v>
      </c>
      <c r="X63" s="13" t="str">
        <f t="shared" si="1"/>
        <v>1-2 accouchements</v>
      </c>
      <c r="Y63" s="13" t="str">
        <f t="shared" si="2"/>
        <v>Moins de 4 CPN</v>
      </c>
      <c r="Z63" s="13" t="str">
        <f t="shared" si="3"/>
        <v>28-36 SA</v>
      </c>
      <c r="AA63" s="13">
        <f t="shared" si="4"/>
        <v>206</v>
      </c>
      <c r="AB63" s="13">
        <f t="shared" si="5"/>
        <v>1</v>
      </c>
    </row>
    <row r="64" spans="1:28" x14ac:dyDescent="0.25">
      <c r="A64" s="13" t="s">
        <v>169</v>
      </c>
      <c r="B64" s="13">
        <v>30</v>
      </c>
      <c r="C64" s="13" t="s">
        <v>89</v>
      </c>
      <c r="D64" s="13" t="s">
        <v>80</v>
      </c>
      <c r="E64" s="13" t="s">
        <v>81</v>
      </c>
      <c r="F64" s="13" t="s">
        <v>94</v>
      </c>
      <c r="G64" s="13">
        <v>2</v>
      </c>
      <c r="H64" s="13">
        <v>1</v>
      </c>
      <c r="J64" s="13" t="s">
        <v>83</v>
      </c>
      <c r="K64" s="13" t="s">
        <v>83</v>
      </c>
      <c r="L64" s="13" t="s">
        <v>83</v>
      </c>
      <c r="M64" s="13">
        <v>39</v>
      </c>
      <c r="N64" s="13">
        <v>6</v>
      </c>
      <c r="O64" s="13" t="s">
        <v>84</v>
      </c>
      <c r="P64" s="13">
        <v>26.4</v>
      </c>
      <c r="Q64" s="13">
        <v>104</v>
      </c>
      <c r="R64" s="13">
        <v>72</v>
      </c>
      <c r="S64" s="13" t="s">
        <v>85</v>
      </c>
      <c r="T64" s="13" t="s">
        <v>86</v>
      </c>
      <c r="U64" s="13" t="s">
        <v>87</v>
      </c>
      <c r="V64" s="13" t="s">
        <v>83</v>
      </c>
      <c r="W64" s="13" t="str">
        <f t="shared" si="0"/>
        <v>30-34 ans</v>
      </c>
      <c r="X64" s="13" t="str">
        <f t="shared" si="1"/>
        <v>1-2 accouchements</v>
      </c>
      <c r="Y64" s="13" t="str">
        <f t="shared" si="2"/>
        <v>4 à 7 CPN</v>
      </c>
      <c r="Z64" s="13" t="str">
        <f t="shared" si="3"/>
        <v>37 SA et plus</v>
      </c>
      <c r="AA64" s="13">
        <f t="shared" si="4"/>
        <v>319.5</v>
      </c>
      <c r="AB64" s="13">
        <f t="shared" si="5"/>
        <v>0</v>
      </c>
    </row>
    <row r="65" spans="1:28" x14ac:dyDescent="0.25">
      <c r="A65" s="13" t="s">
        <v>170</v>
      </c>
      <c r="B65" s="13">
        <v>27</v>
      </c>
      <c r="C65" s="13" t="s">
        <v>89</v>
      </c>
      <c r="D65" s="13" t="s">
        <v>93</v>
      </c>
      <c r="E65" s="13" t="s">
        <v>90</v>
      </c>
      <c r="F65" s="13" t="s">
        <v>82</v>
      </c>
      <c r="G65" s="13">
        <v>3</v>
      </c>
      <c r="H65" s="13">
        <v>1</v>
      </c>
      <c r="I65" s="13" t="s">
        <v>83</v>
      </c>
      <c r="J65" s="13" t="s">
        <v>83</v>
      </c>
      <c r="K65" s="13" t="s">
        <v>83</v>
      </c>
      <c r="L65" s="13" t="s">
        <v>83</v>
      </c>
      <c r="M65" s="13">
        <v>33</v>
      </c>
      <c r="N65" s="13">
        <v>4</v>
      </c>
      <c r="O65" s="13" t="s">
        <v>84</v>
      </c>
      <c r="P65" s="13">
        <v>23.5</v>
      </c>
      <c r="Q65" s="13">
        <v>119</v>
      </c>
      <c r="R65" s="13">
        <v>68</v>
      </c>
      <c r="S65" s="13" t="s">
        <v>106</v>
      </c>
      <c r="T65" s="13" t="s">
        <v>86</v>
      </c>
      <c r="U65" s="13" t="s">
        <v>87</v>
      </c>
      <c r="V65" s="13" t="s">
        <v>83</v>
      </c>
      <c r="W65" s="13" t="str">
        <f t="shared" si="0"/>
        <v>20-29 ans</v>
      </c>
      <c r="X65" s="13" t="str">
        <f t="shared" si="1"/>
        <v>1-2 accouchements</v>
      </c>
      <c r="Y65" s="13" t="str">
        <f t="shared" si="2"/>
        <v>4 à 7 CPN</v>
      </c>
      <c r="Z65" s="13" t="str">
        <f t="shared" si="3"/>
        <v>28-36 SA</v>
      </c>
      <c r="AA65" s="13">
        <f t="shared" si="4"/>
        <v>243</v>
      </c>
      <c r="AB65" s="13">
        <f t="shared" si="5"/>
        <v>1</v>
      </c>
    </row>
    <row r="66" spans="1:28" x14ac:dyDescent="0.25">
      <c r="A66" s="13" t="s">
        <v>171</v>
      </c>
      <c r="B66" s="13">
        <v>35</v>
      </c>
      <c r="C66" s="13" t="s">
        <v>79</v>
      </c>
      <c r="D66" s="13" t="s">
        <v>80</v>
      </c>
      <c r="E66" s="13" t="s">
        <v>112</v>
      </c>
      <c r="F66" s="13" t="s">
        <v>82</v>
      </c>
      <c r="G66" s="13">
        <v>3</v>
      </c>
      <c r="H66" s="13">
        <v>2</v>
      </c>
      <c r="I66" s="13" t="s">
        <v>83</v>
      </c>
      <c r="J66" s="13" t="s">
        <v>83</v>
      </c>
      <c r="K66" s="13" t="s">
        <v>91</v>
      </c>
      <c r="L66" s="13" t="s">
        <v>83</v>
      </c>
      <c r="M66" s="13">
        <v>39</v>
      </c>
      <c r="N66" s="13">
        <v>4</v>
      </c>
      <c r="O66" s="13" t="s">
        <v>84</v>
      </c>
      <c r="P66" s="13">
        <v>18.899999999999999</v>
      </c>
      <c r="Q66" s="13">
        <v>121</v>
      </c>
      <c r="R66" s="13">
        <v>68</v>
      </c>
      <c r="S66" s="13" t="s">
        <v>85</v>
      </c>
      <c r="T66" s="13" t="s">
        <v>86</v>
      </c>
      <c r="U66" s="13" t="s">
        <v>87</v>
      </c>
      <c r="V66" s="13" t="s">
        <v>83</v>
      </c>
      <c r="W66" s="13" t="str">
        <f t="shared" ref="W66:W129" si="6">IF(B66="","",IF(B66&lt;=19,"Moins de 20 ans",IF(B66&lt;=29,"20-29 ans",IF(B66&lt;=34,"30-34 ans","35 ans et plus"))))</f>
        <v>35 ans et plus</v>
      </c>
      <c r="X66" s="13" t="str">
        <f t="shared" ref="X66:X129" si="7">IF(H66="","",IF(H66=0,"Nullipare (0)",IF(H66&lt;=2,"1-2 accouchements","3 accouchements et plus")))</f>
        <v>1-2 accouchements</v>
      </c>
      <c r="Y66" s="13" t="str">
        <f t="shared" ref="Y66:Y129" si="8">IF(N66="","",IF(N66&lt;=3,"Moins de 4 CPN",IF(N66&lt;=7,"4 à 7 CPN","8 CPN et plus")))</f>
        <v>4 à 7 CPN</v>
      </c>
      <c r="Z66" s="13" t="str">
        <f t="shared" ref="Z66:Z129" si="9">IF(M66="","",IF(M66&lt;=27,"20-27 SA",IF(M66&lt;=36,"28-36 SA","37 SA et plus")))</f>
        <v>37 SA et plus</v>
      </c>
      <c r="AA66" s="13">
        <f t="shared" ref="AA66:AA129" si="10">RANK(B66,$B$2:$B$401,1)+(COUNTIF($B$2:$B$401,B66)-1)/2</f>
        <v>378</v>
      </c>
      <c r="AB66" s="13">
        <f t="shared" ref="AB66:AB129" si="11">IF(AND(H66&gt;=1,OR(I66="Oui",I66="Non")),1,0)</f>
        <v>1</v>
      </c>
    </row>
    <row r="67" spans="1:28" x14ac:dyDescent="0.25">
      <c r="A67" s="13" t="s">
        <v>172</v>
      </c>
      <c r="B67" s="13">
        <v>26</v>
      </c>
      <c r="C67" s="13" t="s">
        <v>173</v>
      </c>
      <c r="D67" s="13" t="s">
        <v>80</v>
      </c>
      <c r="E67" s="13" t="s">
        <v>101</v>
      </c>
      <c r="F67" s="13" t="s">
        <v>94</v>
      </c>
      <c r="G67" s="13">
        <v>2</v>
      </c>
      <c r="H67" s="13">
        <v>1</v>
      </c>
      <c r="I67" s="13" t="s">
        <v>83</v>
      </c>
      <c r="J67" s="13" t="s">
        <v>83</v>
      </c>
      <c r="K67" s="13" t="s">
        <v>83</v>
      </c>
      <c r="L67" s="13" t="s">
        <v>83</v>
      </c>
      <c r="M67" s="13">
        <v>29</v>
      </c>
      <c r="N67" s="13">
        <v>5</v>
      </c>
      <c r="O67" s="13" t="s">
        <v>84</v>
      </c>
      <c r="P67" s="13">
        <v>23.1</v>
      </c>
      <c r="Q67" s="13">
        <v>102</v>
      </c>
      <c r="R67" s="13">
        <v>62</v>
      </c>
      <c r="S67" s="13" t="s">
        <v>85</v>
      </c>
      <c r="T67" s="13" t="s">
        <v>86</v>
      </c>
      <c r="U67" s="13" t="s">
        <v>87</v>
      </c>
      <c r="V67" s="13" t="s">
        <v>83</v>
      </c>
      <c r="W67" s="13" t="str">
        <f t="shared" si="6"/>
        <v>20-29 ans</v>
      </c>
      <c r="X67" s="13" t="str">
        <f t="shared" si="7"/>
        <v>1-2 accouchements</v>
      </c>
      <c r="Y67" s="13" t="str">
        <f t="shared" si="8"/>
        <v>4 à 7 CPN</v>
      </c>
      <c r="Z67" s="13" t="str">
        <f t="shared" si="9"/>
        <v>28-36 SA</v>
      </c>
      <c r="AA67" s="13">
        <f t="shared" si="10"/>
        <v>206</v>
      </c>
      <c r="AB67" s="13">
        <f t="shared" si="11"/>
        <v>1</v>
      </c>
    </row>
    <row r="68" spans="1:28" x14ac:dyDescent="0.25">
      <c r="A68" s="13" t="s">
        <v>174</v>
      </c>
      <c r="B68" s="13">
        <v>27</v>
      </c>
      <c r="C68" s="13" t="s">
        <v>79</v>
      </c>
      <c r="D68" s="13" t="s">
        <v>93</v>
      </c>
      <c r="E68" s="13" t="s">
        <v>81</v>
      </c>
      <c r="F68" s="13" t="s">
        <v>82</v>
      </c>
      <c r="G68" s="13">
        <v>1</v>
      </c>
      <c r="H68" s="13">
        <v>0</v>
      </c>
      <c r="I68" s="13" t="s">
        <v>86</v>
      </c>
      <c r="J68" s="13" t="s">
        <v>83</v>
      </c>
      <c r="K68" s="13" t="s">
        <v>91</v>
      </c>
      <c r="L68" s="13" t="s">
        <v>83</v>
      </c>
      <c r="M68" s="13">
        <v>30</v>
      </c>
      <c r="N68" s="13">
        <v>7</v>
      </c>
      <c r="O68" s="13" t="s">
        <v>84</v>
      </c>
      <c r="P68" s="13">
        <v>16</v>
      </c>
      <c r="Q68" s="13">
        <v>120</v>
      </c>
      <c r="R68" s="13">
        <v>63</v>
      </c>
      <c r="S68" s="13" t="s">
        <v>85</v>
      </c>
      <c r="T68" s="13" t="s">
        <v>86</v>
      </c>
      <c r="U68" s="13" t="s">
        <v>87</v>
      </c>
      <c r="V68" s="13" t="s">
        <v>83</v>
      </c>
      <c r="W68" s="13" t="str">
        <f t="shared" si="6"/>
        <v>20-29 ans</v>
      </c>
      <c r="X68" s="13" t="str">
        <f t="shared" si="7"/>
        <v>Nullipare (0)</v>
      </c>
      <c r="Y68" s="13" t="str">
        <f t="shared" si="8"/>
        <v>4 à 7 CPN</v>
      </c>
      <c r="Z68" s="13" t="str">
        <f t="shared" si="9"/>
        <v>28-36 SA</v>
      </c>
      <c r="AA68" s="13">
        <f t="shared" si="10"/>
        <v>243</v>
      </c>
      <c r="AB68" s="13">
        <f t="shared" si="11"/>
        <v>0</v>
      </c>
    </row>
    <row r="69" spans="1:28" x14ac:dyDescent="0.25">
      <c r="A69" s="13" t="s">
        <v>175</v>
      </c>
      <c r="B69" s="13">
        <v>28</v>
      </c>
      <c r="C69" s="13" t="s">
        <v>79</v>
      </c>
      <c r="D69" s="13" t="s">
        <v>80</v>
      </c>
      <c r="E69" s="13" t="s">
        <v>96</v>
      </c>
      <c r="F69" s="13" t="s">
        <v>94</v>
      </c>
      <c r="G69" s="13">
        <v>3</v>
      </c>
      <c r="H69" s="13">
        <v>2</v>
      </c>
      <c r="I69" s="13" t="s">
        <v>83</v>
      </c>
      <c r="J69" s="13" t="s">
        <v>83</v>
      </c>
      <c r="K69" s="13" t="s">
        <v>83</v>
      </c>
      <c r="L69" s="13" t="s">
        <v>83</v>
      </c>
      <c r="M69" s="13">
        <v>33</v>
      </c>
      <c r="N69" s="13">
        <v>5</v>
      </c>
      <c r="O69" s="13" t="s">
        <v>84</v>
      </c>
      <c r="P69" s="13">
        <v>21.3</v>
      </c>
      <c r="Q69" s="13">
        <v>106</v>
      </c>
      <c r="R69" s="13">
        <v>61</v>
      </c>
      <c r="S69" s="13" t="s">
        <v>85</v>
      </c>
      <c r="T69" s="13" t="s">
        <v>86</v>
      </c>
      <c r="U69" s="13" t="s">
        <v>87</v>
      </c>
      <c r="V69" s="13" t="s">
        <v>83</v>
      </c>
      <c r="W69" s="13" t="str">
        <f t="shared" si="6"/>
        <v>20-29 ans</v>
      </c>
      <c r="X69" s="13" t="str">
        <f t="shared" si="7"/>
        <v>1-2 accouchements</v>
      </c>
      <c r="Y69" s="13" t="str">
        <f t="shared" si="8"/>
        <v>4 à 7 CPN</v>
      </c>
      <c r="Z69" s="13" t="str">
        <f t="shared" si="9"/>
        <v>28-36 SA</v>
      </c>
      <c r="AA69" s="13">
        <f t="shared" si="10"/>
        <v>276</v>
      </c>
      <c r="AB69" s="13">
        <f t="shared" si="11"/>
        <v>1</v>
      </c>
    </row>
    <row r="70" spans="1:28" x14ac:dyDescent="0.25">
      <c r="A70" s="13" t="s">
        <v>176</v>
      </c>
      <c r="B70" s="13">
        <v>26</v>
      </c>
      <c r="C70" s="13" t="s">
        <v>79</v>
      </c>
      <c r="D70" s="13" t="s">
        <v>93</v>
      </c>
      <c r="E70" s="13" t="s">
        <v>101</v>
      </c>
      <c r="F70" s="13" t="s">
        <v>94</v>
      </c>
      <c r="G70" s="13">
        <v>3</v>
      </c>
      <c r="H70" s="13">
        <v>2</v>
      </c>
      <c r="I70" s="13" t="s">
        <v>83</v>
      </c>
      <c r="J70" s="13" t="s">
        <v>83</v>
      </c>
      <c r="K70" s="13" t="s">
        <v>83</v>
      </c>
      <c r="L70" s="13" t="s">
        <v>83</v>
      </c>
      <c r="M70" s="13">
        <v>38</v>
      </c>
      <c r="N70" s="13">
        <v>6</v>
      </c>
      <c r="O70" s="13" t="s">
        <v>84</v>
      </c>
      <c r="P70" s="13">
        <v>24</v>
      </c>
      <c r="Q70" s="13">
        <v>95</v>
      </c>
      <c r="R70" s="13">
        <v>53</v>
      </c>
      <c r="S70" s="13" t="s">
        <v>85</v>
      </c>
      <c r="T70" s="13" t="s">
        <v>86</v>
      </c>
      <c r="U70" s="13" t="s">
        <v>87</v>
      </c>
      <c r="V70" s="13" t="s">
        <v>83</v>
      </c>
      <c r="W70" s="13" t="str">
        <f t="shared" si="6"/>
        <v>20-29 ans</v>
      </c>
      <c r="X70" s="13" t="str">
        <f t="shared" si="7"/>
        <v>1-2 accouchements</v>
      </c>
      <c r="Y70" s="13" t="str">
        <f t="shared" si="8"/>
        <v>4 à 7 CPN</v>
      </c>
      <c r="Z70" s="13" t="str">
        <f t="shared" si="9"/>
        <v>37 SA et plus</v>
      </c>
      <c r="AA70" s="13">
        <f t="shared" si="10"/>
        <v>206</v>
      </c>
      <c r="AB70" s="13">
        <f t="shared" si="11"/>
        <v>1</v>
      </c>
    </row>
    <row r="71" spans="1:28" x14ac:dyDescent="0.25">
      <c r="A71" s="13" t="s">
        <v>177</v>
      </c>
      <c r="B71" s="13">
        <v>29</v>
      </c>
      <c r="C71" s="13" t="s">
        <v>79</v>
      </c>
      <c r="D71" s="13" t="s">
        <v>80</v>
      </c>
      <c r="E71" s="13" t="s">
        <v>96</v>
      </c>
      <c r="F71" s="13" t="s">
        <v>82</v>
      </c>
      <c r="G71" s="13">
        <v>4</v>
      </c>
      <c r="H71" s="13">
        <v>3</v>
      </c>
      <c r="I71" s="13" t="s">
        <v>83</v>
      </c>
      <c r="J71" s="13" t="s">
        <v>83</v>
      </c>
      <c r="K71" s="13" t="s">
        <v>83</v>
      </c>
      <c r="L71" s="13" t="s">
        <v>83</v>
      </c>
      <c r="M71" s="13">
        <v>31</v>
      </c>
      <c r="N71" s="13">
        <v>1</v>
      </c>
      <c r="O71" s="13" t="s">
        <v>84</v>
      </c>
      <c r="P71" s="13">
        <v>24.3</v>
      </c>
      <c r="Q71" s="13">
        <v>97</v>
      </c>
      <c r="R71" s="13">
        <v>58</v>
      </c>
      <c r="S71" s="13" t="s">
        <v>85</v>
      </c>
      <c r="T71" s="13" t="s">
        <v>86</v>
      </c>
      <c r="U71" s="13" t="s">
        <v>87</v>
      </c>
      <c r="V71" s="13" t="s">
        <v>83</v>
      </c>
      <c r="W71" s="13" t="str">
        <f t="shared" si="6"/>
        <v>20-29 ans</v>
      </c>
      <c r="X71" s="13" t="str">
        <f t="shared" si="7"/>
        <v>3 accouchements et plus</v>
      </c>
      <c r="Y71" s="13" t="str">
        <f t="shared" si="8"/>
        <v>Moins de 4 CPN</v>
      </c>
      <c r="Z71" s="13" t="str">
        <f t="shared" si="9"/>
        <v>28-36 SA</v>
      </c>
      <c r="AA71" s="13">
        <f t="shared" si="10"/>
        <v>299</v>
      </c>
      <c r="AB71" s="13">
        <f t="shared" si="11"/>
        <v>1</v>
      </c>
    </row>
    <row r="72" spans="1:28" x14ac:dyDescent="0.25">
      <c r="A72" s="13" t="s">
        <v>178</v>
      </c>
      <c r="B72" s="13">
        <v>26</v>
      </c>
      <c r="C72" s="13" t="s">
        <v>79</v>
      </c>
      <c r="D72" s="13" t="s">
        <v>93</v>
      </c>
      <c r="E72" s="13" t="s">
        <v>96</v>
      </c>
      <c r="F72" s="13" t="s">
        <v>82</v>
      </c>
      <c r="G72" s="13">
        <v>1</v>
      </c>
      <c r="H72" s="13">
        <v>0</v>
      </c>
      <c r="I72" s="13" t="s">
        <v>86</v>
      </c>
      <c r="J72" s="13" t="s">
        <v>83</v>
      </c>
      <c r="K72" s="13" t="s">
        <v>83</v>
      </c>
      <c r="L72" s="13" t="s">
        <v>83</v>
      </c>
      <c r="M72" s="13">
        <v>32</v>
      </c>
      <c r="N72" s="13">
        <v>0</v>
      </c>
      <c r="O72" s="13" t="s">
        <v>84</v>
      </c>
      <c r="P72" s="13">
        <v>24.9</v>
      </c>
      <c r="Q72" s="13">
        <v>107</v>
      </c>
      <c r="R72" s="13">
        <v>66</v>
      </c>
      <c r="S72" s="13" t="s">
        <v>106</v>
      </c>
      <c r="T72" s="13" t="s">
        <v>86</v>
      </c>
      <c r="U72" s="13" t="s">
        <v>87</v>
      </c>
      <c r="V72" s="13" t="s">
        <v>83</v>
      </c>
      <c r="W72" s="13" t="str">
        <f t="shared" si="6"/>
        <v>20-29 ans</v>
      </c>
      <c r="X72" s="13" t="str">
        <f t="shared" si="7"/>
        <v>Nullipare (0)</v>
      </c>
      <c r="Y72" s="13" t="str">
        <f t="shared" si="8"/>
        <v>Moins de 4 CPN</v>
      </c>
      <c r="Z72" s="13" t="str">
        <f t="shared" si="9"/>
        <v>28-36 SA</v>
      </c>
      <c r="AA72" s="13">
        <f t="shared" si="10"/>
        <v>206</v>
      </c>
      <c r="AB72" s="13">
        <f t="shared" si="11"/>
        <v>0</v>
      </c>
    </row>
    <row r="73" spans="1:28" x14ac:dyDescent="0.25">
      <c r="A73" s="13" t="s">
        <v>179</v>
      </c>
      <c r="B73" s="13">
        <v>25</v>
      </c>
      <c r="C73" s="13" t="s">
        <v>79</v>
      </c>
      <c r="D73" s="13" t="s">
        <v>80</v>
      </c>
      <c r="E73" s="13" t="s">
        <v>112</v>
      </c>
      <c r="F73" s="13" t="s">
        <v>82</v>
      </c>
      <c r="G73" s="13">
        <v>4</v>
      </c>
      <c r="H73" s="13">
        <v>2</v>
      </c>
      <c r="I73" s="13" t="s">
        <v>83</v>
      </c>
      <c r="J73" s="13" t="s">
        <v>83</v>
      </c>
      <c r="K73" s="13" t="s">
        <v>83</v>
      </c>
      <c r="L73" s="13" t="s">
        <v>83</v>
      </c>
      <c r="M73" s="13">
        <v>38</v>
      </c>
      <c r="N73" s="13">
        <v>4</v>
      </c>
      <c r="O73" s="13" t="s">
        <v>84</v>
      </c>
      <c r="P73" s="13">
        <v>20.5</v>
      </c>
      <c r="Q73" s="13">
        <v>114</v>
      </c>
      <c r="R73" s="13">
        <v>68</v>
      </c>
      <c r="S73" s="13" t="s">
        <v>85</v>
      </c>
      <c r="T73" s="13" t="s">
        <v>86</v>
      </c>
      <c r="U73" s="13" t="s">
        <v>87</v>
      </c>
      <c r="V73" s="13" t="s">
        <v>83</v>
      </c>
      <c r="W73" s="13" t="str">
        <f t="shared" si="6"/>
        <v>20-29 ans</v>
      </c>
      <c r="X73" s="13" t="str">
        <f t="shared" si="7"/>
        <v>1-2 accouchements</v>
      </c>
      <c r="Y73" s="13" t="str">
        <f t="shared" si="8"/>
        <v>4 à 7 CPN</v>
      </c>
      <c r="Z73" s="13" t="str">
        <f t="shared" si="9"/>
        <v>37 SA et plus</v>
      </c>
      <c r="AA73" s="13">
        <f t="shared" si="10"/>
        <v>173</v>
      </c>
      <c r="AB73" s="13">
        <f t="shared" si="11"/>
        <v>1</v>
      </c>
    </row>
    <row r="74" spans="1:28" x14ac:dyDescent="0.25">
      <c r="A74" s="13" t="s">
        <v>180</v>
      </c>
      <c r="B74" s="13">
        <v>32</v>
      </c>
      <c r="C74" s="13" t="s">
        <v>89</v>
      </c>
      <c r="D74" s="13" t="s">
        <v>80</v>
      </c>
      <c r="E74" s="13" t="s">
        <v>96</v>
      </c>
      <c r="F74" s="13" t="s">
        <v>82</v>
      </c>
      <c r="G74" s="13">
        <v>5</v>
      </c>
      <c r="H74" s="13">
        <v>4</v>
      </c>
      <c r="I74" s="13" t="s">
        <v>83</v>
      </c>
      <c r="J74" s="13" t="s">
        <v>83</v>
      </c>
      <c r="K74" s="13" t="s">
        <v>83</v>
      </c>
      <c r="L74" s="13" t="s">
        <v>83</v>
      </c>
      <c r="M74" s="13">
        <v>29</v>
      </c>
      <c r="N74" s="13">
        <v>2</v>
      </c>
      <c r="O74" s="13" t="s">
        <v>84</v>
      </c>
      <c r="P74" s="13">
        <v>26.8</v>
      </c>
      <c r="Q74" s="13">
        <v>129</v>
      </c>
      <c r="R74" s="13">
        <v>77</v>
      </c>
      <c r="S74" s="13" t="s">
        <v>85</v>
      </c>
      <c r="T74" s="13" t="s">
        <v>86</v>
      </c>
      <c r="U74" s="13" t="s">
        <v>87</v>
      </c>
      <c r="V74" s="13" t="s">
        <v>83</v>
      </c>
      <c r="W74" s="13" t="str">
        <f t="shared" si="6"/>
        <v>30-34 ans</v>
      </c>
      <c r="X74" s="13" t="str">
        <f t="shared" si="7"/>
        <v>3 accouchements et plus</v>
      </c>
      <c r="Y74" s="13" t="str">
        <f t="shared" si="8"/>
        <v>Moins de 4 CPN</v>
      </c>
      <c r="Z74" s="13" t="str">
        <f t="shared" si="9"/>
        <v>28-36 SA</v>
      </c>
      <c r="AA74" s="13">
        <f t="shared" si="10"/>
        <v>347.5</v>
      </c>
      <c r="AB74" s="13">
        <f t="shared" si="11"/>
        <v>1</v>
      </c>
    </row>
    <row r="75" spans="1:28" x14ac:dyDescent="0.25">
      <c r="A75" s="13" t="s">
        <v>181</v>
      </c>
      <c r="B75" s="13">
        <v>27</v>
      </c>
      <c r="C75" s="13" t="s">
        <v>89</v>
      </c>
      <c r="D75" s="13" t="s">
        <v>80</v>
      </c>
      <c r="E75" s="13" t="s">
        <v>96</v>
      </c>
      <c r="F75" s="13" t="s">
        <v>82</v>
      </c>
      <c r="G75" s="13">
        <v>2</v>
      </c>
      <c r="H75" s="13">
        <v>1</v>
      </c>
      <c r="I75" s="13" t="s">
        <v>83</v>
      </c>
      <c r="J75" s="13" t="s">
        <v>83</v>
      </c>
      <c r="K75" s="13" t="s">
        <v>83</v>
      </c>
      <c r="L75" s="13" t="s">
        <v>83</v>
      </c>
      <c r="M75" s="13">
        <v>34</v>
      </c>
      <c r="N75" s="13">
        <v>3</v>
      </c>
      <c r="O75" s="13" t="s">
        <v>84</v>
      </c>
      <c r="P75" s="13">
        <v>21.5</v>
      </c>
      <c r="Q75" s="13">
        <v>98</v>
      </c>
      <c r="R75" s="13">
        <v>67</v>
      </c>
      <c r="S75" s="13" t="s">
        <v>85</v>
      </c>
      <c r="T75" s="13" t="s">
        <v>86</v>
      </c>
      <c r="U75" s="13" t="s">
        <v>87</v>
      </c>
      <c r="V75" s="13" t="s">
        <v>83</v>
      </c>
      <c r="W75" s="13" t="str">
        <f t="shared" si="6"/>
        <v>20-29 ans</v>
      </c>
      <c r="X75" s="13" t="str">
        <f t="shared" si="7"/>
        <v>1-2 accouchements</v>
      </c>
      <c r="Y75" s="13" t="str">
        <f t="shared" si="8"/>
        <v>Moins de 4 CPN</v>
      </c>
      <c r="Z75" s="13" t="str">
        <f t="shared" si="9"/>
        <v>28-36 SA</v>
      </c>
      <c r="AA75" s="13">
        <f t="shared" si="10"/>
        <v>243</v>
      </c>
      <c r="AB75" s="13">
        <f t="shared" si="11"/>
        <v>1</v>
      </c>
    </row>
    <row r="76" spans="1:28" x14ac:dyDescent="0.25">
      <c r="A76" s="13" t="s">
        <v>182</v>
      </c>
      <c r="B76" s="13">
        <v>25</v>
      </c>
      <c r="C76" s="13" t="s">
        <v>98</v>
      </c>
      <c r="D76" s="13" t="s">
        <v>93</v>
      </c>
      <c r="E76" s="13" t="s">
        <v>96</v>
      </c>
      <c r="F76" s="13" t="s">
        <v>82</v>
      </c>
      <c r="G76" s="13">
        <v>3</v>
      </c>
      <c r="H76" s="13">
        <v>1</v>
      </c>
      <c r="I76" s="13" t="s">
        <v>83</v>
      </c>
      <c r="J76" s="13" t="s">
        <v>83</v>
      </c>
      <c r="K76" s="13" t="s">
        <v>91</v>
      </c>
      <c r="L76" s="13" t="s">
        <v>83</v>
      </c>
      <c r="M76" s="13">
        <v>35</v>
      </c>
      <c r="N76" s="13">
        <v>4</v>
      </c>
      <c r="O76" s="13" t="s">
        <v>84</v>
      </c>
      <c r="P76" s="13">
        <v>22.7</v>
      </c>
      <c r="Q76" s="13">
        <v>117</v>
      </c>
      <c r="R76" s="13">
        <v>74</v>
      </c>
      <c r="S76" s="13" t="s">
        <v>106</v>
      </c>
      <c r="T76" s="13" t="s">
        <v>86</v>
      </c>
      <c r="U76" s="13" t="s">
        <v>87</v>
      </c>
      <c r="V76" s="13" t="s">
        <v>83</v>
      </c>
      <c r="W76" s="13" t="str">
        <f t="shared" si="6"/>
        <v>20-29 ans</v>
      </c>
      <c r="X76" s="13" t="str">
        <f t="shared" si="7"/>
        <v>1-2 accouchements</v>
      </c>
      <c r="Y76" s="13" t="str">
        <f t="shared" si="8"/>
        <v>4 à 7 CPN</v>
      </c>
      <c r="Z76" s="13" t="str">
        <f t="shared" si="9"/>
        <v>28-36 SA</v>
      </c>
      <c r="AA76" s="13">
        <f t="shared" si="10"/>
        <v>173</v>
      </c>
      <c r="AB76" s="13">
        <f t="shared" si="11"/>
        <v>1</v>
      </c>
    </row>
    <row r="77" spans="1:28" x14ac:dyDescent="0.25">
      <c r="A77" s="13" t="s">
        <v>183</v>
      </c>
      <c r="B77" s="13">
        <v>21</v>
      </c>
      <c r="C77" s="13" t="s">
        <v>79</v>
      </c>
      <c r="D77" s="13" t="s">
        <v>80</v>
      </c>
      <c r="E77" s="13" t="s">
        <v>96</v>
      </c>
      <c r="F77" s="13" t="s">
        <v>82</v>
      </c>
      <c r="G77" s="13">
        <v>2</v>
      </c>
      <c r="H77" s="13">
        <v>0</v>
      </c>
      <c r="I77" s="13" t="s">
        <v>86</v>
      </c>
      <c r="J77" s="13" t="s">
        <v>83</v>
      </c>
      <c r="K77" s="13" t="s">
        <v>83</v>
      </c>
      <c r="L77" s="13" t="s">
        <v>83</v>
      </c>
      <c r="M77" s="13">
        <v>37</v>
      </c>
      <c r="N77" s="13">
        <v>4</v>
      </c>
      <c r="O77" s="13" t="s">
        <v>84</v>
      </c>
      <c r="P77" s="13">
        <v>24.7</v>
      </c>
      <c r="Q77" s="13">
        <v>142</v>
      </c>
      <c r="R77" s="13">
        <v>92</v>
      </c>
      <c r="S77" s="13" t="s">
        <v>118</v>
      </c>
      <c r="T77" s="13" t="s">
        <v>83</v>
      </c>
      <c r="U77" s="13" t="s">
        <v>114</v>
      </c>
      <c r="V77" s="13" t="s">
        <v>91</v>
      </c>
      <c r="W77" s="13" t="str">
        <f t="shared" si="6"/>
        <v>20-29 ans</v>
      </c>
      <c r="X77" s="13" t="str">
        <f t="shared" si="7"/>
        <v>Nullipare (0)</v>
      </c>
      <c r="Y77" s="13" t="str">
        <f t="shared" si="8"/>
        <v>4 à 7 CPN</v>
      </c>
      <c r="Z77" s="13" t="str">
        <f t="shared" si="9"/>
        <v>37 SA et plus</v>
      </c>
      <c r="AA77" s="13">
        <f t="shared" si="10"/>
        <v>48</v>
      </c>
      <c r="AB77" s="13">
        <f t="shared" si="11"/>
        <v>0</v>
      </c>
    </row>
    <row r="78" spans="1:28" x14ac:dyDescent="0.25">
      <c r="A78" s="13" t="s">
        <v>184</v>
      </c>
      <c r="B78" s="13">
        <v>24</v>
      </c>
      <c r="C78" s="13" t="s">
        <v>79</v>
      </c>
      <c r="D78" s="13" t="s">
        <v>109</v>
      </c>
      <c r="E78" s="13" t="s">
        <v>81</v>
      </c>
      <c r="F78" s="13" t="s">
        <v>82</v>
      </c>
      <c r="G78" s="13">
        <v>2</v>
      </c>
      <c r="H78" s="13">
        <v>0</v>
      </c>
      <c r="I78" s="13" t="s">
        <v>86</v>
      </c>
      <c r="J78" s="13" t="s">
        <v>83</v>
      </c>
      <c r="K78" s="13" t="s">
        <v>91</v>
      </c>
      <c r="L78" s="13" t="s">
        <v>83</v>
      </c>
      <c r="M78" s="13">
        <v>40</v>
      </c>
      <c r="N78" s="13">
        <v>1</v>
      </c>
      <c r="O78" s="13" t="s">
        <v>84</v>
      </c>
      <c r="Q78" s="13">
        <v>112</v>
      </c>
      <c r="R78" s="13">
        <v>67</v>
      </c>
      <c r="S78" s="13" t="s">
        <v>85</v>
      </c>
      <c r="T78" s="13" t="s">
        <v>86</v>
      </c>
      <c r="U78" s="13" t="s">
        <v>87</v>
      </c>
      <c r="V78" s="13" t="s">
        <v>83</v>
      </c>
      <c r="W78" s="13" t="str">
        <f t="shared" si="6"/>
        <v>20-29 ans</v>
      </c>
      <c r="X78" s="13" t="str">
        <f t="shared" si="7"/>
        <v>Nullipare (0)</v>
      </c>
      <c r="Y78" s="13" t="str">
        <f t="shared" si="8"/>
        <v>Moins de 4 CPN</v>
      </c>
      <c r="Z78" s="13" t="str">
        <f t="shared" si="9"/>
        <v>37 SA et plus</v>
      </c>
      <c r="AA78" s="13">
        <f t="shared" si="10"/>
        <v>139.5</v>
      </c>
      <c r="AB78" s="13">
        <f t="shared" si="11"/>
        <v>0</v>
      </c>
    </row>
    <row r="79" spans="1:28" x14ac:dyDescent="0.25">
      <c r="A79" s="13" t="s">
        <v>185</v>
      </c>
      <c r="B79" s="13">
        <v>24</v>
      </c>
      <c r="C79" s="13" t="s">
        <v>79</v>
      </c>
      <c r="D79" s="13" t="s">
        <v>93</v>
      </c>
      <c r="E79" s="13" t="s">
        <v>81</v>
      </c>
      <c r="F79" s="13" t="s">
        <v>82</v>
      </c>
      <c r="G79" s="13">
        <v>2</v>
      </c>
      <c r="H79" s="13">
        <v>0</v>
      </c>
      <c r="I79" s="13" t="s">
        <v>86</v>
      </c>
      <c r="J79" s="13" t="s">
        <v>83</v>
      </c>
      <c r="K79" s="13" t="s">
        <v>83</v>
      </c>
      <c r="L79" s="13" t="s">
        <v>83</v>
      </c>
      <c r="M79" s="13">
        <v>27</v>
      </c>
      <c r="N79" s="13">
        <v>3</v>
      </c>
      <c r="O79" s="13" t="s">
        <v>84</v>
      </c>
      <c r="P79" s="13">
        <v>22</v>
      </c>
      <c r="Q79" s="13">
        <v>108</v>
      </c>
      <c r="R79" s="13">
        <v>63</v>
      </c>
      <c r="S79" s="13" t="s">
        <v>85</v>
      </c>
      <c r="T79" s="13" t="s">
        <v>86</v>
      </c>
      <c r="U79" s="13" t="s">
        <v>87</v>
      </c>
      <c r="V79" s="13" t="s">
        <v>83</v>
      </c>
      <c r="W79" s="13" t="str">
        <f t="shared" si="6"/>
        <v>20-29 ans</v>
      </c>
      <c r="X79" s="13" t="str">
        <f t="shared" si="7"/>
        <v>Nullipare (0)</v>
      </c>
      <c r="Y79" s="13" t="str">
        <f t="shared" si="8"/>
        <v>Moins de 4 CPN</v>
      </c>
      <c r="Z79" s="13" t="str">
        <f t="shared" si="9"/>
        <v>20-27 SA</v>
      </c>
      <c r="AA79" s="13">
        <f t="shared" si="10"/>
        <v>139.5</v>
      </c>
      <c r="AB79" s="13">
        <f t="shared" si="11"/>
        <v>0</v>
      </c>
    </row>
    <row r="80" spans="1:28" x14ac:dyDescent="0.25">
      <c r="A80" s="13" t="s">
        <v>186</v>
      </c>
      <c r="B80" s="13">
        <v>38</v>
      </c>
      <c r="C80" s="13" t="s">
        <v>79</v>
      </c>
      <c r="D80" s="13" t="s">
        <v>93</v>
      </c>
      <c r="E80" s="13" t="s">
        <v>81</v>
      </c>
      <c r="F80" s="13" t="s">
        <v>94</v>
      </c>
      <c r="G80" s="13">
        <v>7</v>
      </c>
      <c r="H80" s="13">
        <v>6</v>
      </c>
      <c r="I80" s="13" t="s">
        <v>83</v>
      </c>
      <c r="J80" s="13" t="s">
        <v>91</v>
      </c>
      <c r="K80" s="13" t="s">
        <v>83</v>
      </c>
      <c r="L80" s="13" t="s">
        <v>83</v>
      </c>
      <c r="M80" s="13">
        <v>37</v>
      </c>
      <c r="N80" s="13">
        <v>3</v>
      </c>
      <c r="O80" s="13" t="s">
        <v>84</v>
      </c>
      <c r="P80" s="13">
        <v>22.2</v>
      </c>
      <c r="Q80" s="13">
        <v>150</v>
      </c>
      <c r="R80" s="13">
        <v>81</v>
      </c>
      <c r="S80" s="13" t="s">
        <v>85</v>
      </c>
      <c r="T80" s="13" t="s">
        <v>86</v>
      </c>
      <c r="U80" s="13" t="s">
        <v>132</v>
      </c>
      <c r="V80" s="13" t="s">
        <v>83</v>
      </c>
      <c r="W80" s="13" t="str">
        <f t="shared" si="6"/>
        <v>35 ans et plus</v>
      </c>
      <c r="X80" s="13" t="str">
        <f t="shared" si="7"/>
        <v>3 accouchements et plus</v>
      </c>
      <c r="Y80" s="13" t="str">
        <f t="shared" si="8"/>
        <v>Moins de 4 CPN</v>
      </c>
      <c r="Z80" s="13" t="str">
        <f t="shared" si="9"/>
        <v>37 SA et plus</v>
      </c>
      <c r="AA80" s="13">
        <f t="shared" si="10"/>
        <v>389</v>
      </c>
      <c r="AB80" s="13">
        <f t="shared" si="11"/>
        <v>1</v>
      </c>
    </row>
    <row r="81" spans="1:28" x14ac:dyDescent="0.25">
      <c r="A81" s="13" t="s">
        <v>187</v>
      </c>
      <c r="B81" s="13">
        <v>28</v>
      </c>
      <c r="C81" s="13" t="s">
        <v>89</v>
      </c>
      <c r="D81" s="13" t="s">
        <v>80</v>
      </c>
      <c r="E81" s="13" t="s">
        <v>96</v>
      </c>
      <c r="F81" s="13" t="s">
        <v>82</v>
      </c>
      <c r="G81" s="13">
        <v>1</v>
      </c>
      <c r="H81" s="13">
        <v>0</v>
      </c>
      <c r="I81" s="13" t="s">
        <v>86</v>
      </c>
      <c r="J81" s="13" t="s">
        <v>83</v>
      </c>
      <c r="K81" s="13" t="s">
        <v>91</v>
      </c>
      <c r="L81" s="13" t="s">
        <v>91</v>
      </c>
      <c r="M81" s="13">
        <v>35</v>
      </c>
      <c r="N81" s="13">
        <v>8</v>
      </c>
      <c r="O81" s="13" t="s">
        <v>84</v>
      </c>
      <c r="P81" s="13">
        <v>24.4</v>
      </c>
      <c r="Q81" s="13">
        <v>92</v>
      </c>
      <c r="R81" s="13">
        <v>59</v>
      </c>
      <c r="S81" s="13" t="s">
        <v>85</v>
      </c>
      <c r="T81" s="13" t="s">
        <v>86</v>
      </c>
      <c r="U81" s="13" t="s">
        <v>87</v>
      </c>
      <c r="V81" s="13" t="s">
        <v>83</v>
      </c>
      <c r="W81" s="13" t="str">
        <f t="shared" si="6"/>
        <v>20-29 ans</v>
      </c>
      <c r="X81" s="13" t="str">
        <f t="shared" si="7"/>
        <v>Nullipare (0)</v>
      </c>
      <c r="Y81" s="13" t="str">
        <f t="shared" si="8"/>
        <v>8 CPN et plus</v>
      </c>
      <c r="Z81" s="13" t="str">
        <f t="shared" si="9"/>
        <v>28-36 SA</v>
      </c>
      <c r="AA81" s="13">
        <f t="shared" si="10"/>
        <v>276</v>
      </c>
      <c r="AB81" s="13">
        <f t="shared" si="11"/>
        <v>0</v>
      </c>
    </row>
    <row r="82" spans="1:28" x14ac:dyDescent="0.25">
      <c r="A82" s="13" t="s">
        <v>188</v>
      </c>
      <c r="B82" s="13">
        <v>25</v>
      </c>
      <c r="C82" s="13" t="s">
        <v>79</v>
      </c>
      <c r="D82" s="13" t="s">
        <v>80</v>
      </c>
      <c r="E82" s="13" t="s">
        <v>101</v>
      </c>
      <c r="F82" s="13" t="s">
        <v>94</v>
      </c>
      <c r="G82" s="13">
        <v>1</v>
      </c>
      <c r="H82" s="13">
        <v>0</v>
      </c>
      <c r="I82" s="13" t="s">
        <v>86</v>
      </c>
      <c r="J82" s="13" t="s">
        <v>83</v>
      </c>
      <c r="K82" s="13" t="s">
        <v>91</v>
      </c>
      <c r="L82" s="13" t="s">
        <v>83</v>
      </c>
      <c r="M82" s="13">
        <v>35</v>
      </c>
      <c r="N82" s="13">
        <v>3</v>
      </c>
      <c r="O82" s="13" t="s">
        <v>84</v>
      </c>
      <c r="P82" s="13">
        <v>21.9</v>
      </c>
      <c r="Q82" s="13">
        <v>102</v>
      </c>
      <c r="R82" s="13">
        <v>65</v>
      </c>
      <c r="S82" s="13" t="s">
        <v>85</v>
      </c>
      <c r="T82" s="13" t="s">
        <v>86</v>
      </c>
      <c r="U82" s="13" t="s">
        <v>87</v>
      </c>
      <c r="V82" s="13" t="s">
        <v>83</v>
      </c>
      <c r="W82" s="13" t="str">
        <f t="shared" si="6"/>
        <v>20-29 ans</v>
      </c>
      <c r="X82" s="13" t="str">
        <f t="shared" si="7"/>
        <v>Nullipare (0)</v>
      </c>
      <c r="Y82" s="13" t="str">
        <f t="shared" si="8"/>
        <v>Moins de 4 CPN</v>
      </c>
      <c r="Z82" s="13" t="str">
        <f t="shared" si="9"/>
        <v>28-36 SA</v>
      </c>
      <c r="AA82" s="13">
        <f t="shared" si="10"/>
        <v>173</v>
      </c>
      <c r="AB82" s="13">
        <f t="shared" si="11"/>
        <v>0</v>
      </c>
    </row>
    <row r="83" spans="1:28" x14ac:dyDescent="0.25">
      <c r="A83" s="13" t="s">
        <v>189</v>
      </c>
      <c r="B83" s="13">
        <v>38</v>
      </c>
      <c r="C83" s="13" t="s">
        <v>89</v>
      </c>
      <c r="D83" s="13" t="s">
        <v>80</v>
      </c>
      <c r="E83" s="13" t="s">
        <v>96</v>
      </c>
      <c r="F83" s="13" t="s">
        <v>82</v>
      </c>
      <c r="G83" s="13">
        <v>6</v>
      </c>
      <c r="H83" s="13">
        <v>5</v>
      </c>
      <c r="I83" s="13" t="s">
        <v>83</v>
      </c>
      <c r="J83" s="13" t="s">
        <v>91</v>
      </c>
      <c r="K83" s="13" t="s">
        <v>83</v>
      </c>
      <c r="L83" s="13" t="s">
        <v>83</v>
      </c>
      <c r="M83" s="13">
        <v>33</v>
      </c>
      <c r="N83" s="13">
        <v>4</v>
      </c>
      <c r="O83" s="13" t="s">
        <v>84</v>
      </c>
      <c r="P83" s="13">
        <v>21.6</v>
      </c>
      <c r="Q83" s="13">
        <v>128</v>
      </c>
      <c r="R83" s="13">
        <v>91</v>
      </c>
      <c r="S83" s="13" t="s">
        <v>85</v>
      </c>
      <c r="T83" s="13" t="s">
        <v>86</v>
      </c>
      <c r="U83" s="13" t="s">
        <v>132</v>
      </c>
      <c r="V83" s="13" t="s">
        <v>83</v>
      </c>
      <c r="W83" s="13" t="str">
        <f t="shared" si="6"/>
        <v>35 ans et plus</v>
      </c>
      <c r="X83" s="13" t="str">
        <f t="shared" si="7"/>
        <v>3 accouchements et plus</v>
      </c>
      <c r="Y83" s="13" t="str">
        <f t="shared" si="8"/>
        <v>4 à 7 CPN</v>
      </c>
      <c r="Z83" s="13" t="str">
        <f t="shared" si="9"/>
        <v>28-36 SA</v>
      </c>
      <c r="AA83" s="13">
        <f t="shared" si="10"/>
        <v>389</v>
      </c>
      <c r="AB83" s="13">
        <f t="shared" si="11"/>
        <v>1</v>
      </c>
    </row>
    <row r="84" spans="1:28" x14ac:dyDescent="0.25">
      <c r="A84" s="13" t="s">
        <v>190</v>
      </c>
      <c r="B84" s="13">
        <v>31</v>
      </c>
      <c r="C84" s="13" t="s">
        <v>79</v>
      </c>
      <c r="D84" s="13" t="s">
        <v>93</v>
      </c>
      <c r="E84" s="13" t="s">
        <v>112</v>
      </c>
      <c r="F84" s="13" t="s">
        <v>82</v>
      </c>
      <c r="G84" s="13">
        <v>1</v>
      </c>
      <c r="H84" s="13">
        <v>0</v>
      </c>
      <c r="I84" s="13" t="s">
        <v>86</v>
      </c>
      <c r="J84" s="13" t="s">
        <v>83</v>
      </c>
      <c r="K84" s="13" t="s">
        <v>91</v>
      </c>
      <c r="L84" s="13" t="s">
        <v>83</v>
      </c>
      <c r="M84" s="13">
        <v>36</v>
      </c>
      <c r="N84" s="13">
        <v>4</v>
      </c>
      <c r="O84" s="13" t="s">
        <v>84</v>
      </c>
      <c r="P84" s="13">
        <v>21.1</v>
      </c>
      <c r="Q84" s="13">
        <v>98</v>
      </c>
      <c r="R84" s="13">
        <v>71</v>
      </c>
      <c r="S84" s="13" t="s">
        <v>85</v>
      </c>
      <c r="T84" s="13" t="s">
        <v>86</v>
      </c>
      <c r="U84" s="13" t="s">
        <v>87</v>
      </c>
      <c r="V84" s="13" t="s">
        <v>83</v>
      </c>
      <c r="W84" s="13" t="str">
        <f t="shared" si="6"/>
        <v>30-34 ans</v>
      </c>
      <c r="X84" s="13" t="str">
        <f t="shared" si="7"/>
        <v>Nullipare (0)</v>
      </c>
      <c r="Y84" s="13" t="str">
        <f t="shared" si="8"/>
        <v>4 à 7 CPN</v>
      </c>
      <c r="Z84" s="13" t="str">
        <f t="shared" si="9"/>
        <v>28-36 SA</v>
      </c>
      <c r="AA84" s="13">
        <f t="shared" si="10"/>
        <v>334.5</v>
      </c>
      <c r="AB84" s="13">
        <f t="shared" si="11"/>
        <v>0</v>
      </c>
    </row>
    <row r="85" spans="1:28" x14ac:dyDescent="0.25">
      <c r="A85" s="13" t="s">
        <v>191</v>
      </c>
      <c r="B85" s="13">
        <v>25</v>
      </c>
      <c r="C85" s="13" t="s">
        <v>79</v>
      </c>
      <c r="D85" s="13" t="s">
        <v>93</v>
      </c>
      <c r="E85" s="13" t="s">
        <v>112</v>
      </c>
      <c r="F85" s="13" t="s">
        <v>82</v>
      </c>
      <c r="G85" s="13">
        <v>1</v>
      </c>
      <c r="H85" s="13">
        <v>0</v>
      </c>
      <c r="I85" s="13" t="s">
        <v>86</v>
      </c>
      <c r="J85" s="13" t="s">
        <v>83</v>
      </c>
      <c r="K85" s="13" t="s">
        <v>91</v>
      </c>
      <c r="L85" s="13" t="s">
        <v>83</v>
      </c>
      <c r="M85" s="13">
        <v>37</v>
      </c>
      <c r="N85" s="13">
        <v>5</v>
      </c>
      <c r="O85" s="13" t="s">
        <v>84</v>
      </c>
      <c r="P85" s="13">
        <v>20.9</v>
      </c>
      <c r="Q85" s="13">
        <v>160</v>
      </c>
      <c r="R85" s="13">
        <v>100</v>
      </c>
      <c r="S85" s="13" t="s">
        <v>192</v>
      </c>
      <c r="T85" s="13" t="s">
        <v>91</v>
      </c>
      <c r="U85" s="13" t="s">
        <v>114</v>
      </c>
      <c r="V85" s="13" t="s">
        <v>91</v>
      </c>
      <c r="W85" s="13" t="str">
        <f t="shared" si="6"/>
        <v>20-29 ans</v>
      </c>
      <c r="X85" s="13" t="str">
        <f t="shared" si="7"/>
        <v>Nullipare (0)</v>
      </c>
      <c r="Y85" s="13" t="str">
        <f t="shared" si="8"/>
        <v>4 à 7 CPN</v>
      </c>
      <c r="Z85" s="13" t="str">
        <f t="shared" si="9"/>
        <v>37 SA et plus</v>
      </c>
      <c r="AA85" s="13">
        <f t="shared" si="10"/>
        <v>173</v>
      </c>
      <c r="AB85" s="13">
        <f t="shared" si="11"/>
        <v>0</v>
      </c>
    </row>
    <row r="86" spans="1:28" x14ac:dyDescent="0.25">
      <c r="A86" s="13" t="s">
        <v>193</v>
      </c>
      <c r="B86" s="13">
        <v>31</v>
      </c>
      <c r="C86" s="13" t="s">
        <v>79</v>
      </c>
      <c r="D86" s="13" t="s">
        <v>109</v>
      </c>
      <c r="E86" s="13" t="s">
        <v>81</v>
      </c>
      <c r="F86" s="13" t="s">
        <v>82</v>
      </c>
      <c r="G86" s="13">
        <v>8</v>
      </c>
      <c r="H86" s="13">
        <v>7</v>
      </c>
      <c r="I86" s="13" t="s">
        <v>83</v>
      </c>
      <c r="J86" s="13" t="s">
        <v>83</v>
      </c>
      <c r="K86" s="13" t="s">
        <v>83</v>
      </c>
      <c r="L86" s="13" t="s">
        <v>91</v>
      </c>
      <c r="M86" s="13">
        <v>36</v>
      </c>
      <c r="N86" s="13">
        <v>8</v>
      </c>
      <c r="O86" s="13" t="s">
        <v>84</v>
      </c>
      <c r="P86" s="13">
        <v>21.7</v>
      </c>
      <c r="Q86" s="13">
        <v>111</v>
      </c>
      <c r="R86" s="13">
        <v>65</v>
      </c>
      <c r="S86" s="13" t="s">
        <v>85</v>
      </c>
      <c r="T86" s="13" t="s">
        <v>86</v>
      </c>
      <c r="U86" s="13" t="s">
        <v>87</v>
      </c>
      <c r="V86" s="13" t="s">
        <v>83</v>
      </c>
      <c r="W86" s="13" t="str">
        <f t="shared" si="6"/>
        <v>30-34 ans</v>
      </c>
      <c r="X86" s="13" t="str">
        <f t="shared" si="7"/>
        <v>3 accouchements et plus</v>
      </c>
      <c r="Y86" s="13" t="str">
        <f t="shared" si="8"/>
        <v>8 CPN et plus</v>
      </c>
      <c r="Z86" s="13" t="str">
        <f t="shared" si="9"/>
        <v>28-36 SA</v>
      </c>
      <c r="AA86" s="13">
        <f t="shared" si="10"/>
        <v>334.5</v>
      </c>
      <c r="AB86" s="13">
        <f t="shared" si="11"/>
        <v>1</v>
      </c>
    </row>
    <row r="87" spans="1:28" x14ac:dyDescent="0.25">
      <c r="A87" s="13" t="s">
        <v>194</v>
      </c>
      <c r="B87" s="13">
        <v>25</v>
      </c>
      <c r="C87" s="13" t="s">
        <v>79</v>
      </c>
      <c r="D87" s="13" t="s">
        <v>80</v>
      </c>
      <c r="E87" s="13" t="s">
        <v>81</v>
      </c>
      <c r="F87" s="13" t="s">
        <v>82</v>
      </c>
      <c r="G87" s="13">
        <v>2</v>
      </c>
      <c r="H87" s="13">
        <v>1</v>
      </c>
      <c r="I87" s="13" t="s">
        <v>83</v>
      </c>
      <c r="J87" s="13" t="s">
        <v>83</v>
      </c>
      <c r="K87" s="13" t="s">
        <v>83</v>
      </c>
      <c r="L87" s="13" t="s">
        <v>83</v>
      </c>
      <c r="M87" s="13">
        <v>39</v>
      </c>
      <c r="N87" s="13">
        <v>4</v>
      </c>
      <c r="O87" s="13" t="s">
        <v>84</v>
      </c>
      <c r="P87" s="13">
        <v>25.4</v>
      </c>
      <c r="Q87" s="13">
        <v>119</v>
      </c>
      <c r="R87" s="13">
        <v>66</v>
      </c>
      <c r="S87" s="13" t="s">
        <v>85</v>
      </c>
      <c r="T87" s="13" t="s">
        <v>86</v>
      </c>
      <c r="U87" s="13" t="s">
        <v>87</v>
      </c>
      <c r="V87" s="13" t="s">
        <v>83</v>
      </c>
      <c r="W87" s="13" t="str">
        <f t="shared" si="6"/>
        <v>20-29 ans</v>
      </c>
      <c r="X87" s="13" t="str">
        <f t="shared" si="7"/>
        <v>1-2 accouchements</v>
      </c>
      <c r="Y87" s="13" t="str">
        <f t="shared" si="8"/>
        <v>4 à 7 CPN</v>
      </c>
      <c r="Z87" s="13" t="str">
        <f t="shared" si="9"/>
        <v>37 SA et plus</v>
      </c>
      <c r="AA87" s="13">
        <f t="shared" si="10"/>
        <v>173</v>
      </c>
      <c r="AB87" s="13">
        <f t="shared" si="11"/>
        <v>1</v>
      </c>
    </row>
    <row r="88" spans="1:28" x14ac:dyDescent="0.25">
      <c r="A88" s="13" t="s">
        <v>195</v>
      </c>
      <c r="B88" s="13">
        <v>32</v>
      </c>
      <c r="C88" s="13" t="s">
        <v>89</v>
      </c>
      <c r="D88" s="13" t="s">
        <v>80</v>
      </c>
      <c r="E88" s="13" t="s">
        <v>96</v>
      </c>
      <c r="F88" s="13" t="s">
        <v>82</v>
      </c>
      <c r="G88" s="13">
        <v>6</v>
      </c>
      <c r="H88" s="13">
        <v>5</v>
      </c>
      <c r="I88" s="13" t="s">
        <v>91</v>
      </c>
      <c r="J88" s="13" t="s">
        <v>83</v>
      </c>
      <c r="K88" s="13" t="s">
        <v>91</v>
      </c>
      <c r="L88" s="13" t="s">
        <v>83</v>
      </c>
      <c r="M88" s="13">
        <v>34</v>
      </c>
      <c r="N88" s="13">
        <v>4</v>
      </c>
      <c r="O88" s="13" t="s">
        <v>84</v>
      </c>
      <c r="P88" s="13">
        <v>35.799999999999997</v>
      </c>
      <c r="Q88" s="13">
        <v>158</v>
      </c>
      <c r="R88" s="13">
        <v>94</v>
      </c>
      <c r="S88" s="13" t="s">
        <v>192</v>
      </c>
      <c r="T88" s="13" t="s">
        <v>83</v>
      </c>
      <c r="U88" s="13" t="s">
        <v>114</v>
      </c>
      <c r="V88" s="13" t="s">
        <v>91</v>
      </c>
      <c r="W88" s="13" t="str">
        <f t="shared" si="6"/>
        <v>30-34 ans</v>
      </c>
      <c r="X88" s="13" t="str">
        <f t="shared" si="7"/>
        <v>3 accouchements et plus</v>
      </c>
      <c r="Y88" s="13" t="str">
        <f t="shared" si="8"/>
        <v>4 à 7 CPN</v>
      </c>
      <c r="Z88" s="13" t="str">
        <f t="shared" si="9"/>
        <v>28-36 SA</v>
      </c>
      <c r="AA88" s="13">
        <f t="shared" si="10"/>
        <v>347.5</v>
      </c>
      <c r="AB88" s="13">
        <f t="shared" si="11"/>
        <v>1</v>
      </c>
    </row>
    <row r="89" spans="1:28" x14ac:dyDescent="0.25">
      <c r="A89" s="13" t="s">
        <v>196</v>
      </c>
      <c r="B89" s="13">
        <v>34</v>
      </c>
      <c r="C89" s="13" t="s">
        <v>79</v>
      </c>
      <c r="D89" s="13" t="s">
        <v>109</v>
      </c>
      <c r="E89" s="13" t="s">
        <v>112</v>
      </c>
      <c r="F89" s="13" t="s">
        <v>82</v>
      </c>
      <c r="G89" s="13">
        <v>4</v>
      </c>
      <c r="H89" s="13">
        <v>2</v>
      </c>
      <c r="I89" s="13" t="s">
        <v>83</v>
      </c>
      <c r="J89" s="13" t="s">
        <v>91</v>
      </c>
      <c r="K89" s="13" t="s">
        <v>83</v>
      </c>
      <c r="L89" s="13" t="s">
        <v>83</v>
      </c>
      <c r="M89" s="13">
        <v>41</v>
      </c>
      <c r="N89" s="13">
        <v>7</v>
      </c>
      <c r="O89" s="13" t="s">
        <v>146</v>
      </c>
      <c r="P89" s="13">
        <v>31.2</v>
      </c>
      <c r="Q89" s="13">
        <v>155</v>
      </c>
      <c r="R89" s="13">
        <v>96</v>
      </c>
      <c r="S89" s="13" t="s">
        <v>113</v>
      </c>
      <c r="T89" s="13" t="s">
        <v>91</v>
      </c>
      <c r="U89" s="13" t="s">
        <v>107</v>
      </c>
      <c r="V89" s="13" t="s">
        <v>91</v>
      </c>
      <c r="W89" s="13" t="str">
        <f t="shared" si="6"/>
        <v>30-34 ans</v>
      </c>
      <c r="X89" s="13" t="str">
        <f t="shared" si="7"/>
        <v>1-2 accouchements</v>
      </c>
      <c r="Y89" s="13" t="str">
        <f t="shared" si="8"/>
        <v>4 à 7 CPN</v>
      </c>
      <c r="Z89" s="13" t="str">
        <f t="shared" si="9"/>
        <v>37 SA et plus</v>
      </c>
      <c r="AA89" s="13">
        <f t="shared" si="10"/>
        <v>372</v>
      </c>
      <c r="AB89" s="13">
        <f t="shared" si="11"/>
        <v>1</v>
      </c>
    </row>
    <row r="90" spans="1:28" x14ac:dyDescent="0.25">
      <c r="A90" s="13" t="s">
        <v>197</v>
      </c>
      <c r="B90" s="13">
        <v>24</v>
      </c>
      <c r="C90" s="13" t="s">
        <v>79</v>
      </c>
      <c r="D90" s="13" t="s">
        <v>93</v>
      </c>
      <c r="E90" s="13" t="s">
        <v>81</v>
      </c>
      <c r="F90" s="13" t="s">
        <v>94</v>
      </c>
      <c r="G90" s="13">
        <v>3</v>
      </c>
      <c r="H90" s="13">
        <v>2</v>
      </c>
      <c r="I90" s="13" t="s">
        <v>83</v>
      </c>
      <c r="J90" s="13" t="s">
        <v>83</v>
      </c>
      <c r="K90" s="13" t="s">
        <v>83</v>
      </c>
      <c r="L90" s="13" t="s">
        <v>83</v>
      </c>
      <c r="M90" s="13">
        <v>35</v>
      </c>
      <c r="N90" s="13">
        <v>1</v>
      </c>
      <c r="O90" s="13" t="s">
        <v>84</v>
      </c>
      <c r="P90" s="13">
        <v>26</v>
      </c>
      <c r="Q90" s="13">
        <v>160</v>
      </c>
      <c r="R90" s="13">
        <v>98</v>
      </c>
      <c r="S90" s="13" t="s">
        <v>113</v>
      </c>
      <c r="T90" s="13" t="s">
        <v>91</v>
      </c>
      <c r="U90" s="13" t="s">
        <v>114</v>
      </c>
      <c r="V90" s="13" t="s">
        <v>91</v>
      </c>
      <c r="W90" s="13" t="str">
        <f t="shared" si="6"/>
        <v>20-29 ans</v>
      </c>
      <c r="X90" s="13" t="str">
        <f t="shared" si="7"/>
        <v>1-2 accouchements</v>
      </c>
      <c r="Y90" s="13" t="str">
        <f t="shared" si="8"/>
        <v>Moins de 4 CPN</v>
      </c>
      <c r="Z90" s="13" t="str">
        <f t="shared" si="9"/>
        <v>28-36 SA</v>
      </c>
      <c r="AA90" s="13">
        <f t="shared" si="10"/>
        <v>139.5</v>
      </c>
      <c r="AB90" s="13">
        <f t="shared" si="11"/>
        <v>1</v>
      </c>
    </row>
    <row r="91" spans="1:28" x14ac:dyDescent="0.25">
      <c r="A91" s="13" t="s">
        <v>198</v>
      </c>
      <c r="B91" s="13">
        <v>23</v>
      </c>
      <c r="C91" s="13" t="s">
        <v>98</v>
      </c>
      <c r="D91" s="13" t="s">
        <v>109</v>
      </c>
      <c r="E91" s="13" t="s">
        <v>81</v>
      </c>
      <c r="F91" s="13" t="s">
        <v>82</v>
      </c>
      <c r="G91" s="13">
        <v>2</v>
      </c>
      <c r="H91" s="13">
        <v>0</v>
      </c>
      <c r="I91" s="13" t="s">
        <v>86</v>
      </c>
      <c r="J91" s="13" t="s">
        <v>83</v>
      </c>
      <c r="K91" s="13" t="s">
        <v>83</v>
      </c>
      <c r="L91" s="13" t="s">
        <v>83</v>
      </c>
      <c r="M91" s="13">
        <v>34</v>
      </c>
      <c r="N91" s="13">
        <v>2</v>
      </c>
      <c r="O91" s="13" t="s">
        <v>84</v>
      </c>
      <c r="P91" s="13">
        <v>17.8</v>
      </c>
      <c r="Q91" s="13">
        <v>98</v>
      </c>
      <c r="R91" s="13">
        <v>63</v>
      </c>
      <c r="S91" s="13" t="s">
        <v>85</v>
      </c>
      <c r="T91" s="13" t="s">
        <v>86</v>
      </c>
      <c r="U91" s="13" t="s">
        <v>87</v>
      </c>
      <c r="V91" s="13" t="s">
        <v>83</v>
      </c>
      <c r="W91" s="13" t="str">
        <f t="shared" si="6"/>
        <v>20-29 ans</v>
      </c>
      <c r="X91" s="13" t="str">
        <f t="shared" si="7"/>
        <v>Nullipare (0)</v>
      </c>
      <c r="Y91" s="13" t="str">
        <f t="shared" si="8"/>
        <v>Moins de 4 CPN</v>
      </c>
      <c r="Z91" s="13" t="str">
        <f t="shared" si="9"/>
        <v>28-36 SA</v>
      </c>
      <c r="AA91" s="13">
        <f t="shared" si="10"/>
        <v>103.5</v>
      </c>
      <c r="AB91" s="13">
        <f t="shared" si="11"/>
        <v>0</v>
      </c>
    </row>
    <row r="92" spans="1:28" x14ac:dyDescent="0.25">
      <c r="A92" s="13" t="s">
        <v>199</v>
      </c>
      <c r="B92" s="13">
        <v>19</v>
      </c>
      <c r="C92" s="13" t="s">
        <v>98</v>
      </c>
      <c r="D92" s="13" t="s">
        <v>80</v>
      </c>
      <c r="E92" s="13" t="s">
        <v>90</v>
      </c>
      <c r="F92" s="13" t="s">
        <v>82</v>
      </c>
      <c r="G92" s="13">
        <v>1</v>
      </c>
      <c r="H92" s="13">
        <v>0</v>
      </c>
      <c r="I92" s="13" t="s">
        <v>86</v>
      </c>
      <c r="J92" s="13" t="s">
        <v>83</v>
      </c>
      <c r="K92" s="13" t="s">
        <v>83</v>
      </c>
      <c r="L92" s="13" t="s">
        <v>83</v>
      </c>
      <c r="M92" s="13">
        <v>38</v>
      </c>
      <c r="N92" s="13">
        <v>6</v>
      </c>
      <c r="O92" s="13" t="s">
        <v>84</v>
      </c>
      <c r="P92" s="13">
        <v>22.4</v>
      </c>
      <c r="Q92" s="13">
        <v>159</v>
      </c>
      <c r="R92" s="13">
        <v>103</v>
      </c>
      <c r="S92" s="13" t="s">
        <v>113</v>
      </c>
      <c r="T92" s="13" t="s">
        <v>91</v>
      </c>
      <c r="U92" s="13" t="s">
        <v>114</v>
      </c>
      <c r="V92" s="13" t="s">
        <v>91</v>
      </c>
      <c r="W92" s="13" t="str">
        <f t="shared" si="6"/>
        <v>Moins de 20 ans</v>
      </c>
      <c r="X92" s="13" t="str">
        <f t="shared" si="7"/>
        <v>Nullipare (0)</v>
      </c>
      <c r="Y92" s="13" t="str">
        <f t="shared" si="8"/>
        <v>4 à 7 CPN</v>
      </c>
      <c r="Z92" s="13" t="str">
        <f t="shared" si="9"/>
        <v>37 SA et plus</v>
      </c>
      <c r="AA92" s="13">
        <f t="shared" si="10"/>
        <v>14.5</v>
      </c>
      <c r="AB92" s="13">
        <f t="shared" si="11"/>
        <v>0</v>
      </c>
    </row>
    <row r="93" spans="1:28" x14ac:dyDescent="0.25">
      <c r="A93" s="13" t="s">
        <v>200</v>
      </c>
      <c r="B93" s="13">
        <v>20</v>
      </c>
      <c r="C93" s="13" t="s">
        <v>79</v>
      </c>
      <c r="D93" s="13" t="s">
        <v>93</v>
      </c>
      <c r="E93" s="13" t="s">
        <v>112</v>
      </c>
      <c r="F93" s="13" t="s">
        <v>82</v>
      </c>
      <c r="G93" s="13">
        <v>1</v>
      </c>
      <c r="H93" s="13">
        <v>0</v>
      </c>
      <c r="I93" s="13" t="s">
        <v>86</v>
      </c>
      <c r="J93" s="13" t="s">
        <v>83</v>
      </c>
      <c r="K93" s="13" t="s">
        <v>83</v>
      </c>
      <c r="L93" s="13" t="s">
        <v>83</v>
      </c>
      <c r="M93" s="13">
        <v>40</v>
      </c>
      <c r="N93" s="13">
        <v>2</v>
      </c>
      <c r="O93" s="13" t="s">
        <v>84</v>
      </c>
      <c r="P93" s="13">
        <v>23.4</v>
      </c>
      <c r="Q93" s="13">
        <v>122</v>
      </c>
      <c r="R93" s="13">
        <v>69</v>
      </c>
      <c r="S93" s="13" t="s">
        <v>85</v>
      </c>
      <c r="T93" s="13" t="s">
        <v>86</v>
      </c>
      <c r="U93" s="13" t="s">
        <v>87</v>
      </c>
      <c r="V93" s="13" t="s">
        <v>83</v>
      </c>
      <c r="W93" s="13" t="str">
        <f t="shared" si="6"/>
        <v>20-29 ans</v>
      </c>
      <c r="X93" s="13" t="str">
        <f t="shared" si="7"/>
        <v>Nullipare (0)</v>
      </c>
      <c r="Y93" s="13" t="str">
        <f t="shared" si="8"/>
        <v>Moins de 4 CPN</v>
      </c>
      <c r="Z93" s="13" t="str">
        <f t="shared" si="9"/>
        <v>37 SA et plus</v>
      </c>
      <c r="AA93" s="13">
        <f t="shared" si="10"/>
        <v>30.5</v>
      </c>
      <c r="AB93" s="13">
        <f t="shared" si="11"/>
        <v>0</v>
      </c>
    </row>
    <row r="94" spans="1:28" x14ac:dyDescent="0.25">
      <c r="A94" s="13" t="s">
        <v>201</v>
      </c>
      <c r="B94" s="13">
        <v>19</v>
      </c>
      <c r="C94" s="13" t="s">
        <v>89</v>
      </c>
      <c r="D94" s="13" t="s">
        <v>80</v>
      </c>
      <c r="E94" s="13" t="s">
        <v>90</v>
      </c>
      <c r="F94" s="13" t="s">
        <v>94</v>
      </c>
      <c r="G94" s="13">
        <v>1</v>
      </c>
      <c r="H94" s="13">
        <v>0</v>
      </c>
      <c r="I94" s="13" t="s">
        <v>86</v>
      </c>
      <c r="J94" s="13" t="s">
        <v>83</v>
      </c>
      <c r="K94" s="13" t="s">
        <v>83</v>
      </c>
      <c r="L94" s="13" t="s">
        <v>83</v>
      </c>
      <c r="M94" s="13">
        <v>41</v>
      </c>
      <c r="N94" s="13">
        <v>5</v>
      </c>
      <c r="O94" s="13" t="s">
        <v>84</v>
      </c>
      <c r="P94" s="13">
        <v>23.8</v>
      </c>
      <c r="Q94" s="13">
        <v>109</v>
      </c>
      <c r="R94" s="13">
        <v>72</v>
      </c>
      <c r="S94" s="13" t="s">
        <v>106</v>
      </c>
      <c r="T94" s="13" t="s">
        <v>86</v>
      </c>
      <c r="U94" s="13" t="s">
        <v>87</v>
      </c>
      <c r="V94" s="13" t="s">
        <v>83</v>
      </c>
      <c r="W94" s="13" t="str">
        <f t="shared" si="6"/>
        <v>Moins de 20 ans</v>
      </c>
      <c r="X94" s="13" t="str">
        <f t="shared" si="7"/>
        <v>Nullipare (0)</v>
      </c>
      <c r="Y94" s="13" t="str">
        <f t="shared" si="8"/>
        <v>4 à 7 CPN</v>
      </c>
      <c r="Z94" s="13" t="str">
        <f t="shared" si="9"/>
        <v>37 SA et plus</v>
      </c>
      <c r="AA94" s="13">
        <f t="shared" si="10"/>
        <v>14.5</v>
      </c>
      <c r="AB94" s="13">
        <f t="shared" si="11"/>
        <v>0</v>
      </c>
    </row>
    <row r="95" spans="1:28" x14ac:dyDescent="0.25">
      <c r="A95" s="13" t="s">
        <v>202</v>
      </c>
      <c r="B95" s="13">
        <v>21</v>
      </c>
      <c r="C95" s="13" t="s">
        <v>79</v>
      </c>
      <c r="D95" s="13" t="s">
        <v>80</v>
      </c>
      <c r="E95" s="13" t="s">
        <v>96</v>
      </c>
      <c r="F95" s="13" t="s">
        <v>82</v>
      </c>
      <c r="G95" s="13">
        <v>1</v>
      </c>
      <c r="H95" s="13">
        <v>0</v>
      </c>
      <c r="I95" s="13" t="s">
        <v>86</v>
      </c>
      <c r="J95" s="13" t="s">
        <v>83</v>
      </c>
      <c r="K95" s="13" t="s">
        <v>91</v>
      </c>
      <c r="L95" s="13" t="s">
        <v>83</v>
      </c>
      <c r="M95" s="13">
        <v>36</v>
      </c>
      <c r="N95" s="13">
        <v>3</v>
      </c>
      <c r="O95" s="13" t="s">
        <v>146</v>
      </c>
      <c r="P95" s="13">
        <v>24.1</v>
      </c>
      <c r="Q95" s="13">
        <v>110</v>
      </c>
      <c r="R95" s="13">
        <v>62</v>
      </c>
      <c r="S95" s="13" t="s">
        <v>85</v>
      </c>
      <c r="T95" s="13" t="s">
        <v>86</v>
      </c>
      <c r="U95" s="13" t="s">
        <v>87</v>
      </c>
      <c r="V95" s="13" t="s">
        <v>83</v>
      </c>
      <c r="W95" s="13" t="str">
        <f t="shared" si="6"/>
        <v>20-29 ans</v>
      </c>
      <c r="X95" s="13" t="str">
        <f t="shared" si="7"/>
        <v>Nullipare (0)</v>
      </c>
      <c r="Y95" s="13" t="str">
        <f t="shared" si="8"/>
        <v>Moins de 4 CPN</v>
      </c>
      <c r="Z95" s="13" t="str">
        <f t="shared" si="9"/>
        <v>28-36 SA</v>
      </c>
      <c r="AA95" s="13">
        <f t="shared" si="10"/>
        <v>48</v>
      </c>
      <c r="AB95" s="13">
        <f t="shared" si="11"/>
        <v>0</v>
      </c>
    </row>
    <row r="96" spans="1:28" x14ac:dyDescent="0.25">
      <c r="A96" s="13" t="s">
        <v>203</v>
      </c>
      <c r="B96" s="13">
        <v>33</v>
      </c>
      <c r="C96" s="13" t="s">
        <v>79</v>
      </c>
      <c r="D96" s="13" t="s">
        <v>80</v>
      </c>
      <c r="E96" s="13" t="s">
        <v>96</v>
      </c>
      <c r="F96" s="13" t="s">
        <v>82</v>
      </c>
      <c r="G96" s="13">
        <v>2</v>
      </c>
      <c r="H96" s="13">
        <v>1</v>
      </c>
      <c r="I96" s="13" t="s">
        <v>83</v>
      </c>
      <c r="J96" s="13" t="s">
        <v>83</v>
      </c>
      <c r="L96" s="13" t="s">
        <v>83</v>
      </c>
      <c r="M96" s="13">
        <v>32</v>
      </c>
      <c r="N96" s="13">
        <v>2</v>
      </c>
      <c r="O96" s="13" t="s">
        <v>84</v>
      </c>
      <c r="P96" s="13">
        <v>20.3</v>
      </c>
      <c r="Q96" s="13">
        <v>120</v>
      </c>
      <c r="R96" s="13">
        <v>75</v>
      </c>
      <c r="S96" s="13" t="s">
        <v>85</v>
      </c>
      <c r="T96" s="13" t="s">
        <v>86</v>
      </c>
      <c r="U96" s="13" t="s">
        <v>87</v>
      </c>
      <c r="V96" s="13" t="s">
        <v>83</v>
      </c>
      <c r="W96" s="13" t="str">
        <f t="shared" si="6"/>
        <v>30-34 ans</v>
      </c>
      <c r="X96" s="13" t="str">
        <f t="shared" si="7"/>
        <v>1-2 accouchements</v>
      </c>
      <c r="Y96" s="13" t="str">
        <f t="shared" si="8"/>
        <v>Moins de 4 CPN</v>
      </c>
      <c r="Z96" s="13" t="str">
        <f t="shared" si="9"/>
        <v>28-36 SA</v>
      </c>
      <c r="AA96" s="13">
        <f t="shared" si="10"/>
        <v>361.5</v>
      </c>
      <c r="AB96" s="13">
        <f t="shared" si="11"/>
        <v>1</v>
      </c>
    </row>
    <row r="97" spans="1:28" x14ac:dyDescent="0.25">
      <c r="A97" s="13" t="s">
        <v>204</v>
      </c>
      <c r="B97" s="13">
        <v>27</v>
      </c>
      <c r="C97" s="13" t="s">
        <v>79</v>
      </c>
      <c r="D97" s="13" t="s">
        <v>80</v>
      </c>
      <c r="E97" s="13" t="s">
        <v>112</v>
      </c>
      <c r="F97" s="13" t="s">
        <v>82</v>
      </c>
      <c r="G97" s="13">
        <v>5</v>
      </c>
      <c r="H97" s="13">
        <v>4</v>
      </c>
      <c r="I97" s="13" t="s">
        <v>83</v>
      </c>
      <c r="J97" s="13" t="s">
        <v>83</v>
      </c>
      <c r="K97" s="13" t="s">
        <v>83</v>
      </c>
      <c r="L97" s="13" t="s">
        <v>83</v>
      </c>
      <c r="M97" s="13">
        <v>22</v>
      </c>
      <c r="O97" s="13" t="s">
        <v>84</v>
      </c>
      <c r="P97" s="13">
        <v>21.1</v>
      </c>
      <c r="Q97" s="13">
        <v>110</v>
      </c>
      <c r="R97" s="13">
        <v>69</v>
      </c>
      <c r="S97" s="13" t="s">
        <v>106</v>
      </c>
      <c r="T97" s="13" t="s">
        <v>86</v>
      </c>
      <c r="U97" s="13" t="s">
        <v>87</v>
      </c>
      <c r="V97" s="13" t="s">
        <v>83</v>
      </c>
      <c r="W97" s="13" t="str">
        <f t="shared" si="6"/>
        <v>20-29 ans</v>
      </c>
      <c r="X97" s="13" t="str">
        <f t="shared" si="7"/>
        <v>3 accouchements et plus</v>
      </c>
      <c r="Y97" s="13" t="str">
        <f t="shared" si="8"/>
        <v/>
      </c>
      <c r="Z97" s="13" t="str">
        <f t="shared" si="9"/>
        <v>20-27 SA</v>
      </c>
      <c r="AA97" s="13">
        <f t="shared" si="10"/>
        <v>243</v>
      </c>
      <c r="AB97" s="13">
        <f t="shared" si="11"/>
        <v>1</v>
      </c>
    </row>
    <row r="98" spans="1:28" x14ac:dyDescent="0.25">
      <c r="A98" s="13" t="s">
        <v>205</v>
      </c>
      <c r="B98" s="13">
        <v>30</v>
      </c>
      <c r="C98" s="13" t="s">
        <v>89</v>
      </c>
      <c r="D98" s="13" t="s">
        <v>80</v>
      </c>
      <c r="E98" s="13" t="s">
        <v>96</v>
      </c>
      <c r="F98" s="13" t="s">
        <v>82</v>
      </c>
      <c r="G98" s="13">
        <v>4</v>
      </c>
      <c r="H98" s="13">
        <v>3</v>
      </c>
      <c r="I98" s="13" t="s">
        <v>83</v>
      </c>
      <c r="J98" s="13" t="s">
        <v>83</v>
      </c>
      <c r="K98" s="13" t="s">
        <v>91</v>
      </c>
      <c r="L98" s="13" t="s">
        <v>83</v>
      </c>
      <c r="M98" s="13">
        <v>32</v>
      </c>
      <c r="N98" s="13">
        <v>1</v>
      </c>
      <c r="O98" s="13" t="s">
        <v>84</v>
      </c>
      <c r="P98" s="13">
        <v>30.8</v>
      </c>
      <c r="Q98" s="13">
        <v>109</v>
      </c>
      <c r="R98" s="13">
        <v>71</v>
      </c>
      <c r="S98" s="13" t="s">
        <v>85</v>
      </c>
      <c r="T98" s="13" t="s">
        <v>86</v>
      </c>
      <c r="U98" s="13" t="s">
        <v>87</v>
      </c>
      <c r="V98" s="13" t="s">
        <v>83</v>
      </c>
      <c r="W98" s="13" t="str">
        <f t="shared" si="6"/>
        <v>30-34 ans</v>
      </c>
      <c r="X98" s="13" t="str">
        <f t="shared" si="7"/>
        <v>3 accouchements et plus</v>
      </c>
      <c r="Y98" s="13" t="str">
        <f t="shared" si="8"/>
        <v>Moins de 4 CPN</v>
      </c>
      <c r="Z98" s="13" t="str">
        <f t="shared" si="9"/>
        <v>28-36 SA</v>
      </c>
      <c r="AA98" s="13">
        <f t="shared" si="10"/>
        <v>319.5</v>
      </c>
      <c r="AB98" s="13">
        <f t="shared" si="11"/>
        <v>1</v>
      </c>
    </row>
    <row r="99" spans="1:28" x14ac:dyDescent="0.25">
      <c r="A99" s="13" t="s">
        <v>206</v>
      </c>
      <c r="B99" s="13">
        <v>24</v>
      </c>
      <c r="C99" s="13" t="s">
        <v>89</v>
      </c>
      <c r="D99" s="13" t="s">
        <v>124</v>
      </c>
      <c r="E99" s="13" t="s">
        <v>96</v>
      </c>
      <c r="F99" s="13" t="s">
        <v>82</v>
      </c>
      <c r="G99" s="13">
        <v>2</v>
      </c>
      <c r="H99" s="13">
        <v>1</v>
      </c>
      <c r="I99" s="13" t="s">
        <v>83</v>
      </c>
      <c r="J99" s="13" t="s">
        <v>83</v>
      </c>
      <c r="K99" s="13" t="s">
        <v>83</v>
      </c>
      <c r="L99" s="13" t="s">
        <v>83</v>
      </c>
      <c r="M99" s="13">
        <v>28</v>
      </c>
      <c r="N99" s="13">
        <v>3</v>
      </c>
      <c r="O99" s="13" t="s">
        <v>84</v>
      </c>
      <c r="P99" s="13">
        <v>20.6</v>
      </c>
      <c r="Q99" s="13">
        <v>106</v>
      </c>
      <c r="R99" s="13">
        <v>66</v>
      </c>
      <c r="S99" s="13" t="s">
        <v>85</v>
      </c>
      <c r="T99" s="13" t="s">
        <v>86</v>
      </c>
      <c r="U99" s="13" t="s">
        <v>87</v>
      </c>
      <c r="V99" s="13" t="s">
        <v>83</v>
      </c>
      <c r="W99" s="13" t="str">
        <f t="shared" si="6"/>
        <v>20-29 ans</v>
      </c>
      <c r="X99" s="13" t="str">
        <f t="shared" si="7"/>
        <v>1-2 accouchements</v>
      </c>
      <c r="Y99" s="13" t="str">
        <f t="shared" si="8"/>
        <v>Moins de 4 CPN</v>
      </c>
      <c r="Z99" s="13" t="str">
        <f t="shared" si="9"/>
        <v>28-36 SA</v>
      </c>
      <c r="AA99" s="13">
        <f t="shared" si="10"/>
        <v>139.5</v>
      </c>
      <c r="AB99" s="13">
        <f t="shared" si="11"/>
        <v>1</v>
      </c>
    </row>
    <row r="100" spans="1:28" x14ac:dyDescent="0.25">
      <c r="A100" s="13" t="s">
        <v>207</v>
      </c>
      <c r="B100" s="13">
        <v>19</v>
      </c>
      <c r="C100" s="13" t="s">
        <v>89</v>
      </c>
      <c r="D100" s="13" t="s">
        <v>93</v>
      </c>
      <c r="E100" s="13" t="s">
        <v>96</v>
      </c>
      <c r="F100" s="13" t="s">
        <v>94</v>
      </c>
      <c r="G100" s="13">
        <v>3</v>
      </c>
      <c r="H100" s="13">
        <v>1</v>
      </c>
      <c r="I100" s="13" t="s">
        <v>83</v>
      </c>
      <c r="J100" s="13" t="s">
        <v>83</v>
      </c>
      <c r="K100" s="13" t="s">
        <v>83</v>
      </c>
      <c r="L100" s="13" t="s">
        <v>83</v>
      </c>
      <c r="M100" s="13">
        <v>39</v>
      </c>
      <c r="N100" s="13">
        <v>2</v>
      </c>
      <c r="O100" s="13" t="s">
        <v>84</v>
      </c>
      <c r="P100" s="13">
        <v>23.8</v>
      </c>
      <c r="Q100" s="13">
        <v>104</v>
      </c>
      <c r="R100" s="13">
        <v>66</v>
      </c>
      <c r="S100" s="13" t="s">
        <v>85</v>
      </c>
      <c r="T100" s="13" t="s">
        <v>86</v>
      </c>
      <c r="U100" s="13" t="s">
        <v>87</v>
      </c>
      <c r="V100" s="13" t="s">
        <v>83</v>
      </c>
      <c r="W100" s="13" t="str">
        <f t="shared" si="6"/>
        <v>Moins de 20 ans</v>
      </c>
      <c r="X100" s="13" t="str">
        <f t="shared" si="7"/>
        <v>1-2 accouchements</v>
      </c>
      <c r="Y100" s="13" t="str">
        <f t="shared" si="8"/>
        <v>Moins de 4 CPN</v>
      </c>
      <c r="Z100" s="13" t="str">
        <f t="shared" si="9"/>
        <v>37 SA et plus</v>
      </c>
      <c r="AA100" s="13">
        <f t="shared" si="10"/>
        <v>14.5</v>
      </c>
      <c r="AB100" s="13">
        <f t="shared" si="11"/>
        <v>1</v>
      </c>
    </row>
    <row r="101" spans="1:28" x14ac:dyDescent="0.25">
      <c r="A101" s="13" t="s">
        <v>208</v>
      </c>
      <c r="B101" s="13">
        <v>24</v>
      </c>
      <c r="C101" s="13" t="s">
        <v>79</v>
      </c>
      <c r="D101" s="13" t="s">
        <v>80</v>
      </c>
      <c r="E101" s="13" t="s">
        <v>112</v>
      </c>
      <c r="F101" s="13" t="s">
        <v>82</v>
      </c>
      <c r="G101" s="13">
        <v>3</v>
      </c>
      <c r="H101" s="13">
        <v>1</v>
      </c>
      <c r="I101" s="13" t="s">
        <v>83</v>
      </c>
      <c r="J101" s="13" t="s">
        <v>83</v>
      </c>
      <c r="K101" s="13" t="s">
        <v>91</v>
      </c>
      <c r="L101" s="13" t="s">
        <v>83</v>
      </c>
      <c r="M101" s="13">
        <v>33</v>
      </c>
      <c r="N101" s="13">
        <v>8</v>
      </c>
      <c r="O101" s="13" t="s">
        <v>84</v>
      </c>
      <c r="P101" s="13">
        <v>19.7</v>
      </c>
      <c r="Q101" s="13">
        <v>109</v>
      </c>
      <c r="R101" s="13">
        <v>63</v>
      </c>
      <c r="S101" s="13" t="s">
        <v>85</v>
      </c>
      <c r="T101" s="13" t="s">
        <v>86</v>
      </c>
      <c r="U101" s="13" t="s">
        <v>87</v>
      </c>
      <c r="V101" s="13" t="s">
        <v>83</v>
      </c>
      <c r="W101" s="13" t="str">
        <f t="shared" si="6"/>
        <v>20-29 ans</v>
      </c>
      <c r="X101" s="13" t="str">
        <f t="shared" si="7"/>
        <v>1-2 accouchements</v>
      </c>
      <c r="Y101" s="13" t="str">
        <f t="shared" si="8"/>
        <v>8 CPN et plus</v>
      </c>
      <c r="Z101" s="13" t="str">
        <f t="shared" si="9"/>
        <v>28-36 SA</v>
      </c>
      <c r="AA101" s="13">
        <f t="shared" si="10"/>
        <v>139.5</v>
      </c>
      <c r="AB101" s="13">
        <f t="shared" si="11"/>
        <v>1</v>
      </c>
    </row>
    <row r="102" spans="1:28" x14ac:dyDescent="0.25">
      <c r="A102" s="13" t="s">
        <v>209</v>
      </c>
      <c r="B102" s="13">
        <v>25</v>
      </c>
      <c r="C102" s="13" t="s">
        <v>79</v>
      </c>
      <c r="D102" s="13" t="s">
        <v>93</v>
      </c>
      <c r="E102" s="13" t="s">
        <v>112</v>
      </c>
      <c r="F102" s="13" t="s">
        <v>94</v>
      </c>
      <c r="G102" s="13">
        <v>2</v>
      </c>
      <c r="H102" s="13">
        <v>1</v>
      </c>
      <c r="I102" s="13" t="s">
        <v>91</v>
      </c>
      <c r="J102" s="13" t="s">
        <v>83</v>
      </c>
      <c r="K102" s="13" t="s">
        <v>83</v>
      </c>
      <c r="L102" s="13" t="s">
        <v>83</v>
      </c>
      <c r="M102" s="13">
        <v>26</v>
      </c>
      <c r="N102" s="13">
        <v>3</v>
      </c>
      <c r="O102" s="13" t="s">
        <v>84</v>
      </c>
      <c r="P102" s="13">
        <v>26.5</v>
      </c>
      <c r="Q102" s="13">
        <v>105</v>
      </c>
      <c r="R102" s="13">
        <v>62</v>
      </c>
      <c r="S102" s="13" t="s">
        <v>85</v>
      </c>
      <c r="T102" s="13" t="s">
        <v>86</v>
      </c>
      <c r="U102" s="13" t="s">
        <v>87</v>
      </c>
      <c r="V102" s="13" t="s">
        <v>83</v>
      </c>
      <c r="W102" s="13" t="str">
        <f t="shared" si="6"/>
        <v>20-29 ans</v>
      </c>
      <c r="X102" s="13" t="str">
        <f t="shared" si="7"/>
        <v>1-2 accouchements</v>
      </c>
      <c r="Y102" s="13" t="str">
        <f t="shared" si="8"/>
        <v>Moins de 4 CPN</v>
      </c>
      <c r="Z102" s="13" t="str">
        <f t="shared" si="9"/>
        <v>20-27 SA</v>
      </c>
      <c r="AA102" s="13">
        <f t="shared" si="10"/>
        <v>173</v>
      </c>
      <c r="AB102" s="13">
        <f t="shared" si="11"/>
        <v>1</v>
      </c>
    </row>
    <row r="103" spans="1:28" x14ac:dyDescent="0.25">
      <c r="A103" s="13" t="s">
        <v>210</v>
      </c>
      <c r="B103" s="13">
        <v>28</v>
      </c>
      <c r="C103" s="13" t="s">
        <v>79</v>
      </c>
      <c r="D103" s="13" t="s">
        <v>80</v>
      </c>
      <c r="E103" s="13" t="s">
        <v>90</v>
      </c>
      <c r="F103" s="13" t="s">
        <v>82</v>
      </c>
      <c r="G103" s="13">
        <v>5</v>
      </c>
      <c r="H103" s="13">
        <v>3</v>
      </c>
      <c r="I103" s="13" t="s">
        <v>83</v>
      </c>
      <c r="J103" s="13" t="s">
        <v>83</v>
      </c>
      <c r="K103" s="13" t="s">
        <v>83</v>
      </c>
      <c r="L103" s="13" t="s">
        <v>83</v>
      </c>
      <c r="M103" s="13">
        <v>41</v>
      </c>
      <c r="N103" s="13">
        <v>4</v>
      </c>
      <c r="O103" s="13" t="s">
        <v>84</v>
      </c>
      <c r="P103" s="13">
        <v>25</v>
      </c>
      <c r="Q103" s="13">
        <v>110</v>
      </c>
      <c r="R103" s="13">
        <v>69</v>
      </c>
      <c r="S103" s="13" t="s">
        <v>85</v>
      </c>
      <c r="T103" s="13" t="s">
        <v>86</v>
      </c>
      <c r="U103" s="13" t="s">
        <v>87</v>
      </c>
      <c r="V103" s="13" t="s">
        <v>83</v>
      </c>
      <c r="W103" s="13" t="str">
        <f t="shared" si="6"/>
        <v>20-29 ans</v>
      </c>
      <c r="X103" s="13" t="str">
        <f t="shared" si="7"/>
        <v>3 accouchements et plus</v>
      </c>
      <c r="Y103" s="13" t="str">
        <f t="shared" si="8"/>
        <v>4 à 7 CPN</v>
      </c>
      <c r="Z103" s="13" t="str">
        <f t="shared" si="9"/>
        <v>37 SA et plus</v>
      </c>
      <c r="AA103" s="13">
        <f t="shared" si="10"/>
        <v>276</v>
      </c>
      <c r="AB103" s="13">
        <f t="shared" si="11"/>
        <v>1</v>
      </c>
    </row>
    <row r="104" spans="1:28" x14ac:dyDescent="0.25">
      <c r="A104" s="13" t="s">
        <v>211</v>
      </c>
      <c r="B104" s="13">
        <v>19</v>
      </c>
      <c r="C104" s="13" t="s">
        <v>98</v>
      </c>
      <c r="D104" s="13" t="s">
        <v>93</v>
      </c>
      <c r="E104" s="13" t="s">
        <v>90</v>
      </c>
      <c r="F104" s="13" t="s">
        <v>82</v>
      </c>
      <c r="G104" s="13">
        <v>1</v>
      </c>
      <c r="H104" s="13">
        <v>0</v>
      </c>
      <c r="I104" s="13" t="s">
        <v>86</v>
      </c>
      <c r="J104" s="13" t="s">
        <v>83</v>
      </c>
      <c r="K104" s="13" t="s">
        <v>91</v>
      </c>
      <c r="L104" s="13" t="s">
        <v>83</v>
      </c>
      <c r="M104" s="13">
        <v>30</v>
      </c>
      <c r="N104" s="13">
        <v>8</v>
      </c>
      <c r="O104" s="13" t="s">
        <v>84</v>
      </c>
      <c r="P104" s="13">
        <v>25.9</v>
      </c>
      <c r="Q104" s="13">
        <v>114</v>
      </c>
      <c r="R104" s="13">
        <v>78</v>
      </c>
      <c r="S104" s="13" t="s">
        <v>85</v>
      </c>
      <c r="T104" s="13" t="s">
        <v>86</v>
      </c>
      <c r="U104" s="13" t="s">
        <v>87</v>
      </c>
      <c r="V104" s="13" t="s">
        <v>83</v>
      </c>
      <c r="W104" s="13" t="str">
        <f t="shared" si="6"/>
        <v>Moins de 20 ans</v>
      </c>
      <c r="X104" s="13" t="str">
        <f t="shared" si="7"/>
        <v>Nullipare (0)</v>
      </c>
      <c r="Y104" s="13" t="str">
        <f t="shared" si="8"/>
        <v>8 CPN et plus</v>
      </c>
      <c r="Z104" s="13" t="str">
        <f t="shared" si="9"/>
        <v>28-36 SA</v>
      </c>
      <c r="AA104" s="13">
        <f t="shared" si="10"/>
        <v>14.5</v>
      </c>
      <c r="AB104" s="13">
        <f t="shared" si="11"/>
        <v>0</v>
      </c>
    </row>
    <row r="105" spans="1:28" x14ac:dyDescent="0.25">
      <c r="A105" s="13" t="s">
        <v>212</v>
      </c>
      <c r="B105" s="13">
        <v>19</v>
      </c>
      <c r="C105" s="13" t="s">
        <v>98</v>
      </c>
      <c r="D105" s="13" t="s">
        <v>80</v>
      </c>
      <c r="E105" s="13" t="s">
        <v>81</v>
      </c>
      <c r="F105" s="13" t="s">
        <v>82</v>
      </c>
      <c r="G105" s="13">
        <v>2</v>
      </c>
      <c r="H105" s="13">
        <v>1</v>
      </c>
      <c r="I105" s="13" t="s">
        <v>83</v>
      </c>
      <c r="J105" s="13" t="s">
        <v>83</v>
      </c>
      <c r="K105" s="13" t="s">
        <v>91</v>
      </c>
      <c r="L105" s="13" t="s">
        <v>83</v>
      </c>
      <c r="M105" s="13">
        <v>40</v>
      </c>
      <c r="O105" s="13" t="s">
        <v>84</v>
      </c>
      <c r="P105" s="13">
        <v>26.2</v>
      </c>
      <c r="Q105" s="13">
        <v>116</v>
      </c>
      <c r="R105" s="13">
        <v>68</v>
      </c>
      <c r="S105" s="13" t="s">
        <v>85</v>
      </c>
      <c r="T105" s="13" t="s">
        <v>86</v>
      </c>
      <c r="U105" s="13" t="s">
        <v>87</v>
      </c>
      <c r="V105" s="13" t="s">
        <v>83</v>
      </c>
      <c r="W105" s="13" t="str">
        <f t="shared" si="6"/>
        <v>Moins de 20 ans</v>
      </c>
      <c r="X105" s="13" t="str">
        <f t="shared" si="7"/>
        <v>1-2 accouchements</v>
      </c>
      <c r="Y105" s="13" t="str">
        <f t="shared" si="8"/>
        <v/>
      </c>
      <c r="Z105" s="13" t="str">
        <f t="shared" si="9"/>
        <v>37 SA et plus</v>
      </c>
      <c r="AA105" s="13">
        <f t="shared" si="10"/>
        <v>14.5</v>
      </c>
      <c r="AB105" s="13">
        <f t="shared" si="11"/>
        <v>1</v>
      </c>
    </row>
    <row r="106" spans="1:28" x14ac:dyDescent="0.25">
      <c r="A106" s="13" t="s">
        <v>213</v>
      </c>
      <c r="B106" s="13">
        <v>27</v>
      </c>
      <c r="C106" s="13" t="s">
        <v>79</v>
      </c>
      <c r="D106" s="13" t="s">
        <v>124</v>
      </c>
      <c r="E106" s="13" t="s">
        <v>81</v>
      </c>
      <c r="F106" s="13" t="s">
        <v>94</v>
      </c>
      <c r="G106" s="13">
        <v>3</v>
      </c>
      <c r="H106" s="13">
        <v>2</v>
      </c>
      <c r="I106" s="13" t="s">
        <v>83</v>
      </c>
      <c r="J106" s="13" t="s">
        <v>83</v>
      </c>
      <c r="K106" s="13" t="s">
        <v>83</v>
      </c>
      <c r="L106" s="13" t="s">
        <v>83</v>
      </c>
      <c r="M106" s="13">
        <v>26</v>
      </c>
      <c r="N106" s="13">
        <v>1</v>
      </c>
      <c r="O106" s="13" t="s">
        <v>84</v>
      </c>
      <c r="P106" s="13">
        <v>27.5</v>
      </c>
      <c r="Q106" s="13">
        <v>124</v>
      </c>
      <c r="R106" s="13">
        <v>74</v>
      </c>
      <c r="S106" s="13" t="s">
        <v>85</v>
      </c>
      <c r="T106" s="13" t="s">
        <v>86</v>
      </c>
      <c r="U106" s="13" t="s">
        <v>87</v>
      </c>
      <c r="V106" s="13" t="s">
        <v>83</v>
      </c>
      <c r="W106" s="13" t="str">
        <f t="shared" si="6"/>
        <v>20-29 ans</v>
      </c>
      <c r="X106" s="13" t="str">
        <f t="shared" si="7"/>
        <v>1-2 accouchements</v>
      </c>
      <c r="Y106" s="13" t="str">
        <f t="shared" si="8"/>
        <v>Moins de 4 CPN</v>
      </c>
      <c r="Z106" s="13" t="str">
        <f t="shared" si="9"/>
        <v>20-27 SA</v>
      </c>
      <c r="AA106" s="13">
        <f t="shared" si="10"/>
        <v>243</v>
      </c>
      <c r="AB106" s="13">
        <f t="shared" si="11"/>
        <v>1</v>
      </c>
    </row>
    <row r="107" spans="1:28" x14ac:dyDescent="0.25">
      <c r="A107" s="13" t="s">
        <v>214</v>
      </c>
      <c r="B107" s="13">
        <v>25</v>
      </c>
      <c r="C107" s="13" t="s">
        <v>79</v>
      </c>
      <c r="D107" s="13" t="s">
        <v>124</v>
      </c>
      <c r="E107" s="13" t="s">
        <v>81</v>
      </c>
      <c r="F107" s="13" t="s">
        <v>94</v>
      </c>
      <c r="G107" s="13">
        <v>1</v>
      </c>
      <c r="H107" s="13">
        <v>0</v>
      </c>
      <c r="I107" s="13" t="s">
        <v>86</v>
      </c>
      <c r="J107" s="13" t="s">
        <v>83</v>
      </c>
      <c r="K107" s="13" t="s">
        <v>91</v>
      </c>
      <c r="L107" s="13" t="s">
        <v>83</v>
      </c>
      <c r="M107" s="13">
        <v>34</v>
      </c>
      <c r="N107" s="13">
        <v>2</v>
      </c>
      <c r="O107" s="13" t="s">
        <v>84</v>
      </c>
      <c r="P107" s="13">
        <v>30</v>
      </c>
      <c r="Q107" s="13">
        <v>117</v>
      </c>
      <c r="R107" s="13">
        <v>72</v>
      </c>
      <c r="S107" s="13" t="s">
        <v>85</v>
      </c>
      <c r="T107" s="13" t="s">
        <v>86</v>
      </c>
      <c r="U107" s="13" t="s">
        <v>87</v>
      </c>
      <c r="V107" s="13" t="s">
        <v>83</v>
      </c>
      <c r="W107" s="13" t="str">
        <f t="shared" si="6"/>
        <v>20-29 ans</v>
      </c>
      <c r="X107" s="13" t="str">
        <f t="shared" si="7"/>
        <v>Nullipare (0)</v>
      </c>
      <c r="Y107" s="13" t="str">
        <f t="shared" si="8"/>
        <v>Moins de 4 CPN</v>
      </c>
      <c r="Z107" s="13" t="str">
        <f t="shared" si="9"/>
        <v>28-36 SA</v>
      </c>
      <c r="AA107" s="13">
        <f t="shared" si="10"/>
        <v>173</v>
      </c>
      <c r="AB107" s="13">
        <f t="shared" si="11"/>
        <v>0</v>
      </c>
    </row>
    <row r="108" spans="1:28" x14ac:dyDescent="0.25">
      <c r="A108" s="13" t="s">
        <v>215</v>
      </c>
      <c r="B108" s="13">
        <v>24</v>
      </c>
      <c r="C108" s="13" t="s">
        <v>173</v>
      </c>
      <c r="D108" s="13" t="s">
        <v>124</v>
      </c>
      <c r="E108" s="13" t="s">
        <v>81</v>
      </c>
      <c r="F108" s="13" t="s">
        <v>82</v>
      </c>
      <c r="G108" s="13">
        <v>2</v>
      </c>
      <c r="H108" s="13">
        <v>1</v>
      </c>
      <c r="I108" s="13" t="s">
        <v>83</v>
      </c>
      <c r="J108" s="13" t="s">
        <v>83</v>
      </c>
      <c r="K108" s="13" t="s">
        <v>83</v>
      </c>
      <c r="L108" s="13" t="s">
        <v>83</v>
      </c>
      <c r="M108" s="13">
        <v>34</v>
      </c>
      <c r="N108" s="13">
        <v>3</v>
      </c>
      <c r="O108" s="13" t="s">
        <v>146</v>
      </c>
      <c r="P108" s="13">
        <v>18.3</v>
      </c>
      <c r="Q108" s="13">
        <v>96</v>
      </c>
      <c r="R108" s="13">
        <v>59</v>
      </c>
      <c r="S108" s="13" t="s">
        <v>85</v>
      </c>
      <c r="T108" s="13" t="s">
        <v>86</v>
      </c>
      <c r="U108" s="13" t="s">
        <v>87</v>
      </c>
      <c r="V108" s="13" t="s">
        <v>83</v>
      </c>
      <c r="W108" s="13" t="str">
        <f t="shared" si="6"/>
        <v>20-29 ans</v>
      </c>
      <c r="X108" s="13" t="str">
        <f t="shared" si="7"/>
        <v>1-2 accouchements</v>
      </c>
      <c r="Y108" s="13" t="str">
        <f t="shared" si="8"/>
        <v>Moins de 4 CPN</v>
      </c>
      <c r="Z108" s="13" t="str">
        <f t="shared" si="9"/>
        <v>28-36 SA</v>
      </c>
      <c r="AA108" s="13">
        <f t="shared" si="10"/>
        <v>139.5</v>
      </c>
      <c r="AB108" s="13">
        <f t="shared" si="11"/>
        <v>1</v>
      </c>
    </row>
    <row r="109" spans="1:28" x14ac:dyDescent="0.25">
      <c r="A109" s="13" t="s">
        <v>216</v>
      </c>
      <c r="B109" s="13">
        <v>26</v>
      </c>
      <c r="C109" s="13" t="s">
        <v>79</v>
      </c>
      <c r="D109" s="13" t="s">
        <v>93</v>
      </c>
      <c r="E109" s="13" t="s">
        <v>81</v>
      </c>
      <c r="F109" s="13" t="s">
        <v>82</v>
      </c>
      <c r="G109" s="13">
        <v>2</v>
      </c>
      <c r="H109" s="13">
        <v>1</v>
      </c>
      <c r="I109" s="13" t="s">
        <v>83</v>
      </c>
      <c r="J109" s="13" t="s">
        <v>83</v>
      </c>
      <c r="K109" s="13" t="s">
        <v>83</v>
      </c>
      <c r="L109" s="13" t="s">
        <v>83</v>
      </c>
      <c r="M109" s="13">
        <v>24</v>
      </c>
      <c r="N109" s="13">
        <v>1</v>
      </c>
      <c r="O109" s="13" t="s">
        <v>84</v>
      </c>
      <c r="P109" s="13">
        <v>23.8</v>
      </c>
      <c r="Q109" s="13">
        <v>110</v>
      </c>
      <c r="R109" s="13">
        <v>67</v>
      </c>
      <c r="S109" s="13" t="s">
        <v>85</v>
      </c>
      <c r="T109" s="13" t="s">
        <v>86</v>
      </c>
      <c r="U109" s="13" t="s">
        <v>87</v>
      </c>
      <c r="V109" s="13" t="s">
        <v>83</v>
      </c>
      <c r="W109" s="13" t="str">
        <f t="shared" si="6"/>
        <v>20-29 ans</v>
      </c>
      <c r="X109" s="13" t="str">
        <f t="shared" si="7"/>
        <v>1-2 accouchements</v>
      </c>
      <c r="Y109" s="13" t="str">
        <f t="shared" si="8"/>
        <v>Moins de 4 CPN</v>
      </c>
      <c r="Z109" s="13" t="str">
        <f t="shared" si="9"/>
        <v>20-27 SA</v>
      </c>
      <c r="AA109" s="13">
        <f t="shared" si="10"/>
        <v>206</v>
      </c>
      <c r="AB109" s="13">
        <f t="shared" si="11"/>
        <v>1</v>
      </c>
    </row>
    <row r="110" spans="1:28" x14ac:dyDescent="0.25">
      <c r="A110" s="13" t="s">
        <v>217</v>
      </c>
      <c r="B110" s="13">
        <v>21</v>
      </c>
      <c r="C110" s="13" t="s">
        <v>79</v>
      </c>
      <c r="D110" s="13" t="s">
        <v>93</v>
      </c>
      <c r="E110" s="13" t="s">
        <v>101</v>
      </c>
      <c r="F110" s="13" t="s">
        <v>94</v>
      </c>
      <c r="G110" s="13">
        <v>1</v>
      </c>
      <c r="H110" s="13">
        <v>0</v>
      </c>
      <c r="I110" s="13" t="s">
        <v>86</v>
      </c>
      <c r="J110" s="13" t="s">
        <v>83</v>
      </c>
      <c r="K110" s="13" t="s">
        <v>83</v>
      </c>
      <c r="L110" s="13" t="s">
        <v>83</v>
      </c>
      <c r="M110" s="13">
        <v>29</v>
      </c>
      <c r="N110" s="13">
        <v>3</v>
      </c>
      <c r="O110" s="13" t="s">
        <v>84</v>
      </c>
      <c r="P110" s="13">
        <v>25.9</v>
      </c>
      <c r="Q110" s="13">
        <v>107</v>
      </c>
      <c r="R110" s="13">
        <v>75</v>
      </c>
      <c r="S110" s="13" t="s">
        <v>85</v>
      </c>
      <c r="T110" s="13" t="s">
        <v>86</v>
      </c>
      <c r="U110" s="13" t="s">
        <v>87</v>
      </c>
      <c r="V110" s="13" t="s">
        <v>83</v>
      </c>
      <c r="W110" s="13" t="str">
        <f t="shared" si="6"/>
        <v>20-29 ans</v>
      </c>
      <c r="X110" s="13" t="str">
        <f t="shared" si="7"/>
        <v>Nullipare (0)</v>
      </c>
      <c r="Y110" s="13" t="str">
        <f t="shared" si="8"/>
        <v>Moins de 4 CPN</v>
      </c>
      <c r="Z110" s="13" t="str">
        <f t="shared" si="9"/>
        <v>28-36 SA</v>
      </c>
      <c r="AA110" s="13">
        <f t="shared" si="10"/>
        <v>48</v>
      </c>
      <c r="AB110" s="13">
        <f t="shared" si="11"/>
        <v>0</v>
      </c>
    </row>
    <row r="111" spans="1:28" x14ac:dyDescent="0.25">
      <c r="A111" s="13" t="s">
        <v>218</v>
      </c>
      <c r="B111" s="13">
        <v>25</v>
      </c>
      <c r="C111" s="13" t="s">
        <v>89</v>
      </c>
      <c r="D111" s="13" t="s">
        <v>93</v>
      </c>
      <c r="E111" s="13" t="s">
        <v>112</v>
      </c>
      <c r="F111" s="13" t="s">
        <v>94</v>
      </c>
      <c r="G111" s="13">
        <v>3</v>
      </c>
      <c r="H111" s="13">
        <v>2</v>
      </c>
      <c r="I111" s="13" t="s">
        <v>83</v>
      </c>
      <c r="J111" s="13" t="s">
        <v>83</v>
      </c>
      <c r="K111" s="13" t="s">
        <v>91</v>
      </c>
      <c r="L111" s="13" t="s">
        <v>83</v>
      </c>
      <c r="M111" s="13">
        <v>41</v>
      </c>
      <c r="N111" s="13">
        <v>2</v>
      </c>
      <c r="O111" s="13" t="s">
        <v>84</v>
      </c>
      <c r="Q111" s="13">
        <v>104</v>
      </c>
      <c r="R111" s="13">
        <v>65</v>
      </c>
      <c r="S111" s="13" t="s">
        <v>85</v>
      </c>
      <c r="T111" s="13" t="s">
        <v>86</v>
      </c>
      <c r="U111" s="13" t="s">
        <v>87</v>
      </c>
      <c r="V111" s="13" t="s">
        <v>83</v>
      </c>
      <c r="W111" s="13" t="str">
        <f t="shared" si="6"/>
        <v>20-29 ans</v>
      </c>
      <c r="X111" s="13" t="str">
        <f t="shared" si="7"/>
        <v>1-2 accouchements</v>
      </c>
      <c r="Y111" s="13" t="str">
        <f t="shared" si="8"/>
        <v>Moins de 4 CPN</v>
      </c>
      <c r="Z111" s="13" t="str">
        <f t="shared" si="9"/>
        <v>37 SA et plus</v>
      </c>
      <c r="AA111" s="13">
        <f t="shared" si="10"/>
        <v>173</v>
      </c>
      <c r="AB111" s="13">
        <f t="shared" si="11"/>
        <v>1</v>
      </c>
    </row>
    <row r="112" spans="1:28" x14ac:dyDescent="0.25">
      <c r="A112" s="13" t="s">
        <v>219</v>
      </c>
      <c r="B112" s="13">
        <v>25</v>
      </c>
      <c r="C112" s="13" t="s">
        <v>98</v>
      </c>
      <c r="D112" s="13" t="s">
        <v>80</v>
      </c>
      <c r="E112" s="13" t="s">
        <v>81</v>
      </c>
      <c r="F112" s="13" t="s">
        <v>82</v>
      </c>
      <c r="G112" s="13">
        <v>2</v>
      </c>
      <c r="H112" s="13">
        <v>0</v>
      </c>
      <c r="I112" s="13" t="s">
        <v>86</v>
      </c>
      <c r="J112" s="13" t="s">
        <v>83</v>
      </c>
      <c r="K112" s="13" t="s">
        <v>83</v>
      </c>
      <c r="L112" s="13" t="s">
        <v>83</v>
      </c>
      <c r="M112" s="13">
        <v>39</v>
      </c>
      <c r="N112" s="13">
        <v>5</v>
      </c>
      <c r="O112" s="13" t="s">
        <v>84</v>
      </c>
      <c r="P112" s="13">
        <v>26.6</v>
      </c>
      <c r="Q112" s="13">
        <v>119</v>
      </c>
      <c r="R112" s="13">
        <v>71</v>
      </c>
      <c r="S112" s="13" t="s">
        <v>85</v>
      </c>
      <c r="T112" s="13" t="s">
        <v>86</v>
      </c>
      <c r="U112" s="13" t="s">
        <v>87</v>
      </c>
      <c r="V112" s="13" t="s">
        <v>83</v>
      </c>
      <c r="W112" s="13" t="str">
        <f t="shared" si="6"/>
        <v>20-29 ans</v>
      </c>
      <c r="X112" s="13" t="str">
        <f t="shared" si="7"/>
        <v>Nullipare (0)</v>
      </c>
      <c r="Y112" s="13" t="str">
        <f t="shared" si="8"/>
        <v>4 à 7 CPN</v>
      </c>
      <c r="Z112" s="13" t="str">
        <f t="shared" si="9"/>
        <v>37 SA et plus</v>
      </c>
      <c r="AA112" s="13">
        <f t="shared" si="10"/>
        <v>173</v>
      </c>
      <c r="AB112" s="13">
        <f t="shared" si="11"/>
        <v>0</v>
      </c>
    </row>
    <row r="113" spans="1:28" x14ac:dyDescent="0.25">
      <c r="A113" s="13" t="s">
        <v>220</v>
      </c>
      <c r="B113" s="13">
        <v>24</v>
      </c>
      <c r="C113" s="13" t="s">
        <v>79</v>
      </c>
      <c r="D113" s="13" t="s">
        <v>93</v>
      </c>
      <c r="E113" s="13" t="s">
        <v>96</v>
      </c>
      <c r="F113" s="13" t="s">
        <v>94</v>
      </c>
      <c r="G113" s="13">
        <v>1</v>
      </c>
      <c r="H113" s="13">
        <v>0</v>
      </c>
      <c r="I113" s="13" t="s">
        <v>86</v>
      </c>
      <c r="J113" s="13" t="s">
        <v>83</v>
      </c>
      <c r="K113" s="13" t="s">
        <v>91</v>
      </c>
      <c r="L113" s="13" t="s">
        <v>83</v>
      </c>
      <c r="M113" s="13">
        <v>24</v>
      </c>
      <c r="N113" s="13">
        <v>1</v>
      </c>
      <c r="O113" s="13" t="s">
        <v>84</v>
      </c>
      <c r="P113" s="13">
        <v>20.5</v>
      </c>
      <c r="Q113" s="13">
        <v>102</v>
      </c>
      <c r="R113" s="13">
        <v>69</v>
      </c>
      <c r="S113" s="13" t="s">
        <v>85</v>
      </c>
      <c r="T113" s="13" t="s">
        <v>86</v>
      </c>
      <c r="U113" s="13" t="s">
        <v>87</v>
      </c>
      <c r="V113" s="13" t="s">
        <v>83</v>
      </c>
      <c r="W113" s="13" t="str">
        <f t="shared" si="6"/>
        <v>20-29 ans</v>
      </c>
      <c r="X113" s="13" t="str">
        <f t="shared" si="7"/>
        <v>Nullipare (0)</v>
      </c>
      <c r="Y113" s="13" t="str">
        <f t="shared" si="8"/>
        <v>Moins de 4 CPN</v>
      </c>
      <c r="Z113" s="13" t="str">
        <f t="shared" si="9"/>
        <v>20-27 SA</v>
      </c>
      <c r="AA113" s="13">
        <f t="shared" si="10"/>
        <v>139.5</v>
      </c>
      <c r="AB113" s="13">
        <f t="shared" si="11"/>
        <v>0</v>
      </c>
    </row>
    <row r="114" spans="1:28" x14ac:dyDescent="0.25">
      <c r="A114" s="13" t="s">
        <v>221</v>
      </c>
      <c r="B114" s="13">
        <v>22</v>
      </c>
      <c r="C114" s="13" t="s">
        <v>79</v>
      </c>
      <c r="D114" s="13" t="s">
        <v>93</v>
      </c>
      <c r="E114" s="13" t="s">
        <v>101</v>
      </c>
      <c r="F114" s="13" t="s">
        <v>94</v>
      </c>
      <c r="G114" s="13">
        <v>1</v>
      </c>
      <c r="H114" s="13">
        <v>0</v>
      </c>
      <c r="I114" s="13" t="s">
        <v>86</v>
      </c>
      <c r="J114" s="13" t="s">
        <v>83</v>
      </c>
      <c r="K114" s="13" t="s">
        <v>91</v>
      </c>
      <c r="L114" s="13" t="s">
        <v>83</v>
      </c>
      <c r="M114" s="13">
        <v>35</v>
      </c>
      <c r="N114" s="13">
        <v>6</v>
      </c>
      <c r="O114" s="13" t="s">
        <v>84</v>
      </c>
      <c r="Q114" s="13">
        <v>104</v>
      </c>
      <c r="R114" s="13">
        <v>60</v>
      </c>
      <c r="S114" s="13" t="s">
        <v>85</v>
      </c>
      <c r="T114" s="13" t="s">
        <v>86</v>
      </c>
      <c r="U114" s="13" t="s">
        <v>87</v>
      </c>
      <c r="V114" s="13" t="s">
        <v>83</v>
      </c>
      <c r="W114" s="13" t="str">
        <f t="shared" si="6"/>
        <v>20-29 ans</v>
      </c>
      <c r="X114" s="13" t="str">
        <f t="shared" si="7"/>
        <v>Nullipare (0)</v>
      </c>
      <c r="Y114" s="13" t="str">
        <f t="shared" si="8"/>
        <v>4 à 7 CPN</v>
      </c>
      <c r="Z114" s="13" t="str">
        <f t="shared" si="9"/>
        <v>28-36 SA</v>
      </c>
      <c r="AA114" s="13">
        <f t="shared" si="10"/>
        <v>70</v>
      </c>
      <c r="AB114" s="13">
        <f t="shared" si="11"/>
        <v>0</v>
      </c>
    </row>
    <row r="115" spans="1:28" x14ac:dyDescent="0.25">
      <c r="A115" s="13" t="s">
        <v>222</v>
      </c>
      <c r="B115" s="13">
        <v>30</v>
      </c>
      <c r="C115" s="13" t="s">
        <v>79</v>
      </c>
      <c r="D115" s="13" t="s">
        <v>93</v>
      </c>
      <c r="E115" s="13" t="s">
        <v>81</v>
      </c>
      <c r="F115" s="13" t="s">
        <v>82</v>
      </c>
      <c r="G115" s="13">
        <v>3</v>
      </c>
      <c r="H115" s="13">
        <v>2</v>
      </c>
      <c r="I115" s="13" t="s">
        <v>83</v>
      </c>
      <c r="J115" s="13" t="s">
        <v>83</v>
      </c>
      <c r="L115" s="13" t="s">
        <v>83</v>
      </c>
      <c r="M115" s="13">
        <v>26</v>
      </c>
      <c r="N115" s="13">
        <v>4</v>
      </c>
      <c r="O115" s="13" t="s">
        <v>84</v>
      </c>
      <c r="P115" s="13">
        <v>19.600000000000001</v>
      </c>
      <c r="Q115" s="13">
        <v>108</v>
      </c>
      <c r="R115" s="13">
        <v>72</v>
      </c>
      <c r="S115" s="13" t="s">
        <v>85</v>
      </c>
      <c r="T115" s="13" t="s">
        <v>86</v>
      </c>
      <c r="U115" s="13" t="s">
        <v>87</v>
      </c>
      <c r="V115" s="13" t="s">
        <v>83</v>
      </c>
      <c r="W115" s="13" t="str">
        <f t="shared" si="6"/>
        <v>30-34 ans</v>
      </c>
      <c r="X115" s="13" t="str">
        <f t="shared" si="7"/>
        <v>1-2 accouchements</v>
      </c>
      <c r="Y115" s="13" t="str">
        <f t="shared" si="8"/>
        <v>4 à 7 CPN</v>
      </c>
      <c r="Z115" s="13" t="str">
        <f t="shared" si="9"/>
        <v>20-27 SA</v>
      </c>
      <c r="AA115" s="13">
        <f t="shared" si="10"/>
        <v>319.5</v>
      </c>
      <c r="AB115" s="13">
        <f t="shared" si="11"/>
        <v>1</v>
      </c>
    </row>
    <row r="116" spans="1:28" x14ac:dyDescent="0.25">
      <c r="A116" s="13" t="s">
        <v>223</v>
      </c>
      <c r="B116" s="13">
        <v>21</v>
      </c>
      <c r="C116" s="13" t="s">
        <v>98</v>
      </c>
      <c r="D116" s="13" t="s">
        <v>80</v>
      </c>
      <c r="E116" s="13" t="s">
        <v>81</v>
      </c>
      <c r="F116" s="13" t="s">
        <v>82</v>
      </c>
      <c r="G116" s="13">
        <v>1</v>
      </c>
      <c r="H116" s="13">
        <v>0</v>
      </c>
      <c r="I116" s="13" t="s">
        <v>86</v>
      </c>
      <c r="J116" s="13" t="s">
        <v>83</v>
      </c>
      <c r="K116" s="13" t="s">
        <v>83</v>
      </c>
      <c r="L116" s="13" t="s">
        <v>83</v>
      </c>
      <c r="M116" s="13">
        <v>37</v>
      </c>
      <c r="N116" s="13">
        <v>4</v>
      </c>
      <c r="O116" s="13" t="s">
        <v>84</v>
      </c>
      <c r="P116" s="13">
        <v>23.3</v>
      </c>
      <c r="Q116" s="13">
        <v>115</v>
      </c>
      <c r="R116" s="13">
        <v>70</v>
      </c>
      <c r="S116" s="13" t="s">
        <v>106</v>
      </c>
      <c r="T116" s="13" t="s">
        <v>86</v>
      </c>
      <c r="U116" s="13" t="s">
        <v>87</v>
      </c>
      <c r="V116" s="13" t="s">
        <v>83</v>
      </c>
      <c r="W116" s="13" t="str">
        <f t="shared" si="6"/>
        <v>20-29 ans</v>
      </c>
      <c r="X116" s="13" t="str">
        <f t="shared" si="7"/>
        <v>Nullipare (0)</v>
      </c>
      <c r="Y116" s="13" t="str">
        <f t="shared" si="8"/>
        <v>4 à 7 CPN</v>
      </c>
      <c r="Z116" s="13" t="str">
        <f t="shared" si="9"/>
        <v>37 SA et plus</v>
      </c>
      <c r="AA116" s="13">
        <f t="shared" si="10"/>
        <v>48</v>
      </c>
      <c r="AB116" s="13">
        <f t="shared" si="11"/>
        <v>0</v>
      </c>
    </row>
    <row r="117" spans="1:28" x14ac:dyDescent="0.25">
      <c r="A117" s="13" t="s">
        <v>224</v>
      </c>
      <c r="B117" s="13">
        <v>18</v>
      </c>
      <c r="C117" s="13" t="s">
        <v>98</v>
      </c>
      <c r="D117" s="13" t="s">
        <v>124</v>
      </c>
      <c r="E117" s="13" t="s">
        <v>96</v>
      </c>
      <c r="F117" s="13" t="s">
        <v>94</v>
      </c>
      <c r="G117" s="13">
        <v>1</v>
      </c>
      <c r="H117" s="13">
        <v>0</v>
      </c>
      <c r="I117" s="13" t="s">
        <v>86</v>
      </c>
      <c r="J117" s="13" t="s">
        <v>83</v>
      </c>
      <c r="K117" s="13" t="s">
        <v>91</v>
      </c>
      <c r="L117" s="13" t="s">
        <v>83</v>
      </c>
      <c r="M117" s="13">
        <v>36</v>
      </c>
      <c r="N117" s="13">
        <v>3</v>
      </c>
      <c r="O117" s="13" t="s">
        <v>84</v>
      </c>
      <c r="P117" s="13">
        <v>18.600000000000001</v>
      </c>
      <c r="Q117" s="13">
        <v>105</v>
      </c>
      <c r="R117" s="13">
        <v>66</v>
      </c>
      <c r="S117" s="13" t="s">
        <v>85</v>
      </c>
      <c r="T117" s="13" t="s">
        <v>86</v>
      </c>
      <c r="U117" s="13" t="s">
        <v>87</v>
      </c>
      <c r="V117" s="13" t="s">
        <v>83</v>
      </c>
      <c r="W117" s="13" t="str">
        <f t="shared" si="6"/>
        <v>Moins de 20 ans</v>
      </c>
      <c r="X117" s="13" t="str">
        <f t="shared" si="7"/>
        <v>Nullipare (0)</v>
      </c>
      <c r="Y117" s="13" t="str">
        <f t="shared" si="8"/>
        <v>Moins de 4 CPN</v>
      </c>
      <c r="Z117" s="13" t="str">
        <f t="shared" si="9"/>
        <v>28-36 SA</v>
      </c>
      <c r="AA117" s="13">
        <f t="shared" si="10"/>
        <v>4.5</v>
      </c>
      <c r="AB117" s="13">
        <f t="shared" si="11"/>
        <v>0</v>
      </c>
    </row>
    <row r="118" spans="1:28" x14ac:dyDescent="0.25">
      <c r="A118" s="13" t="s">
        <v>225</v>
      </c>
      <c r="B118" s="13">
        <v>27</v>
      </c>
      <c r="C118" s="13" t="s">
        <v>79</v>
      </c>
      <c r="D118" s="13" t="s">
        <v>80</v>
      </c>
      <c r="E118" s="13" t="s">
        <v>112</v>
      </c>
      <c r="F118" s="13" t="s">
        <v>82</v>
      </c>
      <c r="G118" s="13">
        <v>3</v>
      </c>
      <c r="H118" s="13">
        <v>2</v>
      </c>
      <c r="I118" s="13" t="s">
        <v>83</v>
      </c>
      <c r="J118" s="13" t="s">
        <v>83</v>
      </c>
      <c r="K118" s="13" t="s">
        <v>91</v>
      </c>
      <c r="L118" s="13" t="s">
        <v>83</v>
      </c>
      <c r="M118" s="13">
        <v>41</v>
      </c>
      <c r="N118" s="13">
        <v>1</v>
      </c>
      <c r="O118" s="13" t="s">
        <v>84</v>
      </c>
      <c r="P118" s="13">
        <v>29.8</v>
      </c>
      <c r="Q118" s="13">
        <v>109</v>
      </c>
      <c r="R118" s="13">
        <v>68</v>
      </c>
      <c r="S118" s="13" t="s">
        <v>85</v>
      </c>
      <c r="T118" s="13" t="s">
        <v>86</v>
      </c>
      <c r="U118" s="13" t="s">
        <v>87</v>
      </c>
      <c r="V118" s="13" t="s">
        <v>83</v>
      </c>
      <c r="W118" s="13" t="str">
        <f t="shared" si="6"/>
        <v>20-29 ans</v>
      </c>
      <c r="X118" s="13" t="str">
        <f t="shared" si="7"/>
        <v>1-2 accouchements</v>
      </c>
      <c r="Y118" s="13" t="str">
        <f t="shared" si="8"/>
        <v>Moins de 4 CPN</v>
      </c>
      <c r="Z118" s="13" t="str">
        <f t="shared" si="9"/>
        <v>37 SA et plus</v>
      </c>
      <c r="AA118" s="13">
        <f t="shared" si="10"/>
        <v>243</v>
      </c>
      <c r="AB118" s="13">
        <f t="shared" si="11"/>
        <v>1</v>
      </c>
    </row>
    <row r="119" spans="1:28" x14ac:dyDescent="0.25">
      <c r="A119" s="13" t="s">
        <v>226</v>
      </c>
      <c r="B119" s="13">
        <v>41</v>
      </c>
      <c r="C119" s="13" t="s">
        <v>89</v>
      </c>
      <c r="D119" s="13" t="s">
        <v>93</v>
      </c>
      <c r="E119" s="13" t="s">
        <v>81</v>
      </c>
      <c r="F119" s="13" t="s">
        <v>94</v>
      </c>
      <c r="G119" s="13">
        <v>10</v>
      </c>
      <c r="H119" s="13">
        <v>8</v>
      </c>
      <c r="I119" s="13" t="s">
        <v>83</v>
      </c>
      <c r="J119" s="13" t="s">
        <v>83</v>
      </c>
      <c r="K119" s="13" t="s">
        <v>83</v>
      </c>
      <c r="L119" s="13" t="s">
        <v>83</v>
      </c>
      <c r="M119" s="13">
        <v>30</v>
      </c>
      <c r="N119" s="13">
        <v>1</v>
      </c>
      <c r="O119" s="13" t="s">
        <v>84</v>
      </c>
      <c r="P119" s="13">
        <v>28.9</v>
      </c>
      <c r="Q119" s="13">
        <v>117</v>
      </c>
      <c r="R119" s="13">
        <v>75</v>
      </c>
      <c r="S119" s="13" t="s">
        <v>85</v>
      </c>
      <c r="T119" s="13" t="s">
        <v>86</v>
      </c>
      <c r="U119" s="13" t="s">
        <v>87</v>
      </c>
      <c r="V119" s="13" t="s">
        <v>83</v>
      </c>
      <c r="W119" s="13" t="str">
        <f t="shared" si="6"/>
        <v>35 ans et plus</v>
      </c>
      <c r="X119" s="13" t="str">
        <f t="shared" si="7"/>
        <v>3 accouchements et plus</v>
      </c>
      <c r="Y119" s="13" t="str">
        <f t="shared" si="8"/>
        <v>Moins de 4 CPN</v>
      </c>
      <c r="Z119" s="13" t="str">
        <f t="shared" si="9"/>
        <v>28-36 SA</v>
      </c>
      <c r="AA119" s="13">
        <f t="shared" si="10"/>
        <v>395.5</v>
      </c>
      <c r="AB119" s="13">
        <f t="shared" si="11"/>
        <v>1</v>
      </c>
    </row>
    <row r="120" spans="1:28" x14ac:dyDescent="0.25">
      <c r="A120" s="13" t="s">
        <v>227</v>
      </c>
      <c r="B120" s="13">
        <v>23</v>
      </c>
      <c r="C120" s="13" t="s">
        <v>98</v>
      </c>
      <c r="D120" s="13" t="s">
        <v>80</v>
      </c>
      <c r="E120" s="13" t="s">
        <v>81</v>
      </c>
      <c r="F120" s="13" t="s">
        <v>82</v>
      </c>
      <c r="G120" s="13">
        <v>2</v>
      </c>
      <c r="H120" s="13">
        <v>1</v>
      </c>
      <c r="I120" s="13" t="s">
        <v>83</v>
      </c>
      <c r="J120" s="13" t="s">
        <v>83</v>
      </c>
      <c r="K120" s="13" t="s">
        <v>83</v>
      </c>
      <c r="L120" s="13" t="s">
        <v>83</v>
      </c>
      <c r="M120" s="13">
        <v>39</v>
      </c>
      <c r="N120" s="13">
        <v>4</v>
      </c>
      <c r="O120" s="13" t="s">
        <v>84</v>
      </c>
      <c r="P120" s="13">
        <v>27.6</v>
      </c>
      <c r="Q120" s="13">
        <v>126</v>
      </c>
      <c r="R120" s="13">
        <v>75</v>
      </c>
      <c r="S120" s="13" t="s">
        <v>85</v>
      </c>
      <c r="T120" s="13" t="s">
        <v>86</v>
      </c>
      <c r="U120" s="13" t="s">
        <v>87</v>
      </c>
      <c r="V120" s="13" t="s">
        <v>83</v>
      </c>
      <c r="W120" s="13" t="str">
        <f t="shared" si="6"/>
        <v>20-29 ans</v>
      </c>
      <c r="X120" s="13" t="str">
        <f t="shared" si="7"/>
        <v>1-2 accouchements</v>
      </c>
      <c r="Y120" s="13" t="str">
        <f t="shared" si="8"/>
        <v>4 à 7 CPN</v>
      </c>
      <c r="Z120" s="13" t="str">
        <f t="shared" si="9"/>
        <v>37 SA et plus</v>
      </c>
      <c r="AA120" s="13">
        <f t="shared" si="10"/>
        <v>103.5</v>
      </c>
      <c r="AB120" s="13">
        <f t="shared" si="11"/>
        <v>1</v>
      </c>
    </row>
    <row r="121" spans="1:28" x14ac:dyDescent="0.25">
      <c r="A121" s="13" t="s">
        <v>228</v>
      </c>
      <c r="B121" s="13">
        <v>23</v>
      </c>
      <c r="C121" s="13" t="s">
        <v>79</v>
      </c>
      <c r="D121" s="13" t="s">
        <v>80</v>
      </c>
      <c r="E121" s="13" t="s">
        <v>96</v>
      </c>
      <c r="F121" s="13" t="s">
        <v>82</v>
      </c>
      <c r="G121" s="13">
        <v>2</v>
      </c>
      <c r="H121" s="13">
        <v>1</v>
      </c>
      <c r="I121" s="13" t="s">
        <v>83</v>
      </c>
      <c r="J121" s="13" t="s">
        <v>91</v>
      </c>
      <c r="K121" s="13" t="s">
        <v>83</v>
      </c>
      <c r="L121" s="13" t="s">
        <v>83</v>
      </c>
      <c r="M121" s="13">
        <v>38</v>
      </c>
      <c r="N121" s="13">
        <v>5</v>
      </c>
      <c r="O121" s="13" t="s">
        <v>84</v>
      </c>
      <c r="P121" s="13">
        <v>24.6</v>
      </c>
      <c r="Q121" s="13">
        <v>155</v>
      </c>
      <c r="R121" s="13">
        <v>97</v>
      </c>
      <c r="S121" s="13" t="s">
        <v>192</v>
      </c>
      <c r="T121" s="13" t="s">
        <v>91</v>
      </c>
      <c r="U121" s="13" t="s">
        <v>107</v>
      </c>
      <c r="V121" s="13" t="s">
        <v>91</v>
      </c>
      <c r="W121" s="13" t="str">
        <f t="shared" si="6"/>
        <v>20-29 ans</v>
      </c>
      <c r="X121" s="13" t="str">
        <f t="shared" si="7"/>
        <v>1-2 accouchements</v>
      </c>
      <c r="Y121" s="13" t="str">
        <f t="shared" si="8"/>
        <v>4 à 7 CPN</v>
      </c>
      <c r="Z121" s="13" t="str">
        <f t="shared" si="9"/>
        <v>37 SA et plus</v>
      </c>
      <c r="AA121" s="13">
        <f t="shared" si="10"/>
        <v>103.5</v>
      </c>
      <c r="AB121" s="13">
        <f t="shared" si="11"/>
        <v>1</v>
      </c>
    </row>
    <row r="122" spans="1:28" x14ac:dyDescent="0.25">
      <c r="A122" s="13" t="s">
        <v>229</v>
      </c>
      <c r="B122" s="13">
        <v>29</v>
      </c>
      <c r="C122" s="13" t="s">
        <v>98</v>
      </c>
      <c r="D122" s="13" t="s">
        <v>80</v>
      </c>
      <c r="E122" s="13" t="s">
        <v>96</v>
      </c>
      <c r="F122" s="13" t="s">
        <v>82</v>
      </c>
      <c r="G122" s="13">
        <v>3</v>
      </c>
      <c r="H122" s="13">
        <v>2</v>
      </c>
      <c r="I122" s="13" t="s">
        <v>83</v>
      </c>
      <c r="J122" s="13" t="s">
        <v>83</v>
      </c>
      <c r="K122" s="13" t="s">
        <v>83</v>
      </c>
      <c r="L122" s="13" t="s">
        <v>83</v>
      </c>
      <c r="M122" s="13">
        <v>27</v>
      </c>
      <c r="N122" s="13">
        <v>2</v>
      </c>
      <c r="O122" s="13" t="s">
        <v>84</v>
      </c>
      <c r="P122" s="13">
        <v>19.399999999999999</v>
      </c>
      <c r="Q122" s="13">
        <v>106</v>
      </c>
      <c r="R122" s="13">
        <v>70</v>
      </c>
      <c r="S122" s="13" t="s">
        <v>85</v>
      </c>
      <c r="T122" s="13" t="s">
        <v>86</v>
      </c>
      <c r="U122" s="13" t="s">
        <v>87</v>
      </c>
      <c r="V122" s="13" t="s">
        <v>83</v>
      </c>
      <c r="W122" s="13" t="str">
        <f t="shared" si="6"/>
        <v>20-29 ans</v>
      </c>
      <c r="X122" s="13" t="str">
        <f t="shared" si="7"/>
        <v>1-2 accouchements</v>
      </c>
      <c r="Y122" s="13" t="str">
        <f t="shared" si="8"/>
        <v>Moins de 4 CPN</v>
      </c>
      <c r="Z122" s="13" t="str">
        <f t="shared" si="9"/>
        <v>20-27 SA</v>
      </c>
      <c r="AA122" s="13">
        <f t="shared" si="10"/>
        <v>299</v>
      </c>
      <c r="AB122" s="13">
        <f t="shared" si="11"/>
        <v>1</v>
      </c>
    </row>
    <row r="123" spans="1:28" x14ac:dyDescent="0.25">
      <c r="A123" s="13" t="s">
        <v>230</v>
      </c>
      <c r="B123" s="13">
        <v>24</v>
      </c>
      <c r="C123" s="13" t="s">
        <v>79</v>
      </c>
      <c r="D123" s="13" t="s">
        <v>80</v>
      </c>
      <c r="E123" s="13" t="s">
        <v>112</v>
      </c>
      <c r="F123" s="13" t="s">
        <v>82</v>
      </c>
      <c r="G123" s="13">
        <v>2</v>
      </c>
      <c r="H123" s="13">
        <v>1</v>
      </c>
      <c r="I123" s="13" t="s">
        <v>83</v>
      </c>
      <c r="J123" s="13" t="s">
        <v>83</v>
      </c>
      <c r="K123" s="13" t="s">
        <v>83</v>
      </c>
      <c r="L123" s="13" t="s">
        <v>83</v>
      </c>
      <c r="M123" s="13">
        <v>30</v>
      </c>
      <c r="N123" s="13">
        <v>5</v>
      </c>
      <c r="O123" s="13" t="s">
        <v>84</v>
      </c>
      <c r="Q123" s="13">
        <v>126</v>
      </c>
      <c r="R123" s="13">
        <v>72</v>
      </c>
      <c r="S123" s="13" t="s">
        <v>106</v>
      </c>
      <c r="T123" s="13" t="s">
        <v>86</v>
      </c>
      <c r="U123" s="13" t="s">
        <v>87</v>
      </c>
      <c r="V123" s="13" t="s">
        <v>83</v>
      </c>
      <c r="W123" s="13" t="str">
        <f t="shared" si="6"/>
        <v>20-29 ans</v>
      </c>
      <c r="X123" s="13" t="str">
        <f t="shared" si="7"/>
        <v>1-2 accouchements</v>
      </c>
      <c r="Y123" s="13" t="str">
        <f t="shared" si="8"/>
        <v>4 à 7 CPN</v>
      </c>
      <c r="Z123" s="13" t="str">
        <f t="shared" si="9"/>
        <v>28-36 SA</v>
      </c>
      <c r="AA123" s="13">
        <f t="shared" si="10"/>
        <v>139.5</v>
      </c>
      <c r="AB123" s="13">
        <f t="shared" si="11"/>
        <v>1</v>
      </c>
    </row>
    <row r="124" spans="1:28" x14ac:dyDescent="0.25">
      <c r="A124" s="13" t="s">
        <v>231</v>
      </c>
      <c r="B124" s="13">
        <v>32</v>
      </c>
      <c r="C124" s="13" t="s">
        <v>98</v>
      </c>
      <c r="D124" s="13" t="s">
        <v>80</v>
      </c>
      <c r="E124" s="13" t="s">
        <v>96</v>
      </c>
      <c r="F124" s="13" t="s">
        <v>82</v>
      </c>
      <c r="G124" s="13">
        <v>2</v>
      </c>
      <c r="H124" s="13">
        <v>1</v>
      </c>
      <c r="I124" s="13" t="s">
        <v>83</v>
      </c>
      <c r="J124" s="13" t="s">
        <v>83</v>
      </c>
      <c r="K124" s="13" t="s">
        <v>91</v>
      </c>
      <c r="L124" s="13" t="s">
        <v>83</v>
      </c>
      <c r="M124" s="13">
        <v>40</v>
      </c>
      <c r="N124" s="13">
        <v>5</v>
      </c>
      <c r="O124" s="13" t="s">
        <v>84</v>
      </c>
      <c r="P124" s="13">
        <v>29.1</v>
      </c>
      <c r="Q124" s="13">
        <v>115</v>
      </c>
      <c r="R124" s="13">
        <v>71</v>
      </c>
      <c r="S124" s="13" t="s">
        <v>85</v>
      </c>
      <c r="T124" s="13" t="s">
        <v>86</v>
      </c>
      <c r="U124" s="13" t="s">
        <v>87</v>
      </c>
      <c r="V124" s="13" t="s">
        <v>83</v>
      </c>
      <c r="W124" s="13" t="str">
        <f t="shared" si="6"/>
        <v>30-34 ans</v>
      </c>
      <c r="X124" s="13" t="str">
        <f t="shared" si="7"/>
        <v>1-2 accouchements</v>
      </c>
      <c r="Y124" s="13" t="str">
        <f t="shared" si="8"/>
        <v>4 à 7 CPN</v>
      </c>
      <c r="Z124" s="13" t="str">
        <f t="shared" si="9"/>
        <v>37 SA et plus</v>
      </c>
      <c r="AA124" s="13">
        <f t="shared" si="10"/>
        <v>347.5</v>
      </c>
      <c r="AB124" s="13">
        <f t="shared" si="11"/>
        <v>1</v>
      </c>
    </row>
    <row r="125" spans="1:28" x14ac:dyDescent="0.25">
      <c r="A125" s="13" t="s">
        <v>232</v>
      </c>
      <c r="B125" s="13">
        <v>27</v>
      </c>
      <c r="C125" s="13" t="s">
        <v>79</v>
      </c>
      <c r="D125" s="13" t="s">
        <v>80</v>
      </c>
      <c r="E125" s="13" t="s">
        <v>96</v>
      </c>
      <c r="F125" s="13" t="s">
        <v>82</v>
      </c>
      <c r="G125" s="13">
        <v>3</v>
      </c>
      <c r="H125" s="13">
        <v>2</v>
      </c>
      <c r="I125" s="13" t="s">
        <v>83</v>
      </c>
      <c r="J125" s="13" t="s">
        <v>83</v>
      </c>
      <c r="K125" s="13" t="s">
        <v>83</v>
      </c>
      <c r="L125" s="13" t="s">
        <v>83</v>
      </c>
      <c r="M125" s="13">
        <v>34</v>
      </c>
      <c r="N125" s="13">
        <v>4</v>
      </c>
      <c r="O125" s="13" t="s">
        <v>84</v>
      </c>
      <c r="P125" s="13">
        <v>23.8</v>
      </c>
      <c r="Q125" s="13">
        <v>130</v>
      </c>
      <c r="R125" s="13">
        <v>96</v>
      </c>
      <c r="S125" s="13" t="s">
        <v>118</v>
      </c>
      <c r="T125" s="13" t="s">
        <v>83</v>
      </c>
      <c r="U125" s="13" t="s">
        <v>114</v>
      </c>
      <c r="V125" s="13" t="s">
        <v>91</v>
      </c>
      <c r="W125" s="13" t="str">
        <f t="shared" si="6"/>
        <v>20-29 ans</v>
      </c>
      <c r="X125" s="13" t="str">
        <f t="shared" si="7"/>
        <v>1-2 accouchements</v>
      </c>
      <c r="Y125" s="13" t="str">
        <f t="shared" si="8"/>
        <v>4 à 7 CPN</v>
      </c>
      <c r="Z125" s="13" t="str">
        <f t="shared" si="9"/>
        <v>28-36 SA</v>
      </c>
      <c r="AA125" s="13">
        <f t="shared" si="10"/>
        <v>243</v>
      </c>
      <c r="AB125" s="13">
        <f t="shared" si="11"/>
        <v>1</v>
      </c>
    </row>
    <row r="126" spans="1:28" x14ac:dyDescent="0.25">
      <c r="A126" s="13" t="s">
        <v>233</v>
      </c>
      <c r="B126" s="13">
        <v>27</v>
      </c>
      <c r="C126" s="13" t="s">
        <v>79</v>
      </c>
      <c r="D126" s="13" t="s">
        <v>80</v>
      </c>
      <c r="E126" s="13" t="s">
        <v>96</v>
      </c>
      <c r="F126" s="13" t="s">
        <v>94</v>
      </c>
      <c r="G126" s="13">
        <v>2</v>
      </c>
      <c r="H126" s="13">
        <v>1</v>
      </c>
      <c r="I126" s="13" t="s">
        <v>83</v>
      </c>
      <c r="J126" s="13" t="s">
        <v>83</v>
      </c>
      <c r="K126" s="13" t="s">
        <v>83</v>
      </c>
      <c r="L126" s="13" t="s">
        <v>83</v>
      </c>
      <c r="M126" s="13">
        <v>37</v>
      </c>
      <c r="N126" s="13">
        <v>4</v>
      </c>
      <c r="O126" s="13" t="s">
        <v>84</v>
      </c>
      <c r="P126" s="13">
        <v>26.1</v>
      </c>
      <c r="Q126" s="13">
        <v>111</v>
      </c>
      <c r="R126" s="13">
        <v>70</v>
      </c>
      <c r="S126" s="13" t="s">
        <v>85</v>
      </c>
      <c r="T126" s="13" t="s">
        <v>86</v>
      </c>
      <c r="U126" s="13" t="s">
        <v>87</v>
      </c>
      <c r="V126" s="13" t="s">
        <v>83</v>
      </c>
      <c r="W126" s="13" t="str">
        <f t="shared" si="6"/>
        <v>20-29 ans</v>
      </c>
      <c r="X126" s="13" t="str">
        <f t="shared" si="7"/>
        <v>1-2 accouchements</v>
      </c>
      <c r="Y126" s="13" t="str">
        <f t="shared" si="8"/>
        <v>4 à 7 CPN</v>
      </c>
      <c r="Z126" s="13" t="str">
        <f t="shared" si="9"/>
        <v>37 SA et plus</v>
      </c>
      <c r="AA126" s="13">
        <f t="shared" si="10"/>
        <v>243</v>
      </c>
      <c r="AB126" s="13">
        <f t="shared" si="11"/>
        <v>1</v>
      </c>
    </row>
    <row r="127" spans="1:28" x14ac:dyDescent="0.25">
      <c r="A127" s="13" t="s">
        <v>234</v>
      </c>
      <c r="B127" s="13">
        <v>29</v>
      </c>
      <c r="C127" s="13" t="s">
        <v>79</v>
      </c>
      <c r="D127" s="13" t="s">
        <v>93</v>
      </c>
      <c r="E127" s="13" t="s">
        <v>81</v>
      </c>
      <c r="F127" s="13" t="s">
        <v>94</v>
      </c>
      <c r="G127" s="13">
        <v>6</v>
      </c>
      <c r="H127" s="13">
        <v>5</v>
      </c>
      <c r="I127" s="13" t="s">
        <v>83</v>
      </c>
      <c r="J127" s="13" t="s">
        <v>83</v>
      </c>
      <c r="K127" s="13" t="s">
        <v>83</v>
      </c>
      <c r="L127" s="13" t="s">
        <v>83</v>
      </c>
      <c r="M127" s="13">
        <v>33</v>
      </c>
      <c r="N127" s="13">
        <v>3</v>
      </c>
      <c r="O127" s="13" t="s">
        <v>84</v>
      </c>
      <c r="P127" s="13">
        <v>24.6</v>
      </c>
      <c r="Q127" s="13">
        <v>93</v>
      </c>
      <c r="R127" s="13">
        <v>55</v>
      </c>
      <c r="S127" s="13" t="s">
        <v>85</v>
      </c>
      <c r="T127" s="13" t="s">
        <v>86</v>
      </c>
      <c r="U127" s="13" t="s">
        <v>87</v>
      </c>
      <c r="V127" s="13" t="s">
        <v>83</v>
      </c>
      <c r="W127" s="13" t="str">
        <f t="shared" si="6"/>
        <v>20-29 ans</v>
      </c>
      <c r="X127" s="13" t="str">
        <f t="shared" si="7"/>
        <v>3 accouchements et plus</v>
      </c>
      <c r="Y127" s="13" t="str">
        <f t="shared" si="8"/>
        <v>Moins de 4 CPN</v>
      </c>
      <c r="Z127" s="13" t="str">
        <f t="shared" si="9"/>
        <v>28-36 SA</v>
      </c>
      <c r="AA127" s="13">
        <f t="shared" si="10"/>
        <v>299</v>
      </c>
      <c r="AB127" s="13">
        <f t="shared" si="11"/>
        <v>1</v>
      </c>
    </row>
    <row r="128" spans="1:28" x14ac:dyDescent="0.25">
      <c r="A128" s="13" t="s">
        <v>235</v>
      </c>
      <c r="B128" s="13">
        <v>22</v>
      </c>
      <c r="C128" s="13" t="s">
        <v>79</v>
      </c>
      <c r="E128" s="13" t="s">
        <v>96</v>
      </c>
      <c r="F128" s="13" t="s">
        <v>82</v>
      </c>
      <c r="G128" s="13">
        <v>1</v>
      </c>
      <c r="H128" s="13">
        <v>0</v>
      </c>
      <c r="I128" s="13" t="s">
        <v>86</v>
      </c>
      <c r="J128" s="13" t="s">
        <v>83</v>
      </c>
      <c r="K128" s="13" t="s">
        <v>83</v>
      </c>
      <c r="L128" s="13" t="s">
        <v>83</v>
      </c>
      <c r="M128" s="13">
        <v>36</v>
      </c>
      <c r="N128" s="13">
        <v>2</v>
      </c>
      <c r="O128" s="13" t="s">
        <v>84</v>
      </c>
      <c r="P128" s="13">
        <v>22.1</v>
      </c>
      <c r="Q128" s="13">
        <v>119</v>
      </c>
      <c r="R128" s="13">
        <v>67</v>
      </c>
      <c r="S128" s="13" t="s">
        <v>85</v>
      </c>
      <c r="T128" s="13" t="s">
        <v>86</v>
      </c>
      <c r="U128" s="13" t="s">
        <v>87</v>
      </c>
      <c r="V128" s="13" t="s">
        <v>83</v>
      </c>
      <c r="W128" s="13" t="str">
        <f t="shared" si="6"/>
        <v>20-29 ans</v>
      </c>
      <c r="X128" s="13" t="str">
        <f t="shared" si="7"/>
        <v>Nullipare (0)</v>
      </c>
      <c r="Y128" s="13" t="str">
        <f t="shared" si="8"/>
        <v>Moins de 4 CPN</v>
      </c>
      <c r="Z128" s="13" t="str">
        <f t="shared" si="9"/>
        <v>28-36 SA</v>
      </c>
      <c r="AA128" s="13">
        <f t="shared" si="10"/>
        <v>70</v>
      </c>
      <c r="AB128" s="13">
        <f t="shared" si="11"/>
        <v>0</v>
      </c>
    </row>
    <row r="129" spans="1:28" x14ac:dyDescent="0.25">
      <c r="A129" s="13" t="s">
        <v>236</v>
      </c>
      <c r="B129" s="13">
        <v>27</v>
      </c>
      <c r="C129" s="13" t="s">
        <v>89</v>
      </c>
      <c r="D129" s="13" t="s">
        <v>93</v>
      </c>
      <c r="E129" s="13" t="s">
        <v>101</v>
      </c>
      <c r="F129" s="13" t="s">
        <v>94</v>
      </c>
      <c r="G129" s="13">
        <v>2</v>
      </c>
      <c r="H129" s="13">
        <v>1</v>
      </c>
      <c r="I129" s="13" t="s">
        <v>83</v>
      </c>
      <c r="J129" s="13" t="s">
        <v>83</v>
      </c>
      <c r="K129" s="13" t="s">
        <v>83</v>
      </c>
      <c r="L129" s="13" t="s">
        <v>83</v>
      </c>
      <c r="M129" s="13">
        <v>30</v>
      </c>
      <c r="N129" s="13">
        <v>2</v>
      </c>
      <c r="O129" s="13" t="s">
        <v>84</v>
      </c>
      <c r="P129" s="13">
        <v>22.7</v>
      </c>
      <c r="Q129" s="13">
        <v>106</v>
      </c>
      <c r="R129" s="13">
        <v>71</v>
      </c>
      <c r="S129" s="13" t="s">
        <v>85</v>
      </c>
      <c r="T129" s="13" t="s">
        <v>86</v>
      </c>
      <c r="U129" s="13" t="s">
        <v>87</v>
      </c>
      <c r="V129" s="13" t="s">
        <v>83</v>
      </c>
      <c r="W129" s="13" t="str">
        <f t="shared" si="6"/>
        <v>20-29 ans</v>
      </c>
      <c r="X129" s="13" t="str">
        <f t="shared" si="7"/>
        <v>1-2 accouchements</v>
      </c>
      <c r="Y129" s="13" t="str">
        <f t="shared" si="8"/>
        <v>Moins de 4 CPN</v>
      </c>
      <c r="Z129" s="13" t="str">
        <f t="shared" si="9"/>
        <v>28-36 SA</v>
      </c>
      <c r="AA129" s="13">
        <f t="shared" si="10"/>
        <v>243</v>
      </c>
      <c r="AB129" s="13">
        <f t="shared" si="11"/>
        <v>1</v>
      </c>
    </row>
    <row r="130" spans="1:28" x14ac:dyDescent="0.25">
      <c r="A130" s="13" t="s">
        <v>237</v>
      </c>
      <c r="B130" s="13">
        <v>27</v>
      </c>
      <c r="C130" s="13" t="s">
        <v>79</v>
      </c>
      <c r="D130" s="13" t="s">
        <v>80</v>
      </c>
      <c r="E130" s="13" t="s">
        <v>81</v>
      </c>
      <c r="F130" s="13" t="s">
        <v>82</v>
      </c>
      <c r="G130" s="13">
        <v>4</v>
      </c>
      <c r="H130" s="13">
        <v>3</v>
      </c>
      <c r="I130" s="13" t="s">
        <v>83</v>
      </c>
      <c r="J130" s="13" t="s">
        <v>83</v>
      </c>
      <c r="K130" s="13" t="s">
        <v>83</v>
      </c>
      <c r="L130" s="13" t="s">
        <v>83</v>
      </c>
      <c r="M130" s="13">
        <v>35</v>
      </c>
      <c r="N130" s="13">
        <v>1</v>
      </c>
      <c r="O130" s="13" t="s">
        <v>84</v>
      </c>
      <c r="P130" s="13">
        <v>23.2</v>
      </c>
      <c r="Q130" s="13">
        <v>106</v>
      </c>
      <c r="R130" s="13">
        <v>68</v>
      </c>
      <c r="S130" s="13" t="s">
        <v>85</v>
      </c>
      <c r="T130" s="13" t="s">
        <v>86</v>
      </c>
      <c r="U130" s="13" t="s">
        <v>87</v>
      </c>
      <c r="V130" s="13" t="s">
        <v>83</v>
      </c>
      <c r="W130" s="13" t="str">
        <f t="shared" ref="W130:W193" si="12">IF(B130="","",IF(B130&lt;=19,"Moins de 20 ans",IF(B130&lt;=29,"20-29 ans",IF(B130&lt;=34,"30-34 ans","35 ans et plus"))))</f>
        <v>20-29 ans</v>
      </c>
      <c r="X130" s="13" t="str">
        <f t="shared" ref="X130:X193" si="13">IF(H130="","",IF(H130=0,"Nullipare (0)",IF(H130&lt;=2,"1-2 accouchements","3 accouchements et plus")))</f>
        <v>3 accouchements et plus</v>
      </c>
      <c r="Y130" s="13" t="str">
        <f t="shared" ref="Y130:Y193" si="14">IF(N130="","",IF(N130&lt;=3,"Moins de 4 CPN",IF(N130&lt;=7,"4 à 7 CPN","8 CPN et plus")))</f>
        <v>Moins de 4 CPN</v>
      </c>
      <c r="Z130" s="13" t="str">
        <f t="shared" ref="Z130:Z193" si="15">IF(M130="","",IF(M130&lt;=27,"20-27 SA",IF(M130&lt;=36,"28-36 SA","37 SA et plus")))</f>
        <v>28-36 SA</v>
      </c>
      <c r="AA130" s="13">
        <f t="shared" ref="AA130:AA193" si="16">RANK(B130,$B$2:$B$401,1)+(COUNTIF($B$2:$B$401,B130)-1)/2</f>
        <v>243</v>
      </c>
      <c r="AB130" s="13">
        <f t="shared" ref="AB130:AB193" si="17">IF(AND(H130&gt;=1,OR(I130="Oui",I130="Non")),1,0)</f>
        <v>1</v>
      </c>
    </row>
    <row r="131" spans="1:28" x14ac:dyDescent="0.25">
      <c r="A131" s="13" t="s">
        <v>238</v>
      </c>
      <c r="B131" s="13">
        <v>36</v>
      </c>
      <c r="C131" s="13" t="s">
        <v>79</v>
      </c>
      <c r="D131" s="13" t="s">
        <v>93</v>
      </c>
      <c r="E131" s="13" t="s">
        <v>96</v>
      </c>
      <c r="F131" s="13" t="s">
        <v>82</v>
      </c>
      <c r="G131" s="13">
        <v>4</v>
      </c>
      <c r="H131" s="13">
        <v>3</v>
      </c>
      <c r="I131" s="13" t="s">
        <v>83</v>
      </c>
      <c r="J131" s="13" t="s">
        <v>83</v>
      </c>
      <c r="K131" s="13" t="s">
        <v>83</v>
      </c>
      <c r="L131" s="13" t="s">
        <v>83</v>
      </c>
      <c r="M131" s="13">
        <v>34</v>
      </c>
      <c r="N131" s="13">
        <v>2</v>
      </c>
      <c r="O131" s="13" t="s">
        <v>84</v>
      </c>
      <c r="P131" s="13">
        <v>25.3</v>
      </c>
      <c r="Q131" s="13">
        <v>98</v>
      </c>
      <c r="R131" s="13">
        <v>70</v>
      </c>
      <c r="S131" s="13" t="s">
        <v>85</v>
      </c>
      <c r="T131" s="13" t="s">
        <v>86</v>
      </c>
      <c r="U131" s="13" t="s">
        <v>87</v>
      </c>
      <c r="V131" s="13" t="s">
        <v>83</v>
      </c>
      <c r="W131" s="13" t="str">
        <f t="shared" si="12"/>
        <v>35 ans et plus</v>
      </c>
      <c r="X131" s="13" t="str">
        <f t="shared" si="13"/>
        <v>3 accouchements et plus</v>
      </c>
      <c r="Y131" s="13" t="str">
        <f t="shared" si="14"/>
        <v>Moins de 4 CPN</v>
      </c>
      <c r="Z131" s="13" t="str">
        <f t="shared" si="15"/>
        <v>28-36 SA</v>
      </c>
      <c r="AA131" s="13">
        <f t="shared" si="16"/>
        <v>383</v>
      </c>
      <c r="AB131" s="13">
        <f t="shared" si="17"/>
        <v>1</v>
      </c>
    </row>
    <row r="132" spans="1:28" x14ac:dyDescent="0.25">
      <c r="A132" s="13" t="s">
        <v>239</v>
      </c>
      <c r="B132" s="13">
        <v>31</v>
      </c>
      <c r="C132" s="13" t="s">
        <v>79</v>
      </c>
      <c r="D132" s="13" t="s">
        <v>80</v>
      </c>
      <c r="E132" s="13" t="s">
        <v>81</v>
      </c>
      <c r="F132" s="13" t="s">
        <v>82</v>
      </c>
      <c r="G132" s="13">
        <v>3</v>
      </c>
      <c r="H132" s="13">
        <v>2</v>
      </c>
      <c r="I132" s="13" t="s">
        <v>83</v>
      </c>
      <c r="J132" s="13" t="s">
        <v>83</v>
      </c>
      <c r="K132" s="13" t="s">
        <v>83</v>
      </c>
      <c r="L132" s="13" t="s">
        <v>83</v>
      </c>
      <c r="M132" s="13">
        <v>36</v>
      </c>
      <c r="N132" s="13">
        <v>3</v>
      </c>
      <c r="O132" s="13" t="s">
        <v>84</v>
      </c>
      <c r="P132" s="13">
        <v>23.7</v>
      </c>
      <c r="Q132" s="13">
        <v>109</v>
      </c>
      <c r="R132" s="13">
        <v>65</v>
      </c>
      <c r="S132" s="13" t="s">
        <v>85</v>
      </c>
      <c r="T132" s="13" t="s">
        <v>86</v>
      </c>
      <c r="U132" s="13" t="s">
        <v>87</v>
      </c>
      <c r="V132" s="13" t="s">
        <v>83</v>
      </c>
      <c r="W132" s="13" t="str">
        <f t="shared" si="12"/>
        <v>30-34 ans</v>
      </c>
      <c r="X132" s="13" t="str">
        <f t="shared" si="13"/>
        <v>1-2 accouchements</v>
      </c>
      <c r="Y132" s="13" t="str">
        <f t="shared" si="14"/>
        <v>Moins de 4 CPN</v>
      </c>
      <c r="Z132" s="13" t="str">
        <f t="shared" si="15"/>
        <v>28-36 SA</v>
      </c>
      <c r="AA132" s="13">
        <f t="shared" si="16"/>
        <v>334.5</v>
      </c>
      <c r="AB132" s="13">
        <f t="shared" si="17"/>
        <v>1</v>
      </c>
    </row>
    <row r="133" spans="1:28" x14ac:dyDescent="0.25">
      <c r="A133" s="13" t="s">
        <v>240</v>
      </c>
      <c r="B133" s="13">
        <v>24</v>
      </c>
      <c r="C133" s="13" t="s">
        <v>79</v>
      </c>
      <c r="D133" s="13" t="s">
        <v>80</v>
      </c>
      <c r="E133" s="13" t="s">
        <v>81</v>
      </c>
      <c r="F133" s="13" t="s">
        <v>82</v>
      </c>
      <c r="G133" s="13">
        <v>2</v>
      </c>
      <c r="H133" s="13">
        <v>1</v>
      </c>
      <c r="I133" s="13" t="s">
        <v>83</v>
      </c>
      <c r="J133" s="13" t="s">
        <v>83</v>
      </c>
      <c r="K133" s="13" t="s">
        <v>83</v>
      </c>
      <c r="L133" s="13" t="s">
        <v>91</v>
      </c>
      <c r="M133" s="13">
        <v>35</v>
      </c>
      <c r="N133" s="13">
        <v>5</v>
      </c>
      <c r="O133" s="13" t="s">
        <v>84</v>
      </c>
      <c r="P133" s="13">
        <v>21.4</v>
      </c>
      <c r="Q133" s="13">
        <v>133</v>
      </c>
      <c r="R133" s="13">
        <v>78</v>
      </c>
      <c r="S133" s="13" t="s">
        <v>85</v>
      </c>
      <c r="T133" s="13" t="s">
        <v>86</v>
      </c>
      <c r="U133" s="13" t="s">
        <v>87</v>
      </c>
      <c r="V133" s="13" t="s">
        <v>83</v>
      </c>
      <c r="W133" s="13" t="str">
        <f t="shared" si="12"/>
        <v>20-29 ans</v>
      </c>
      <c r="X133" s="13" t="str">
        <f t="shared" si="13"/>
        <v>1-2 accouchements</v>
      </c>
      <c r="Y133" s="13" t="str">
        <f t="shared" si="14"/>
        <v>4 à 7 CPN</v>
      </c>
      <c r="Z133" s="13" t="str">
        <f t="shared" si="15"/>
        <v>28-36 SA</v>
      </c>
      <c r="AA133" s="13">
        <f t="shared" si="16"/>
        <v>139.5</v>
      </c>
      <c r="AB133" s="13">
        <f t="shared" si="17"/>
        <v>1</v>
      </c>
    </row>
    <row r="134" spans="1:28" x14ac:dyDescent="0.25">
      <c r="A134" s="13" t="s">
        <v>241</v>
      </c>
      <c r="B134" s="13">
        <v>21</v>
      </c>
      <c r="C134" s="13" t="s">
        <v>79</v>
      </c>
      <c r="D134" s="13" t="s">
        <v>109</v>
      </c>
      <c r="E134" s="13" t="s">
        <v>81</v>
      </c>
      <c r="F134" s="13" t="s">
        <v>94</v>
      </c>
      <c r="G134" s="13">
        <v>2</v>
      </c>
      <c r="H134" s="13">
        <v>1</v>
      </c>
      <c r="I134" s="13" t="s">
        <v>83</v>
      </c>
      <c r="J134" s="13" t="s">
        <v>83</v>
      </c>
      <c r="K134" s="13" t="s">
        <v>83</v>
      </c>
      <c r="L134" s="13" t="s">
        <v>83</v>
      </c>
      <c r="M134" s="13">
        <v>39</v>
      </c>
      <c r="N134" s="13">
        <v>3</v>
      </c>
      <c r="O134" s="13" t="s">
        <v>146</v>
      </c>
      <c r="P134" s="13">
        <v>19.600000000000001</v>
      </c>
      <c r="Q134" s="13">
        <v>102</v>
      </c>
      <c r="R134" s="13">
        <v>68</v>
      </c>
      <c r="S134" s="13" t="s">
        <v>85</v>
      </c>
      <c r="T134" s="13" t="s">
        <v>86</v>
      </c>
      <c r="U134" s="13" t="s">
        <v>87</v>
      </c>
      <c r="V134" s="13" t="s">
        <v>83</v>
      </c>
      <c r="W134" s="13" t="str">
        <f t="shared" si="12"/>
        <v>20-29 ans</v>
      </c>
      <c r="X134" s="13" t="str">
        <f t="shared" si="13"/>
        <v>1-2 accouchements</v>
      </c>
      <c r="Y134" s="13" t="str">
        <f t="shared" si="14"/>
        <v>Moins de 4 CPN</v>
      </c>
      <c r="Z134" s="13" t="str">
        <f t="shared" si="15"/>
        <v>37 SA et plus</v>
      </c>
      <c r="AA134" s="13">
        <f t="shared" si="16"/>
        <v>48</v>
      </c>
      <c r="AB134" s="13">
        <f t="shared" si="17"/>
        <v>1</v>
      </c>
    </row>
    <row r="135" spans="1:28" x14ac:dyDescent="0.25">
      <c r="A135" s="13" t="s">
        <v>242</v>
      </c>
      <c r="B135" s="13">
        <v>17</v>
      </c>
      <c r="C135" s="13" t="s">
        <v>79</v>
      </c>
      <c r="D135" s="13" t="s">
        <v>80</v>
      </c>
      <c r="E135" s="13" t="s">
        <v>90</v>
      </c>
      <c r="F135" s="13" t="s">
        <v>82</v>
      </c>
      <c r="G135" s="13">
        <v>2</v>
      </c>
      <c r="H135" s="13">
        <v>0</v>
      </c>
      <c r="I135" s="13" t="s">
        <v>86</v>
      </c>
      <c r="J135" s="13" t="s">
        <v>91</v>
      </c>
      <c r="K135" s="13" t="s">
        <v>83</v>
      </c>
      <c r="L135" s="13" t="s">
        <v>83</v>
      </c>
      <c r="M135" s="13">
        <v>39</v>
      </c>
      <c r="N135" s="13">
        <v>5</v>
      </c>
      <c r="O135" s="13" t="s">
        <v>84</v>
      </c>
      <c r="Q135" s="13">
        <v>151</v>
      </c>
      <c r="R135" s="13">
        <v>95</v>
      </c>
      <c r="S135" s="13" t="s">
        <v>192</v>
      </c>
      <c r="T135" s="13" t="s">
        <v>91</v>
      </c>
      <c r="U135" s="13" t="s">
        <v>107</v>
      </c>
      <c r="V135" s="13" t="s">
        <v>91</v>
      </c>
      <c r="W135" s="13" t="str">
        <f t="shared" si="12"/>
        <v>Moins de 20 ans</v>
      </c>
      <c r="X135" s="13" t="str">
        <f t="shared" si="13"/>
        <v>Nullipare (0)</v>
      </c>
      <c r="Y135" s="13" t="str">
        <f t="shared" si="14"/>
        <v>4 à 7 CPN</v>
      </c>
      <c r="Z135" s="13" t="str">
        <f t="shared" si="15"/>
        <v>37 SA et plus</v>
      </c>
      <c r="AA135" s="13">
        <f t="shared" si="16"/>
        <v>1</v>
      </c>
      <c r="AB135" s="13">
        <f t="shared" si="17"/>
        <v>0</v>
      </c>
    </row>
    <row r="136" spans="1:28" x14ac:dyDescent="0.25">
      <c r="A136" s="13" t="s">
        <v>243</v>
      </c>
      <c r="B136" s="13">
        <v>30</v>
      </c>
      <c r="C136" s="13" t="s">
        <v>79</v>
      </c>
      <c r="D136" s="13" t="s">
        <v>93</v>
      </c>
      <c r="E136" s="13" t="s">
        <v>96</v>
      </c>
      <c r="F136" s="13" t="s">
        <v>82</v>
      </c>
      <c r="G136" s="13">
        <v>2</v>
      </c>
      <c r="H136" s="13">
        <v>1</v>
      </c>
      <c r="I136" s="13" t="s">
        <v>83</v>
      </c>
      <c r="J136" s="13" t="s">
        <v>83</v>
      </c>
      <c r="K136" s="13" t="s">
        <v>91</v>
      </c>
      <c r="L136" s="13" t="s">
        <v>83</v>
      </c>
      <c r="M136" s="13">
        <v>29</v>
      </c>
      <c r="N136" s="13">
        <v>4</v>
      </c>
      <c r="O136" s="13" t="s">
        <v>84</v>
      </c>
      <c r="P136" s="13">
        <v>26.3</v>
      </c>
      <c r="Q136" s="13">
        <v>142</v>
      </c>
      <c r="R136" s="13">
        <v>98</v>
      </c>
      <c r="S136" s="13" t="s">
        <v>85</v>
      </c>
      <c r="T136" s="13" t="s">
        <v>86</v>
      </c>
      <c r="U136" s="13" t="s">
        <v>110</v>
      </c>
      <c r="V136" s="13" t="s">
        <v>83</v>
      </c>
      <c r="W136" s="13" t="str">
        <f t="shared" si="12"/>
        <v>30-34 ans</v>
      </c>
      <c r="X136" s="13" t="str">
        <f t="shared" si="13"/>
        <v>1-2 accouchements</v>
      </c>
      <c r="Y136" s="13" t="str">
        <f t="shared" si="14"/>
        <v>4 à 7 CPN</v>
      </c>
      <c r="Z136" s="13" t="str">
        <f t="shared" si="15"/>
        <v>28-36 SA</v>
      </c>
      <c r="AA136" s="13">
        <f t="shared" si="16"/>
        <v>319.5</v>
      </c>
      <c r="AB136" s="13">
        <f t="shared" si="17"/>
        <v>1</v>
      </c>
    </row>
    <row r="137" spans="1:28" x14ac:dyDescent="0.25">
      <c r="A137" s="13" t="s">
        <v>244</v>
      </c>
      <c r="B137" s="13">
        <v>27</v>
      </c>
      <c r="C137" s="13" t="s">
        <v>79</v>
      </c>
      <c r="D137" s="13" t="s">
        <v>93</v>
      </c>
      <c r="E137" s="13" t="s">
        <v>81</v>
      </c>
      <c r="F137" s="13" t="s">
        <v>82</v>
      </c>
      <c r="G137" s="13">
        <v>2</v>
      </c>
      <c r="H137" s="13">
        <v>1</v>
      </c>
      <c r="J137" s="13" t="s">
        <v>83</v>
      </c>
      <c r="K137" s="13" t="s">
        <v>83</v>
      </c>
      <c r="L137" s="13" t="s">
        <v>83</v>
      </c>
      <c r="M137" s="13">
        <v>31</v>
      </c>
      <c r="N137" s="13">
        <v>7</v>
      </c>
      <c r="O137" s="13" t="s">
        <v>84</v>
      </c>
      <c r="P137" s="13">
        <v>26.8</v>
      </c>
      <c r="Q137" s="13">
        <v>142</v>
      </c>
      <c r="R137" s="13">
        <v>88</v>
      </c>
      <c r="S137" s="13" t="s">
        <v>85</v>
      </c>
      <c r="T137" s="13" t="s">
        <v>86</v>
      </c>
      <c r="U137" s="13" t="s">
        <v>110</v>
      </c>
      <c r="V137" s="13" t="s">
        <v>83</v>
      </c>
      <c r="W137" s="13" t="str">
        <f t="shared" si="12"/>
        <v>20-29 ans</v>
      </c>
      <c r="X137" s="13" t="str">
        <f t="shared" si="13"/>
        <v>1-2 accouchements</v>
      </c>
      <c r="Y137" s="13" t="str">
        <f t="shared" si="14"/>
        <v>4 à 7 CPN</v>
      </c>
      <c r="Z137" s="13" t="str">
        <f t="shared" si="15"/>
        <v>28-36 SA</v>
      </c>
      <c r="AA137" s="13">
        <f t="shared" si="16"/>
        <v>243</v>
      </c>
      <c r="AB137" s="13">
        <f t="shared" si="17"/>
        <v>0</v>
      </c>
    </row>
    <row r="138" spans="1:28" x14ac:dyDescent="0.25">
      <c r="A138" s="13" t="s">
        <v>245</v>
      </c>
      <c r="B138" s="13">
        <v>19</v>
      </c>
      <c r="C138" s="13" t="s">
        <v>98</v>
      </c>
      <c r="D138" s="13" t="s">
        <v>93</v>
      </c>
      <c r="E138" s="13" t="s">
        <v>112</v>
      </c>
      <c r="F138" s="13" t="s">
        <v>82</v>
      </c>
      <c r="G138" s="13">
        <v>1</v>
      </c>
      <c r="H138" s="13">
        <v>0</v>
      </c>
      <c r="I138" s="13" t="s">
        <v>86</v>
      </c>
      <c r="J138" s="13" t="s">
        <v>83</v>
      </c>
      <c r="K138" s="13" t="s">
        <v>83</v>
      </c>
      <c r="L138" s="13" t="s">
        <v>83</v>
      </c>
      <c r="M138" s="13">
        <v>40</v>
      </c>
      <c r="N138" s="13">
        <v>4</v>
      </c>
      <c r="O138" s="13" t="s">
        <v>84</v>
      </c>
      <c r="P138" s="13">
        <v>24.9</v>
      </c>
      <c r="Q138" s="13">
        <v>118</v>
      </c>
      <c r="R138" s="13">
        <v>69</v>
      </c>
      <c r="S138" s="13" t="s">
        <v>85</v>
      </c>
      <c r="T138" s="13" t="s">
        <v>86</v>
      </c>
      <c r="U138" s="13" t="s">
        <v>87</v>
      </c>
      <c r="V138" s="13" t="s">
        <v>83</v>
      </c>
      <c r="W138" s="13" t="str">
        <f t="shared" si="12"/>
        <v>Moins de 20 ans</v>
      </c>
      <c r="X138" s="13" t="str">
        <f t="shared" si="13"/>
        <v>Nullipare (0)</v>
      </c>
      <c r="Y138" s="13" t="str">
        <f t="shared" si="14"/>
        <v>4 à 7 CPN</v>
      </c>
      <c r="Z138" s="13" t="str">
        <f t="shared" si="15"/>
        <v>37 SA et plus</v>
      </c>
      <c r="AA138" s="13">
        <f t="shared" si="16"/>
        <v>14.5</v>
      </c>
      <c r="AB138" s="13">
        <f t="shared" si="17"/>
        <v>0</v>
      </c>
    </row>
    <row r="139" spans="1:28" x14ac:dyDescent="0.25">
      <c r="A139" s="13" t="s">
        <v>246</v>
      </c>
      <c r="B139" s="13">
        <v>27</v>
      </c>
      <c r="C139" s="13" t="s">
        <v>79</v>
      </c>
      <c r="D139" s="13" t="s">
        <v>124</v>
      </c>
      <c r="E139" s="13" t="s">
        <v>112</v>
      </c>
      <c r="F139" s="13" t="s">
        <v>94</v>
      </c>
      <c r="G139" s="13">
        <v>3</v>
      </c>
      <c r="H139" s="13">
        <v>2</v>
      </c>
      <c r="I139" s="13" t="s">
        <v>83</v>
      </c>
      <c r="J139" s="13" t="s">
        <v>83</v>
      </c>
      <c r="K139" s="13" t="s">
        <v>91</v>
      </c>
      <c r="L139" s="13" t="s">
        <v>83</v>
      </c>
      <c r="M139" s="13">
        <v>38</v>
      </c>
      <c r="N139" s="13">
        <v>2</v>
      </c>
      <c r="O139" s="13" t="s">
        <v>84</v>
      </c>
      <c r="P139" s="13">
        <v>28.8</v>
      </c>
      <c r="Q139" s="13">
        <v>105</v>
      </c>
      <c r="R139" s="13">
        <v>66</v>
      </c>
      <c r="S139" s="13" t="s">
        <v>85</v>
      </c>
      <c r="T139" s="13" t="s">
        <v>86</v>
      </c>
      <c r="U139" s="13" t="s">
        <v>87</v>
      </c>
      <c r="V139" s="13" t="s">
        <v>83</v>
      </c>
      <c r="W139" s="13" t="str">
        <f t="shared" si="12"/>
        <v>20-29 ans</v>
      </c>
      <c r="X139" s="13" t="str">
        <f t="shared" si="13"/>
        <v>1-2 accouchements</v>
      </c>
      <c r="Y139" s="13" t="str">
        <f t="shared" si="14"/>
        <v>Moins de 4 CPN</v>
      </c>
      <c r="Z139" s="13" t="str">
        <f t="shared" si="15"/>
        <v>37 SA et plus</v>
      </c>
      <c r="AA139" s="13">
        <f t="shared" si="16"/>
        <v>243</v>
      </c>
      <c r="AB139" s="13">
        <f t="shared" si="17"/>
        <v>1</v>
      </c>
    </row>
    <row r="140" spans="1:28" x14ac:dyDescent="0.25">
      <c r="A140" s="13" t="s">
        <v>247</v>
      </c>
      <c r="B140" s="13">
        <v>23</v>
      </c>
      <c r="C140" s="13" t="s">
        <v>79</v>
      </c>
      <c r="D140" s="13" t="s">
        <v>109</v>
      </c>
      <c r="E140" s="13" t="s">
        <v>90</v>
      </c>
      <c r="F140" s="13" t="s">
        <v>82</v>
      </c>
      <c r="G140" s="13">
        <v>2</v>
      </c>
      <c r="H140" s="13">
        <v>1</v>
      </c>
      <c r="I140" s="13" t="s">
        <v>83</v>
      </c>
      <c r="J140" s="13" t="s">
        <v>83</v>
      </c>
      <c r="K140" s="13" t="s">
        <v>91</v>
      </c>
      <c r="L140" s="13" t="s">
        <v>83</v>
      </c>
      <c r="M140" s="13">
        <v>38</v>
      </c>
      <c r="N140" s="13">
        <v>4</v>
      </c>
      <c r="O140" s="13" t="s">
        <v>84</v>
      </c>
      <c r="P140" s="13">
        <v>27.8</v>
      </c>
      <c r="Q140" s="13">
        <v>98</v>
      </c>
      <c r="R140" s="13">
        <v>66</v>
      </c>
      <c r="S140" s="13" t="s">
        <v>85</v>
      </c>
      <c r="T140" s="13" t="s">
        <v>86</v>
      </c>
      <c r="U140" s="13" t="s">
        <v>87</v>
      </c>
      <c r="V140" s="13" t="s">
        <v>83</v>
      </c>
      <c r="W140" s="13" t="str">
        <f t="shared" si="12"/>
        <v>20-29 ans</v>
      </c>
      <c r="X140" s="13" t="str">
        <f t="shared" si="13"/>
        <v>1-2 accouchements</v>
      </c>
      <c r="Y140" s="13" t="str">
        <f t="shared" si="14"/>
        <v>4 à 7 CPN</v>
      </c>
      <c r="Z140" s="13" t="str">
        <f t="shared" si="15"/>
        <v>37 SA et plus</v>
      </c>
      <c r="AA140" s="13">
        <f t="shared" si="16"/>
        <v>103.5</v>
      </c>
      <c r="AB140" s="13">
        <f t="shared" si="17"/>
        <v>1</v>
      </c>
    </row>
    <row r="141" spans="1:28" x14ac:dyDescent="0.25">
      <c r="A141" s="13" t="s">
        <v>248</v>
      </c>
      <c r="B141" s="13">
        <v>29</v>
      </c>
      <c r="C141" s="13" t="s">
        <v>79</v>
      </c>
      <c r="D141" s="13" t="s">
        <v>80</v>
      </c>
      <c r="E141" s="13" t="s">
        <v>96</v>
      </c>
      <c r="F141" s="13" t="s">
        <v>94</v>
      </c>
      <c r="G141" s="13">
        <v>5</v>
      </c>
      <c r="H141" s="13">
        <v>4</v>
      </c>
      <c r="I141" s="13" t="s">
        <v>83</v>
      </c>
      <c r="J141" s="13" t="s">
        <v>83</v>
      </c>
      <c r="K141" s="13" t="s">
        <v>83</v>
      </c>
      <c r="L141" s="13" t="s">
        <v>83</v>
      </c>
      <c r="M141" s="13">
        <v>31</v>
      </c>
      <c r="N141" s="13">
        <v>4</v>
      </c>
      <c r="O141" s="13" t="s">
        <v>84</v>
      </c>
      <c r="P141" s="13">
        <v>25.3</v>
      </c>
      <c r="Q141" s="13">
        <v>112</v>
      </c>
      <c r="R141" s="13">
        <v>75</v>
      </c>
      <c r="S141" s="13" t="s">
        <v>113</v>
      </c>
      <c r="T141" s="13" t="s">
        <v>86</v>
      </c>
      <c r="U141" s="13" t="s">
        <v>87</v>
      </c>
      <c r="V141" s="13" t="s">
        <v>83</v>
      </c>
      <c r="W141" s="13" t="str">
        <f t="shared" si="12"/>
        <v>20-29 ans</v>
      </c>
      <c r="X141" s="13" t="str">
        <f t="shared" si="13"/>
        <v>3 accouchements et plus</v>
      </c>
      <c r="Y141" s="13" t="str">
        <f t="shared" si="14"/>
        <v>4 à 7 CPN</v>
      </c>
      <c r="Z141" s="13" t="str">
        <f t="shared" si="15"/>
        <v>28-36 SA</v>
      </c>
      <c r="AA141" s="13">
        <f t="shared" si="16"/>
        <v>299</v>
      </c>
      <c r="AB141" s="13">
        <f t="shared" si="17"/>
        <v>1</v>
      </c>
    </row>
    <row r="142" spans="1:28" x14ac:dyDescent="0.25">
      <c r="A142" s="13" t="s">
        <v>249</v>
      </c>
      <c r="B142" s="13">
        <v>20</v>
      </c>
      <c r="C142" s="13" t="s">
        <v>89</v>
      </c>
      <c r="D142" s="13" t="s">
        <v>80</v>
      </c>
      <c r="E142" s="13" t="s">
        <v>99</v>
      </c>
      <c r="F142" s="13" t="s">
        <v>82</v>
      </c>
      <c r="G142" s="13">
        <v>1</v>
      </c>
      <c r="H142" s="13">
        <v>0</v>
      </c>
      <c r="I142" s="13" t="s">
        <v>86</v>
      </c>
      <c r="J142" s="13" t="s">
        <v>83</v>
      </c>
      <c r="K142" s="13" t="s">
        <v>83</v>
      </c>
      <c r="L142" s="13" t="s">
        <v>83</v>
      </c>
      <c r="M142" s="13">
        <v>40</v>
      </c>
      <c r="N142" s="13">
        <v>3</v>
      </c>
      <c r="O142" s="13" t="s">
        <v>84</v>
      </c>
      <c r="P142" s="13">
        <v>28.1</v>
      </c>
      <c r="Q142" s="13">
        <v>109</v>
      </c>
      <c r="R142" s="13">
        <v>64</v>
      </c>
      <c r="S142" s="13" t="s">
        <v>85</v>
      </c>
      <c r="T142" s="13" t="s">
        <v>86</v>
      </c>
      <c r="U142" s="13" t="s">
        <v>87</v>
      </c>
      <c r="V142" s="13" t="s">
        <v>83</v>
      </c>
      <c r="W142" s="13" t="str">
        <f t="shared" si="12"/>
        <v>20-29 ans</v>
      </c>
      <c r="X142" s="13" t="str">
        <f t="shared" si="13"/>
        <v>Nullipare (0)</v>
      </c>
      <c r="Y142" s="13" t="str">
        <f t="shared" si="14"/>
        <v>Moins de 4 CPN</v>
      </c>
      <c r="Z142" s="13" t="str">
        <f t="shared" si="15"/>
        <v>37 SA et plus</v>
      </c>
      <c r="AA142" s="13">
        <f t="shared" si="16"/>
        <v>30.5</v>
      </c>
      <c r="AB142" s="13">
        <f t="shared" si="17"/>
        <v>0</v>
      </c>
    </row>
    <row r="143" spans="1:28" x14ac:dyDescent="0.25">
      <c r="A143" s="13" t="s">
        <v>250</v>
      </c>
      <c r="B143" s="13">
        <v>20</v>
      </c>
      <c r="C143" s="13" t="s">
        <v>79</v>
      </c>
      <c r="D143" s="13" t="s">
        <v>80</v>
      </c>
      <c r="E143" s="13" t="s">
        <v>96</v>
      </c>
      <c r="F143" s="13" t="s">
        <v>82</v>
      </c>
      <c r="G143" s="13">
        <v>2</v>
      </c>
      <c r="H143" s="13">
        <v>1</v>
      </c>
      <c r="I143" s="13" t="s">
        <v>83</v>
      </c>
      <c r="J143" s="13" t="s">
        <v>83</v>
      </c>
      <c r="K143" s="13" t="s">
        <v>83</v>
      </c>
      <c r="M143" s="13">
        <v>38</v>
      </c>
      <c r="N143" s="13">
        <v>7</v>
      </c>
      <c r="O143" s="13" t="s">
        <v>84</v>
      </c>
      <c r="P143" s="13">
        <v>22</v>
      </c>
      <c r="Q143" s="13">
        <v>107</v>
      </c>
      <c r="R143" s="13">
        <v>70</v>
      </c>
      <c r="S143" s="13" t="s">
        <v>85</v>
      </c>
      <c r="T143" s="13" t="s">
        <v>86</v>
      </c>
      <c r="U143" s="13" t="s">
        <v>87</v>
      </c>
      <c r="V143" s="13" t="s">
        <v>83</v>
      </c>
      <c r="W143" s="13" t="str">
        <f t="shared" si="12"/>
        <v>20-29 ans</v>
      </c>
      <c r="X143" s="13" t="str">
        <f t="shared" si="13"/>
        <v>1-2 accouchements</v>
      </c>
      <c r="Y143" s="13" t="str">
        <f t="shared" si="14"/>
        <v>4 à 7 CPN</v>
      </c>
      <c r="Z143" s="13" t="str">
        <f t="shared" si="15"/>
        <v>37 SA et plus</v>
      </c>
      <c r="AA143" s="13">
        <f t="shared" si="16"/>
        <v>30.5</v>
      </c>
      <c r="AB143" s="13">
        <f t="shared" si="17"/>
        <v>1</v>
      </c>
    </row>
    <row r="144" spans="1:28" x14ac:dyDescent="0.25">
      <c r="A144" s="13" t="s">
        <v>251</v>
      </c>
      <c r="B144" s="13">
        <v>24</v>
      </c>
      <c r="C144" s="13" t="s">
        <v>79</v>
      </c>
      <c r="D144" s="13" t="s">
        <v>109</v>
      </c>
      <c r="E144" s="13" t="s">
        <v>112</v>
      </c>
      <c r="F144" s="13" t="s">
        <v>94</v>
      </c>
      <c r="G144" s="13">
        <v>3</v>
      </c>
      <c r="H144" s="13">
        <v>2</v>
      </c>
      <c r="I144" s="13" t="s">
        <v>83</v>
      </c>
      <c r="J144" s="13" t="s">
        <v>83</v>
      </c>
      <c r="K144" s="13" t="s">
        <v>91</v>
      </c>
      <c r="L144" s="13" t="s">
        <v>83</v>
      </c>
      <c r="M144" s="13">
        <v>29</v>
      </c>
      <c r="N144" s="13">
        <v>3</v>
      </c>
      <c r="O144" s="13" t="s">
        <v>84</v>
      </c>
      <c r="P144" s="13">
        <v>21.8</v>
      </c>
      <c r="Q144" s="13">
        <v>109</v>
      </c>
      <c r="R144" s="13">
        <v>69</v>
      </c>
      <c r="S144" s="13" t="s">
        <v>85</v>
      </c>
      <c r="T144" s="13" t="s">
        <v>86</v>
      </c>
      <c r="U144" s="13" t="s">
        <v>87</v>
      </c>
      <c r="V144" s="13" t="s">
        <v>83</v>
      </c>
      <c r="W144" s="13" t="str">
        <f t="shared" si="12"/>
        <v>20-29 ans</v>
      </c>
      <c r="X144" s="13" t="str">
        <f t="shared" si="13"/>
        <v>1-2 accouchements</v>
      </c>
      <c r="Y144" s="13" t="str">
        <f t="shared" si="14"/>
        <v>Moins de 4 CPN</v>
      </c>
      <c r="Z144" s="13" t="str">
        <f t="shared" si="15"/>
        <v>28-36 SA</v>
      </c>
      <c r="AA144" s="13">
        <f t="shared" si="16"/>
        <v>139.5</v>
      </c>
      <c r="AB144" s="13">
        <f t="shared" si="17"/>
        <v>1</v>
      </c>
    </row>
    <row r="145" spans="1:28" x14ac:dyDescent="0.25">
      <c r="A145" s="13" t="s">
        <v>252</v>
      </c>
      <c r="B145" s="13">
        <v>28</v>
      </c>
      <c r="C145" s="13" t="s">
        <v>79</v>
      </c>
      <c r="D145" s="13" t="s">
        <v>80</v>
      </c>
      <c r="E145" s="13" t="s">
        <v>96</v>
      </c>
      <c r="F145" s="13" t="s">
        <v>82</v>
      </c>
      <c r="G145" s="13">
        <v>1</v>
      </c>
      <c r="H145" s="13">
        <v>0</v>
      </c>
      <c r="I145" s="13" t="s">
        <v>86</v>
      </c>
      <c r="J145" s="13" t="s">
        <v>83</v>
      </c>
      <c r="K145" s="13" t="s">
        <v>91</v>
      </c>
      <c r="L145" s="13" t="s">
        <v>83</v>
      </c>
      <c r="M145" s="13">
        <v>28</v>
      </c>
      <c r="N145" s="13">
        <v>3</v>
      </c>
      <c r="O145" s="13" t="s">
        <v>84</v>
      </c>
      <c r="P145" s="13">
        <v>25</v>
      </c>
      <c r="Q145" s="13">
        <v>110</v>
      </c>
      <c r="R145" s="13">
        <v>66</v>
      </c>
      <c r="S145" s="13" t="s">
        <v>85</v>
      </c>
      <c r="T145" s="13" t="s">
        <v>86</v>
      </c>
      <c r="U145" s="13" t="s">
        <v>87</v>
      </c>
      <c r="V145" s="13" t="s">
        <v>83</v>
      </c>
      <c r="W145" s="13" t="str">
        <f t="shared" si="12"/>
        <v>20-29 ans</v>
      </c>
      <c r="X145" s="13" t="str">
        <f t="shared" si="13"/>
        <v>Nullipare (0)</v>
      </c>
      <c r="Y145" s="13" t="str">
        <f t="shared" si="14"/>
        <v>Moins de 4 CPN</v>
      </c>
      <c r="Z145" s="13" t="str">
        <f t="shared" si="15"/>
        <v>28-36 SA</v>
      </c>
      <c r="AA145" s="13">
        <f t="shared" si="16"/>
        <v>276</v>
      </c>
      <c r="AB145" s="13">
        <f t="shared" si="17"/>
        <v>0</v>
      </c>
    </row>
    <row r="146" spans="1:28" x14ac:dyDescent="0.25">
      <c r="A146" s="13" t="s">
        <v>253</v>
      </c>
      <c r="B146" s="13">
        <v>23</v>
      </c>
      <c r="C146" s="13" t="s">
        <v>98</v>
      </c>
      <c r="D146" s="13" t="s">
        <v>80</v>
      </c>
      <c r="E146" s="13" t="s">
        <v>81</v>
      </c>
      <c r="F146" s="13" t="s">
        <v>82</v>
      </c>
      <c r="G146" s="13">
        <v>1</v>
      </c>
      <c r="H146" s="13">
        <v>0</v>
      </c>
      <c r="I146" s="13" t="s">
        <v>86</v>
      </c>
      <c r="J146" s="13" t="s">
        <v>83</v>
      </c>
      <c r="K146" s="13" t="s">
        <v>83</v>
      </c>
      <c r="L146" s="13" t="s">
        <v>91</v>
      </c>
      <c r="M146" s="13">
        <v>28</v>
      </c>
      <c r="N146" s="13">
        <v>2</v>
      </c>
      <c r="O146" s="13" t="s">
        <v>84</v>
      </c>
      <c r="P146" s="13">
        <v>28.6</v>
      </c>
      <c r="Q146" s="13">
        <v>103</v>
      </c>
      <c r="R146" s="13">
        <v>65</v>
      </c>
      <c r="S146" s="13" t="s">
        <v>85</v>
      </c>
      <c r="T146" s="13" t="s">
        <v>86</v>
      </c>
      <c r="U146" s="13" t="s">
        <v>87</v>
      </c>
      <c r="V146" s="13" t="s">
        <v>83</v>
      </c>
      <c r="W146" s="13" t="str">
        <f t="shared" si="12"/>
        <v>20-29 ans</v>
      </c>
      <c r="X146" s="13" t="str">
        <f t="shared" si="13"/>
        <v>Nullipare (0)</v>
      </c>
      <c r="Y146" s="13" t="str">
        <f t="shared" si="14"/>
        <v>Moins de 4 CPN</v>
      </c>
      <c r="Z146" s="13" t="str">
        <f t="shared" si="15"/>
        <v>28-36 SA</v>
      </c>
      <c r="AA146" s="13">
        <f t="shared" si="16"/>
        <v>103.5</v>
      </c>
      <c r="AB146" s="13">
        <f t="shared" si="17"/>
        <v>0</v>
      </c>
    </row>
    <row r="147" spans="1:28" x14ac:dyDescent="0.25">
      <c r="A147" s="13" t="s">
        <v>254</v>
      </c>
      <c r="B147" s="13">
        <v>35</v>
      </c>
      <c r="C147" s="13" t="s">
        <v>79</v>
      </c>
      <c r="D147" s="13" t="s">
        <v>80</v>
      </c>
      <c r="E147" s="13" t="s">
        <v>81</v>
      </c>
      <c r="F147" s="13" t="s">
        <v>94</v>
      </c>
      <c r="G147" s="13">
        <v>4</v>
      </c>
      <c r="H147" s="13">
        <v>3</v>
      </c>
      <c r="I147" s="13" t="s">
        <v>83</v>
      </c>
      <c r="J147" s="13" t="s">
        <v>83</v>
      </c>
      <c r="K147" s="13" t="s">
        <v>83</v>
      </c>
      <c r="L147" s="13" t="s">
        <v>83</v>
      </c>
      <c r="M147" s="13">
        <v>37</v>
      </c>
      <c r="N147" s="13">
        <v>4</v>
      </c>
      <c r="O147" s="13" t="s">
        <v>84</v>
      </c>
      <c r="P147" s="13">
        <v>24.9</v>
      </c>
      <c r="Q147" s="13">
        <v>122</v>
      </c>
      <c r="R147" s="13">
        <v>69</v>
      </c>
      <c r="S147" s="13" t="s">
        <v>85</v>
      </c>
      <c r="T147" s="13" t="s">
        <v>86</v>
      </c>
      <c r="U147" s="13" t="s">
        <v>87</v>
      </c>
      <c r="V147" s="13" t="s">
        <v>83</v>
      </c>
      <c r="W147" s="13" t="str">
        <f t="shared" si="12"/>
        <v>35 ans et plus</v>
      </c>
      <c r="X147" s="13" t="str">
        <f t="shared" si="13"/>
        <v>3 accouchements et plus</v>
      </c>
      <c r="Y147" s="13" t="str">
        <f t="shared" si="14"/>
        <v>4 à 7 CPN</v>
      </c>
      <c r="Z147" s="13" t="str">
        <f t="shared" si="15"/>
        <v>37 SA et plus</v>
      </c>
      <c r="AA147" s="13">
        <f t="shared" si="16"/>
        <v>378</v>
      </c>
      <c r="AB147" s="13">
        <f t="shared" si="17"/>
        <v>1</v>
      </c>
    </row>
    <row r="148" spans="1:28" x14ac:dyDescent="0.25">
      <c r="A148" s="13" t="s">
        <v>255</v>
      </c>
      <c r="B148" s="13">
        <v>30</v>
      </c>
      <c r="C148" s="13" t="s">
        <v>98</v>
      </c>
      <c r="D148" s="13" t="s">
        <v>93</v>
      </c>
      <c r="E148" s="13" t="s">
        <v>96</v>
      </c>
      <c r="F148" s="13" t="s">
        <v>82</v>
      </c>
      <c r="G148" s="13">
        <v>5</v>
      </c>
      <c r="H148" s="13">
        <v>4</v>
      </c>
      <c r="I148" s="13" t="s">
        <v>83</v>
      </c>
      <c r="J148" s="13" t="s">
        <v>83</v>
      </c>
      <c r="K148" s="13" t="s">
        <v>83</v>
      </c>
      <c r="L148" s="13" t="s">
        <v>83</v>
      </c>
      <c r="M148" s="13">
        <v>35</v>
      </c>
      <c r="N148" s="13">
        <v>2</v>
      </c>
      <c r="O148" s="13" t="s">
        <v>84</v>
      </c>
      <c r="P148" s="13">
        <v>32.799999999999997</v>
      </c>
      <c r="Q148" s="13">
        <v>126</v>
      </c>
      <c r="R148" s="13">
        <v>75</v>
      </c>
      <c r="S148" s="13" t="s">
        <v>85</v>
      </c>
      <c r="T148" s="13" t="s">
        <v>86</v>
      </c>
      <c r="U148" s="13" t="s">
        <v>87</v>
      </c>
      <c r="V148" s="13" t="s">
        <v>83</v>
      </c>
      <c r="W148" s="13" t="str">
        <f t="shared" si="12"/>
        <v>30-34 ans</v>
      </c>
      <c r="X148" s="13" t="str">
        <f t="shared" si="13"/>
        <v>3 accouchements et plus</v>
      </c>
      <c r="Y148" s="13" t="str">
        <f t="shared" si="14"/>
        <v>Moins de 4 CPN</v>
      </c>
      <c r="Z148" s="13" t="str">
        <f t="shared" si="15"/>
        <v>28-36 SA</v>
      </c>
      <c r="AA148" s="13">
        <f t="shared" si="16"/>
        <v>319.5</v>
      </c>
      <c r="AB148" s="13">
        <f t="shared" si="17"/>
        <v>1</v>
      </c>
    </row>
    <row r="149" spans="1:28" x14ac:dyDescent="0.25">
      <c r="A149" s="13" t="s">
        <v>256</v>
      </c>
      <c r="B149" s="13">
        <v>36</v>
      </c>
      <c r="C149" s="13" t="s">
        <v>89</v>
      </c>
      <c r="D149" s="13" t="s">
        <v>93</v>
      </c>
      <c r="E149" s="13" t="s">
        <v>101</v>
      </c>
      <c r="F149" s="13" t="s">
        <v>94</v>
      </c>
      <c r="G149" s="13">
        <v>4</v>
      </c>
      <c r="H149" s="13">
        <v>3</v>
      </c>
      <c r="I149" s="13" t="s">
        <v>83</v>
      </c>
      <c r="J149" s="13" t="s">
        <v>83</v>
      </c>
      <c r="K149" s="13" t="s">
        <v>83</v>
      </c>
      <c r="L149" s="13" t="s">
        <v>83</v>
      </c>
      <c r="M149" s="13">
        <v>33</v>
      </c>
      <c r="N149" s="13">
        <v>2</v>
      </c>
      <c r="O149" s="13" t="s">
        <v>84</v>
      </c>
      <c r="P149" s="13">
        <v>20.100000000000001</v>
      </c>
      <c r="Q149" s="13">
        <v>128</v>
      </c>
      <c r="R149" s="13">
        <v>72</v>
      </c>
      <c r="S149" s="13" t="s">
        <v>85</v>
      </c>
      <c r="T149" s="13" t="s">
        <v>86</v>
      </c>
      <c r="U149" s="13" t="s">
        <v>87</v>
      </c>
      <c r="V149" s="13" t="s">
        <v>83</v>
      </c>
      <c r="W149" s="13" t="str">
        <f t="shared" si="12"/>
        <v>35 ans et plus</v>
      </c>
      <c r="X149" s="13" t="str">
        <f t="shared" si="13"/>
        <v>3 accouchements et plus</v>
      </c>
      <c r="Y149" s="13" t="str">
        <f t="shared" si="14"/>
        <v>Moins de 4 CPN</v>
      </c>
      <c r="Z149" s="13" t="str">
        <f t="shared" si="15"/>
        <v>28-36 SA</v>
      </c>
      <c r="AA149" s="13">
        <f t="shared" si="16"/>
        <v>383</v>
      </c>
      <c r="AB149" s="13">
        <f t="shared" si="17"/>
        <v>1</v>
      </c>
    </row>
    <row r="150" spans="1:28" x14ac:dyDescent="0.25">
      <c r="A150" s="13" t="s">
        <v>257</v>
      </c>
      <c r="B150" s="13">
        <v>34</v>
      </c>
      <c r="C150" s="13" t="s">
        <v>79</v>
      </c>
      <c r="D150" s="13" t="s">
        <v>93</v>
      </c>
      <c r="E150" s="13" t="s">
        <v>96</v>
      </c>
      <c r="F150" s="13" t="s">
        <v>94</v>
      </c>
      <c r="G150" s="13">
        <v>5</v>
      </c>
      <c r="H150" s="13">
        <v>4</v>
      </c>
      <c r="I150" s="13" t="s">
        <v>83</v>
      </c>
      <c r="J150" s="13" t="s">
        <v>83</v>
      </c>
      <c r="K150" s="13" t="s">
        <v>83</v>
      </c>
      <c r="L150" s="13" t="s">
        <v>83</v>
      </c>
      <c r="M150" s="13">
        <v>32</v>
      </c>
      <c r="N150" s="13">
        <v>0</v>
      </c>
      <c r="O150" s="13" t="s">
        <v>84</v>
      </c>
      <c r="P150" s="13">
        <v>21</v>
      </c>
      <c r="Q150" s="13">
        <v>113</v>
      </c>
      <c r="R150" s="13">
        <v>71</v>
      </c>
      <c r="S150" s="13" t="s">
        <v>85</v>
      </c>
      <c r="T150" s="13" t="s">
        <v>86</v>
      </c>
      <c r="U150" s="13" t="s">
        <v>87</v>
      </c>
      <c r="V150" s="13" t="s">
        <v>83</v>
      </c>
      <c r="W150" s="13" t="str">
        <f t="shared" si="12"/>
        <v>30-34 ans</v>
      </c>
      <c r="X150" s="13" t="str">
        <f t="shared" si="13"/>
        <v>3 accouchements et plus</v>
      </c>
      <c r="Y150" s="13" t="str">
        <f t="shared" si="14"/>
        <v>Moins de 4 CPN</v>
      </c>
      <c r="Z150" s="13" t="str">
        <f t="shared" si="15"/>
        <v>28-36 SA</v>
      </c>
      <c r="AA150" s="13">
        <f t="shared" si="16"/>
        <v>372</v>
      </c>
      <c r="AB150" s="13">
        <f t="shared" si="17"/>
        <v>1</v>
      </c>
    </row>
    <row r="151" spans="1:28" x14ac:dyDescent="0.25">
      <c r="A151" s="13" t="s">
        <v>258</v>
      </c>
      <c r="B151" s="13">
        <v>34</v>
      </c>
      <c r="C151" s="13" t="s">
        <v>98</v>
      </c>
      <c r="D151" s="13" t="s">
        <v>124</v>
      </c>
      <c r="E151" s="13" t="s">
        <v>96</v>
      </c>
      <c r="F151" s="13" t="s">
        <v>94</v>
      </c>
      <c r="G151" s="13">
        <v>3</v>
      </c>
      <c r="H151" s="13">
        <v>2</v>
      </c>
      <c r="I151" s="13" t="s">
        <v>83</v>
      </c>
      <c r="J151" s="13" t="s">
        <v>83</v>
      </c>
      <c r="L151" s="13" t="s">
        <v>83</v>
      </c>
      <c r="M151" s="13">
        <v>35</v>
      </c>
      <c r="O151" s="13" t="s">
        <v>84</v>
      </c>
      <c r="P151" s="13">
        <v>19.3</v>
      </c>
      <c r="Q151" s="13">
        <v>100</v>
      </c>
      <c r="R151" s="13">
        <v>64</v>
      </c>
      <c r="S151" s="13" t="s">
        <v>85</v>
      </c>
      <c r="T151" s="13" t="s">
        <v>86</v>
      </c>
      <c r="U151" s="13" t="s">
        <v>87</v>
      </c>
      <c r="V151" s="13" t="s">
        <v>83</v>
      </c>
      <c r="W151" s="13" t="str">
        <f t="shared" si="12"/>
        <v>30-34 ans</v>
      </c>
      <c r="X151" s="13" t="str">
        <f t="shared" si="13"/>
        <v>1-2 accouchements</v>
      </c>
      <c r="Y151" s="13" t="str">
        <f t="shared" si="14"/>
        <v/>
      </c>
      <c r="Z151" s="13" t="str">
        <f t="shared" si="15"/>
        <v>28-36 SA</v>
      </c>
      <c r="AA151" s="13">
        <f t="shared" si="16"/>
        <v>372</v>
      </c>
      <c r="AB151" s="13">
        <f t="shared" si="17"/>
        <v>1</v>
      </c>
    </row>
    <row r="152" spans="1:28" x14ac:dyDescent="0.25">
      <c r="A152" s="13" t="s">
        <v>259</v>
      </c>
      <c r="B152" s="13">
        <v>23</v>
      </c>
      <c r="C152" s="13" t="s">
        <v>79</v>
      </c>
      <c r="D152" s="13" t="s">
        <v>93</v>
      </c>
      <c r="E152" s="13" t="s">
        <v>81</v>
      </c>
      <c r="F152" s="13" t="s">
        <v>94</v>
      </c>
      <c r="G152" s="13">
        <v>1</v>
      </c>
      <c r="H152" s="13">
        <v>0</v>
      </c>
      <c r="I152" s="13" t="s">
        <v>86</v>
      </c>
      <c r="J152" s="13" t="s">
        <v>83</v>
      </c>
      <c r="K152" s="13" t="s">
        <v>83</v>
      </c>
      <c r="L152" s="13" t="s">
        <v>83</v>
      </c>
      <c r="M152" s="13">
        <v>39</v>
      </c>
      <c r="N152" s="13">
        <v>3</v>
      </c>
      <c r="O152" s="13" t="s">
        <v>84</v>
      </c>
      <c r="P152" s="13">
        <v>21.8</v>
      </c>
      <c r="Q152" s="13">
        <v>151</v>
      </c>
      <c r="R152" s="13">
        <v>85</v>
      </c>
      <c r="S152" s="13" t="s">
        <v>113</v>
      </c>
      <c r="T152" s="13" t="s">
        <v>91</v>
      </c>
      <c r="U152" s="13" t="s">
        <v>114</v>
      </c>
      <c r="V152" s="13" t="s">
        <v>91</v>
      </c>
      <c r="W152" s="13" t="str">
        <f t="shared" si="12"/>
        <v>20-29 ans</v>
      </c>
      <c r="X152" s="13" t="str">
        <f t="shared" si="13"/>
        <v>Nullipare (0)</v>
      </c>
      <c r="Y152" s="13" t="str">
        <f t="shared" si="14"/>
        <v>Moins de 4 CPN</v>
      </c>
      <c r="Z152" s="13" t="str">
        <f t="shared" si="15"/>
        <v>37 SA et plus</v>
      </c>
      <c r="AA152" s="13">
        <f t="shared" si="16"/>
        <v>103.5</v>
      </c>
      <c r="AB152" s="13">
        <f t="shared" si="17"/>
        <v>0</v>
      </c>
    </row>
    <row r="153" spans="1:28" x14ac:dyDescent="0.25">
      <c r="A153" s="13" t="s">
        <v>260</v>
      </c>
      <c r="B153" s="13">
        <v>29</v>
      </c>
      <c r="C153" s="13" t="s">
        <v>79</v>
      </c>
      <c r="D153" s="13" t="s">
        <v>93</v>
      </c>
      <c r="E153" s="13" t="s">
        <v>101</v>
      </c>
      <c r="F153" s="13" t="s">
        <v>94</v>
      </c>
      <c r="G153" s="13">
        <v>2</v>
      </c>
      <c r="H153" s="13">
        <v>1</v>
      </c>
      <c r="I153" s="13" t="s">
        <v>83</v>
      </c>
      <c r="J153" s="13" t="s">
        <v>83</v>
      </c>
      <c r="K153" s="13" t="s">
        <v>83</v>
      </c>
      <c r="L153" s="13" t="s">
        <v>83</v>
      </c>
      <c r="M153" s="13">
        <v>24</v>
      </c>
      <c r="N153" s="13">
        <v>3</v>
      </c>
      <c r="O153" s="13" t="s">
        <v>84</v>
      </c>
      <c r="Q153" s="13">
        <v>116</v>
      </c>
      <c r="R153" s="13">
        <v>66</v>
      </c>
      <c r="S153" s="13" t="s">
        <v>85</v>
      </c>
      <c r="T153" s="13" t="s">
        <v>86</v>
      </c>
      <c r="U153" s="13" t="s">
        <v>87</v>
      </c>
      <c r="V153" s="13" t="s">
        <v>83</v>
      </c>
      <c r="W153" s="13" t="str">
        <f t="shared" si="12"/>
        <v>20-29 ans</v>
      </c>
      <c r="X153" s="13" t="str">
        <f t="shared" si="13"/>
        <v>1-2 accouchements</v>
      </c>
      <c r="Y153" s="13" t="str">
        <f t="shared" si="14"/>
        <v>Moins de 4 CPN</v>
      </c>
      <c r="Z153" s="13" t="str">
        <f t="shared" si="15"/>
        <v>20-27 SA</v>
      </c>
      <c r="AA153" s="13">
        <f t="shared" si="16"/>
        <v>299</v>
      </c>
      <c r="AB153" s="13">
        <f t="shared" si="17"/>
        <v>1</v>
      </c>
    </row>
    <row r="154" spans="1:28" x14ac:dyDescent="0.25">
      <c r="A154" s="13" t="s">
        <v>261</v>
      </c>
      <c r="B154" s="13">
        <v>27</v>
      </c>
      <c r="C154" s="13" t="s">
        <v>79</v>
      </c>
      <c r="D154" s="13" t="s">
        <v>80</v>
      </c>
      <c r="E154" s="13" t="s">
        <v>81</v>
      </c>
      <c r="F154" s="13" t="s">
        <v>82</v>
      </c>
      <c r="G154" s="13">
        <v>4</v>
      </c>
      <c r="H154" s="13">
        <v>2</v>
      </c>
      <c r="I154" s="13" t="s">
        <v>83</v>
      </c>
      <c r="J154" s="13" t="s">
        <v>83</v>
      </c>
      <c r="K154" s="13" t="s">
        <v>91</v>
      </c>
      <c r="L154" s="13" t="s">
        <v>83</v>
      </c>
      <c r="M154" s="13">
        <v>34</v>
      </c>
      <c r="N154" s="13">
        <v>5</v>
      </c>
      <c r="O154" s="13" t="s">
        <v>146</v>
      </c>
      <c r="P154" s="13">
        <v>20.2</v>
      </c>
      <c r="Q154" s="13">
        <v>113</v>
      </c>
      <c r="R154" s="13">
        <v>75</v>
      </c>
      <c r="S154" s="13" t="s">
        <v>85</v>
      </c>
      <c r="T154" s="13" t="s">
        <v>86</v>
      </c>
      <c r="U154" s="13" t="s">
        <v>87</v>
      </c>
      <c r="V154" s="13" t="s">
        <v>83</v>
      </c>
      <c r="W154" s="13" t="str">
        <f t="shared" si="12"/>
        <v>20-29 ans</v>
      </c>
      <c r="X154" s="13" t="str">
        <f t="shared" si="13"/>
        <v>1-2 accouchements</v>
      </c>
      <c r="Y154" s="13" t="str">
        <f t="shared" si="14"/>
        <v>4 à 7 CPN</v>
      </c>
      <c r="Z154" s="13" t="str">
        <f t="shared" si="15"/>
        <v>28-36 SA</v>
      </c>
      <c r="AA154" s="13">
        <f t="shared" si="16"/>
        <v>243</v>
      </c>
      <c r="AB154" s="13">
        <f t="shared" si="17"/>
        <v>1</v>
      </c>
    </row>
    <row r="155" spans="1:28" x14ac:dyDescent="0.25">
      <c r="A155" s="13" t="s">
        <v>262</v>
      </c>
      <c r="B155" s="13">
        <v>23</v>
      </c>
      <c r="C155" s="13" t="s">
        <v>79</v>
      </c>
      <c r="D155" s="13" t="s">
        <v>93</v>
      </c>
      <c r="E155" s="13" t="s">
        <v>96</v>
      </c>
      <c r="F155" s="13" t="s">
        <v>82</v>
      </c>
      <c r="G155" s="13">
        <v>2</v>
      </c>
      <c r="H155" s="13">
        <v>1</v>
      </c>
      <c r="I155" s="13" t="s">
        <v>83</v>
      </c>
      <c r="J155" s="13" t="s">
        <v>83</v>
      </c>
      <c r="K155" s="13" t="s">
        <v>83</v>
      </c>
      <c r="L155" s="13" t="s">
        <v>83</v>
      </c>
      <c r="M155" s="13">
        <v>34</v>
      </c>
      <c r="O155" s="13" t="s">
        <v>84</v>
      </c>
      <c r="P155" s="13">
        <v>23.5</v>
      </c>
      <c r="Q155" s="13">
        <v>107</v>
      </c>
      <c r="R155" s="13">
        <v>70</v>
      </c>
      <c r="S155" s="13" t="s">
        <v>85</v>
      </c>
      <c r="T155" s="13" t="s">
        <v>86</v>
      </c>
      <c r="U155" s="13" t="s">
        <v>87</v>
      </c>
      <c r="V155" s="13" t="s">
        <v>83</v>
      </c>
      <c r="W155" s="13" t="str">
        <f t="shared" si="12"/>
        <v>20-29 ans</v>
      </c>
      <c r="X155" s="13" t="str">
        <f t="shared" si="13"/>
        <v>1-2 accouchements</v>
      </c>
      <c r="Y155" s="13" t="str">
        <f t="shared" si="14"/>
        <v/>
      </c>
      <c r="Z155" s="13" t="str">
        <f t="shared" si="15"/>
        <v>28-36 SA</v>
      </c>
      <c r="AA155" s="13">
        <f t="shared" si="16"/>
        <v>103.5</v>
      </c>
      <c r="AB155" s="13">
        <f t="shared" si="17"/>
        <v>1</v>
      </c>
    </row>
    <row r="156" spans="1:28" x14ac:dyDescent="0.25">
      <c r="A156" s="13" t="s">
        <v>263</v>
      </c>
      <c r="B156" s="13">
        <v>31</v>
      </c>
      <c r="C156" s="13" t="s">
        <v>79</v>
      </c>
      <c r="D156" s="13" t="s">
        <v>93</v>
      </c>
      <c r="E156" s="13" t="s">
        <v>81</v>
      </c>
      <c r="F156" s="13" t="s">
        <v>94</v>
      </c>
      <c r="G156" s="13">
        <v>3</v>
      </c>
      <c r="H156" s="13">
        <v>2</v>
      </c>
      <c r="I156" s="13" t="s">
        <v>83</v>
      </c>
      <c r="J156" s="13" t="s">
        <v>83</v>
      </c>
      <c r="K156" s="13" t="s">
        <v>83</v>
      </c>
      <c r="L156" s="13" t="s">
        <v>83</v>
      </c>
      <c r="M156" s="13">
        <v>31</v>
      </c>
      <c r="N156" s="13">
        <v>5</v>
      </c>
      <c r="O156" s="13" t="s">
        <v>84</v>
      </c>
      <c r="P156" s="13">
        <v>23.2</v>
      </c>
      <c r="Q156" s="13">
        <v>124</v>
      </c>
      <c r="R156" s="13">
        <v>67</v>
      </c>
      <c r="S156" s="13" t="s">
        <v>85</v>
      </c>
      <c r="T156" s="13" t="s">
        <v>86</v>
      </c>
      <c r="U156" s="13" t="s">
        <v>87</v>
      </c>
      <c r="V156" s="13" t="s">
        <v>83</v>
      </c>
      <c r="W156" s="13" t="str">
        <f t="shared" si="12"/>
        <v>30-34 ans</v>
      </c>
      <c r="X156" s="13" t="str">
        <f t="shared" si="13"/>
        <v>1-2 accouchements</v>
      </c>
      <c r="Y156" s="13" t="str">
        <f t="shared" si="14"/>
        <v>4 à 7 CPN</v>
      </c>
      <c r="Z156" s="13" t="str">
        <f t="shared" si="15"/>
        <v>28-36 SA</v>
      </c>
      <c r="AA156" s="13">
        <f t="shared" si="16"/>
        <v>334.5</v>
      </c>
      <c r="AB156" s="13">
        <f t="shared" si="17"/>
        <v>1</v>
      </c>
    </row>
    <row r="157" spans="1:28" x14ac:dyDescent="0.25">
      <c r="A157" s="13" t="s">
        <v>264</v>
      </c>
      <c r="B157" s="13">
        <v>21</v>
      </c>
      <c r="C157" s="13" t="s">
        <v>89</v>
      </c>
      <c r="E157" s="13" t="s">
        <v>96</v>
      </c>
      <c r="F157" s="13" t="s">
        <v>82</v>
      </c>
      <c r="G157" s="13">
        <v>2</v>
      </c>
      <c r="H157" s="13">
        <v>1</v>
      </c>
      <c r="I157" s="13" t="s">
        <v>83</v>
      </c>
      <c r="J157" s="13" t="s">
        <v>83</v>
      </c>
      <c r="K157" s="13" t="s">
        <v>83</v>
      </c>
      <c r="L157" s="13" t="s">
        <v>83</v>
      </c>
      <c r="M157" s="13">
        <v>40</v>
      </c>
      <c r="N157" s="13">
        <v>9</v>
      </c>
      <c r="O157" s="13" t="s">
        <v>84</v>
      </c>
      <c r="P157" s="13">
        <v>22.5</v>
      </c>
      <c r="Q157" s="13">
        <v>100</v>
      </c>
      <c r="R157" s="13">
        <v>58</v>
      </c>
      <c r="S157" s="13" t="s">
        <v>85</v>
      </c>
      <c r="T157" s="13" t="s">
        <v>86</v>
      </c>
      <c r="U157" s="13" t="s">
        <v>87</v>
      </c>
      <c r="V157" s="13" t="s">
        <v>83</v>
      </c>
      <c r="W157" s="13" t="str">
        <f t="shared" si="12"/>
        <v>20-29 ans</v>
      </c>
      <c r="X157" s="13" t="str">
        <f t="shared" si="13"/>
        <v>1-2 accouchements</v>
      </c>
      <c r="Y157" s="13" t="str">
        <f t="shared" si="14"/>
        <v>8 CPN et plus</v>
      </c>
      <c r="Z157" s="13" t="str">
        <f t="shared" si="15"/>
        <v>37 SA et plus</v>
      </c>
      <c r="AA157" s="13">
        <f t="shared" si="16"/>
        <v>48</v>
      </c>
      <c r="AB157" s="13">
        <f t="shared" si="17"/>
        <v>1</v>
      </c>
    </row>
    <row r="158" spans="1:28" x14ac:dyDescent="0.25">
      <c r="A158" s="13" t="s">
        <v>265</v>
      </c>
      <c r="B158" s="13">
        <v>25</v>
      </c>
      <c r="C158" s="13" t="s">
        <v>79</v>
      </c>
      <c r="D158" s="13" t="s">
        <v>80</v>
      </c>
      <c r="E158" s="13" t="s">
        <v>81</v>
      </c>
      <c r="F158" s="13" t="s">
        <v>82</v>
      </c>
      <c r="G158" s="13">
        <v>2</v>
      </c>
      <c r="H158" s="13">
        <v>1</v>
      </c>
      <c r="I158" s="13" t="s">
        <v>83</v>
      </c>
      <c r="J158" s="13" t="s">
        <v>83</v>
      </c>
      <c r="K158" s="13" t="s">
        <v>83</v>
      </c>
      <c r="L158" s="13" t="s">
        <v>83</v>
      </c>
      <c r="M158" s="13">
        <v>33</v>
      </c>
      <c r="N158" s="13">
        <v>6</v>
      </c>
      <c r="O158" s="13" t="s">
        <v>84</v>
      </c>
      <c r="P158" s="13">
        <v>26</v>
      </c>
      <c r="Q158" s="13">
        <v>157</v>
      </c>
      <c r="R158" s="13">
        <v>97</v>
      </c>
      <c r="S158" s="13" t="s">
        <v>85</v>
      </c>
      <c r="T158" s="13" t="s">
        <v>91</v>
      </c>
      <c r="U158" s="13" t="s">
        <v>114</v>
      </c>
      <c r="V158" s="13" t="s">
        <v>91</v>
      </c>
      <c r="W158" s="13" t="str">
        <f t="shared" si="12"/>
        <v>20-29 ans</v>
      </c>
      <c r="X158" s="13" t="str">
        <f t="shared" si="13"/>
        <v>1-2 accouchements</v>
      </c>
      <c r="Y158" s="13" t="str">
        <f t="shared" si="14"/>
        <v>4 à 7 CPN</v>
      </c>
      <c r="Z158" s="13" t="str">
        <f t="shared" si="15"/>
        <v>28-36 SA</v>
      </c>
      <c r="AA158" s="13">
        <f t="shared" si="16"/>
        <v>173</v>
      </c>
      <c r="AB158" s="13">
        <f t="shared" si="17"/>
        <v>1</v>
      </c>
    </row>
    <row r="159" spans="1:28" x14ac:dyDescent="0.25">
      <c r="A159" s="13" t="s">
        <v>266</v>
      </c>
      <c r="B159" s="13">
        <v>27</v>
      </c>
      <c r="C159" s="13" t="s">
        <v>79</v>
      </c>
      <c r="D159" s="13" t="s">
        <v>109</v>
      </c>
      <c r="E159" s="13" t="s">
        <v>112</v>
      </c>
      <c r="F159" s="13" t="s">
        <v>82</v>
      </c>
      <c r="G159" s="13">
        <v>3</v>
      </c>
      <c r="H159" s="13">
        <v>2</v>
      </c>
      <c r="I159" s="13" t="s">
        <v>83</v>
      </c>
      <c r="J159" s="13" t="s">
        <v>83</v>
      </c>
      <c r="K159" s="13" t="s">
        <v>91</v>
      </c>
      <c r="L159" s="13" t="s">
        <v>83</v>
      </c>
      <c r="M159" s="13">
        <v>34</v>
      </c>
      <c r="N159" s="13">
        <v>1</v>
      </c>
      <c r="O159" s="13" t="s">
        <v>84</v>
      </c>
      <c r="P159" s="13">
        <v>20.2</v>
      </c>
      <c r="Q159" s="13">
        <v>116</v>
      </c>
      <c r="R159" s="13">
        <v>67</v>
      </c>
      <c r="S159" s="13" t="s">
        <v>85</v>
      </c>
      <c r="T159" s="13" t="s">
        <v>86</v>
      </c>
      <c r="U159" s="13" t="s">
        <v>87</v>
      </c>
      <c r="V159" s="13" t="s">
        <v>83</v>
      </c>
      <c r="W159" s="13" t="str">
        <f t="shared" si="12"/>
        <v>20-29 ans</v>
      </c>
      <c r="X159" s="13" t="str">
        <f t="shared" si="13"/>
        <v>1-2 accouchements</v>
      </c>
      <c r="Y159" s="13" t="str">
        <f t="shared" si="14"/>
        <v>Moins de 4 CPN</v>
      </c>
      <c r="Z159" s="13" t="str">
        <f t="shared" si="15"/>
        <v>28-36 SA</v>
      </c>
      <c r="AA159" s="13">
        <f t="shared" si="16"/>
        <v>243</v>
      </c>
      <c r="AB159" s="13">
        <f t="shared" si="17"/>
        <v>1</v>
      </c>
    </row>
    <row r="160" spans="1:28" x14ac:dyDescent="0.25">
      <c r="A160" s="13" t="s">
        <v>267</v>
      </c>
      <c r="B160" s="13">
        <v>27</v>
      </c>
      <c r="C160" s="13" t="s">
        <v>79</v>
      </c>
      <c r="D160" s="13" t="s">
        <v>124</v>
      </c>
      <c r="E160" s="13" t="s">
        <v>96</v>
      </c>
      <c r="F160" s="13" t="s">
        <v>82</v>
      </c>
      <c r="G160" s="13">
        <v>4</v>
      </c>
      <c r="H160" s="13">
        <v>3</v>
      </c>
      <c r="I160" s="13" t="s">
        <v>83</v>
      </c>
      <c r="J160" s="13" t="s">
        <v>83</v>
      </c>
      <c r="K160" s="13" t="s">
        <v>83</v>
      </c>
      <c r="L160" s="13" t="s">
        <v>83</v>
      </c>
      <c r="M160" s="13">
        <v>30</v>
      </c>
      <c r="N160" s="13">
        <v>2</v>
      </c>
      <c r="O160" s="13" t="s">
        <v>84</v>
      </c>
      <c r="P160" s="13">
        <v>23.6</v>
      </c>
      <c r="Q160" s="13">
        <v>102</v>
      </c>
      <c r="R160" s="13">
        <v>67</v>
      </c>
      <c r="S160" s="13" t="s">
        <v>85</v>
      </c>
      <c r="T160" s="13" t="s">
        <v>86</v>
      </c>
      <c r="U160" s="13" t="s">
        <v>87</v>
      </c>
      <c r="V160" s="13" t="s">
        <v>83</v>
      </c>
      <c r="W160" s="13" t="str">
        <f t="shared" si="12"/>
        <v>20-29 ans</v>
      </c>
      <c r="X160" s="13" t="str">
        <f t="shared" si="13"/>
        <v>3 accouchements et plus</v>
      </c>
      <c r="Y160" s="13" t="str">
        <f t="shared" si="14"/>
        <v>Moins de 4 CPN</v>
      </c>
      <c r="Z160" s="13" t="str">
        <f t="shared" si="15"/>
        <v>28-36 SA</v>
      </c>
      <c r="AA160" s="13">
        <f t="shared" si="16"/>
        <v>243</v>
      </c>
      <c r="AB160" s="13">
        <f t="shared" si="17"/>
        <v>1</v>
      </c>
    </row>
    <row r="161" spans="1:28" x14ac:dyDescent="0.25">
      <c r="A161" s="13" t="s">
        <v>268</v>
      </c>
      <c r="B161" s="13">
        <v>20</v>
      </c>
      <c r="C161" s="13" t="s">
        <v>79</v>
      </c>
      <c r="D161" s="13" t="s">
        <v>124</v>
      </c>
      <c r="E161" s="13" t="s">
        <v>101</v>
      </c>
      <c r="F161" s="13" t="s">
        <v>94</v>
      </c>
      <c r="G161" s="13">
        <v>2</v>
      </c>
      <c r="H161" s="13">
        <v>1</v>
      </c>
      <c r="I161" s="13" t="s">
        <v>83</v>
      </c>
      <c r="J161" s="13" t="s">
        <v>83</v>
      </c>
      <c r="K161" s="13" t="s">
        <v>91</v>
      </c>
      <c r="L161" s="13" t="s">
        <v>83</v>
      </c>
      <c r="M161" s="13">
        <v>39</v>
      </c>
      <c r="N161" s="13">
        <v>4</v>
      </c>
      <c r="O161" s="13" t="s">
        <v>84</v>
      </c>
      <c r="P161" s="13">
        <v>21</v>
      </c>
      <c r="Q161" s="13">
        <v>120</v>
      </c>
      <c r="R161" s="13">
        <v>67</v>
      </c>
      <c r="S161" s="13" t="s">
        <v>85</v>
      </c>
      <c r="T161" s="13" t="s">
        <v>86</v>
      </c>
      <c r="U161" s="13" t="s">
        <v>87</v>
      </c>
      <c r="V161" s="13" t="s">
        <v>83</v>
      </c>
      <c r="W161" s="13" t="str">
        <f t="shared" si="12"/>
        <v>20-29 ans</v>
      </c>
      <c r="X161" s="13" t="str">
        <f t="shared" si="13"/>
        <v>1-2 accouchements</v>
      </c>
      <c r="Y161" s="13" t="str">
        <f t="shared" si="14"/>
        <v>4 à 7 CPN</v>
      </c>
      <c r="Z161" s="13" t="str">
        <f t="shared" si="15"/>
        <v>37 SA et plus</v>
      </c>
      <c r="AA161" s="13">
        <f t="shared" si="16"/>
        <v>30.5</v>
      </c>
      <c r="AB161" s="13">
        <f t="shared" si="17"/>
        <v>1</v>
      </c>
    </row>
    <row r="162" spans="1:28" x14ac:dyDescent="0.25">
      <c r="A162" s="13" t="s">
        <v>269</v>
      </c>
      <c r="B162" s="13">
        <v>28</v>
      </c>
      <c r="C162" s="13" t="s">
        <v>173</v>
      </c>
      <c r="D162" s="13" t="s">
        <v>124</v>
      </c>
      <c r="E162" s="13" t="s">
        <v>81</v>
      </c>
      <c r="F162" s="13" t="s">
        <v>94</v>
      </c>
      <c r="G162" s="13">
        <v>4</v>
      </c>
      <c r="H162" s="13">
        <v>3</v>
      </c>
      <c r="I162" s="13" t="s">
        <v>83</v>
      </c>
      <c r="J162" s="13" t="s">
        <v>83</v>
      </c>
      <c r="K162" s="13" t="s">
        <v>83</v>
      </c>
      <c r="L162" s="13" t="s">
        <v>83</v>
      </c>
      <c r="M162" s="13">
        <v>28</v>
      </c>
      <c r="N162" s="13">
        <v>3</v>
      </c>
      <c r="O162" s="13" t="s">
        <v>84</v>
      </c>
      <c r="P162" s="13">
        <v>18.8</v>
      </c>
      <c r="Q162" s="13">
        <v>111</v>
      </c>
      <c r="R162" s="13">
        <v>68</v>
      </c>
      <c r="S162" s="13" t="s">
        <v>85</v>
      </c>
      <c r="T162" s="13" t="s">
        <v>86</v>
      </c>
      <c r="U162" s="13" t="s">
        <v>87</v>
      </c>
      <c r="V162" s="13" t="s">
        <v>83</v>
      </c>
      <c r="W162" s="13" t="str">
        <f t="shared" si="12"/>
        <v>20-29 ans</v>
      </c>
      <c r="X162" s="13" t="str">
        <f t="shared" si="13"/>
        <v>3 accouchements et plus</v>
      </c>
      <c r="Y162" s="13" t="str">
        <f t="shared" si="14"/>
        <v>Moins de 4 CPN</v>
      </c>
      <c r="Z162" s="13" t="str">
        <f t="shared" si="15"/>
        <v>28-36 SA</v>
      </c>
      <c r="AA162" s="13">
        <f t="shared" si="16"/>
        <v>276</v>
      </c>
      <c r="AB162" s="13">
        <f t="shared" si="17"/>
        <v>1</v>
      </c>
    </row>
    <row r="163" spans="1:28" x14ac:dyDescent="0.25">
      <c r="A163" s="13" t="s">
        <v>270</v>
      </c>
      <c r="B163" s="13">
        <v>29</v>
      </c>
      <c r="C163" s="13" t="s">
        <v>79</v>
      </c>
      <c r="D163" s="13" t="s">
        <v>124</v>
      </c>
      <c r="E163" s="13" t="s">
        <v>101</v>
      </c>
      <c r="F163" s="13" t="s">
        <v>94</v>
      </c>
      <c r="G163" s="13">
        <v>4</v>
      </c>
      <c r="H163" s="13">
        <v>3</v>
      </c>
      <c r="I163" s="13" t="s">
        <v>83</v>
      </c>
      <c r="J163" s="13" t="s">
        <v>83</v>
      </c>
      <c r="K163" s="13" t="s">
        <v>83</v>
      </c>
      <c r="L163" s="13" t="s">
        <v>83</v>
      </c>
      <c r="M163" s="13">
        <v>35</v>
      </c>
      <c r="N163" s="13">
        <v>5</v>
      </c>
      <c r="O163" s="13" t="s">
        <v>84</v>
      </c>
      <c r="P163" s="13">
        <v>29.6</v>
      </c>
      <c r="Q163" s="13">
        <v>159</v>
      </c>
      <c r="R163" s="13">
        <v>94</v>
      </c>
      <c r="S163" s="13" t="s">
        <v>118</v>
      </c>
      <c r="T163" s="13" t="s">
        <v>83</v>
      </c>
      <c r="U163" s="13" t="s">
        <v>114</v>
      </c>
      <c r="V163" s="13" t="s">
        <v>91</v>
      </c>
      <c r="W163" s="13" t="str">
        <f t="shared" si="12"/>
        <v>20-29 ans</v>
      </c>
      <c r="X163" s="13" t="str">
        <f t="shared" si="13"/>
        <v>3 accouchements et plus</v>
      </c>
      <c r="Y163" s="13" t="str">
        <f t="shared" si="14"/>
        <v>4 à 7 CPN</v>
      </c>
      <c r="Z163" s="13" t="str">
        <f t="shared" si="15"/>
        <v>28-36 SA</v>
      </c>
      <c r="AA163" s="13">
        <f t="shared" si="16"/>
        <v>299</v>
      </c>
      <c r="AB163" s="13">
        <f t="shared" si="17"/>
        <v>1</v>
      </c>
    </row>
    <row r="164" spans="1:28" x14ac:dyDescent="0.25">
      <c r="A164" s="13" t="s">
        <v>271</v>
      </c>
      <c r="B164" s="13">
        <v>23</v>
      </c>
      <c r="C164" s="13" t="s">
        <v>79</v>
      </c>
      <c r="D164" s="13" t="s">
        <v>80</v>
      </c>
      <c r="E164" s="13" t="s">
        <v>81</v>
      </c>
      <c r="F164" s="13" t="s">
        <v>82</v>
      </c>
      <c r="G164" s="13">
        <v>1</v>
      </c>
      <c r="H164" s="13">
        <v>0</v>
      </c>
      <c r="I164" s="13" t="s">
        <v>86</v>
      </c>
      <c r="J164" s="13" t="s">
        <v>83</v>
      </c>
      <c r="K164" s="13" t="s">
        <v>91</v>
      </c>
      <c r="L164" s="13" t="s">
        <v>83</v>
      </c>
      <c r="M164" s="13">
        <v>38</v>
      </c>
      <c r="N164" s="13">
        <v>10</v>
      </c>
      <c r="O164" s="13" t="s">
        <v>84</v>
      </c>
      <c r="P164" s="13">
        <v>19.8</v>
      </c>
      <c r="Q164" s="13">
        <v>112</v>
      </c>
      <c r="R164" s="13">
        <v>69</v>
      </c>
      <c r="S164" s="13" t="s">
        <v>85</v>
      </c>
      <c r="T164" s="13" t="s">
        <v>86</v>
      </c>
      <c r="U164" s="13" t="s">
        <v>87</v>
      </c>
      <c r="V164" s="13" t="s">
        <v>83</v>
      </c>
      <c r="W164" s="13" t="str">
        <f t="shared" si="12"/>
        <v>20-29 ans</v>
      </c>
      <c r="X164" s="13" t="str">
        <f t="shared" si="13"/>
        <v>Nullipare (0)</v>
      </c>
      <c r="Y164" s="13" t="str">
        <f t="shared" si="14"/>
        <v>8 CPN et plus</v>
      </c>
      <c r="Z164" s="13" t="str">
        <f t="shared" si="15"/>
        <v>37 SA et plus</v>
      </c>
      <c r="AA164" s="13">
        <f t="shared" si="16"/>
        <v>103.5</v>
      </c>
      <c r="AB164" s="13">
        <f t="shared" si="17"/>
        <v>0</v>
      </c>
    </row>
    <row r="165" spans="1:28" x14ac:dyDescent="0.25">
      <c r="A165" s="13" t="s">
        <v>272</v>
      </c>
      <c r="B165" s="13">
        <v>23</v>
      </c>
      <c r="C165" s="13" t="s">
        <v>79</v>
      </c>
      <c r="D165" s="13" t="s">
        <v>80</v>
      </c>
      <c r="E165" s="13" t="s">
        <v>81</v>
      </c>
      <c r="F165" s="13" t="s">
        <v>94</v>
      </c>
      <c r="G165" s="13">
        <v>2</v>
      </c>
      <c r="H165" s="13">
        <v>1</v>
      </c>
      <c r="I165" s="13" t="s">
        <v>83</v>
      </c>
      <c r="J165" s="13" t="s">
        <v>83</v>
      </c>
      <c r="K165" s="13" t="s">
        <v>83</v>
      </c>
      <c r="L165" s="13" t="s">
        <v>83</v>
      </c>
      <c r="M165" s="13">
        <v>38</v>
      </c>
      <c r="N165" s="13">
        <v>3</v>
      </c>
      <c r="O165" s="13" t="s">
        <v>84</v>
      </c>
      <c r="P165" s="13">
        <v>27.1</v>
      </c>
      <c r="Q165" s="13">
        <v>107</v>
      </c>
      <c r="R165" s="13">
        <v>67</v>
      </c>
      <c r="S165" s="13" t="s">
        <v>85</v>
      </c>
      <c r="T165" s="13" t="s">
        <v>86</v>
      </c>
      <c r="U165" s="13" t="s">
        <v>87</v>
      </c>
      <c r="V165" s="13" t="s">
        <v>83</v>
      </c>
      <c r="W165" s="13" t="str">
        <f t="shared" si="12"/>
        <v>20-29 ans</v>
      </c>
      <c r="X165" s="13" t="str">
        <f t="shared" si="13"/>
        <v>1-2 accouchements</v>
      </c>
      <c r="Y165" s="13" t="str">
        <f t="shared" si="14"/>
        <v>Moins de 4 CPN</v>
      </c>
      <c r="Z165" s="13" t="str">
        <f t="shared" si="15"/>
        <v>37 SA et plus</v>
      </c>
      <c r="AA165" s="13">
        <f t="shared" si="16"/>
        <v>103.5</v>
      </c>
      <c r="AB165" s="13">
        <f t="shared" si="17"/>
        <v>1</v>
      </c>
    </row>
    <row r="166" spans="1:28" x14ac:dyDescent="0.25">
      <c r="A166" s="13" t="s">
        <v>273</v>
      </c>
      <c r="B166" s="13">
        <v>18</v>
      </c>
      <c r="C166" s="13" t="s">
        <v>98</v>
      </c>
      <c r="D166" s="13" t="s">
        <v>93</v>
      </c>
      <c r="E166" s="13" t="s">
        <v>90</v>
      </c>
      <c r="F166" s="13" t="s">
        <v>82</v>
      </c>
      <c r="G166" s="13">
        <v>1</v>
      </c>
      <c r="H166" s="13">
        <v>0</v>
      </c>
      <c r="I166" s="13" t="s">
        <v>86</v>
      </c>
      <c r="J166" s="13" t="s">
        <v>83</v>
      </c>
      <c r="K166" s="13" t="s">
        <v>91</v>
      </c>
      <c r="L166" s="13" t="s">
        <v>83</v>
      </c>
      <c r="M166" s="13">
        <v>32</v>
      </c>
      <c r="N166" s="13">
        <v>3</v>
      </c>
      <c r="O166" s="13" t="s">
        <v>84</v>
      </c>
      <c r="P166" s="13">
        <v>23.7</v>
      </c>
      <c r="Q166" s="13">
        <v>98</v>
      </c>
      <c r="R166" s="13">
        <v>64</v>
      </c>
      <c r="S166" s="13" t="s">
        <v>85</v>
      </c>
      <c r="T166" s="13" t="s">
        <v>86</v>
      </c>
      <c r="U166" s="13" t="s">
        <v>87</v>
      </c>
      <c r="V166" s="13" t="s">
        <v>83</v>
      </c>
      <c r="W166" s="13" t="str">
        <f t="shared" si="12"/>
        <v>Moins de 20 ans</v>
      </c>
      <c r="X166" s="13" t="str">
        <f t="shared" si="13"/>
        <v>Nullipare (0)</v>
      </c>
      <c r="Y166" s="13" t="str">
        <f t="shared" si="14"/>
        <v>Moins de 4 CPN</v>
      </c>
      <c r="Z166" s="13" t="str">
        <f t="shared" si="15"/>
        <v>28-36 SA</v>
      </c>
      <c r="AA166" s="13">
        <f t="shared" si="16"/>
        <v>4.5</v>
      </c>
      <c r="AB166" s="13">
        <f t="shared" si="17"/>
        <v>0</v>
      </c>
    </row>
    <row r="167" spans="1:28" x14ac:dyDescent="0.25">
      <c r="A167" s="13" t="s">
        <v>274</v>
      </c>
      <c r="B167" s="13">
        <v>25</v>
      </c>
      <c r="C167" s="13" t="s">
        <v>79</v>
      </c>
      <c r="D167" s="13" t="s">
        <v>93</v>
      </c>
      <c r="E167" s="13" t="s">
        <v>101</v>
      </c>
      <c r="F167" s="13" t="s">
        <v>94</v>
      </c>
      <c r="G167" s="13">
        <v>4</v>
      </c>
      <c r="H167" s="13">
        <v>3</v>
      </c>
      <c r="I167" s="13" t="s">
        <v>83</v>
      </c>
      <c r="J167" s="13" t="s">
        <v>91</v>
      </c>
      <c r="K167" s="13" t="s">
        <v>83</v>
      </c>
      <c r="L167" s="13" t="s">
        <v>83</v>
      </c>
      <c r="M167" s="13">
        <v>40</v>
      </c>
      <c r="N167" s="13">
        <v>4</v>
      </c>
      <c r="O167" s="13" t="s">
        <v>84</v>
      </c>
      <c r="P167" s="13">
        <v>21.6</v>
      </c>
      <c r="Q167" s="13">
        <v>143</v>
      </c>
      <c r="R167" s="13">
        <v>85</v>
      </c>
      <c r="S167" s="13" t="s">
        <v>85</v>
      </c>
      <c r="T167" s="13" t="s">
        <v>86</v>
      </c>
      <c r="U167" s="13" t="s">
        <v>132</v>
      </c>
      <c r="V167" s="13" t="s">
        <v>83</v>
      </c>
      <c r="W167" s="13" t="str">
        <f t="shared" si="12"/>
        <v>20-29 ans</v>
      </c>
      <c r="X167" s="13" t="str">
        <f t="shared" si="13"/>
        <v>3 accouchements et plus</v>
      </c>
      <c r="Y167" s="13" t="str">
        <f t="shared" si="14"/>
        <v>4 à 7 CPN</v>
      </c>
      <c r="Z167" s="13" t="str">
        <f t="shared" si="15"/>
        <v>37 SA et plus</v>
      </c>
      <c r="AA167" s="13">
        <f t="shared" si="16"/>
        <v>173</v>
      </c>
      <c r="AB167" s="13">
        <f t="shared" si="17"/>
        <v>1</v>
      </c>
    </row>
    <row r="168" spans="1:28" x14ac:dyDescent="0.25">
      <c r="A168" s="13" t="s">
        <v>275</v>
      </c>
      <c r="B168" s="13">
        <v>30</v>
      </c>
      <c r="C168" s="13" t="s">
        <v>79</v>
      </c>
      <c r="D168" s="13" t="s">
        <v>109</v>
      </c>
      <c r="E168" s="13" t="s">
        <v>81</v>
      </c>
      <c r="F168" s="13" t="s">
        <v>82</v>
      </c>
      <c r="G168" s="13">
        <v>3</v>
      </c>
      <c r="H168" s="13">
        <v>1</v>
      </c>
      <c r="I168" s="13" t="s">
        <v>83</v>
      </c>
      <c r="J168" s="13" t="s">
        <v>83</v>
      </c>
      <c r="K168" s="13" t="s">
        <v>83</v>
      </c>
      <c r="L168" s="13" t="s">
        <v>83</v>
      </c>
      <c r="M168" s="13">
        <v>26</v>
      </c>
      <c r="N168" s="13">
        <v>4</v>
      </c>
      <c r="O168" s="13" t="s">
        <v>84</v>
      </c>
      <c r="P168" s="13">
        <v>28.1</v>
      </c>
      <c r="Q168" s="13">
        <v>110</v>
      </c>
      <c r="R168" s="13">
        <v>67</v>
      </c>
      <c r="S168" s="13" t="s">
        <v>85</v>
      </c>
      <c r="T168" s="13" t="s">
        <v>86</v>
      </c>
      <c r="U168" s="13" t="s">
        <v>87</v>
      </c>
      <c r="V168" s="13" t="s">
        <v>83</v>
      </c>
      <c r="W168" s="13" t="str">
        <f t="shared" si="12"/>
        <v>30-34 ans</v>
      </c>
      <c r="X168" s="13" t="str">
        <f t="shared" si="13"/>
        <v>1-2 accouchements</v>
      </c>
      <c r="Y168" s="13" t="str">
        <f t="shared" si="14"/>
        <v>4 à 7 CPN</v>
      </c>
      <c r="Z168" s="13" t="str">
        <f t="shared" si="15"/>
        <v>20-27 SA</v>
      </c>
      <c r="AA168" s="13">
        <f t="shared" si="16"/>
        <v>319.5</v>
      </c>
      <c r="AB168" s="13">
        <f t="shared" si="17"/>
        <v>1</v>
      </c>
    </row>
    <row r="169" spans="1:28" x14ac:dyDescent="0.25">
      <c r="A169" s="13" t="s">
        <v>276</v>
      </c>
      <c r="B169" s="13">
        <v>39</v>
      </c>
      <c r="C169" s="13" t="s">
        <v>79</v>
      </c>
      <c r="D169" s="13" t="s">
        <v>93</v>
      </c>
      <c r="F169" s="13" t="s">
        <v>82</v>
      </c>
      <c r="G169" s="13">
        <v>5</v>
      </c>
      <c r="H169" s="13">
        <v>4</v>
      </c>
      <c r="I169" s="13" t="s">
        <v>91</v>
      </c>
      <c r="J169" s="13" t="s">
        <v>83</v>
      </c>
      <c r="K169" s="13" t="s">
        <v>83</v>
      </c>
      <c r="L169" s="13" t="s">
        <v>83</v>
      </c>
      <c r="M169" s="13">
        <v>40</v>
      </c>
      <c r="N169" s="13">
        <v>2</v>
      </c>
      <c r="O169" s="13" t="s">
        <v>84</v>
      </c>
      <c r="P169" s="13">
        <v>20.2</v>
      </c>
      <c r="Q169" s="13">
        <v>140</v>
      </c>
      <c r="R169" s="13">
        <v>94</v>
      </c>
      <c r="S169" s="13" t="s">
        <v>113</v>
      </c>
      <c r="T169" s="13" t="s">
        <v>83</v>
      </c>
      <c r="U169" s="13" t="s">
        <v>114</v>
      </c>
      <c r="V169" s="13" t="s">
        <v>91</v>
      </c>
      <c r="W169" s="13" t="str">
        <f t="shared" si="12"/>
        <v>35 ans et plus</v>
      </c>
      <c r="X169" s="13" t="str">
        <f t="shared" si="13"/>
        <v>3 accouchements et plus</v>
      </c>
      <c r="Y169" s="13" t="str">
        <f t="shared" si="14"/>
        <v>Moins de 4 CPN</v>
      </c>
      <c r="Z169" s="13" t="str">
        <f t="shared" si="15"/>
        <v>37 SA et plus</v>
      </c>
      <c r="AA169" s="13">
        <f t="shared" si="16"/>
        <v>391.5</v>
      </c>
      <c r="AB169" s="13">
        <f t="shared" si="17"/>
        <v>1</v>
      </c>
    </row>
    <row r="170" spans="1:28" x14ac:dyDescent="0.25">
      <c r="A170" s="13" t="s">
        <v>277</v>
      </c>
      <c r="B170" s="13">
        <v>28</v>
      </c>
      <c r="C170" s="13" t="s">
        <v>79</v>
      </c>
      <c r="D170" s="13" t="s">
        <v>93</v>
      </c>
      <c r="E170" s="13" t="s">
        <v>81</v>
      </c>
      <c r="F170" s="13" t="s">
        <v>82</v>
      </c>
      <c r="G170" s="13">
        <v>4</v>
      </c>
      <c r="H170" s="13">
        <v>3</v>
      </c>
      <c r="I170" s="13" t="s">
        <v>83</v>
      </c>
      <c r="J170" s="13" t="s">
        <v>83</v>
      </c>
      <c r="K170" s="13" t="s">
        <v>91</v>
      </c>
      <c r="L170" s="13" t="s">
        <v>83</v>
      </c>
      <c r="M170" s="13">
        <v>36</v>
      </c>
      <c r="N170" s="13">
        <v>7</v>
      </c>
      <c r="O170" s="13" t="s">
        <v>84</v>
      </c>
      <c r="P170" s="13">
        <v>25.5</v>
      </c>
      <c r="Q170" s="13">
        <v>101</v>
      </c>
      <c r="R170" s="13">
        <v>73</v>
      </c>
      <c r="S170" s="13" t="s">
        <v>106</v>
      </c>
      <c r="T170" s="13" t="s">
        <v>86</v>
      </c>
      <c r="U170" s="13" t="s">
        <v>87</v>
      </c>
      <c r="V170" s="13" t="s">
        <v>83</v>
      </c>
      <c r="W170" s="13" t="str">
        <f t="shared" si="12"/>
        <v>20-29 ans</v>
      </c>
      <c r="X170" s="13" t="str">
        <f t="shared" si="13"/>
        <v>3 accouchements et plus</v>
      </c>
      <c r="Y170" s="13" t="str">
        <f t="shared" si="14"/>
        <v>4 à 7 CPN</v>
      </c>
      <c r="Z170" s="13" t="str">
        <f t="shared" si="15"/>
        <v>28-36 SA</v>
      </c>
      <c r="AA170" s="13">
        <f t="shared" si="16"/>
        <v>276</v>
      </c>
      <c r="AB170" s="13">
        <f t="shared" si="17"/>
        <v>1</v>
      </c>
    </row>
    <row r="171" spans="1:28" x14ac:dyDescent="0.25">
      <c r="A171" s="13" t="s">
        <v>278</v>
      </c>
      <c r="B171" s="13">
        <v>35</v>
      </c>
      <c r="C171" s="13" t="s">
        <v>79</v>
      </c>
      <c r="D171" s="13" t="s">
        <v>80</v>
      </c>
      <c r="F171" s="13" t="s">
        <v>82</v>
      </c>
      <c r="G171" s="13">
        <v>3</v>
      </c>
      <c r="H171" s="13">
        <v>2</v>
      </c>
      <c r="I171" s="13" t="s">
        <v>91</v>
      </c>
      <c r="J171" s="13" t="s">
        <v>83</v>
      </c>
      <c r="K171" s="13" t="s">
        <v>91</v>
      </c>
      <c r="L171" s="13" t="s">
        <v>83</v>
      </c>
      <c r="M171" s="13">
        <v>34</v>
      </c>
      <c r="N171" s="13">
        <v>4</v>
      </c>
      <c r="O171" s="13" t="s">
        <v>84</v>
      </c>
      <c r="P171" s="13">
        <v>28.7</v>
      </c>
      <c r="Q171" s="13">
        <v>106</v>
      </c>
      <c r="R171" s="13">
        <v>70</v>
      </c>
      <c r="S171" s="13" t="s">
        <v>85</v>
      </c>
      <c r="T171" s="13" t="s">
        <v>86</v>
      </c>
      <c r="U171" s="13" t="s">
        <v>87</v>
      </c>
      <c r="V171" s="13" t="s">
        <v>83</v>
      </c>
      <c r="W171" s="13" t="str">
        <f t="shared" si="12"/>
        <v>35 ans et plus</v>
      </c>
      <c r="X171" s="13" t="str">
        <f t="shared" si="13"/>
        <v>1-2 accouchements</v>
      </c>
      <c r="Y171" s="13" t="str">
        <f t="shared" si="14"/>
        <v>4 à 7 CPN</v>
      </c>
      <c r="Z171" s="13" t="str">
        <f t="shared" si="15"/>
        <v>28-36 SA</v>
      </c>
      <c r="AA171" s="13">
        <f t="shared" si="16"/>
        <v>378</v>
      </c>
      <c r="AB171" s="13">
        <f t="shared" si="17"/>
        <v>1</v>
      </c>
    </row>
    <row r="172" spans="1:28" x14ac:dyDescent="0.25">
      <c r="A172" s="13" t="s">
        <v>279</v>
      </c>
      <c r="B172" s="13">
        <v>33</v>
      </c>
      <c r="C172" s="13" t="s">
        <v>98</v>
      </c>
      <c r="D172" s="13" t="s">
        <v>124</v>
      </c>
      <c r="E172" s="13" t="s">
        <v>81</v>
      </c>
      <c r="F172" s="13" t="s">
        <v>94</v>
      </c>
      <c r="G172" s="13">
        <v>2</v>
      </c>
      <c r="H172" s="13">
        <v>1</v>
      </c>
      <c r="I172" s="13" t="s">
        <v>83</v>
      </c>
      <c r="J172" s="13" t="s">
        <v>83</v>
      </c>
      <c r="K172" s="13" t="s">
        <v>83</v>
      </c>
      <c r="L172" s="13" t="s">
        <v>83</v>
      </c>
      <c r="M172" s="13">
        <v>36</v>
      </c>
      <c r="N172" s="13">
        <v>7</v>
      </c>
      <c r="O172" s="13" t="s">
        <v>84</v>
      </c>
      <c r="Q172" s="13">
        <v>96</v>
      </c>
      <c r="R172" s="13">
        <v>63</v>
      </c>
      <c r="S172" s="13" t="s">
        <v>85</v>
      </c>
      <c r="T172" s="13" t="s">
        <v>86</v>
      </c>
      <c r="U172" s="13" t="s">
        <v>87</v>
      </c>
      <c r="V172" s="13" t="s">
        <v>83</v>
      </c>
      <c r="W172" s="13" t="str">
        <f t="shared" si="12"/>
        <v>30-34 ans</v>
      </c>
      <c r="X172" s="13" t="str">
        <f t="shared" si="13"/>
        <v>1-2 accouchements</v>
      </c>
      <c r="Y172" s="13" t="str">
        <f t="shared" si="14"/>
        <v>4 à 7 CPN</v>
      </c>
      <c r="Z172" s="13" t="str">
        <f t="shared" si="15"/>
        <v>28-36 SA</v>
      </c>
      <c r="AA172" s="13">
        <f t="shared" si="16"/>
        <v>361.5</v>
      </c>
      <c r="AB172" s="13">
        <f t="shared" si="17"/>
        <v>1</v>
      </c>
    </row>
    <row r="173" spans="1:28" x14ac:dyDescent="0.25">
      <c r="A173" s="13" t="s">
        <v>280</v>
      </c>
      <c r="B173" s="13">
        <v>22</v>
      </c>
      <c r="C173" s="13" t="s">
        <v>79</v>
      </c>
      <c r="D173" s="13" t="s">
        <v>109</v>
      </c>
      <c r="E173" s="13" t="s">
        <v>81</v>
      </c>
      <c r="F173" s="13" t="s">
        <v>94</v>
      </c>
      <c r="G173" s="13">
        <v>2</v>
      </c>
      <c r="H173" s="13">
        <v>1</v>
      </c>
      <c r="I173" s="13" t="s">
        <v>83</v>
      </c>
      <c r="J173" s="13" t="s">
        <v>83</v>
      </c>
      <c r="K173" s="13" t="s">
        <v>83</v>
      </c>
      <c r="L173" s="13" t="s">
        <v>83</v>
      </c>
      <c r="M173" s="13">
        <v>33</v>
      </c>
      <c r="N173" s="13">
        <v>3</v>
      </c>
      <c r="O173" s="13" t="s">
        <v>84</v>
      </c>
      <c r="P173" s="13">
        <v>22.3</v>
      </c>
      <c r="Q173" s="13">
        <v>91</v>
      </c>
      <c r="R173" s="13">
        <v>66</v>
      </c>
      <c r="S173" s="13" t="s">
        <v>85</v>
      </c>
      <c r="T173" s="13" t="s">
        <v>86</v>
      </c>
      <c r="U173" s="13" t="s">
        <v>87</v>
      </c>
      <c r="V173" s="13" t="s">
        <v>83</v>
      </c>
      <c r="W173" s="13" t="str">
        <f t="shared" si="12"/>
        <v>20-29 ans</v>
      </c>
      <c r="X173" s="13" t="str">
        <f t="shared" si="13"/>
        <v>1-2 accouchements</v>
      </c>
      <c r="Y173" s="13" t="str">
        <f t="shared" si="14"/>
        <v>Moins de 4 CPN</v>
      </c>
      <c r="Z173" s="13" t="str">
        <f t="shared" si="15"/>
        <v>28-36 SA</v>
      </c>
      <c r="AA173" s="13">
        <f t="shared" si="16"/>
        <v>70</v>
      </c>
      <c r="AB173" s="13">
        <f t="shared" si="17"/>
        <v>1</v>
      </c>
    </row>
    <row r="174" spans="1:28" x14ac:dyDescent="0.25">
      <c r="A174" s="13" t="s">
        <v>281</v>
      </c>
      <c r="B174" s="13">
        <v>22</v>
      </c>
      <c r="C174" s="13" t="s">
        <v>79</v>
      </c>
      <c r="D174" s="13" t="s">
        <v>80</v>
      </c>
      <c r="E174" s="13" t="s">
        <v>99</v>
      </c>
      <c r="F174" s="13" t="s">
        <v>94</v>
      </c>
      <c r="G174" s="13">
        <v>2</v>
      </c>
      <c r="H174" s="13">
        <v>1</v>
      </c>
      <c r="I174" s="13" t="s">
        <v>83</v>
      </c>
      <c r="J174" s="13" t="s">
        <v>83</v>
      </c>
      <c r="K174" s="13" t="s">
        <v>83</v>
      </c>
      <c r="L174" s="13" t="s">
        <v>83</v>
      </c>
      <c r="M174" s="13">
        <v>32</v>
      </c>
      <c r="N174" s="13">
        <v>4</v>
      </c>
      <c r="O174" s="13" t="s">
        <v>84</v>
      </c>
      <c r="P174" s="13">
        <v>16</v>
      </c>
      <c r="Q174" s="13">
        <v>112</v>
      </c>
      <c r="R174" s="13">
        <v>64</v>
      </c>
      <c r="S174" s="13" t="s">
        <v>85</v>
      </c>
      <c r="T174" s="13" t="s">
        <v>86</v>
      </c>
      <c r="U174" s="13" t="s">
        <v>87</v>
      </c>
      <c r="V174" s="13" t="s">
        <v>83</v>
      </c>
      <c r="W174" s="13" t="str">
        <f t="shared" si="12"/>
        <v>20-29 ans</v>
      </c>
      <c r="X174" s="13" t="str">
        <f t="shared" si="13"/>
        <v>1-2 accouchements</v>
      </c>
      <c r="Y174" s="13" t="str">
        <f t="shared" si="14"/>
        <v>4 à 7 CPN</v>
      </c>
      <c r="Z174" s="13" t="str">
        <f t="shared" si="15"/>
        <v>28-36 SA</v>
      </c>
      <c r="AA174" s="13">
        <f t="shared" si="16"/>
        <v>70</v>
      </c>
      <c r="AB174" s="13">
        <f t="shared" si="17"/>
        <v>1</v>
      </c>
    </row>
    <row r="175" spans="1:28" x14ac:dyDescent="0.25">
      <c r="A175" s="13" t="s">
        <v>282</v>
      </c>
      <c r="B175" s="13">
        <v>33</v>
      </c>
      <c r="C175" s="13" t="s">
        <v>98</v>
      </c>
      <c r="D175" s="13" t="s">
        <v>80</v>
      </c>
      <c r="E175" s="13" t="s">
        <v>112</v>
      </c>
      <c r="F175" s="13" t="s">
        <v>82</v>
      </c>
      <c r="G175" s="13">
        <v>3</v>
      </c>
      <c r="H175" s="13">
        <v>2</v>
      </c>
      <c r="I175" s="13" t="s">
        <v>83</v>
      </c>
      <c r="J175" s="13" t="s">
        <v>83</v>
      </c>
      <c r="K175" s="13" t="s">
        <v>83</v>
      </c>
      <c r="L175" s="13" t="s">
        <v>83</v>
      </c>
      <c r="M175" s="13">
        <v>38</v>
      </c>
      <c r="N175" s="13">
        <v>5</v>
      </c>
      <c r="O175" s="13" t="s">
        <v>84</v>
      </c>
      <c r="P175" s="13">
        <v>21</v>
      </c>
      <c r="Q175" s="13">
        <v>107</v>
      </c>
      <c r="R175" s="13">
        <v>70</v>
      </c>
      <c r="S175" s="13" t="s">
        <v>85</v>
      </c>
      <c r="T175" s="13" t="s">
        <v>86</v>
      </c>
      <c r="U175" s="13" t="s">
        <v>87</v>
      </c>
      <c r="V175" s="13" t="s">
        <v>83</v>
      </c>
      <c r="W175" s="13" t="str">
        <f t="shared" si="12"/>
        <v>30-34 ans</v>
      </c>
      <c r="X175" s="13" t="str">
        <f t="shared" si="13"/>
        <v>1-2 accouchements</v>
      </c>
      <c r="Y175" s="13" t="str">
        <f t="shared" si="14"/>
        <v>4 à 7 CPN</v>
      </c>
      <c r="Z175" s="13" t="str">
        <f t="shared" si="15"/>
        <v>37 SA et plus</v>
      </c>
      <c r="AA175" s="13">
        <f t="shared" si="16"/>
        <v>361.5</v>
      </c>
      <c r="AB175" s="13">
        <f t="shared" si="17"/>
        <v>1</v>
      </c>
    </row>
    <row r="176" spans="1:28" x14ac:dyDescent="0.25">
      <c r="A176" s="13" t="s">
        <v>283</v>
      </c>
      <c r="B176" s="13">
        <v>31</v>
      </c>
      <c r="C176" s="13" t="s">
        <v>79</v>
      </c>
      <c r="D176" s="13" t="s">
        <v>93</v>
      </c>
      <c r="E176" s="13" t="s">
        <v>81</v>
      </c>
      <c r="F176" s="13" t="s">
        <v>82</v>
      </c>
      <c r="G176" s="13">
        <v>4</v>
      </c>
      <c r="H176" s="13">
        <v>3</v>
      </c>
      <c r="I176" s="13" t="s">
        <v>83</v>
      </c>
      <c r="J176" s="13" t="s">
        <v>83</v>
      </c>
      <c r="K176" s="13" t="s">
        <v>83</v>
      </c>
      <c r="L176" s="13" t="s">
        <v>83</v>
      </c>
      <c r="M176" s="13">
        <v>40</v>
      </c>
      <c r="N176" s="13">
        <v>7</v>
      </c>
      <c r="O176" s="13" t="s">
        <v>84</v>
      </c>
      <c r="P176" s="13">
        <v>18.2</v>
      </c>
      <c r="Q176" s="13">
        <v>106</v>
      </c>
      <c r="R176" s="13">
        <v>74</v>
      </c>
      <c r="S176" s="13" t="s">
        <v>85</v>
      </c>
      <c r="T176" s="13" t="s">
        <v>86</v>
      </c>
      <c r="U176" s="13" t="s">
        <v>87</v>
      </c>
      <c r="V176" s="13" t="s">
        <v>83</v>
      </c>
      <c r="W176" s="13" t="str">
        <f t="shared" si="12"/>
        <v>30-34 ans</v>
      </c>
      <c r="X176" s="13" t="str">
        <f t="shared" si="13"/>
        <v>3 accouchements et plus</v>
      </c>
      <c r="Y176" s="13" t="str">
        <f t="shared" si="14"/>
        <v>4 à 7 CPN</v>
      </c>
      <c r="Z176" s="13" t="str">
        <f t="shared" si="15"/>
        <v>37 SA et plus</v>
      </c>
      <c r="AA176" s="13">
        <f t="shared" si="16"/>
        <v>334.5</v>
      </c>
      <c r="AB176" s="13">
        <f t="shared" si="17"/>
        <v>1</v>
      </c>
    </row>
    <row r="177" spans="1:28" x14ac:dyDescent="0.25">
      <c r="A177" s="13" t="s">
        <v>284</v>
      </c>
      <c r="B177" s="13">
        <v>27</v>
      </c>
      <c r="C177" s="13" t="s">
        <v>89</v>
      </c>
      <c r="D177" s="13" t="s">
        <v>80</v>
      </c>
      <c r="E177" s="13" t="s">
        <v>90</v>
      </c>
      <c r="F177" s="13" t="s">
        <v>94</v>
      </c>
      <c r="G177" s="13">
        <v>2</v>
      </c>
      <c r="H177" s="13">
        <v>1</v>
      </c>
      <c r="I177" s="13" t="s">
        <v>83</v>
      </c>
      <c r="J177" s="13" t="s">
        <v>83</v>
      </c>
      <c r="K177" s="13" t="s">
        <v>83</v>
      </c>
      <c r="L177" s="13" t="s">
        <v>83</v>
      </c>
      <c r="M177" s="13">
        <v>39</v>
      </c>
      <c r="N177" s="13">
        <v>8</v>
      </c>
      <c r="O177" s="13" t="s">
        <v>84</v>
      </c>
      <c r="P177" s="13">
        <v>18.2</v>
      </c>
      <c r="Q177" s="13">
        <v>95</v>
      </c>
      <c r="R177" s="13">
        <v>60</v>
      </c>
      <c r="S177" s="13" t="s">
        <v>85</v>
      </c>
      <c r="T177" s="13" t="s">
        <v>86</v>
      </c>
      <c r="U177" s="13" t="s">
        <v>87</v>
      </c>
      <c r="V177" s="13" t="s">
        <v>83</v>
      </c>
      <c r="W177" s="13" t="str">
        <f t="shared" si="12"/>
        <v>20-29 ans</v>
      </c>
      <c r="X177" s="13" t="str">
        <f t="shared" si="13"/>
        <v>1-2 accouchements</v>
      </c>
      <c r="Y177" s="13" t="str">
        <f t="shared" si="14"/>
        <v>8 CPN et plus</v>
      </c>
      <c r="Z177" s="13" t="str">
        <f t="shared" si="15"/>
        <v>37 SA et plus</v>
      </c>
      <c r="AA177" s="13">
        <f t="shared" si="16"/>
        <v>243</v>
      </c>
      <c r="AB177" s="13">
        <f t="shared" si="17"/>
        <v>1</v>
      </c>
    </row>
    <row r="178" spans="1:28" x14ac:dyDescent="0.25">
      <c r="A178" s="13" t="s">
        <v>285</v>
      </c>
      <c r="B178" s="13">
        <v>21</v>
      </c>
      <c r="C178" s="13" t="s">
        <v>79</v>
      </c>
      <c r="D178" s="13" t="s">
        <v>93</v>
      </c>
      <c r="E178" s="13" t="s">
        <v>81</v>
      </c>
      <c r="F178" s="13" t="s">
        <v>82</v>
      </c>
      <c r="G178" s="13">
        <v>1</v>
      </c>
      <c r="H178" s="13">
        <v>0</v>
      </c>
      <c r="I178" s="13" t="s">
        <v>86</v>
      </c>
      <c r="J178" s="13" t="s">
        <v>83</v>
      </c>
      <c r="K178" s="13" t="s">
        <v>83</v>
      </c>
      <c r="L178" s="13" t="s">
        <v>83</v>
      </c>
      <c r="M178" s="13">
        <v>40</v>
      </c>
      <c r="N178" s="13">
        <v>4</v>
      </c>
      <c r="O178" s="13" t="s">
        <v>84</v>
      </c>
      <c r="P178" s="13">
        <v>21.7</v>
      </c>
      <c r="Q178" s="13">
        <v>178</v>
      </c>
      <c r="R178" s="13">
        <v>105</v>
      </c>
      <c r="S178" s="13" t="s">
        <v>113</v>
      </c>
      <c r="T178" s="13" t="s">
        <v>91</v>
      </c>
      <c r="U178" s="13" t="s">
        <v>114</v>
      </c>
      <c r="V178" s="13" t="s">
        <v>91</v>
      </c>
      <c r="W178" s="13" t="str">
        <f t="shared" si="12"/>
        <v>20-29 ans</v>
      </c>
      <c r="X178" s="13" t="str">
        <f t="shared" si="13"/>
        <v>Nullipare (0)</v>
      </c>
      <c r="Y178" s="13" t="str">
        <f t="shared" si="14"/>
        <v>4 à 7 CPN</v>
      </c>
      <c r="Z178" s="13" t="str">
        <f t="shared" si="15"/>
        <v>37 SA et plus</v>
      </c>
      <c r="AA178" s="13">
        <f t="shared" si="16"/>
        <v>48</v>
      </c>
      <c r="AB178" s="13">
        <f t="shared" si="17"/>
        <v>0</v>
      </c>
    </row>
    <row r="179" spans="1:28" x14ac:dyDescent="0.25">
      <c r="A179" s="13" t="s">
        <v>286</v>
      </c>
      <c r="B179" s="13">
        <v>32</v>
      </c>
      <c r="C179" s="13" t="s">
        <v>79</v>
      </c>
      <c r="D179" s="13" t="s">
        <v>80</v>
      </c>
      <c r="E179" s="13" t="s">
        <v>96</v>
      </c>
      <c r="F179" s="13" t="s">
        <v>82</v>
      </c>
      <c r="G179" s="13">
        <v>5</v>
      </c>
      <c r="H179" s="13">
        <v>4</v>
      </c>
      <c r="I179" s="13" t="s">
        <v>83</v>
      </c>
      <c r="J179" s="13" t="s">
        <v>83</v>
      </c>
      <c r="K179" s="13" t="s">
        <v>83</v>
      </c>
      <c r="L179" s="13" t="s">
        <v>83</v>
      </c>
      <c r="M179" s="13">
        <v>32</v>
      </c>
      <c r="N179" s="13">
        <v>4</v>
      </c>
      <c r="O179" s="13" t="s">
        <v>84</v>
      </c>
      <c r="P179" s="13">
        <v>28</v>
      </c>
      <c r="Q179" s="13">
        <v>106</v>
      </c>
      <c r="R179" s="13">
        <v>67</v>
      </c>
      <c r="S179" s="13" t="s">
        <v>85</v>
      </c>
      <c r="T179" s="13" t="s">
        <v>86</v>
      </c>
      <c r="U179" s="13" t="s">
        <v>87</v>
      </c>
      <c r="V179" s="13" t="s">
        <v>83</v>
      </c>
      <c r="W179" s="13" t="str">
        <f t="shared" si="12"/>
        <v>30-34 ans</v>
      </c>
      <c r="X179" s="13" t="str">
        <f t="shared" si="13"/>
        <v>3 accouchements et plus</v>
      </c>
      <c r="Y179" s="13" t="str">
        <f t="shared" si="14"/>
        <v>4 à 7 CPN</v>
      </c>
      <c r="Z179" s="13" t="str">
        <f t="shared" si="15"/>
        <v>28-36 SA</v>
      </c>
      <c r="AA179" s="13">
        <f t="shared" si="16"/>
        <v>347.5</v>
      </c>
      <c r="AB179" s="13">
        <f t="shared" si="17"/>
        <v>1</v>
      </c>
    </row>
    <row r="180" spans="1:28" x14ac:dyDescent="0.25">
      <c r="A180" s="13" t="s">
        <v>287</v>
      </c>
      <c r="B180" s="13">
        <v>22</v>
      </c>
      <c r="C180" s="13" t="s">
        <v>79</v>
      </c>
      <c r="D180" s="13" t="s">
        <v>80</v>
      </c>
      <c r="E180" s="13" t="s">
        <v>81</v>
      </c>
      <c r="F180" s="13" t="s">
        <v>94</v>
      </c>
      <c r="G180" s="13">
        <v>2</v>
      </c>
      <c r="H180" s="13">
        <v>1</v>
      </c>
      <c r="I180" s="13" t="s">
        <v>83</v>
      </c>
      <c r="J180" s="13" t="s">
        <v>83</v>
      </c>
      <c r="K180" s="13" t="s">
        <v>83</v>
      </c>
      <c r="L180" s="13" t="s">
        <v>83</v>
      </c>
      <c r="M180" s="13">
        <v>34</v>
      </c>
      <c r="N180" s="13">
        <v>6</v>
      </c>
      <c r="O180" s="13" t="s">
        <v>84</v>
      </c>
      <c r="P180" s="13">
        <v>24.3</v>
      </c>
      <c r="Q180" s="13">
        <v>120</v>
      </c>
      <c r="R180" s="13">
        <v>71</v>
      </c>
      <c r="S180" s="13" t="s">
        <v>85</v>
      </c>
      <c r="T180" s="13" t="s">
        <v>86</v>
      </c>
      <c r="U180" s="13" t="s">
        <v>87</v>
      </c>
      <c r="V180" s="13" t="s">
        <v>83</v>
      </c>
      <c r="W180" s="13" t="str">
        <f t="shared" si="12"/>
        <v>20-29 ans</v>
      </c>
      <c r="X180" s="13" t="str">
        <f t="shared" si="13"/>
        <v>1-2 accouchements</v>
      </c>
      <c r="Y180" s="13" t="str">
        <f t="shared" si="14"/>
        <v>4 à 7 CPN</v>
      </c>
      <c r="Z180" s="13" t="str">
        <f t="shared" si="15"/>
        <v>28-36 SA</v>
      </c>
      <c r="AA180" s="13">
        <f t="shared" si="16"/>
        <v>70</v>
      </c>
      <c r="AB180" s="13">
        <f t="shared" si="17"/>
        <v>1</v>
      </c>
    </row>
    <row r="181" spans="1:28" x14ac:dyDescent="0.25">
      <c r="A181" s="13" t="s">
        <v>288</v>
      </c>
      <c r="B181" s="13">
        <v>22</v>
      </c>
      <c r="C181" s="13" t="s">
        <v>89</v>
      </c>
      <c r="D181" s="13" t="s">
        <v>80</v>
      </c>
      <c r="E181" s="13" t="s">
        <v>81</v>
      </c>
      <c r="F181" s="13" t="s">
        <v>82</v>
      </c>
      <c r="G181" s="13">
        <v>2</v>
      </c>
      <c r="H181" s="13">
        <v>1</v>
      </c>
      <c r="I181" s="13" t="s">
        <v>83</v>
      </c>
      <c r="J181" s="13" t="s">
        <v>83</v>
      </c>
      <c r="K181" s="13" t="s">
        <v>83</v>
      </c>
      <c r="L181" s="13" t="s">
        <v>83</v>
      </c>
      <c r="M181" s="13">
        <v>35</v>
      </c>
      <c r="N181" s="13">
        <v>5</v>
      </c>
      <c r="O181" s="13" t="s">
        <v>84</v>
      </c>
      <c r="P181" s="13">
        <v>25.8</v>
      </c>
      <c r="Q181" s="13">
        <v>117</v>
      </c>
      <c r="R181" s="13">
        <v>69</v>
      </c>
      <c r="S181" s="13" t="s">
        <v>85</v>
      </c>
      <c r="T181" s="13" t="s">
        <v>86</v>
      </c>
      <c r="U181" s="13" t="s">
        <v>87</v>
      </c>
      <c r="V181" s="13" t="s">
        <v>83</v>
      </c>
      <c r="W181" s="13" t="str">
        <f t="shared" si="12"/>
        <v>20-29 ans</v>
      </c>
      <c r="X181" s="13" t="str">
        <f t="shared" si="13"/>
        <v>1-2 accouchements</v>
      </c>
      <c r="Y181" s="13" t="str">
        <f t="shared" si="14"/>
        <v>4 à 7 CPN</v>
      </c>
      <c r="Z181" s="13" t="str">
        <f t="shared" si="15"/>
        <v>28-36 SA</v>
      </c>
      <c r="AA181" s="13">
        <f t="shared" si="16"/>
        <v>70</v>
      </c>
      <c r="AB181" s="13">
        <f t="shared" si="17"/>
        <v>1</v>
      </c>
    </row>
    <row r="182" spans="1:28" x14ac:dyDescent="0.25">
      <c r="A182" s="13" t="s">
        <v>289</v>
      </c>
      <c r="B182" s="13">
        <v>23</v>
      </c>
      <c r="C182" s="13" t="s">
        <v>79</v>
      </c>
      <c r="D182" s="13" t="s">
        <v>80</v>
      </c>
      <c r="E182" s="13" t="s">
        <v>99</v>
      </c>
      <c r="F182" s="13" t="s">
        <v>82</v>
      </c>
      <c r="G182" s="13">
        <v>3</v>
      </c>
      <c r="H182" s="13">
        <v>2</v>
      </c>
      <c r="I182" s="13" t="s">
        <v>83</v>
      </c>
      <c r="J182" s="13" t="s">
        <v>83</v>
      </c>
      <c r="K182" s="13" t="s">
        <v>83</v>
      </c>
      <c r="L182" s="13" t="s">
        <v>83</v>
      </c>
      <c r="M182" s="13">
        <v>31</v>
      </c>
      <c r="N182" s="13">
        <v>5</v>
      </c>
      <c r="O182" s="13" t="s">
        <v>84</v>
      </c>
      <c r="Q182" s="13">
        <v>116</v>
      </c>
      <c r="R182" s="13">
        <v>71</v>
      </c>
      <c r="S182" s="13" t="s">
        <v>85</v>
      </c>
      <c r="T182" s="13" t="s">
        <v>86</v>
      </c>
      <c r="U182" s="13" t="s">
        <v>87</v>
      </c>
      <c r="V182" s="13" t="s">
        <v>83</v>
      </c>
      <c r="W182" s="13" t="str">
        <f t="shared" si="12"/>
        <v>20-29 ans</v>
      </c>
      <c r="X182" s="13" t="str">
        <f t="shared" si="13"/>
        <v>1-2 accouchements</v>
      </c>
      <c r="Y182" s="13" t="str">
        <f t="shared" si="14"/>
        <v>4 à 7 CPN</v>
      </c>
      <c r="Z182" s="13" t="str">
        <f t="shared" si="15"/>
        <v>28-36 SA</v>
      </c>
      <c r="AA182" s="13">
        <f t="shared" si="16"/>
        <v>103.5</v>
      </c>
      <c r="AB182" s="13">
        <f t="shared" si="17"/>
        <v>1</v>
      </c>
    </row>
    <row r="183" spans="1:28" x14ac:dyDescent="0.25">
      <c r="A183" s="13" t="s">
        <v>290</v>
      </c>
      <c r="B183" s="13">
        <v>28</v>
      </c>
      <c r="C183" s="13" t="s">
        <v>98</v>
      </c>
      <c r="D183" s="13" t="s">
        <v>93</v>
      </c>
      <c r="F183" s="13" t="s">
        <v>94</v>
      </c>
      <c r="G183" s="13">
        <v>4</v>
      </c>
      <c r="H183" s="13">
        <v>3</v>
      </c>
      <c r="I183" s="13" t="s">
        <v>83</v>
      </c>
      <c r="J183" s="13" t="s">
        <v>83</v>
      </c>
      <c r="K183" s="13" t="s">
        <v>91</v>
      </c>
      <c r="L183" s="13" t="s">
        <v>83</v>
      </c>
      <c r="M183" s="13">
        <v>35</v>
      </c>
      <c r="N183" s="13">
        <v>4</v>
      </c>
      <c r="O183" s="13" t="s">
        <v>84</v>
      </c>
      <c r="P183" s="13">
        <v>21.4</v>
      </c>
      <c r="Q183" s="13">
        <v>110</v>
      </c>
      <c r="R183" s="13">
        <v>69</v>
      </c>
      <c r="S183" s="13" t="s">
        <v>85</v>
      </c>
      <c r="T183" s="13" t="s">
        <v>86</v>
      </c>
      <c r="U183" s="13" t="s">
        <v>87</v>
      </c>
      <c r="V183" s="13" t="s">
        <v>83</v>
      </c>
      <c r="W183" s="13" t="str">
        <f t="shared" si="12"/>
        <v>20-29 ans</v>
      </c>
      <c r="X183" s="13" t="str">
        <f t="shared" si="13"/>
        <v>3 accouchements et plus</v>
      </c>
      <c r="Y183" s="13" t="str">
        <f t="shared" si="14"/>
        <v>4 à 7 CPN</v>
      </c>
      <c r="Z183" s="13" t="str">
        <f t="shared" si="15"/>
        <v>28-36 SA</v>
      </c>
      <c r="AA183" s="13">
        <f t="shared" si="16"/>
        <v>276</v>
      </c>
      <c r="AB183" s="13">
        <f t="shared" si="17"/>
        <v>1</v>
      </c>
    </row>
    <row r="184" spans="1:28" x14ac:dyDescent="0.25">
      <c r="A184" s="13" t="s">
        <v>291</v>
      </c>
      <c r="B184" s="13">
        <v>32</v>
      </c>
      <c r="C184" s="13" t="s">
        <v>98</v>
      </c>
      <c r="D184" s="13" t="s">
        <v>80</v>
      </c>
      <c r="E184" s="13" t="s">
        <v>101</v>
      </c>
      <c r="F184" s="13" t="s">
        <v>94</v>
      </c>
      <c r="G184" s="13">
        <v>3</v>
      </c>
      <c r="H184" s="13">
        <v>2</v>
      </c>
      <c r="I184" s="13" t="s">
        <v>83</v>
      </c>
      <c r="J184" s="13" t="s">
        <v>83</v>
      </c>
      <c r="K184" s="13" t="s">
        <v>83</v>
      </c>
      <c r="L184" s="13" t="s">
        <v>83</v>
      </c>
      <c r="M184" s="13">
        <v>28</v>
      </c>
      <c r="N184" s="13">
        <v>3</v>
      </c>
      <c r="O184" s="13" t="s">
        <v>84</v>
      </c>
      <c r="P184" s="13">
        <v>22.9</v>
      </c>
      <c r="Q184" s="13">
        <v>107</v>
      </c>
      <c r="R184" s="13">
        <v>67</v>
      </c>
      <c r="S184" s="13" t="s">
        <v>85</v>
      </c>
      <c r="T184" s="13" t="s">
        <v>86</v>
      </c>
      <c r="U184" s="13" t="s">
        <v>87</v>
      </c>
      <c r="V184" s="13" t="s">
        <v>83</v>
      </c>
      <c r="W184" s="13" t="str">
        <f t="shared" si="12"/>
        <v>30-34 ans</v>
      </c>
      <c r="X184" s="13" t="str">
        <f t="shared" si="13"/>
        <v>1-2 accouchements</v>
      </c>
      <c r="Y184" s="13" t="str">
        <f t="shared" si="14"/>
        <v>Moins de 4 CPN</v>
      </c>
      <c r="Z184" s="13" t="str">
        <f t="shared" si="15"/>
        <v>28-36 SA</v>
      </c>
      <c r="AA184" s="13">
        <f t="shared" si="16"/>
        <v>347.5</v>
      </c>
      <c r="AB184" s="13">
        <f t="shared" si="17"/>
        <v>1</v>
      </c>
    </row>
    <row r="185" spans="1:28" x14ac:dyDescent="0.25">
      <c r="A185" s="13" t="s">
        <v>292</v>
      </c>
      <c r="B185" s="13">
        <v>20</v>
      </c>
      <c r="C185" s="13" t="s">
        <v>79</v>
      </c>
      <c r="D185" s="13" t="s">
        <v>80</v>
      </c>
      <c r="E185" s="13" t="s">
        <v>96</v>
      </c>
      <c r="F185" s="13" t="s">
        <v>82</v>
      </c>
      <c r="G185" s="13">
        <v>1</v>
      </c>
      <c r="H185" s="13">
        <v>0</v>
      </c>
      <c r="I185" s="13" t="s">
        <v>86</v>
      </c>
      <c r="J185" s="13" t="s">
        <v>83</v>
      </c>
      <c r="K185" s="13" t="s">
        <v>83</v>
      </c>
      <c r="L185" s="13" t="s">
        <v>83</v>
      </c>
      <c r="M185" s="13">
        <v>37</v>
      </c>
      <c r="N185" s="13">
        <v>2</v>
      </c>
      <c r="O185" s="13" t="s">
        <v>84</v>
      </c>
      <c r="P185" s="13">
        <v>25.4</v>
      </c>
      <c r="Q185" s="13">
        <v>153</v>
      </c>
      <c r="R185" s="13">
        <v>101</v>
      </c>
      <c r="S185" s="13" t="s">
        <v>113</v>
      </c>
      <c r="T185" s="13" t="s">
        <v>83</v>
      </c>
      <c r="U185" s="13" t="s">
        <v>114</v>
      </c>
      <c r="V185" s="13" t="s">
        <v>91</v>
      </c>
      <c r="W185" s="13" t="str">
        <f t="shared" si="12"/>
        <v>20-29 ans</v>
      </c>
      <c r="X185" s="13" t="str">
        <f t="shared" si="13"/>
        <v>Nullipare (0)</v>
      </c>
      <c r="Y185" s="13" t="str">
        <f t="shared" si="14"/>
        <v>Moins de 4 CPN</v>
      </c>
      <c r="Z185" s="13" t="str">
        <f t="shared" si="15"/>
        <v>37 SA et plus</v>
      </c>
      <c r="AA185" s="13">
        <f t="shared" si="16"/>
        <v>30.5</v>
      </c>
      <c r="AB185" s="13">
        <f t="shared" si="17"/>
        <v>0</v>
      </c>
    </row>
    <row r="186" spans="1:28" x14ac:dyDescent="0.25">
      <c r="A186" s="13" t="s">
        <v>293</v>
      </c>
      <c r="B186" s="13">
        <v>32</v>
      </c>
      <c r="C186" s="13" t="s">
        <v>79</v>
      </c>
      <c r="D186" s="13" t="s">
        <v>109</v>
      </c>
      <c r="E186" s="13" t="s">
        <v>81</v>
      </c>
      <c r="F186" s="13" t="s">
        <v>82</v>
      </c>
      <c r="G186" s="13">
        <v>5</v>
      </c>
      <c r="H186" s="13">
        <v>4</v>
      </c>
      <c r="I186" s="13" t="s">
        <v>83</v>
      </c>
      <c r="J186" s="13" t="s">
        <v>83</v>
      </c>
      <c r="K186" s="13" t="s">
        <v>83</v>
      </c>
      <c r="L186" s="13" t="s">
        <v>83</v>
      </c>
      <c r="M186" s="13">
        <v>39</v>
      </c>
      <c r="N186" s="13">
        <v>9</v>
      </c>
      <c r="O186" s="13" t="s">
        <v>84</v>
      </c>
      <c r="P186" s="13">
        <v>30.1</v>
      </c>
      <c r="Q186" s="13">
        <v>117</v>
      </c>
      <c r="R186" s="13">
        <v>63</v>
      </c>
      <c r="S186" s="13" t="s">
        <v>85</v>
      </c>
      <c r="T186" s="13" t="s">
        <v>86</v>
      </c>
      <c r="U186" s="13" t="s">
        <v>87</v>
      </c>
      <c r="V186" s="13" t="s">
        <v>83</v>
      </c>
      <c r="W186" s="13" t="str">
        <f t="shared" si="12"/>
        <v>30-34 ans</v>
      </c>
      <c r="X186" s="13" t="str">
        <f t="shared" si="13"/>
        <v>3 accouchements et plus</v>
      </c>
      <c r="Y186" s="13" t="str">
        <f t="shared" si="14"/>
        <v>8 CPN et plus</v>
      </c>
      <c r="Z186" s="13" t="str">
        <f t="shared" si="15"/>
        <v>37 SA et plus</v>
      </c>
      <c r="AA186" s="13">
        <f t="shared" si="16"/>
        <v>347.5</v>
      </c>
      <c r="AB186" s="13">
        <f t="shared" si="17"/>
        <v>1</v>
      </c>
    </row>
    <row r="187" spans="1:28" x14ac:dyDescent="0.25">
      <c r="A187" s="13" t="s">
        <v>294</v>
      </c>
      <c r="B187" s="13">
        <v>29</v>
      </c>
      <c r="C187" s="13" t="s">
        <v>98</v>
      </c>
      <c r="D187" s="13" t="s">
        <v>80</v>
      </c>
      <c r="E187" s="13" t="s">
        <v>96</v>
      </c>
      <c r="F187" s="13" t="s">
        <v>94</v>
      </c>
      <c r="G187" s="13">
        <v>5</v>
      </c>
      <c r="H187" s="13">
        <v>3</v>
      </c>
      <c r="I187" s="13" t="s">
        <v>83</v>
      </c>
      <c r="J187" s="13" t="s">
        <v>83</v>
      </c>
      <c r="K187" s="13" t="s">
        <v>83</v>
      </c>
      <c r="L187" s="13" t="s">
        <v>83</v>
      </c>
      <c r="M187" s="13">
        <v>33</v>
      </c>
      <c r="N187" s="13">
        <v>7</v>
      </c>
      <c r="O187" s="13" t="s">
        <v>84</v>
      </c>
      <c r="Q187" s="13">
        <v>107</v>
      </c>
      <c r="R187" s="13">
        <v>63</v>
      </c>
      <c r="S187" s="13" t="s">
        <v>85</v>
      </c>
      <c r="T187" s="13" t="s">
        <v>86</v>
      </c>
      <c r="U187" s="13" t="s">
        <v>87</v>
      </c>
      <c r="V187" s="13" t="s">
        <v>83</v>
      </c>
      <c r="W187" s="13" t="str">
        <f t="shared" si="12"/>
        <v>20-29 ans</v>
      </c>
      <c r="X187" s="13" t="str">
        <f t="shared" si="13"/>
        <v>3 accouchements et plus</v>
      </c>
      <c r="Y187" s="13" t="str">
        <f t="shared" si="14"/>
        <v>4 à 7 CPN</v>
      </c>
      <c r="Z187" s="13" t="str">
        <f t="shared" si="15"/>
        <v>28-36 SA</v>
      </c>
      <c r="AA187" s="13">
        <f t="shared" si="16"/>
        <v>299</v>
      </c>
      <c r="AB187" s="13">
        <f t="shared" si="17"/>
        <v>1</v>
      </c>
    </row>
    <row r="188" spans="1:28" x14ac:dyDescent="0.25">
      <c r="A188" s="13" t="s">
        <v>295</v>
      </c>
      <c r="B188" s="13">
        <v>33</v>
      </c>
      <c r="C188" s="13" t="s">
        <v>98</v>
      </c>
      <c r="D188" s="13" t="s">
        <v>124</v>
      </c>
      <c r="E188" s="13" t="s">
        <v>96</v>
      </c>
      <c r="F188" s="13" t="s">
        <v>94</v>
      </c>
      <c r="G188" s="13">
        <v>6</v>
      </c>
      <c r="H188" s="13">
        <v>4</v>
      </c>
      <c r="I188" s="13" t="s">
        <v>83</v>
      </c>
      <c r="J188" s="13" t="s">
        <v>83</v>
      </c>
      <c r="K188" s="13" t="s">
        <v>83</v>
      </c>
      <c r="L188" s="13" t="s">
        <v>83</v>
      </c>
      <c r="M188" s="13">
        <v>38</v>
      </c>
      <c r="N188" s="13">
        <v>7</v>
      </c>
      <c r="O188" s="13" t="s">
        <v>84</v>
      </c>
      <c r="P188" s="13">
        <v>33.6</v>
      </c>
      <c r="Q188" s="13">
        <v>93</v>
      </c>
      <c r="R188" s="13">
        <v>63</v>
      </c>
      <c r="S188" s="13" t="s">
        <v>85</v>
      </c>
      <c r="T188" s="13" t="s">
        <v>86</v>
      </c>
      <c r="U188" s="13" t="s">
        <v>87</v>
      </c>
      <c r="V188" s="13" t="s">
        <v>83</v>
      </c>
      <c r="W188" s="13" t="str">
        <f t="shared" si="12"/>
        <v>30-34 ans</v>
      </c>
      <c r="X188" s="13" t="str">
        <f t="shared" si="13"/>
        <v>3 accouchements et plus</v>
      </c>
      <c r="Y188" s="13" t="str">
        <f t="shared" si="14"/>
        <v>4 à 7 CPN</v>
      </c>
      <c r="Z188" s="13" t="str">
        <f t="shared" si="15"/>
        <v>37 SA et plus</v>
      </c>
      <c r="AA188" s="13">
        <f t="shared" si="16"/>
        <v>361.5</v>
      </c>
      <c r="AB188" s="13">
        <f t="shared" si="17"/>
        <v>1</v>
      </c>
    </row>
    <row r="189" spans="1:28" x14ac:dyDescent="0.25">
      <c r="A189" s="13" t="s">
        <v>296</v>
      </c>
      <c r="B189" s="13">
        <v>28</v>
      </c>
      <c r="C189" s="13" t="s">
        <v>79</v>
      </c>
      <c r="D189" s="13" t="s">
        <v>124</v>
      </c>
      <c r="E189" s="13" t="s">
        <v>81</v>
      </c>
      <c r="F189" s="13" t="s">
        <v>82</v>
      </c>
      <c r="G189" s="13">
        <v>2</v>
      </c>
      <c r="H189" s="13">
        <v>1</v>
      </c>
      <c r="I189" s="13" t="s">
        <v>83</v>
      </c>
      <c r="J189" s="13" t="s">
        <v>83</v>
      </c>
      <c r="K189" s="13" t="s">
        <v>83</v>
      </c>
      <c r="L189" s="13" t="s">
        <v>83</v>
      </c>
      <c r="M189" s="13">
        <v>35</v>
      </c>
      <c r="N189" s="13">
        <v>3</v>
      </c>
      <c r="O189" s="13" t="s">
        <v>84</v>
      </c>
      <c r="P189" s="13">
        <v>21.4</v>
      </c>
      <c r="Q189" s="13">
        <v>105</v>
      </c>
      <c r="R189" s="13">
        <v>64</v>
      </c>
      <c r="S189" s="13" t="s">
        <v>85</v>
      </c>
      <c r="T189" s="13" t="s">
        <v>86</v>
      </c>
      <c r="U189" s="13" t="s">
        <v>87</v>
      </c>
      <c r="V189" s="13" t="s">
        <v>83</v>
      </c>
      <c r="W189" s="13" t="str">
        <f t="shared" si="12"/>
        <v>20-29 ans</v>
      </c>
      <c r="X189" s="13" t="str">
        <f t="shared" si="13"/>
        <v>1-2 accouchements</v>
      </c>
      <c r="Y189" s="13" t="str">
        <f t="shared" si="14"/>
        <v>Moins de 4 CPN</v>
      </c>
      <c r="Z189" s="13" t="str">
        <f t="shared" si="15"/>
        <v>28-36 SA</v>
      </c>
      <c r="AA189" s="13">
        <f t="shared" si="16"/>
        <v>276</v>
      </c>
      <c r="AB189" s="13">
        <f t="shared" si="17"/>
        <v>1</v>
      </c>
    </row>
    <row r="190" spans="1:28" x14ac:dyDescent="0.25">
      <c r="A190" s="13" t="s">
        <v>297</v>
      </c>
      <c r="B190" s="13">
        <v>30</v>
      </c>
      <c r="C190" s="13" t="s">
        <v>79</v>
      </c>
      <c r="D190" s="13" t="s">
        <v>93</v>
      </c>
      <c r="E190" s="13" t="s">
        <v>112</v>
      </c>
      <c r="F190" s="13" t="s">
        <v>82</v>
      </c>
      <c r="G190" s="13">
        <v>6</v>
      </c>
      <c r="H190" s="13">
        <v>5</v>
      </c>
      <c r="I190" s="13" t="s">
        <v>83</v>
      </c>
      <c r="J190" s="13" t="s">
        <v>83</v>
      </c>
      <c r="K190" s="13" t="s">
        <v>91</v>
      </c>
      <c r="L190" s="13" t="s">
        <v>83</v>
      </c>
      <c r="M190" s="13">
        <v>39</v>
      </c>
      <c r="N190" s="13">
        <v>4</v>
      </c>
      <c r="O190" s="13" t="s">
        <v>84</v>
      </c>
      <c r="P190" s="13">
        <v>24.2</v>
      </c>
      <c r="Q190" s="13">
        <v>102</v>
      </c>
      <c r="R190" s="13">
        <v>64</v>
      </c>
      <c r="S190" s="13" t="s">
        <v>85</v>
      </c>
      <c r="T190" s="13" t="s">
        <v>86</v>
      </c>
      <c r="U190" s="13" t="s">
        <v>87</v>
      </c>
      <c r="V190" s="13" t="s">
        <v>83</v>
      </c>
      <c r="W190" s="13" t="str">
        <f t="shared" si="12"/>
        <v>30-34 ans</v>
      </c>
      <c r="X190" s="13" t="str">
        <f t="shared" si="13"/>
        <v>3 accouchements et plus</v>
      </c>
      <c r="Y190" s="13" t="str">
        <f t="shared" si="14"/>
        <v>4 à 7 CPN</v>
      </c>
      <c r="Z190" s="13" t="str">
        <f t="shared" si="15"/>
        <v>37 SA et plus</v>
      </c>
      <c r="AA190" s="13">
        <f t="shared" si="16"/>
        <v>319.5</v>
      </c>
      <c r="AB190" s="13">
        <f t="shared" si="17"/>
        <v>1</v>
      </c>
    </row>
    <row r="191" spans="1:28" x14ac:dyDescent="0.25">
      <c r="A191" s="13" t="s">
        <v>298</v>
      </c>
      <c r="B191" s="13">
        <v>23</v>
      </c>
      <c r="C191" s="13" t="s">
        <v>79</v>
      </c>
      <c r="D191" s="13" t="s">
        <v>93</v>
      </c>
      <c r="E191" s="13" t="s">
        <v>81</v>
      </c>
      <c r="F191" s="13" t="s">
        <v>94</v>
      </c>
      <c r="G191" s="13">
        <v>1</v>
      </c>
      <c r="H191" s="13">
        <v>0</v>
      </c>
      <c r="I191" s="13" t="s">
        <v>86</v>
      </c>
      <c r="J191" s="13" t="s">
        <v>83</v>
      </c>
      <c r="K191" s="13" t="s">
        <v>83</v>
      </c>
      <c r="L191" s="13" t="s">
        <v>83</v>
      </c>
      <c r="M191" s="13">
        <v>38</v>
      </c>
      <c r="N191" s="13">
        <v>4</v>
      </c>
      <c r="O191" s="13" t="s">
        <v>84</v>
      </c>
      <c r="P191" s="13">
        <v>24.4</v>
      </c>
      <c r="Q191" s="13">
        <v>104</v>
      </c>
      <c r="R191" s="13">
        <v>60</v>
      </c>
      <c r="S191" s="13" t="s">
        <v>85</v>
      </c>
      <c r="T191" s="13" t="s">
        <v>86</v>
      </c>
      <c r="U191" s="13" t="s">
        <v>87</v>
      </c>
      <c r="V191" s="13" t="s">
        <v>83</v>
      </c>
      <c r="W191" s="13" t="str">
        <f t="shared" si="12"/>
        <v>20-29 ans</v>
      </c>
      <c r="X191" s="13" t="str">
        <f t="shared" si="13"/>
        <v>Nullipare (0)</v>
      </c>
      <c r="Y191" s="13" t="str">
        <f t="shared" si="14"/>
        <v>4 à 7 CPN</v>
      </c>
      <c r="Z191" s="13" t="str">
        <f t="shared" si="15"/>
        <v>37 SA et plus</v>
      </c>
      <c r="AA191" s="13">
        <f t="shared" si="16"/>
        <v>103.5</v>
      </c>
      <c r="AB191" s="13">
        <f t="shared" si="17"/>
        <v>0</v>
      </c>
    </row>
    <row r="192" spans="1:28" x14ac:dyDescent="0.25">
      <c r="A192" s="13" t="s">
        <v>299</v>
      </c>
      <c r="B192" s="13">
        <v>25</v>
      </c>
      <c r="C192" s="13" t="s">
        <v>79</v>
      </c>
      <c r="D192" s="13" t="s">
        <v>80</v>
      </c>
      <c r="E192" s="13" t="s">
        <v>81</v>
      </c>
      <c r="F192" s="13" t="s">
        <v>82</v>
      </c>
      <c r="G192" s="13">
        <v>3</v>
      </c>
      <c r="H192" s="13">
        <v>2</v>
      </c>
      <c r="I192" s="13" t="s">
        <v>91</v>
      </c>
      <c r="J192" s="13" t="s">
        <v>83</v>
      </c>
      <c r="K192" s="13" t="s">
        <v>83</v>
      </c>
      <c r="L192" s="13" t="s">
        <v>83</v>
      </c>
      <c r="M192" s="13">
        <v>33</v>
      </c>
      <c r="N192" s="13">
        <v>2</v>
      </c>
      <c r="O192" s="13" t="s">
        <v>84</v>
      </c>
      <c r="P192" s="13">
        <v>21.3</v>
      </c>
      <c r="Q192" s="13">
        <v>108</v>
      </c>
      <c r="R192" s="13">
        <v>63</v>
      </c>
      <c r="S192" s="13" t="s">
        <v>85</v>
      </c>
      <c r="T192" s="13" t="s">
        <v>86</v>
      </c>
      <c r="U192" s="13" t="s">
        <v>87</v>
      </c>
      <c r="V192" s="13" t="s">
        <v>83</v>
      </c>
      <c r="W192" s="13" t="str">
        <f t="shared" si="12"/>
        <v>20-29 ans</v>
      </c>
      <c r="X192" s="13" t="str">
        <f t="shared" si="13"/>
        <v>1-2 accouchements</v>
      </c>
      <c r="Y192" s="13" t="str">
        <f t="shared" si="14"/>
        <v>Moins de 4 CPN</v>
      </c>
      <c r="Z192" s="13" t="str">
        <f t="shared" si="15"/>
        <v>28-36 SA</v>
      </c>
      <c r="AA192" s="13">
        <f t="shared" si="16"/>
        <v>173</v>
      </c>
      <c r="AB192" s="13">
        <f t="shared" si="17"/>
        <v>1</v>
      </c>
    </row>
    <row r="193" spans="1:28" x14ac:dyDescent="0.25">
      <c r="A193" s="13" t="s">
        <v>300</v>
      </c>
      <c r="B193" s="13">
        <v>30</v>
      </c>
      <c r="C193" s="13" t="s">
        <v>98</v>
      </c>
      <c r="D193" s="13" t="s">
        <v>80</v>
      </c>
      <c r="E193" s="13" t="s">
        <v>81</v>
      </c>
      <c r="F193" s="13" t="s">
        <v>94</v>
      </c>
      <c r="G193" s="13">
        <v>6</v>
      </c>
      <c r="H193" s="13">
        <v>5</v>
      </c>
      <c r="I193" s="13" t="s">
        <v>83</v>
      </c>
      <c r="J193" s="13" t="s">
        <v>83</v>
      </c>
      <c r="K193" s="13" t="s">
        <v>83</v>
      </c>
      <c r="L193" s="13" t="s">
        <v>83</v>
      </c>
      <c r="M193" s="13">
        <v>29</v>
      </c>
      <c r="N193" s="13">
        <v>3</v>
      </c>
      <c r="O193" s="13" t="s">
        <v>84</v>
      </c>
      <c r="P193" s="13">
        <v>22.9</v>
      </c>
      <c r="Q193" s="13">
        <v>113</v>
      </c>
      <c r="R193" s="13">
        <v>69</v>
      </c>
      <c r="S193" s="13" t="s">
        <v>85</v>
      </c>
      <c r="T193" s="13" t="s">
        <v>86</v>
      </c>
      <c r="U193" s="13" t="s">
        <v>87</v>
      </c>
      <c r="V193" s="13" t="s">
        <v>83</v>
      </c>
      <c r="W193" s="13" t="str">
        <f t="shared" si="12"/>
        <v>30-34 ans</v>
      </c>
      <c r="X193" s="13" t="str">
        <f t="shared" si="13"/>
        <v>3 accouchements et plus</v>
      </c>
      <c r="Y193" s="13" t="str">
        <f t="shared" si="14"/>
        <v>Moins de 4 CPN</v>
      </c>
      <c r="Z193" s="13" t="str">
        <f t="shared" si="15"/>
        <v>28-36 SA</v>
      </c>
      <c r="AA193" s="13">
        <f t="shared" si="16"/>
        <v>319.5</v>
      </c>
      <c r="AB193" s="13">
        <f t="shared" si="17"/>
        <v>1</v>
      </c>
    </row>
    <row r="194" spans="1:28" x14ac:dyDescent="0.25">
      <c r="A194" s="13" t="s">
        <v>301</v>
      </c>
      <c r="B194" s="13">
        <v>25</v>
      </c>
      <c r="C194" s="13" t="s">
        <v>79</v>
      </c>
      <c r="D194" s="13" t="s">
        <v>124</v>
      </c>
      <c r="E194" s="13" t="s">
        <v>101</v>
      </c>
      <c r="F194" s="13" t="s">
        <v>94</v>
      </c>
      <c r="G194" s="13">
        <v>3</v>
      </c>
      <c r="H194" s="13">
        <v>2</v>
      </c>
      <c r="I194" s="13" t="s">
        <v>83</v>
      </c>
      <c r="J194" s="13" t="s">
        <v>83</v>
      </c>
      <c r="K194" s="13" t="s">
        <v>83</v>
      </c>
      <c r="L194" s="13" t="s">
        <v>83</v>
      </c>
      <c r="M194" s="13">
        <v>28</v>
      </c>
      <c r="N194" s="13">
        <v>3</v>
      </c>
      <c r="O194" s="13" t="s">
        <v>84</v>
      </c>
      <c r="P194" s="13">
        <v>22.5</v>
      </c>
      <c r="Q194" s="13">
        <v>108</v>
      </c>
      <c r="R194" s="13">
        <v>71</v>
      </c>
      <c r="S194" s="13" t="s">
        <v>85</v>
      </c>
      <c r="T194" s="13" t="s">
        <v>86</v>
      </c>
      <c r="U194" s="13" t="s">
        <v>87</v>
      </c>
      <c r="V194" s="13" t="s">
        <v>83</v>
      </c>
      <c r="W194" s="13" t="str">
        <f t="shared" ref="W194:W257" si="18">IF(B194="","",IF(B194&lt;=19,"Moins de 20 ans",IF(B194&lt;=29,"20-29 ans",IF(B194&lt;=34,"30-34 ans","35 ans et plus"))))</f>
        <v>20-29 ans</v>
      </c>
      <c r="X194" s="13" t="str">
        <f t="shared" ref="X194:X257" si="19">IF(H194="","",IF(H194=0,"Nullipare (0)",IF(H194&lt;=2,"1-2 accouchements","3 accouchements et plus")))</f>
        <v>1-2 accouchements</v>
      </c>
      <c r="Y194" s="13" t="str">
        <f t="shared" ref="Y194:Y257" si="20">IF(N194="","",IF(N194&lt;=3,"Moins de 4 CPN",IF(N194&lt;=7,"4 à 7 CPN","8 CPN et plus")))</f>
        <v>Moins de 4 CPN</v>
      </c>
      <c r="Z194" s="13" t="str">
        <f t="shared" ref="Z194:Z257" si="21">IF(M194="","",IF(M194&lt;=27,"20-27 SA",IF(M194&lt;=36,"28-36 SA","37 SA et plus")))</f>
        <v>28-36 SA</v>
      </c>
      <c r="AA194" s="13">
        <f t="shared" ref="AA194:AA257" si="22">RANK(B194,$B$2:$B$401,1)+(COUNTIF($B$2:$B$401,B194)-1)/2</f>
        <v>173</v>
      </c>
      <c r="AB194" s="13">
        <f t="shared" ref="AB194:AB257" si="23">IF(AND(H194&gt;=1,OR(I194="Oui",I194="Non")),1,0)</f>
        <v>1</v>
      </c>
    </row>
    <row r="195" spans="1:28" x14ac:dyDescent="0.25">
      <c r="A195" s="13" t="s">
        <v>302</v>
      </c>
      <c r="B195" s="13">
        <v>25</v>
      </c>
      <c r="C195" s="13" t="s">
        <v>79</v>
      </c>
      <c r="D195" s="13" t="s">
        <v>80</v>
      </c>
      <c r="E195" s="13" t="s">
        <v>96</v>
      </c>
      <c r="F195" s="13" t="s">
        <v>82</v>
      </c>
      <c r="G195" s="13">
        <v>3</v>
      </c>
      <c r="H195" s="13">
        <v>1</v>
      </c>
      <c r="I195" s="13" t="s">
        <v>83</v>
      </c>
      <c r="J195" s="13" t="s">
        <v>83</v>
      </c>
      <c r="K195" s="13" t="s">
        <v>83</v>
      </c>
      <c r="L195" s="13" t="s">
        <v>83</v>
      </c>
      <c r="M195" s="13">
        <v>32</v>
      </c>
      <c r="N195" s="13">
        <v>2</v>
      </c>
      <c r="O195" s="13" t="s">
        <v>84</v>
      </c>
      <c r="P195" s="13">
        <v>21.4</v>
      </c>
      <c r="Q195" s="13">
        <v>104</v>
      </c>
      <c r="R195" s="13">
        <v>66</v>
      </c>
      <c r="S195" s="13" t="s">
        <v>85</v>
      </c>
      <c r="T195" s="13" t="s">
        <v>86</v>
      </c>
      <c r="U195" s="13" t="s">
        <v>87</v>
      </c>
      <c r="V195" s="13" t="s">
        <v>83</v>
      </c>
      <c r="W195" s="13" t="str">
        <f t="shared" si="18"/>
        <v>20-29 ans</v>
      </c>
      <c r="X195" s="13" t="str">
        <f t="shared" si="19"/>
        <v>1-2 accouchements</v>
      </c>
      <c r="Y195" s="13" t="str">
        <f t="shared" si="20"/>
        <v>Moins de 4 CPN</v>
      </c>
      <c r="Z195" s="13" t="str">
        <f t="shared" si="21"/>
        <v>28-36 SA</v>
      </c>
      <c r="AA195" s="13">
        <f t="shared" si="22"/>
        <v>173</v>
      </c>
      <c r="AB195" s="13">
        <f t="shared" si="23"/>
        <v>1</v>
      </c>
    </row>
    <row r="196" spans="1:28" x14ac:dyDescent="0.25">
      <c r="A196" s="13" t="s">
        <v>303</v>
      </c>
      <c r="B196" s="13">
        <v>32</v>
      </c>
      <c r="C196" s="13" t="s">
        <v>79</v>
      </c>
      <c r="D196" s="13" t="s">
        <v>124</v>
      </c>
      <c r="E196" s="13" t="s">
        <v>101</v>
      </c>
      <c r="F196" s="13" t="s">
        <v>94</v>
      </c>
      <c r="G196" s="13">
        <v>3</v>
      </c>
      <c r="H196" s="13">
        <v>2</v>
      </c>
      <c r="I196" s="13" t="s">
        <v>91</v>
      </c>
      <c r="J196" s="13" t="s">
        <v>83</v>
      </c>
      <c r="K196" s="13" t="s">
        <v>83</v>
      </c>
      <c r="L196" s="13" t="s">
        <v>83</v>
      </c>
      <c r="M196" s="13">
        <v>34</v>
      </c>
      <c r="N196" s="13">
        <v>2</v>
      </c>
      <c r="O196" s="13" t="s">
        <v>84</v>
      </c>
      <c r="P196" s="13">
        <v>36.1</v>
      </c>
      <c r="Q196" s="13">
        <v>160</v>
      </c>
      <c r="R196" s="13">
        <v>98</v>
      </c>
      <c r="S196" s="13" t="s">
        <v>85</v>
      </c>
      <c r="T196" s="13" t="s">
        <v>91</v>
      </c>
      <c r="U196" s="13" t="s">
        <v>114</v>
      </c>
      <c r="V196" s="13" t="s">
        <v>91</v>
      </c>
      <c r="W196" s="13" t="str">
        <f t="shared" si="18"/>
        <v>30-34 ans</v>
      </c>
      <c r="X196" s="13" t="str">
        <f t="shared" si="19"/>
        <v>1-2 accouchements</v>
      </c>
      <c r="Y196" s="13" t="str">
        <f t="shared" si="20"/>
        <v>Moins de 4 CPN</v>
      </c>
      <c r="Z196" s="13" t="str">
        <f t="shared" si="21"/>
        <v>28-36 SA</v>
      </c>
      <c r="AA196" s="13">
        <f t="shared" si="22"/>
        <v>347.5</v>
      </c>
      <c r="AB196" s="13">
        <f t="shared" si="23"/>
        <v>1</v>
      </c>
    </row>
    <row r="197" spans="1:28" x14ac:dyDescent="0.25">
      <c r="A197" s="13" t="s">
        <v>304</v>
      </c>
      <c r="B197" s="13">
        <v>20</v>
      </c>
      <c r="C197" s="13" t="s">
        <v>79</v>
      </c>
      <c r="D197" s="13" t="s">
        <v>80</v>
      </c>
      <c r="E197" s="13" t="s">
        <v>96</v>
      </c>
      <c r="F197" s="13" t="s">
        <v>82</v>
      </c>
      <c r="G197" s="13">
        <v>1</v>
      </c>
      <c r="H197" s="13">
        <v>0</v>
      </c>
      <c r="I197" s="13" t="s">
        <v>86</v>
      </c>
      <c r="J197" s="13" t="s">
        <v>83</v>
      </c>
      <c r="K197" s="13" t="s">
        <v>91</v>
      </c>
      <c r="L197" s="13" t="s">
        <v>83</v>
      </c>
      <c r="M197" s="13">
        <v>28</v>
      </c>
      <c r="N197" s="13">
        <v>5</v>
      </c>
      <c r="O197" s="13" t="s">
        <v>146</v>
      </c>
      <c r="P197" s="13">
        <v>18</v>
      </c>
      <c r="Q197" s="13">
        <v>107</v>
      </c>
      <c r="R197" s="13">
        <v>72</v>
      </c>
      <c r="S197" s="13" t="s">
        <v>85</v>
      </c>
      <c r="T197" s="13" t="s">
        <v>86</v>
      </c>
      <c r="U197" s="13" t="s">
        <v>87</v>
      </c>
      <c r="V197" s="13" t="s">
        <v>83</v>
      </c>
      <c r="W197" s="13" t="str">
        <f t="shared" si="18"/>
        <v>20-29 ans</v>
      </c>
      <c r="X197" s="13" t="str">
        <f t="shared" si="19"/>
        <v>Nullipare (0)</v>
      </c>
      <c r="Y197" s="13" t="str">
        <f t="shared" si="20"/>
        <v>4 à 7 CPN</v>
      </c>
      <c r="Z197" s="13" t="str">
        <f t="shared" si="21"/>
        <v>28-36 SA</v>
      </c>
      <c r="AA197" s="13">
        <f t="shared" si="22"/>
        <v>30.5</v>
      </c>
      <c r="AB197" s="13">
        <f t="shared" si="23"/>
        <v>0</v>
      </c>
    </row>
    <row r="198" spans="1:28" x14ac:dyDescent="0.25">
      <c r="A198" s="13" t="s">
        <v>305</v>
      </c>
      <c r="B198" s="13">
        <v>29</v>
      </c>
      <c r="C198" s="13" t="s">
        <v>79</v>
      </c>
      <c r="D198" s="13" t="s">
        <v>93</v>
      </c>
      <c r="E198" s="13" t="s">
        <v>81</v>
      </c>
      <c r="F198" s="13" t="s">
        <v>82</v>
      </c>
      <c r="G198" s="13">
        <v>1</v>
      </c>
      <c r="H198" s="13">
        <v>0</v>
      </c>
      <c r="I198" s="13" t="s">
        <v>86</v>
      </c>
      <c r="J198" s="13" t="s">
        <v>83</v>
      </c>
      <c r="K198" s="13" t="s">
        <v>83</v>
      </c>
      <c r="L198" s="13" t="s">
        <v>83</v>
      </c>
      <c r="M198" s="13">
        <v>33</v>
      </c>
      <c r="N198" s="13">
        <v>4</v>
      </c>
      <c r="O198" s="13" t="s">
        <v>84</v>
      </c>
      <c r="P198" s="13">
        <v>27.8</v>
      </c>
      <c r="Q198" s="13">
        <v>150</v>
      </c>
      <c r="R198" s="13">
        <v>98</v>
      </c>
      <c r="S198" s="13" t="s">
        <v>113</v>
      </c>
      <c r="T198" s="13" t="s">
        <v>91</v>
      </c>
      <c r="U198" s="13" t="s">
        <v>114</v>
      </c>
      <c r="V198" s="13" t="s">
        <v>91</v>
      </c>
      <c r="W198" s="13" t="str">
        <f t="shared" si="18"/>
        <v>20-29 ans</v>
      </c>
      <c r="X198" s="13" t="str">
        <f t="shared" si="19"/>
        <v>Nullipare (0)</v>
      </c>
      <c r="Y198" s="13" t="str">
        <f t="shared" si="20"/>
        <v>4 à 7 CPN</v>
      </c>
      <c r="Z198" s="13" t="str">
        <f t="shared" si="21"/>
        <v>28-36 SA</v>
      </c>
      <c r="AA198" s="13">
        <f t="shared" si="22"/>
        <v>299</v>
      </c>
      <c r="AB198" s="13">
        <f t="shared" si="23"/>
        <v>0</v>
      </c>
    </row>
    <row r="199" spans="1:28" x14ac:dyDescent="0.25">
      <c r="A199" s="13" t="s">
        <v>306</v>
      </c>
      <c r="B199" s="13">
        <v>23</v>
      </c>
      <c r="C199" s="13" t="s">
        <v>79</v>
      </c>
      <c r="D199" s="13" t="s">
        <v>80</v>
      </c>
      <c r="E199" s="13" t="s">
        <v>99</v>
      </c>
      <c r="F199" s="13" t="s">
        <v>82</v>
      </c>
      <c r="G199" s="13">
        <v>2</v>
      </c>
      <c r="H199" s="13">
        <v>1</v>
      </c>
      <c r="I199" s="13" t="s">
        <v>83</v>
      </c>
      <c r="J199" s="13" t="s">
        <v>83</v>
      </c>
      <c r="K199" s="13" t="s">
        <v>83</v>
      </c>
      <c r="L199" s="13" t="s">
        <v>83</v>
      </c>
      <c r="M199" s="13">
        <v>35</v>
      </c>
      <c r="N199" s="13">
        <v>2</v>
      </c>
      <c r="O199" s="13" t="s">
        <v>84</v>
      </c>
      <c r="P199" s="13">
        <v>21.3</v>
      </c>
      <c r="Q199" s="13">
        <v>108</v>
      </c>
      <c r="R199" s="13">
        <v>71</v>
      </c>
      <c r="S199" s="13" t="s">
        <v>85</v>
      </c>
      <c r="T199" s="13" t="s">
        <v>86</v>
      </c>
      <c r="U199" s="13" t="s">
        <v>87</v>
      </c>
      <c r="V199" s="13" t="s">
        <v>83</v>
      </c>
      <c r="W199" s="13" t="str">
        <f t="shared" si="18"/>
        <v>20-29 ans</v>
      </c>
      <c r="X199" s="13" t="str">
        <f t="shared" si="19"/>
        <v>1-2 accouchements</v>
      </c>
      <c r="Y199" s="13" t="str">
        <f t="shared" si="20"/>
        <v>Moins de 4 CPN</v>
      </c>
      <c r="Z199" s="13" t="str">
        <f t="shared" si="21"/>
        <v>28-36 SA</v>
      </c>
      <c r="AA199" s="13">
        <f t="shared" si="22"/>
        <v>103.5</v>
      </c>
      <c r="AB199" s="13">
        <f t="shared" si="23"/>
        <v>1</v>
      </c>
    </row>
    <row r="200" spans="1:28" x14ac:dyDescent="0.25">
      <c r="A200" s="13" t="s">
        <v>307</v>
      </c>
      <c r="B200" s="13">
        <v>26</v>
      </c>
      <c r="C200" s="13" t="s">
        <v>79</v>
      </c>
      <c r="D200" s="13" t="s">
        <v>80</v>
      </c>
      <c r="E200" s="13" t="s">
        <v>96</v>
      </c>
      <c r="F200" s="13" t="s">
        <v>82</v>
      </c>
      <c r="G200" s="13">
        <v>2</v>
      </c>
      <c r="H200" s="13">
        <v>0</v>
      </c>
      <c r="I200" s="13" t="s">
        <v>86</v>
      </c>
      <c r="J200" s="13" t="s">
        <v>83</v>
      </c>
      <c r="K200" s="13" t="s">
        <v>83</v>
      </c>
      <c r="L200" s="13" t="s">
        <v>83</v>
      </c>
      <c r="M200" s="13">
        <v>40</v>
      </c>
      <c r="N200" s="13">
        <v>8</v>
      </c>
      <c r="O200" s="13" t="s">
        <v>84</v>
      </c>
      <c r="P200" s="13">
        <v>24</v>
      </c>
      <c r="Q200" s="13">
        <v>147</v>
      </c>
      <c r="R200" s="13">
        <v>94</v>
      </c>
      <c r="S200" s="13" t="s">
        <v>106</v>
      </c>
      <c r="T200" s="13" t="s">
        <v>86</v>
      </c>
      <c r="U200" s="13" t="s">
        <v>110</v>
      </c>
      <c r="V200" s="13" t="s">
        <v>83</v>
      </c>
      <c r="W200" s="13" t="str">
        <f t="shared" si="18"/>
        <v>20-29 ans</v>
      </c>
      <c r="X200" s="13" t="str">
        <f t="shared" si="19"/>
        <v>Nullipare (0)</v>
      </c>
      <c r="Y200" s="13" t="str">
        <f t="shared" si="20"/>
        <v>8 CPN et plus</v>
      </c>
      <c r="Z200" s="13" t="str">
        <f t="shared" si="21"/>
        <v>37 SA et plus</v>
      </c>
      <c r="AA200" s="13">
        <f t="shared" si="22"/>
        <v>206</v>
      </c>
      <c r="AB200" s="13">
        <f t="shared" si="23"/>
        <v>0</v>
      </c>
    </row>
    <row r="201" spans="1:28" x14ac:dyDescent="0.25">
      <c r="A201" s="13" t="s">
        <v>308</v>
      </c>
      <c r="B201" s="13">
        <v>29</v>
      </c>
      <c r="C201" s="13" t="s">
        <v>98</v>
      </c>
      <c r="D201" s="13" t="s">
        <v>124</v>
      </c>
      <c r="E201" s="13" t="s">
        <v>81</v>
      </c>
      <c r="F201" s="13" t="s">
        <v>82</v>
      </c>
      <c r="G201" s="13">
        <v>4</v>
      </c>
      <c r="H201" s="13">
        <v>3</v>
      </c>
      <c r="I201" s="13" t="s">
        <v>83</v>
      </c>
      <c r="J201" s="13" t="s">
        <v>83</v>
      </c>
      <c r="K201" s="13" t="s">
        <v>83</v>
      </c>
      <c r="L201" s="13" t="s">
        <v>83</v>
      </c>
      <c r="M201" s="13">
        <v>33</v>
      </c>
      <c r="N201" s="13">
        <v>1</v>
      </c>
      <c r="O201" s="13" t="s">
        <v>84</v>
      </c>
      <c r="P201" s="13">
        <v>18.8</v>
      </c>
      <c r="Q201" s="13">
        <v>108</v>
      </c>
      <c r="R201" s="13">
        <v>65</v>
      </c>
      <c r="S201" s="13" t="s">
        <v>85</v>
      </c>
      <c r="T201" s="13" t="s">
        <v>86</v>
      </c>
      <c r="U201" s="13" t="s">
        <v>87</v>
      </c>
      <c r="V201" s="13" t="s">
        <v>83</v>
      </c>
      <c r="W201" s="13" t="str">
        <f t="shared" si="18"/>
        <v>20-29 ans</v>
      </c>
      <c r="X201" s="13" t="str">
        <f t="shared" si="19"/>
        <v>3 accouchements et plus</v>
      </c>
      <c r="Y201" s="13" t="str">
        <f t="shared" si="20"/>
        <v>Moins de 4 CPN</v>
      </c>
      <c r="Z201" s="13" t="str">
        <f t="shared" si="21"/>
        <v>28-36 SA</v>
      </c>
      <c r="AA201" s="13">
        <f t="shared" si="22"/>
        <v>299</v>
      </c>
      <c r="AB201" s="13">
        <f t="shared" si="23"/>
        <v>1</v>
      </c>
    </row>
    <row r="202" spans="1:28" x14ac:dyDescent="0.25">
      <c r="A202" s="13" t="s">
        <v>309</v>
      </c>
      <c r="B202" s="13">
        <v>20</v>
      </c>
      <c r="C202" s="13" t="s">
        <v>89</v>
      </c>
      <c r="D202" s="13" t="s">
        <v>80</v>
      </c>
      <c r="E202" s="13" t="s">
        <v>81</v>
      </c>
      <c r="F202" s="13" t="s">
        <v>82</v>
      </c>
      <c r="G202" s="13">
        <v>2</v>
      </c>
      <c r="H202" s="13">
        <v>1</v>
      </c>
      <c r="I202" s="13" t="s">
        <v>83</v>
      </c>
      <c r="J202" s="13" t="s">
        <v>83</v>
      </c>
      <c r="K202" s="13" t="s">
        <v>91</v>
      </c>
      <c r="L202" s="13" t="s">
        <v>91</v>
      </c>
      <c r="M202" s="13">
        <v>37</v>
      </c>
      <c r="N202" s="13">
        <v>5</v>
      </c>
      <c r="O202" s="13" t="s">
        <v>84</v>
      </c>
      <c r="P202" s="13">
        <v>26.5</v>
      </c>
      <c r="Q202" s="13">
        <v>113</v>
      </c>
      <c r="R202" s="13">
        <v>77</v>
      </c>
      <c r="S202" s="13" t="s">
        <v>106</v>
      </c>
      <c r="T202" s="13" t="s">
        <v>86</v>
      </c>
      <c r="U202" s="13" t="s">
        <v>87</v>
      </c>
      <c r="V202" s="13" t="s">
        <v>83</v>
      </c>
      <c r="W202" s="13" t="str">
        <f t="shared" si="18"/>
        <v>20-29 ans</v>
      </c>
      <c r="X202" s="13" t="str">
        <f t="shared" si="19"/>
        <v>1-2 accouchements</v>
      </c>
      <c r="Y202" s="13" t="str">
        <f t="shared" si="20"/>
        <v>4 à 7 CPN</v>
      </c>
      <c r="Z202" s="13" t="str">
        <f t="shared" si="21"/>
        <v>37 SA et plus</v>
      </c>
      <c r="AA202" s="13">
        <f t="shared" si="22"/>
        <v>30.5</v>
      </c>
      <c r="AB202" s="13">
        <f t="shared" si="23"/>
        <v>1</v>
      </c>
    </row>
    <row r="203" spans="1:28" x14ac:dyDescent="0.25">
      <c r="A203" s="13" t="s">
        <v>310</v>
      </c>
      <c r="B203" s="13">
        <v>26</v>
      </c>
      <c r="C203" s="13" t="s">
        <v>79</v>
      </c>
      <c r="D203" s="13" t="s">
        <v>80</v>
      </c>
      <c r="E203" s="13" t="s">
        <v>99</v>
      </c>
      <c r="F203" s="13" t="s">
        <v>82</v>
      </c>
      <c r="G203" s="13">
        <v>4</v>
      </c>
      <c r="H203" s="13">
        <v>3</v>
      </c>
      <c r="I203" s="13" t="s">
        <v>83</v>
      </c>
      <c r="J203" s="13" t="s">
        <v>83</v>
      </c>
      <c r="K203" s="13" t="s">
        <v>83</v>
      </c>
      <c r="L203" s="13" t="s">
        <v>83</v>
      </c>
      <c r="M203" s="13">
        <v>38</v>
      </c>
      <c r="N203" s="13">
        <v>0</v>
      </c>
      <c r="O203" s="13" t="s">
        <v>84</v>
      </c>
      <c r="P203" s="13">
        <v>23.2</v>
      </c>
      <c r="Q203" s="13">
        <v>102</v>
      </c>
      <c r="R203" s="13">
        <v>65</v>
      </c>
      <c r="S203" s="13" t="s">
        <v>85</v>
      </c>
      <c r="T203" s="13" t="s">
        <v>86</v>
      </c>
      <c r="U203" s="13" t="s">
        <v>87</v>
      </c>
      <c r="V203" s="13" t="s">
        <v>83</v>
      </c>
      <c r="W203" s="13" t="str">
        <f t="shared" si="18"/>
        <v>20-29 ans</v>
      </c>
      <c r="X203" s="13" t="str">
        <f t="shared" si="19"/>
        <v>3 accouchements et plus</v>
      </c>
      <c r="Y203" s="13" t="str">
        <f t="shared" si="20"/>
        <v>Moins de 4 CPN</v>
      </c>
      <c r="Z203" s="13" t="str">
        <f t="shared" si="21"/>
        <v>37 SA et plus</v>
      </c>
      <c r="AA203" s="13">
        <f t="shared" si="22"/>
        <v>206</v>
      </c>
      <c r="AB203" s="13">
        <f t="shared" si="23"/>
        <v>1</v>
      </c>
    </row>
    <row r="204" spans="1:28" x14ac:dyDescent="0.25">
      <c r="A204" s="13" t="s">
        <v>311</v>
      </c>
      <c r="B204" s="13">
        <v>23</v>
      </c>
      <c r="C204" s="13" t="s">
        <v>79</v>
      </c>
      <c r="D204" s="13" t="s">
        <v>124</v>
      </c>
      <c r="E204" s="13" t="s">
        <v>101</v>
      </c>
      <c r="F204" s="13" t="s">
        <v>94</v>
      </c>
      <c r="G204" s="13">
        <v>3</v>
      </c>
      <c r="H204" s="13">
        <v>2</v>
      </c>
      <c r="I204" s="13" t="s">
        <v>83</v>
      </c>
      <c r="J204" s="13" t="s">
        <v>83</v>
      </c>
      <c r="K204" s="13" t="s">
        <v>83</v>
      </c>
      <c r="L204" s="13" t="s">
        <v>83</v>
      </c>
      <c r="M204" s="13">
        <v>32</v>
      </c>
      <c r="N204" s="13">
        <v>2</v>
      </c>
      <c r="O204" s="13" t="s">
        <v>84</v>
      </c>
      <c r="P204" s="13">
        <v>20.9</v>
      </c>
      <c r="Q204" s="13">
        <v>100</v>
      </c>
      <c r="R204" s="13">
        <v>63</v>
      </c>
      <c r="S204" s="13" t="s">
        <v>85</v>
      </c>
      <c r="T204" s="13" t="s">
        <v>86</v>
      </c>
      <c r="U204" s="13" t="s">
        <v>87</v>
      </c>
      <c r="V204" s="13" t="s">
        <v>83</v>
      </c>
      <c r="W204" s="13" t="str">
        <f t="shared" si="18"/>
        <v>20-29 ans</v>
      </c>
      <c r="X204" s="13" t="str">
        <f t="shared" si="19"/>
        <v>1-2 accouchements</v>
      </c>
      <c r="Y204" s="13" t="str">
        <f t="shared" si="20"/>
        <v>Moins de 4 CPN</v>
      </c>
      <c r="Z204" s="13" t="str">
        <f t="shared" si="21"/>
        <v>28-36 SA</v>
      </c>
      <c r="AA204" s="13">
        <f t="shared" si="22"/>
        <v>103.5</v>
      </c>
      <c r="AB204" s="13">
        <f t="shared" si="23"/>
        <v>1</v>
      </c>
    </row>
    <row r="205" spans="1:28" x14ac:dyDescent="0.25">
      <c r="A205" s="13" t="s">
        <v>312</v>
      </c>
      <c r="B205" s="13">
        <v>24</v>
      </c>
      <c r="C205" s="13" t="s">
        <v>79</v>
      </c>
      <c r="D205" s="13" t="s">
        <v>80</v>
      </c>
      <c r="E205" s="13" t="s">
        <v>101</v>
      </c>
      <c r="F205" s="13" t="s">
        <v>94</v>
      </c>
      <c r="G205" s="13">
        <v>2</v>
      </c>
      <c r="H205" s="13">
        <v>1</v>
      </c>
      <c r="I205" s="13" t="s">
        <v>91</v>
      </c>
      <c r="J205" s="13" t="s">
        <v>83</v>
      </c>
      <c r="K205" s="13" t="s">
        <v>91</v>
      </c>
      <c r="L205" s="13" t="s">
        <v>83</v>
      </c>
      <c r="M205" s="13">
        <v>30</v>
      </c>
      <c r="N205" s="13">
        <v>3</v>
      </c>
      <c r="O205" s="13" t="s">
        <v>84</v>
      </c>
      <c r="P205" s="13">
        <v>20.5</v>
      </c>
      <c r="Q205" s="13">
        <v>115</v>
      </c>
      <c r="R205" s="13">
        <v>72</v>
      </c>
      <c r="S205" s="13" t="s">
        <v>85</v>
      </c>
      <c r="T205" s="13" t="s">
        <v>86</v>
      </c>
      <c r="U205" s="13" t="s">
        <v>87</v>
      </c>
      <c r="V205" s="13" t="s">
        <v>83</v>
      </c>
      <c r="W205" s="13" t="str">
        <f t="shared" si="18"/>
        <v>20-29 ans</v>
      </c>
      <c r="X205" s="13" t="str">
        <f t="shared" si="19"/>
        <v>1-2 accouchements</v>
      </c>
      <c r="Y205" s="13" t="str">
        <f t="shared" si="20"/>
        <v>Moins de 4 CPN</v>
      </c>
      <c r="Z205" s="13" t="str">
        <f t="shared" si="21"/>
        <v>28-36 SA</v>
      </c>
      <c r="AA205" s="13">
        <f t="shared" si="22"/>
        <v>139.5</v>
      </c>
      <c r="AB205" s="13">
        <f t="shared" si="23"/>
        <v>1</v>
      </c>
    </row>
    <row r="206" spans="1:28" x14ac:dyDescent="0.25">
      <c r="A206" s="13" t="s">
        <v>313</v>
      </c>
      <c r="B206" s="13">
        <v>23</v>
      </c>
      <c r="C206" s="13" t="s">
        <v>79</v>
      </c>
      <c r="D206" s="13" t="s">
        <v>124</v>
      </c>
      <c r="E206" s="13" t="s">
        <v>96</v>
      </c>
      <c r="F206" s="13" t="s">
        <v>82</v>
      </c>
      <c r="G206" s="13">
        <v>2</v>
      </c>
      <c r="H206" s="13">
        <v>1</v>
      </c>
      <c r="I206" s="13" t="s">
        <v>91</v>
      </c>
      <c r="J206" s="13" t="s">
        <v>83</v>
      </c>
      <c r="K206" s="13" t="s">
        <v>83</v>
      </c>
      <c r="L206" s="13" t="s">
        <v>83</v>
      </c>
      <c r="M206" s="13">
        <v>38</v>
      </c>
      <c r="N206" s="13">
        <v>1</v>
      </c>
      <c r="O206" s="13" t="s">
        <v>84</v>
      </c>
      <c r="P206" s="13">
        <v>23.2</v>
      </c>
      <c r="Q206" s="13">
        <v>107</v>
      </c>
      <c r="R206" s="13">
        <v>76</v>
      </c>
      <c r="S206" s="13" t="s">
        <v>113</v>
      </c>
      <c r="T206" s="13" t="s">
        <v>86</v>
      </c>
      <c r="U206" s="13" t="s">
        <v>87</v>
      </c>
      <c r="V206" s="13" t="s">
        <v>83</v>
      </c>
      <c r="W206" s="13" t="str">
        <f t="shared" si="18"/>
        <v>20-29 ans</v>
      </c>
      <c r="X206" s="13" t="str">
        <f t="shared" si="19"/>
        <v>1-2 accouchements</v>
      </c>
      <c r="Y206" s="13" t="str">
        <f t="shared" si="20"/>
        <v>Moins de 4 CPN</v>
      </c>
      <c r="Z206" s="13" t="str">
        <f t="shared" si="21"/>
        <v>37 SA et plus</v>
      </c>
      <c r="AA206" s="13">
        <f t="shared" si="22"/>
        <v>103.5</v>
      </c>
      <c r="AB206" s="13">
        <f t="shared" si="23"/>
        <v>1</v>
      </c>
    </row>
    <row r="207" spans="1:28" x14ac:dyDescent="0.25">
      <c r="A207" s="13" t="s">
        <v>314</v>
      </c>
      <c r="B207" s="13">
        <v>25</v>
      </c>
      <c r="C207" s="13" t="s">
        <v>98</v>
      </c>
      <c r="D207" s="13" t="s">
        <v>93</v>
      </c>
      <c r="E207" s="13" t="s">
        <v>96</v>
      </c>
      <c r="F207" s="13" t="s">
        <v>94</v>
      </c>
      <c r="G207" s="13">
        <v>2</v>
      </c>
      <c r="H207" s="13">
        <v>1</v>
      </c>
      <c r="I207" s="13" t="s">
        <v>83</v>
      </c>
      <c r="J207" s="13" t="s">
        <v>83</v>
      </c>
      <c r="K207" s="13" t="s">
        <v>83</v>
      </c>
      <c r="L207" s="13" t="s">
        <v>83</v>
      </c>
      <c r="M207" s="13">
        <v>41</v>
      </c>
      <c r="N207" s="13">
        <v>5</v>
      </c>
      <c r="O207" s="13" t="s">
        <v>84</v>
      </c>
      <c r="Q207" s="13">
        <v>115</v>
      </c>
      <c r="R207" s="13">
        <v>67</v>
      </c>
      <c r="S207" s="13" t="s">
        <v>85</v>
      </c>
      <c r="T207" s="13" t="s">
        <v>86</v>
      </c>
      <c r="U207" s="13" t="s">
        <v>87</v>
      </c>
      <c r="V207" s="13" t="s">
        <v>83</v>
      </c>
      <c r="W207" s="13" t="str">
        <f t="shared" si="18"/>
        <v>20-29 ans</v>
      </c>
      <c r="X207" s="13" t="str">
        <f t="shared" si="19"/>
        <v>1-2 accouchements</v>
      </c>
      <c r="Y207" s="13" t="str">
        <f t="shared" si="20"/>
        <v>4 à 7 CPN</v>
      </c>
      <c r="Z207" s="13" t="str">
        <f t="shared" si="21"/>
        <v>37 SA et plus</v>
      </c>
      <c r="AA207" s="13">
        <f t="shared" si="22"/>
        <v>173</v>
      </c>
      <c r="AB207" s="13">
        <f t="shared" si="23"/>
        <v>1</v>
      </c>
    </row>
    <row r="208" spans="1:28" x14ac:dyDescent="0.25">
      <c r="A208" s="13" t="s">
        <v>315</v>
      </c>
      <c r="B208" s="13">
        <v>23</v>
      </c>
      <c r="C208" s="13" t="s">
        <v>89</v>
      </c>
      <c r="E208" s="13" t="s">
        <v>81</v>
      </c>
      <c r="F208" s="13" t="s">
        <v>82</v>
      </c>
      <c r="G208" s="13">
        <v>1</v>
      </c>
      <c r="H208" s="13">
        <v>0</v>
      </c>
      <c r="I208" s="13" t="s">
        <v>86</v>
      </c>
      <c r="J208" s="13" t="s">
        <v>83</v>
      </c>
      <c r="K208" s="13" t="s">
        <v>83</v>
      </c>
      <c r="L208" s="13" t="s">
        <v>83</v>
      </c>
      <c r="M208" s="13">
        <v>33</v>
      </c>
      <c r="N208" s="13">
        <v>4</v>
      </c>
      <c r="O208" s="13" t="s">
        <v>84</v>
      </c>
      <c r="P208" s="13">
        <v>24.5</v>
      </c>
      <c r="Q208" s="13">
        <v>174</v>
      </c>
      <c r="R208" s="13">
        <v>104</v>
      </c>
      <c r="S208" s="13" t="s">
        <v>118</v>
      </c>
      <c r="T208" s="13" t="s">
        <v>91</v>
      </c>
      <c r="U208" s="13" t="s">
        <v>114</v>
      </c>
      <c r="V208" s="13" t="s">
        <v>91</v>
      </c>
      <c r="W208" s="13" t="str">
        <f t="shared" si="18"/>
        <v>20-29 ans</v>
      </c>
      <c r="X208" s="13" t="str">
        <f t="shared" si="19"/>
        <v>Nullipare (0)</v>
      </c>
      <c r="Y208" s="13" t="str">
        <f t="shared" si="20"/>
        <v>4 à 7 CPN</v>
      </c>
      <c r="Z208" s="13" t="str">
        <f t="shared" si="21"/>
        <v>28-36 SA</v>
      </c>
      <c r="AA208" s="13">
        <f t="shared" si="22"/>
        <v>103.5</v>
      </c>
      <c r="AB208" s="13">
        <f t="shared" si="23"/>
        <v>0</v>
      </c>
    </row>
    <row r="209" spans="1:28" x14ac:dyDescent="0.25">
      <c r="A209" s="13" t="s">
        <v>316</v>
      </c>
      <c r="B209" s="13">
        <v>26</v>
      </c>
      <c r="C209" s="13" t="s">
        <v>79</v>
      </c>
      <c r="D209" s="13" t="s">
        <v>93</v>
      </c>
      <c r="E209" s="13" t="s">
        <v>101</v>
      </c>
      <c r="F209" s="13" t="s">
        <v>82</v>
      </c>
      <c r="G209" s="13">
        <v>2</v>
      </c>
      <c r="H209" s="13">
        <v>1</v>
      </c>
      <c r="I209" s="13" t="s">
        <v>83</v>
      </c>
      <c r="J209" s="13" t="s">
        <v>83</v>
      </c>
      <c r="K209" s="13" t="s">
        <v>83</v>
      </c>
      <c r="L209" s="13" t="s">
        <v>83</v>
      </c>
      <c r="M209" s="13">
        <v>30</v>
      </c>
      <c r="N209" s="13">
        <v>4</v>
      </c>
      <c r="O209" s="13" t="s">
        <v>84</v>
      </c>
      <c r="P209" s="13">
        <v>23.8</v>
      </c>
      <c r="Q209" s="13">
        <v>119</v>
      </c>
      <c r="R209" s="13">
        <v>69</v>
      </c>
      <c r="S209" s="13" t="s">
        <v>85</v>
      </c>
      <c r="T209" s="13" t="s">
        <v>86</v>
      </c>
      <c r="U209" s="13" t="s">
        <v>87</v>
      </c>
      <c r="V209" s="13" t="s">
        <v>83</v>
      </c>
      <c r="W209" s="13" t="str">
        <f t="shared" si="18"/>
        <v>20-29 ans</v>
      </c>
      <c r="X209" s="13" t="str">
        <f t="shared" si="19"/>
        <v>1-2 accouchements</v>
      </c>
      <c r="Y209" s="13" t="str">
        <f t="shared" si="20"/>
        <v>4 à 7 CPN</v>
      </c>
      <c r="Z209" s="13" t="str">
        <f t="shared" si="21"/>
        <v>28-36 SA</v>
      </c>
      <c r="AA209" s="13">
        <f t="shared" si="22"/>
        <v>206</v>
      </c>
      <c r="AB209" s="13">
        <f t="shared" si="23"/>
        <v>1</v>
      </c>
    </row>
    <row r="210" spans="1:28" x14ac:dyDescent="0.25">
      <c r="A210" s="13" t="s">
        <v>317</v>
      </c>
      <c r="B210" s="13">
        <v>25</v>
      </c>
      <c r="C210" s="13" t="s">
        <v>79</v>
      </c>
      <c r="D210" s="13" t="s">
        <v>80</v>
      </c>
      <c r="E210" s="13" t="s">
        <v>99</v>
      </c>
      <c r="F210" s="13" t="s">
        <v>82</v>
      </c>
      <c r="G210" s="13">
        <v>1</v>
      </c>
      <c r="H210" s="13">
        <v>0</v>
      </c>
      <c r="I210" s="13" t="s">
        <v>86</v>
      </c>
      <c r="J210" s="13" t="s">
        <v>83</v>
      </c>
      <c r="K210" s="13" t="s">
        <v>83</v>
      </c>
      <c r="L210" s="13" t="s">
        <v>83</v>
      </c>
      <c r="M210" s="13">
        <v>33</v>
      </c>
      <c r="N210" s="13">
        <v>1</v>
      </c>
      <c r="O210" s="13" t="s">
        <v>84</v>
      </c>
      <c r="P210" s="13">
        <v>30.1</v>
      </c>
      <c r="Q210" s="13">
        <v>100</v>
      </c>
      <c r="R210" s="13">
        <v>73</v>
      </c>
      <c r="S210" s="13" t="s">
        <v>85</v>
      </c>
      <c r="T210" s="13" t="s">
        <v>86</v>
      </c>
      <c r="U210" s="13" t="s">
        <v>87</v>
      </c>
      <c r="V210" s="13" t="s">
        <v>83</v>
      </c>
      <c r="W210" s="13" t="str">
        <f t="shared" si="18"/>
        <v>20-29 ans</v>
      </c>
      <c r="X210" s="13" t="str">
        <f t="shared" si="19"/>
        <v>Nullipare (0)</v>
      </c>
      <c r="Y210" s="13" t="str">
        <f t="shared" si="20"/>
        <v>Moins de 4 CPN</v>
      </c>
      <c r="Z210" s="13" t="str">
        <f t="shared" si="21"/>
        <v>28-36 SA</v>
      </c>
      <c r="AA210" s="13">
        <f t="shared" si="22"/>
        <v>173</v>
      </c>
      <c r="AB210" s="13">
        <f t="shared" si="23"/>
        <v>0</v>
      </c>
    </row>
    <row r="211" spans="1:28" x14ac:dyDescent="0.25">
      <c r="A211" s="13" t="s">
        <v>318</v>
      </c>
      <c r="B211" s="13">
        <v>21</v>
      </c>
      <c r="C211" s="13" t="s">
        <v>89</v>
      </c>
      <c r="D211" s="13" t="s">
        <v>80</v>
      </c>
      <c r="E211" s="13" t="s">
        <v>96</v>
      </c>
      <c r="F211" s="13" t="s">
        <v>82</v>
      </c>
      <c r="G211" s="13">
        <v>2</v>
      </c>
      <c r="H211" s="13">
        <v>0</v>
      </c>
      <c r="I211" s="13" t="s">
        <v>86</v>
      </c>
      <c r="J211" s="13" t="s">
        <v>83</v>
      </c>
      <c r="K211" s="13" t="s">
        <v>83</v>
      </c>
      <c r="L211" s="13" t="s">
        <v>83</v>
      </c>
      <c r="M211" s="13">
        <v>38</v>
      </c>
      <c r="N211" s="13">
        <v>3</v>
      </c>
      <c r="O211" s="13" t="s">
        <v>84</v>
      </c>
      <c r="P211" s="13">
        <v>26.4</v>
      </c>
      <c r="Q211" s="13">
        <v>101</v>
      </c>
      <c r="R211" s="13">
        <v>59</v>
      </c>
      <c r="S211" s="13" t="s">
        <v>85</v>
      </c>
      <c r="T211" s="13" t="s">
        <v>86</v>
      </c>
      <c r="U211" s="13" t="s">
        <v>87</v>
      </c>
      <c r="V211" s="13" t="s">
        <v>83</v>
      </c>
      <c r="W211" s="13" t="str">
        <f t="shared" si="18"/>
        <v>20-29 ans</v>
      </c>
      <c r="X211" s="13" t="str">
        <f t="shared" si="19"/>
        <v>Nullipare (0)</v>
      </c>
      <c r="Y211" s="13" t="str">
        <f t="shared" si="20"/>
        <v>Moins de 4 CPN</v>
      </c>
      <c r="Z211" s="13" t="str">
        <f t="shared" si="21"/>
        <v>37 SA et plus</v>
      </c>
      <c r="AA211" s="13">
        <f t="shared" si="22"/>
        <v>48</v>
      </c>
      <c r="AB211" s="13">
        <f t="shared" si="23"/>
        <v>0</v>
      </c>
    </row>
    <row r="212" spans="1:28" x14ac:dyDescent="0.25">
      <c r="A212" s="13" t="s">
        <v>319</v>
      </c>
      <c r="B212" s="13">
        <v>23</v>
      </c>
      <c r="C212" s="13" t="s">
        <v>79</v>
      </c>
      <c r="D212" s="13" t="s">
        <v>109</v>
      </c>
      <c r="E212" s="13" t="s">
        <v>99</v>
      </c>
      <c r="F212" s="13" t="s">
        <v>82</v>
      </c>
      <c r="G212" s="13">
        <v>2</v>
      </c>
      <c r="H212" s="13">
        <v>1</v>
      </c>
      <c r="I212" s="13" t="s">
        <v>83</v>
      </c>
      <c r="J212" s="13" t="s">
        <v>83</v>
      </c>
      <c r="K212" s="13" t="s">
        <v>83</v>
      </c>
      <c r="L212" s="13" t="s">
        <v>83</v>
      </c>
      <c r="M212" s="13">
        <v>33</v>
      </c>
      <c r="N212" s="13">
        <v>4</v>
      </c>
      <c r="O212" s="13" t="s">
        <v>84</v>
      </c>
      <c r="P212" s="13">
        <v>31.3</v>
      </c>
      <c r="Q212" s="13">
        <v>116</v>
      </c>
      <c r="R212" s="13">
        <v>72</v>
      </c>
      <c r="S212" s="13" t="s">
        <v>85</v>
      </c>
      <c r="T212" s="13" t="s">
        <v>86</v>
      </c>
      <c r="U212" s="13" t="s">
        <v>87</v>
      </c>
      <c r="V212" s="13" t="s">
        <v>83</v>
      </c>
      <c r="W212" s="13" t="str">
        <f t="shared" si="18"/>
        <v>20-29 ans</v>
      </c>
      <c r="X212" s="13" t="str">
        <f t="shared" si="19"/>
        <v>1-2 accouchements</v>
      </c>
      <c r="Y212" s="13" t="str">
        <f t="shared" si="20"/>
        <v>4 à 7 CPN</v>
      </c>
      <c r="Z212" s="13" t="str">
        <f t="shared" si="21"/>
        <v>28-36 SA</v>
      </c>
      <c r="AA212" s="13">
        <f t="shared" si="22"/>
        <v>103.5</v>
      </c>
      <c r="AB212" s="13">
        <f t="shared" si="23"/>
        <v>1</v>
      </c>
    </row>
    <row r="213" spans="1:28" x14ac:dyDescent="0.25">
      <c r="A213" s="13" t="s">
        <v>320</v>
      </c>
      <c r="B213" s="13">
        <v>22</v>
      </c>
      <c r="C213" s="13" t="s">
        <v>79</v>
      </c>
      <c r="D213" s="13" t="s">
        <v>80</v>
      </c>
      <c r="E213" s="13" t="s">
        <v>81</v>
      </c>
      <c r="F213" s="13" t="s">
        <v>94</v>
      </c>
      <c r="G213" s="13">
        <v>1</v>
      </c>
      <c r="H213" s="13">
        <v>0</v>
      </c>
      <c r="I213" s="13" t="s">
        <v>86</v>
      </c>
      <c r="J213" s="13" t="s">
        <v>83</v>
      </c>
      <c r="K213" s="13" t="s">
        <v>83</v>
      </c>
      <c r="L213" s="13" t="s">
        <v>83</v>
      </c>
      <c r="M213" s="13">
        <v>36</v>
      </c>
      <c r="N213" s="13">
        <v>1</v>
      </c>
      <c r="O213" s="13" t="s">
        <v>84</v>
      </c>
      <c r="P213" s="13">
        <v>21.9</v>
      </c>
      <c r="Q213" s="13">
        <v>170</v>
      </c>
      <c r="R213" s="13">
        <v>94</v>
      </c>
      <c r="S213" s="13" t="s">
        <v>118</v>
      </c>
      <c r="T213" s="13" t="s">
        <v>91</v>
      </c>
      <c r="U213" s="13" t="s">
        <v>114</v>
      </c>
      <c r="V213" s="13" t="s">
        <v>91</v>
      </c>
      <c r="W213" s="13" t="str">
        <f t="shared" si="18"/>
        <v>20-29 ans</v>
      </c>
      <c r="X213" s="13" t="str">
        <f t="shared" si="19"/>
        <v>Nullipare (0)</v>
      </c>
      <c r="Y213" s="13" t="str">
        <f t="shared" si="20"/>
        <v>Moins de 4 CPN</v>
      </c>
      <c r="Z213" s="13" t="str">
        <f t="shared" si="21"/>
        <v>28-36 SA</v>
      </c>
      <c r="AA213" s="13">
        <f t="shared" si="22"/>
        <v>70</v>
      </c>
      <c r="AB213" s="13">
        <f t="shared" si="23"/>
        <v>0</v>
      </c>
    </row>
    <row r="214" spans="1:28" x14ac:dyDescent="0.25">
      <c r="A214" s="13" t="s">
        <v>321</v>
      </c>
      <c r="B214" s="13">
        <v>23</v>
      </c>
      <c r="C214" s="13" t="s">
        <v>79</v>
      </c>
      <c r="D214" s="13" t="s">
        <v>109</v>
      </c>
      <c r="E214" s="13" t="s">
        <v>99</v>
      </c>
      <c r="F214" s="13" t="s">
        <v>82</v>
      </c>
      <c r="G214" s="13">
        <v>2</v>
      </c>
      <c r="H214" s="13">
        <v>1</v>
      </c>
      <c r="I214" s="13" t="s">
        <v>91</v>
      </c>
      <c r="J214" s="13" t="s">
        <v>83</v>
      </c>
      <c r="K214" s="13" t="s">
        <v>83</v>
      </c>
      <c r="L214" s="13" t="s">
        <v>83</v>
      </c>
      <c r="M214" s="13">
        <v>40</v>
      </c>
      <c r="N214" s="13">
        <v>4</v>
      </c>
      <c r="O214" s="13" t="s">
        <v>84</v>
      </c>
      <c r="P214" s="13">
        <v>20.6</v>
      </c>
      <c r="Q214" s="13">
        <v>109</v>
      </c>
      <c r="R214" s="13">
        <v>69</v>
      </c>
      <c r="S214" s="13" t="s">
        <v>85</v>
      </c>
      <c r="T214" s="13" t="s">
        <v>86</v>
      </c>
      <c r="U214" s="13" t="s">
        <v>87</v>
      </c>
      <c r="V214" s="13" t="s">
        <v>83</v>
      </c>
      <c r="W214" s="13" t="str">
        <f t="shared" si="18"/>
        <v>20-29 ans</v>
      </c>
      <c r="X214" s="13" t="str">
        <f t="shared" si="19"/>
        <v>1-2 accouchements</v>
      </c>
      <c r="Y214" s="13" t="str">
        <f t="shared" si="20"/>
        <v>4 à 7 CPN</v>
      </c>
      <c r="Z214" s="13" t="str">
        <f t="shared" si="21"/>
        <v>37 SA et plus</v>
      </c>
      <c r="AA214" s="13">
        <f t="shared" si="22"/>
        <v>103.5</v>
      </c>
      <c r="AB214" s="13">
        <f t="shared" si="23"/>
        <v>1</v>
      </c>
    </row>
    <row r="215" spans="1:28" x14ac:dyDescent="0.25">
      <c r="A215" s="13" t="s">
        <v>322</v>
      </c>
      <c r="B215" s="13">
        <v>42</v>
      </c>
      <c r="C215" s="13" t="s">
        <v>89</v>
      </c>
      <c r="D215" s="13" t="s">
        <v>93</v>
      </c>
      <c r="E215" s="13" t="s">
        <v>101</v>
      </c>
      <c r="F215" s="13" t="s">
        <v>94</v>
      </c>
      <c r="G215" s="13">
        <v>2</v>
      </c>
      <c r="H215" s="13">
        <v>0</v>
      </c>
      <c r="I215" s="13" t="s">
        <v>86</v>
      </c>
      <c r="J215" s="13" t="s">
        <v>83</v>
      </c>
      <c r="L215" s="13" t="s">
        <v>83</v>
      </c>
      <c r="M215" s="13">
        <v>31</v>
      </c>
      <c r="N215" s="13">
        <v>5</v>
      </c>
      <c r="O215" s="13" t="s">
        <v>84</v>
      </c>
      <c r="Q215" s="13">
        <v>98</v>
      </c>
      <c r="R215" s="13">
        <v>64</v>
      </c>
      <c r="S215" s="13" t="s">
        <v>85</v>
      </c>
      <c r="T215" s="13" t="s">
        <v>86</v>
      </c>
      <c r="U215" s="13" t="s">
        <v>87</v>
      </c>
      <c r="V215" s="13" t="s">
        <v>83</v>
      </c>
      <c r="W215" s="13" t="str">
        <f t="shared" si="18"/>
        <v>35 ans et plus</v>
      </c>
      <c r="X215" s="13" t="str">
        <f t="shared" si="19"/>
        <v>Nullipare (0)</v>
      </c>
      <c r="Y215" s="13" t="str">
        <f t="shared" si="20"/>
        <v>4 à 7 CPN</v>
      </c>
      <c r="Z215" s="13" t="str">
        <f t="shared" si="21"/>
        <v>28-36 SA</v>
      </c>
      <c r="AA215" s="13">
        <f t="shared" si="22"/>
        <v>397</v>
      </c>
      <c r="AB215" s="13">
        <f t="shared" si="23"/>
        <v>0</v>
      </c>
    </row>
    <row r="216" spans="1:28" x14ac:dyDescent="0.25">
      <c r="A216" s="13" t="s">
        <v>323</v>
      </c>
      <c r="B216" s="13">
        <v>30</v>
      </c>
      <c r="C216" s="13" t="s">
        <v>173</v>
      </c>
      <c r="D216" s="13" t="s">
        <v>80</v>
      </c>
      <c r="E216" s="13" t="s">
        <v>112</v>
      </c>
      <c r="F216" s="13" t="s">
        <v>82</v>
      </c>
      <c r="G216" s="13">
        <v>3</v>
      </c>
      <c r="H216" s="13">
        <v>1</v>
      </c>
      <c r="I216" s="13" t="s">
        <v>83</v>
      </c>
      <c r="J216" s="13" t="s">
        <v>83</v>
      </c>
      <c r="K216" s="13" t="s">
        <v>83</v>
      </c>
      <c r="L216" s="13" t="s">
        <v>83</v>
      </c>
      <c r="M216" s="13">
        <v>33</v>
      </c>
      <c r="N216" s="13">
        <v>4</v>
      </c>
      <c r="O216" s="13" t="s">
        <v>84</v>
      </c>
      <c r="P216" s="13">
        <v>23.5</v>
      </c>
      <c r="Q216" s="13">
        <v>118</v>
      </c>
      <c r="R216" s="13">
        <v>75</v>
      </c>
      <c r="S216" s="13" t="s">
        <v>85</v>
      </c>
      <c r="T216" s="13" t="s">
        <v>86</v>
      </c>
      <c r="U216" s="13" t="s">
        <v>87</v>
      </c>
      <c r="V216" s="13" t="s">
        <v>83</v>
      </c>
      <c r="W216" s="13" t="str">
        <f t="shared" si="18"/>
        <v>30-34 ans</v>
      </c>
      <c r="X216" s="13" t="str">
        <f t="shared" si="19"/>
        <v>1-2 accouchements</v>
      </c>
      <c r="Y216" s="13" t="str">
        <f t="shared" si="20"/>
        <v>4 à 7 CPN</v>
      </c>
      <c r="Z216" s="13" t="str">
        <f t="shared" si="21"/>
        <v>28-36 SA</v>
      </c>
      <c r="AA216" s="13">
        <f t="shared" si="22"/>
        <v>319.5</v>
      </c>
      <c r="AB216" s="13">
        <f t="shared" si="23"/>
        <v>1</v>
      </c>
    </row>
    <row r="217" spans="1:28" x14ac:dyDescent="0.25">
      <c r="A217" s="13" t="s">
        <v>324</v>
      </c>
      <c r="B217" s="13">
        <v>25</v>
      </c>
      <c r="C217" s="13" t="s">
        <v>79</v>
      </c>
      <c r="D217" s="13" t="s">
        <v>124</v>
      </c>
      <c r="E217" s="13" t="s">
        <v>81</v>
      </c>
      <c r="F217" s="13" t="s">
        <v>94</v>
      </c>
      <c r="G217" s="13">
        <v>3</v>
      </c>
      <c r="H217" s="13">
        <v>2</v>
      </c>
      <c r="I217" s="13" t="s">
        <v>83</v>
      </c>
      <c r="J217" s="13" t="s">
        <v>83</v>
      </c>
      <c r="K217" s="13" t="s">
        <v>83</v>
      </c>
      <c r="L217" s="13" t="s">
        <v>83</v>
      </c>
      <c r="M217" s="13">
        <v>24</v>
      </c>
      <c r="N217" s="13">
        <v>2</v>
      </c>
      <c r="O217" s="13" t="s">
        <v>84</v>
      </c>
      <c r="Q217" s="13">
        <v>120</v>
      </c>
      <c r="R217" s="13">
        <v>72</v>
      </c>
      <c r="S217" s="13" t="s">
        <v>85</v>
      </c>
      <c r="T217" s="13" t="s">
        <v>86</v>
      </c>
      <c r="U217" s="13" t="s">
        <v>87</v>
      </c>
      <c r="V217" s="13" t="s">
        <v>83</v>
      </c>
      <c r="W217" s="13" t="str">
        <f t="shared" si="18"/>
        <v>20-29 ans</v>
      </c>
      <c r="X217" s="13" t="str">
        <f t="shared" si="19"/>
        <v>1-2 accouchements</v>
      </c>
      <c r="Y217" s="13" t="str">
        <f t="shared" si="20"/>
        <v>Moins de 4 CPN</v>
      </c>
      <c r="Z217" s="13" t="str">
        <f t="shared" si="21"/>
        <v>20-27 SA</v>
      </c>
      <c r="AA217" s="13">
        <f t="shared" si="22"/>
        <v>173</v>
      </c>
      <c r="AB217" s="13">
        <f t="shared" si="23"/>
        <v>1</v>
      </c>
    </row>
    <row r="218" spans="1:28" x14ac:dyDescent="0.25">
      <c r="A218" s="13" t="s">
        <v>325</v>
      </c>
      <c r="B218" s="13">
        <v>29</v>
      </c>
      <c r="C218" s="13" t="s">
        <v>98</v>
      </c>
      <c r="D218" s="13" t="s">
        <v>80</v>
      </c>
      <c r="E218" s="13" t="s">
        <v>81</v>
      </c>
      <c r="F218" s="13" t="s">
        <v>82</v>
      </c>
      <c r="G218" s="13">
        <v>2</v>
      </c>
      <c r="H218" s="13">
        <v>1</v>
      </c>
      <c r="I218" s="13" t="s">
        <v>83</v>
      </c>
      <c r="J218" s="13" t="s">
        <v>83</v>
      </c>
      <c r="K218" s="13" t="s">
        <v>83</v>
      </c>
      <c r="L218" s="13" t="s">
        <v>83</v>
      </c>
      <c r="M218" s="13">
        <v>28</v>
      </c>
      <c r="N218" s="13">
        <v>2</v>
      </c>
      <c r="O218" s="13" t="s">
        <v>84</v>
      </c>
      <c r="P218" s="13">
        <v>33.9</v>
      </c>
      <c r="Q218" s="13">
        <v>150</v>
      </c>
      <c r="R218" s="13">
        <v>100</v>
      </c>
      <c r="S218" s="13" t="s">
        <v>192</v>
      </c>
      <c r="T218" s="13" t="s">
        <v>83</v>
      </c>
      <c r="U218" s="13" t="s">
        <v>114</v>
      </c>
      <c r="V218" s="13" t="s">
        <v>91</v>
      </c>
      <c r="W218" s="13" t="str">
        <f t="shared" si="18"/>
        <v>20-29 ans</v>
      </c>
      <c r="X218" s="13" t="str">
        <f t="shared" si="19"/>
        <v>1-2 accouchements</v>
      </c>
      <c r="Y218" s="13" t="str">
        <f t="shared" si="20"/>
        <v>Moins de 4 CPN</v>
      </c>
      <c r="Z218" s="13" t="str">
        <f t="shared" si="21"/>
        <v>28-36 SA</v>
      </c>
      <c r="AA218" s="13">
        <f t="shared" si="22"/>
        <v>299</v>
      </c>
      <c r="AB218" s="13">
        <f t="shared" si="23"/>
        <v>1</v>
      </c>
    </row>
    <row r="219" spans="1:28" x14ac:dyDescent="0.25">
      <c r="A219" s="13" t="s">
        <v>326</v>
      </c>
      <c r="B219" s="13">
        <v>22</v>
      </c>
      <c r="C219" s="13" t="s">
        <v>89</v>
      </c>
      <c r="E219" s="13" t="s">
        <v>96</v>
      </c>
      <c r="F219" s="13" t="s">
        <v>82</v>
      </c>
      <c r="G219" s="13">
        <v>3</v>
      </c>
      <c r="H219" s="13">
        <v>2</v>
      </c>
      <c r="I219" s="13" t="s">
        <v>83</v>
      </c>
      <c r="J219" s="13" t="s">
        <v>83</v>
      </c>
      <c r="K219" s="13" t="s">
        <v>83</v>
      </c>
      <c r="L219" s="13" t="s">
        <v>83</v>
      </c>
      <c r="M219" s="13">
        <v>36</v>
      </c>
      <c r="N219" s="13">
        <v>8</v>
      </c>
      <c r="O219" s="13" t="s">
        <v>84</v>
      </c>
      <c r="P219" s="13">
        <v>21.6</v>
      </c>
      <c r="Q219" s="13">
        <v>123</v>
      </c>
      <c r="R219" s="13">
        <v>71</v>
      </c>
      <c r="S219" s="13" t="s">
        <v>85</v>
      </c>
      <c r="T219" s="13" t="s">
        <v>86</v>
      </c>
      <c r="U219" s="13" t="s">
        <v>87</v>
      </c>
      <c r="V219" s="13" t="s">
        <v>83</v>
      </c>
      <c r="W219" s="13" t="str">
        <f t="shared" si="18"/>
        <v>20-29 ans</v>
      </c>
      <c r="X219" s="13" t="str">
        <f t="shared" si="19"/>
        <v>1-2 accouchements</v>
      </c>
      <c r="Y219" s="13" t="str">
        <f t="shared" si="20"/>
        <v>8 CPN et plus</v>
      </c>
      <c r="Z219" s="13" t="str">
        <f t="shared" si="21"/>
        <v>28-36 SA</v>
      </c>
      <c r="AA219" s="13">
        <f t="shared" si="22"/>
        <v>70</v>
      </c>
      <c r="AB219" s="13">
        <f t="shared" si="23"/>
        <v>1</v>
      </c>
    </row>
    <row r="220" spans="1:28" x14ac:dyDescent="0.25">
      <c r="A220" s="13" t="s">
        <v>327</v>
      </c>
      <c r="B220" s="13">
        <v>29</v>
      </c>
      <c r="C220" s="13" t="s">
        <v>89</v>
      </c>
      <c r="D220" s="13" t="s">
        <v>80</v>
      </c>
      <c r="E220" s="13" t="s">
        <v>96</v>
      </c>
      <c r="F220" s="13" t="s">
        <v>94</v>
      </c>
      <c r="G220" s="13">
        <v>4</v>
      </c>
      <c r="H220" s="13">
        <v>3</v>
      </c>
      <c r="I220" s="13" t="s">
        <v>83</v>
      </c>
      <c r="J220" s="13" t="s">
        <v>83</v>
      </c>
      <c r="K220" s="13" t="s">
        <v>83</v>
      </c>
      <c r="L220" s="13" t="s">
        <v>83</v>
      </c>
      <c r="M220" s="13">
        <v>27</v>
      </c>
      <c r="N220" s="13">
        <v>2</v>
      </c>
      <c r="O220" s="13" t="s">
        <v>84</v>
      </c>
      <c r="P220" s="13">
        <v>26.4</v>
      </c>
      <c r="Q220" s="13">
        <v>102</v>
      </c>
      <c r="R220" s="13">
        <v>60</v>
      </c>
      <c r="S220" s="13" t="s">
        <v>85</v>
      </c>
      <c r="T220" s="13" t="s">
        <v>86</v>
      </c>
      <c r="U220" s="13" t="s">
        <v>87</v>
      </c>
      <c r="V220" s="13" t="s">
        <v>83</v>
      </c>
      <c r="W220" s="13" t="str">
        <f t="shared" si="18"/>
        <v>20-29 ans</v>
      </c>
      <c r="X220" s="13" t="str">
        <f t="shared" si="19"/>
        <v>3 accouchements et plus</v>
      </c>
      <c r="Y220" s="13" t="str">
        <f t="shared" si="20"/>
        <v>Moins de 4 CPN</v>
      </c>
      <c r="Z220" s="13" t="str">
        <f t="shared" si="21"/>
        <v>20-27 SA</v>
      </c>
      <c r="AA220" s="13">
        <f t="shared" si="22"/>
        <v>299</v>
      </c>
      <c r="AB220" s="13">
        <f t="shared" si="23"/>
        <v>1</v>
      </c>
    </row>
    <row r="221" spans="1:28" x14ac:dyDescent="0.25">
      <c r="A221" s="13" t="s">
        <v>328</v>
      </c>
      <c r="B221" s="13">
        <v>28</v>
      </c>
      <c r="C221" s="13" t="s">
        <v>79</v>
      </c>
      <c r="D221" s="13" t="s">
        <v>93</v>
      </c>
      <c r="E221" s="13" t="s">
        <v>90</v>
      </c>
      <c r="F221" s="13" t="s">
        <v>94</v>
      </c>
      <c r="G221" s="13">
        <v>3</v>
      </c>
      <c r="H221" s="13">
        <v>2</v>
      </c>
      <c r="I221" s="13" t="s">
        <v>83</v>
      </c>
      <c r="J221" s="13" t="s">
        <v>83</v>
      </c>
      <c r="K221" s="13" t="s">
        <v>83</v>
      </c>
      <c r="L221" s="13" t="s">
        <v>83</v>
      </c>
      <c r="M221" s="13">
        <v>28</v>
      </c>
      <c r="N221" s="13">
        <v>1</v>
      </c>
      <c r="O221" s="13" t="s">
        <v>84</v>
      </c>
      <c r="P221" s="13">
        <v>24.1</v>
      </c>
      <c r="Q221" s="13">
        <v>106</v>
      </c>
      <c r="R221" s="13">
        <v>65</v>
      </c>
      <c r="S221" s="13" t="s">
        <v>85</v>
      </c>
      <c r="T221" s="13" t="s">
        <v>86</v>
      </c>
      <c r="U221" s="13" t="s">
        <v>87</v>
      </c>
      <c r="V221" s="13" t="s">
        <v>83</v>
      </c>
      <c r="W221" s="13" t="str">
        <f t="shared" si="18"/>
        <v>20-29 ans</v>
      </c>
      <c r="X221" s="13" t="str">
        <f t="shared" si="19"/>
        <v>1-2 accouchements</v>
      </c>
      <c r="Y221" s="13" t="str">
        <f t="shared" si="20"/>
        <v>Moins de 4 CPN</v>
      </c>
      <c r="Z221" s="13" t="str">
        <f t="shared" si="21"/>
        <v>28-36 SA</v>
      </c>
      <c r="AA221" s="13">
        <f t="shared" si="22"/>
        <v>276</v>
      </c>
      <c r="AB221" s="13">
        <f t="shared" si="23"/>
        <v>1</v>
      </c>
    </row>
    <row r="222" spans="1:28" x14ac:dyDescent="0.25">
      <c r="A222" s="13" t="s">
        <v>329</v>
      </c>
      <c r="B222" s="13">
        <v>19</v>
      </c>
      <c r="C222" s="13" t="s">
        <v>98</v>
      </c>
      <c r="D222" s="13" t="s">
        <v>80</v>
      </c>
      <c r="E222" s="13" t="s">
        <v>96</v>
      </c>
      <c r="F222" s="13" t="s">
        <v>82</v>
      </c>
      <c r="G222" s="13">
        <v>2</v>
      </c>
      <c r="H222" s="13">
        <v>0</v>
      </c>
      <c r="I222" s="13" t="s">
        <v>86</v>
      </c>
      <c r="J222" s="13" t="s">
        <v>83</v>
      </c>
      <c r="K222" s="13" t="s">
        <v>83</v>
      </c>
      <c r="L222" s="13" t="s">
        <v>83</v>
      </c>
      <c r="M222" s="13">
        <v>39</v>
      </c>
      <c r="N222" s="13">
        <v>5</v>
      </c>
      <c r="O222" s="13" t="s">
        <v>84</v>
      </c>
      <c r="P222" s="13">
        <v>21.7</v>
      </c>
      <c r="Q222" s="13">
        <v>108</v>
      </c>
      <c r="R222" s="13">
        <v>68</v>
      </c>
      <c r="S222" s="13" t="s">
        <v>85</v>
      </c>
      <c r="T222" s="13" t="s">
        <v>86</v>
      </c>
      <c r="U222" s="13" t="s">
        <v>87</v>
      </c>
      <c r="V222" s="13" t="s">
        <v>83</v>
      </c>
      <c r="W222" s="13" t="str">
        <f t="shared" si="18"/>
        <v>Moins de 20 ans</v>
      </c>
      <c r="X222" s="13" t="str">
        <f t="shared" si="19"/>
        <v>Nullipare (0)</v>
      </c>
      <c r="Y222" s="13" t="str">
        <f t="shared" si="20"/>
        <v>4 à 7 CPN</v>
      </c>
      <c r="Z222" s="13" t="str">
        <f t="shared" si="21"/>
        <v>37 SA et plus</v>
      </c>
      <c r="AA222" s="13">
        <f t="shared" si="22"/>
        <v>14.5</v>
      </c>
      <c r="AB222" s="13">
        <f t="shared" si="23"/>
        <v>0</v>
      </c>
    </row>
    <row r="223" spans="1:28" x14ac:dyDescent="0.25">
      <c r="A223" s="13" t="s">
        <v>330</v>
      </c>
      <c r="B223" s="13">
        <v>28</v>
      </c>
      <c r="C223" s="13" t="s">
        <v>79</v>
      </c>
      <c r="D223" s="13" t="s">
        <v>80</v>
      </c>
      <c r="E223" s="13" t="s">
        <v>81</v>
      </c>
      <c r="F223" s="13" t="s">
        <v>82</v>
      </c>
      <c r="G223" s="13">
        <v>2</v>
      </c>
      <c r="H223" s="13">
        <v>1</v>
      </c>
      <c r="I223" s="13" t="s">
        <v>83</v>
      </c>
      <c r="J223" s="13" t="s">
        <v>83</v>
      </c>
      <c r="K223" s="13" t="s">
        <v>83</v>
      </c>
      <c r="L223" s="13" t="s">
        <v>83</v>
      </c>
      <c r="M223" s="13">
        <v>27</v>
      </c>
      <c r="N223" s="13">
        <v>4</v>
      </c>
      <c r="O223" s="13" t="s">
        <v>84</v>
      </c>
      <c r="P223" s="13">
        <v>22.3</v>
      </c>
      <c r="Q223" s="13">
        <v>114</v>
      </c>
      <c r="R223" s="13">
        <v>76</v>
      </c>
      <c r="S223" s="13" t="s">
        <v>106</v>
      </c>
      <c r="T223" s="13" t="s">
        <v>86</v>
      </c>
      <c r="U223" s="13" t="s">
        <v>87</v>
      </c>
      <c r="V223" s="13" t="s">
        <v>83</v>
      </c>
      <c r="W223" s="13" t="str">
        <f t="shared" si="18"/>
        <v>20-29 ans</v>
      </c>
      <c r="X223" s="13" t="str">
        <f t="shared" si="19"/>
        <v>1-2 accouchements</v>
      </c>
      <c r="Y223" s="13" t="str">
        <f t="shared" si="20"/>
        <v>4 à 7 CPN</v>
      </c>
      <c r="Z223" s="13" t="str">
        <f t="shared" si="21"/>
        <v>20-27 SA</v>
      </c>
      <c r="AA223" s="13">
        <f t="shared" si="22"/>
        <v>276</v>
      </c>
      <c r="AB223" s="13">
        <f t="shared" si="23"/>
        <v>1</v>
      </c>
    </row>
    <row r="224" spans="1:28" x14ac:dyDescent="0.25">
      <c r="A224" s="13" t="s">
        <v>331</v>
      </c>
      <c r="B224" s="13">
        <v>23</v>
      </c>
      <c r="C224" s="13" t="s">
        <v>79</v>
      </c>
      <c r="D224" s="13" t="s">
        <v>109</v>
      </c>
      <c r="E224" s="13" t="s">
        <v>90</v>
      </c>
      <c r="F224" s="13" t="s">
        <v>82</v>
      </c>
      <c r="G224" s="13">
        <v>3</v>
      </c>
      <c r="H224" s="13">
        <v>1</v>
      </c>
      <c r="I224" s="13" t="s">
        <v>83</v>
      </c>
      <c r="J224" s="13" t="s">
        <v>83</v>
      </c>
      <c r="K224" s="13" t="s">
        <v>83</v>
      </c>
      <c r="L224" s="13" t="s">
        <v>83</v>
      </c>
      <c r="M224" s="13">
        <v>26</v>
      </c>
      <c r="N224" s="13">
        <v>5</v>
      </c>
      <c r="O224" s="13" t="s">
        <v>84</v>
      </c>
      <c r="P224" s="13">
        <v>28</v>
      </c>
      <c r="Q224" s="13">
        <v>104</v>
      </c>
      <c r="R224" s="13">
        <v>62</v>
      </c>
      <c r="S224" s="13" t="s">
        <v>85</v>
      </c>
      <c r="T224" s="13" t="s">
        <v>86</v>
      </c>
      <c r="U224" s="13" t="s">
        <v>87</v>
      </c>
      <c r="V224" s="13" t="s">
        <v>83</v>
      </c>
      <c r="W224" s="13" t="str">
        <f t="shared" si="18"/>
        <v>20-29 ans</v>
      </c>
      <c r="X224" s="13" t="str">
        <f t="shared" si="19"/>
        <v>1-2 accouchements</v>
      </c>
      <c r="Y224" s="13" t="str">
        <f t="shared" si="20"/>
        <v>4 à 7 CPN</v>
      </c>
      <c r="Z224" s="13" t="str">
        <f t="shared" si="21"/>
        <v>20-27 SA</v>
      </c>
      <c r="AA224" s="13">
        <f t="shared" si="22"/>
        <v>103.5</v>
      </c>
      <c r="AB224" s="13">
        <f t="shared" si="23"/>
        <v>1</v>
      </c>
    </row>
    <row r="225" spans="1:28" x14ac:dyDescent="0.25">
      <c r="A225" s="13" t="s">
        <v>332</v>
      </c>
      <c r="B225" s="13">
        <v>25</v>
      </c>
      <c r="C225" s="13" t="s">
        <v>79</v>
      </c>
      <c r="D225" s="13" t="s">
        <v>93</v>
      </c>
      <c r="E225" s="13" t="s">
        <v>81</v>
      </c>
      <c r="F225" s="13" t="s">
        <v>94</v>
      </c>
      <c r="G225" s="13">
        <v>3</v>
      </c>
      <c r="H225" s="13">
        <v>2</v>
      </c>
      <c r="I225" s="13" t="s">
        <v>83</v>
      </c>
      <c r="J225" s="13" t="s">
        <v>83</v>
      </c>
      <c r="K225" s="13" t="s">
        <v>83</v>
      </c>
      <c r="L225" s="13" t="s">
        <v>83</v>
      </c>
      <c r="M225" s="13">
        <v>30</v>
      </c>
      <c r="N225" s="13">
        <v>4</v>
      </c>
      <c r="O225" s="13" t="s">
        <v>84</v>
      </c>
      <c r="P225" s="13">
        <v>31.3</v>
      </c>
      <c r="Q225" s="13">
        <v>119</v>
      </c>
      <c r="R225" s="13">
        <v>64</v>
      </c>
      <c r="S225" s="13" t="s">
        <v>85</v>
      </c>
      <c r="T225" s="13" t="s">
        <v>86</v>
      </c>
      <c r="U225" s="13" t="s">
        <v>87</v>
      </c>
      <c r="V225" s="13" t="s">
        <v>83</v>
      </c>
      <c r="W225" s="13" t="str">
        <f t="shared" si="18"/>
        <v>20-29 ans</v>
      </c>
      <c r="X225" s="13" t="str">
        <f t="shared" si="19"/>
        <v>1-2 accouchements</v>
      </c>
      <c r="Y225" s="13" t="str">
        <f t="shared" si="20"/>
        <v>4 à 7 CPN</v>
      </c>
      <c r="Z225" s="13" t="str">
        <f t="shared" si="21"/>
        <v>28-36 SA</v>
      </c>
      <c r="AA225" s="13">
        <f t="shared" si="22"/>
        <v>173</v>
      </c>
      <c r="AB225" s="13">
        <f t="shared" si="23"/>
        <v>1</v>
      </c>
    </row>
    <row r="226" spans="1:28" x14ac:dyDescent="0.25">
      <c r="A226" s="13" t="s">
        <v>333</v>
      </c>
      <c r="B226" s="13">
        <v>30</v>
      </c>
      <c r="C226" s="13" t="s">
        <v>79</v>
      </c>
      <c r="D226" s="13" t="s">
        <v>80</v>
      </c>
      <c r="E226" s="13" t="s">
        <v>96</v>
      </c>
      <c r="F226" s="13" t="s">
        <v>82</v>
      </c>
      <c r="G226" s="13">
        <v>3</v>
      </c>
      <c r="H226" s="13">
        <v>2</v>
      </c>
      <c r="I226" s="13" t="s">
        <v>83</v>
      </c>
      <c r="J226" s="13" t="s">
        <v>83</v>
      </c>
      <c r="K226" s="13" t="s">
        <v>83</v>
      </c>
      <c r="L226" s="13" t="s">
        <v>83</v>
      </c>
      <c r="M226" s="13">
        <v>39</v>
      </c>
      <c r="N226" s="13">
        <v>4</v>
      </c>
      <c r="O226" s="13" t="s">
        <v>84</v>
      </c>
      <c r="P226" s="13">
        <v>22.7</v>
      </c>
      <c r="Q226" s="13">
        <v>107</v>
      </c>
      <c r="R226" s="13">
        <v>72</v>
      </c>
      <c r="S226" s="13" t="s">
        <v>85</v>
      </c>
      <c r="T226" s="13" t="s">
        <v>86</v>
      </c>
      <c r="U226" s="13" t="s">
        <v>87</v>
      </c>
      <c r="V226" s="13" t="s">
        <v>83</v>
      </c>
      <c r="W226" s="13" t="str">
        <f t="shared" si="18"/>
        <v>30-34 ans</v>
      </c>
      <c r="X226" s="13" t="str">
        <f t="shared" si="19"/>
        <v>1-2 accouchements</v>
      </c>
      <c r="Y226" s="13" t="str">
        <f t="shared" si="20"/>
        <v>4 à 7 CPN</v>
      </c>
      <c r="Z226" s="13" t="str">
        <f t="shared" si="21"/>
        <v>37 SA et plus</v>
      </c>
      <c r="AA226" s="13">
        <f t="shared" si="22"/>
        <v>319.5</v>
      </c>
      <c r="AB226" s="13">
        <f t="shared" si="23"/>
        <v>1</v>
      </c>
    </row>
    <row r="227" spans="1:28" x14ac:dyDescent="0.25">
      <c r="A227" s="13" t="s">
        <v>334</v>
      </c>
      <c r="B227" s="13">
        <v>23</v>
      </c>
      <c r="C227" s="13" t="s">
        <v>89</v>
      </c>
      <c r="D227" s="13" t="s">
        <v>93</v>
      </c>
      <c r="E227" s="13" t="s">
        <v>90</v>
      </c>
      <c r="F227" s="13" t="s">
        <v>94</v>
      </c>
      <c r="G227" s="13">
        <v>2</v>
      </c>
      <c r="H227" s="13">
        <v>1</v>
      </c>
      <c r="I227" s="13" t="s">
        <v>83</v>
      </c>
      <c r="J227" s="13" t="s">
        <v>83</v>
      </c>
      <c r="K227" s="13" t="s">
        <v>83</v>
      </c>
      <c r="L227" s="13" t="s">
        <v>83</v>
      </c>
      <c r="M227" s="13">
        <v>36</v>
      </c>
      <c r="N227" s="13">
        <v>3</v>
      </c>
      <c r="O227" s="13" t="s">
        <v>84</v>
      </c>
      <c r="P227" s="13">
        <v>22.4</v>
      </c>
      <c r="Q227" s="13">
        <v>119</v>
      </c>
      <c r="R227" s="13">
        <v>72</v>
      </c>
      <c r="S227" s="13" t="s">
        <v>85</v>
      </c>
      <c r="T227" s="13" t="s">
        <v>86</v>
      </c>
      <c r="U227" s="13" t="s">
        <v>87</v>
      </c>
      <c r="V227" s="13" t="s">
        <v>83</v>
      </c>
      <c r="W227" s="13" t="str">
        <f t="shared" si="18"/>
        <v>20-29 ans</v>
      </c>
      <c r="X227" s="13" t="str">
        <f t="shared" si="19"/>
        <v>1-2 accouchements</v>
      </c>
      <c r="Y227" s="13" t="str">
        <f t="shared" si="20"/>
        <v>Moins de 4 CPN</v>
      </c>
      <c r="Z227" s="13" t="str">
        <f t="shared" si="21"/>
        <v>28-36 SA</v>
      </c>
      <c r="AA227" s="13">
        <f t="shared" si="22"/>
        <v>103.5</v>
      </c>
      <c r="AB227" s="13">
        <f t="shared" si="23"/>
        <v>1</v>
      </c>
    </row>
    <row r="228" spans="1:28" x14ac:dyDescent="0.25">
      <c r="A228" s="13" t="s">
        <v>335</v>
      </c>
      <c r="B228" s="13">
        <v>23</v>
      </c>
      <c r="C228" s="13" t="s">
        <v>98</v>
      </c>
      <c r="D228" s="13" t="s">
        <v>124</v>
      </c>
      <c r="E228" s="13" t="s">
        <v>81</v>
      </c>
      <c r="F228" s="13" t="s">
        <v>94</v>
      </c>
      <c r="G228" s="13">
        <v>3</v>
      </c>
      <c r="H228" s="13">
        <v>2</v>
      </c>
      <c r="I228" s="13" t="s">
        <v>83</v>
      </c>
      <c r="J228" s="13" t="s">
        <v>83</v>
      </c>
      <c r="K228" s="13" t="s">
        <v>91</v>
      </c>
      <c r="L228" s="13" t="s">
        <v>83</v>
      </c>
      <c r="M228" s="13">
        <v>33</v>
      </c>
      <c r="N228" s="13">
        <v>1</v>
      </c>
      <c r="O228" s="13" t="s">
        <v>84</v>
      </c>
      <c r="P228" s="13">
        <v>25.2</v>
      </c>
      <c r="Q228" s="13">
        <v>107</v>
      </c>
      <c r="R228" s="13">
        <v>70</v>
      </c>
      <c r="S228" s="13" t="s">
        <v>85</v>
      </c>
      <c r="T228" s="13" t="s">
        <v>86</v>
      </c>
      <c r="U228" s="13" t="s">
        <v>87</v>
      </c>
      <c r="V228" s="13" t="s">
        <v>83</v>
      </c>
      <c r="W228" s="13" t="str">
        <f t="shared" si="18"/>
        <v>20-29 ans</v>
      </c>
      <c r="X228" s="13" t="str">
        <f t="shared" si="19"/>
        <v>1-2 accouchements</v>
      </c>
      <c r="Y228" s="13" t="str">
        <f t="shared" si="20"/>
        <v>Moins de 4 CPN</v>
      </c>
      <c r="Z228" s="13" t="str">
        <f t="shared" si="21"/>
        <v>28-36 SA</v>
      </c>
      <c r="AA228" s="13">
        <f t="shared" si="22"/>
        <v>103.5</v>
      </c>
      <c r="AB228" s="13">
        <f t="shared" si="23"/>
        <v>1</v>
      </c>
    </row>
    <row r="229" spans="1:28" x14ac:dyDescent="0.25">
      <c r="A229" s="13" t="s">
        <v>336</v>
      </c>
      <c r="B229" s="13">
        <v>29</v>
      </c>
      <c r="C229" s="13" t="s">
        <v>98</v>
      </c>
      <c r="D229" s="13" t="s">
        <v>80</v>
      </c>
      <c r="E229" s="13" t="s">
        <v>81</v>
      </c>
      <c r="F229" s="13" t="s">
        <v>94</v>
      </c>
      <c r="G229" s="13">
        <v>2</v>
      </c>
      <c r="H229" s="13">
        <v>1</v>
      </c>
      <c r="I229" s="13" t="s">
        <v>83</v>
      </c>
      <c r="J229" s="13" t="s">
        <v>83</v>
      </c>
      <c r="K229" s="13" t="s">
        <v>83</v>
      </c>
      <c r="L229" s="13" t="s">
        <v>83</v>
      </c>
      <c r="M229" s="13">
        <v>31</v>
      </c>
      <c r="N229" s="13">
        <v>1</v>
      </c>
      <c r="O229" s="13" t="s">
        <v>84</v>
      </c>
      <c r="P229" s="13">
        <v>26.8</v>
      </c>
      <c r="Q229" s="13">
        <v>110</v>
      </c>
      <c r="R229" s="13">
        <v>66</v>
      </c>
      <c r="S229" s="13" t="s">
        <v>85</v>
      </c>
      <c r="T229" s="13" t="s">
        <v>86</v>
      </c>
      <c r="U229" s="13" t="s">
        <v>87</v>
      </c>
      <c r="V229" s="13" t="s">
        <v>83</v>
      </c>
      <c r="W229" s="13" t="str">
        <f t="shared" si="18"/>
        <v>20-29 ans</v>
      </c>
      <c r="X229" s="13" t="str">
        <f t="shared" si="19"/>
        <v>1-2 accouchements</v>
      </c>
      <c r="Y229" s="13" t="str">
        <f t="shared" si="20"/>
        <v>Moins de 4 CPN</v>
      </c>
      <c r="Z229" s="13" t="str">
        <f t="shared" si="21"/>
        <v>28-36 SA</v>
      </c>
      <c r="AA229" s="13">
        <f t="shared" si="22"/>
        <v>299</v>
      </c>
      <c r="AB229" s="13">
        <f t="shared" si="23"/>
        <v>1</v>
      </c>
    </row>
    <row r="230" spans="1:28" x14ac:dyDescent="0.25">
      <c r="A230" s="13" t="s">
        <v>337</v>
      </c>
      <c r="B230" s="13">
        <v>27</v>
      </c>
      <c r="C230" s="13" t="s">
        <v>79</v>
      </c>
      <c r="D230" s="13" t="s">
        <v>80</v>
      </c>
      <c r="E230" s="13" t="s">
        <v>90</v>
      </c>
      <c r="F230" s="13" t="s">
        <v>94</v>
      </c>
      <c r="G230" s="13">
        <v>6</v>
      </c>
      <c r="H230" s="13">
        <v>5</v>
      </c>
      <c r="I230" s="13" t="s">
        <v>83</v>
      </c>
      <c r="J230" s="13" t="s">
        <v>83</v>
      </c>
      <c r="K230" s="13" t="s">
        <v>91</v>
      </c>
      <c r="L230" s="13" t="s">
        <v>83</v>
      </c>
      <c r="M230" s="13">
        <v>34</v>
      </c>
      <c r="N230" s="13">
        <v>7</v>
      </c>
      <c r="O230" s="13" t="s">
        <v>84</v>
      </c>
      <c r="P230" s="13">
        <v>25.5</v>
      </c>
      <c r="Q230" s="13">
        <v>178</v>
      </c>
      <c r="R230" s="13">
        <v>110</v>
      </c>
      <c r="S230" s="13" t="s">
        <v>113</v>
      </c>
      <c r="T230" s="13" t="s">
        <v>91</v>
      </c>
      <c r="U230" s="13" t="s">
        <v>114</v>
      </c>
      <c r="V230" s="13" t="s">
        <v>91</v>
      </c>
      <c r="W230" s="13" t="str">
        <f t="shared" si="18"/>
        <v>20-29 ans</v>
      </c>
      <c r="X230" s="13" t="str">
        <f t="shared" si="19"/>
        <v>3 accouchements et plus</v>
      </c>
      <c r="Y230" s="13" t="str">
        <f t="shared" si="20"/>
        <v>4 à 7 CPN</v>
      </c>
      <c r="Z230" s="13" t="str">
        <f t="shared" si="21"/>
        <v>28-36 SA</v>
      </c>
      <c r="AA230" s="13">
        <f t="shared" si="22"/>
        <v>243</v>
      </c>
      <c r="AB230" s="13">
        <f t="shared" si="23"/>
        <v>1</v>
      </c>
    </row>
    <row r="231" spans="1:28" x14ac:dyDescent="0.25">
      <c r="A231" s="13" t="s">
        <v>338</v>
      </c>
      <c r="B231" s="13">
        <v>18</v>
      </c>
      <c r="C231" s="13" t="s">
        <v>98</v>
      </c>
      <c r="D231" s="13" t="s">
        <v>124</v>
      </c>
      <c r="E231" s="13" t="s">
        <v>81</v>
      </c>
      <c r="F231" s="13" t="s">
        <v>82</v>
      </c>
      <c r="G231" s="13">
        <v>1</v>
      </c>
      <c r="H231" s="13">
        <v>0</v>
      </c>
      <c r="I231" s="13" t="s">
        <v>86</v>
      </c>
      <c r="J231" s="13" t="s">
        <v>83</v>
      </c>
      <c r="K231" s="13" t="s">
        <v>83</v>
      </c>
      <c r="L231" s="13" t="s">
        <v>83</v>
      </c>
      <c r="M231" s="13">
        <v>39</v>
      </c>
      <c r="N231" s="13">
        <v>4</v>
      </c>
      <c r="O231" s="13" t="s">
        <v>84</v>
      </c>
      <c r="Q231" s="13">
        <v>111</v>
      </c>
      <c r="R231" s="13">
        <v>75</v>
      </c>
      <c r="S231" s="13" t="s">
        <v>85</v>
      </c>
      <c r="T231" s="13" t="s">
        <v>86</v>
      </c>
      <c r="U231" s="13" t="s">
        <v>87</v>
      </c>
      <c r="V231" s="13" t="s">
        <v>83</v>
      </c>
      <c r="W231" s="13" t="str">
        <f t="shared" si="18"/>
        <v>Moins de 20 ans</v>
      </c>
      <c r="X231" s="13" t="str">
        <f t="shared" si="19"/>
        <v>Nullipare (0)</v>
      </c>
      <c r="Y231" s="13" t="str">
        <f t="shared" si="20"/>
        <v>4 à 7 CPN</v>
      </c>
      <c r="Z231" s="13" t="str">
        <f t="shared" si="21"/>
        <v>37 SA et plus</v>
      </c>
      <c r="AA231" s="13">
        <f t="shared" si="22"/>
        <v>4.5</v>
      </c>
      <c r="AB231" s="13">
        <f t="shared" si="23"/>
        <v>0</v>
      </c>
    </row>
    <row r="232" spans="1:28" x14ac:dyDescent="0.25">
      <c r="A232" s="13" t="s">
        <v>339</v>
      </c>
      <c r="B232" s="13">
        <v>34</v>
      </c>
      <c r="C232" s="13" t="s">
        <v>79</v>
      </c>
      <c r="D232" s="13" t="s">
        <v>124</v>
      </c>
      <c r="E232" s="13" t="s">
        <v>96</v>
      </c>
      <c r="F232" s="13" t="s">
        <v>82</v>
      </c>
      <c r="G232" s="13">
        <v>3</v>
      </c>
      <c r="H232" s="13">
        <v>2</v>
      </c>
      <c r="I232" s="13" t="s">
        <v>83</v>
      </c>
      <c r="J232" s="13" t="s">
        <v>83</v>
      </c>
      <c r="K232" s="13" t="s">
        <v>91</v>
      </c>
      <c r="L232" s="13" t="s">
        <v>83</v>
      </c>
      <c r="M232" s="13">
        <v>39</v>
      </c>
      <c r="N232" s="13">
        <v>5</v>
      </c>
      <c r="O232" s="13" t="s">
        <v>84</v>
      </c>
      <c r="P232" s="13">
        <v>21.3</v>
      </c>
      <c r="Q232" s="13">
        <v>110</v>
      </c>
      <c r="R232" s="13">
        <v>66</v>
      </c>
      <c r="S232" s="13" t="s">
        <v>85</v>
      </c>
      <c r="T232" s="13" t="s">
        <v>86</v>
      </c>
      <c r="U232" s="13" t="s">
        <v>87</v>
      </c>
      <c r="V232" s="13" t="s">
        <v>83</v>
      </c>
      <c r="W232" s="13" t="str">
        <f t="shared" si="18"/>
        <v>30-34 ans</v>
      </c>
      <c r="X232" s="13" t="str">
        <f t="shared" si="19"/>
        <v>1-2 accouchements</v>
      </c>
      <c r="Y232" s="13" t="str">
        <f t="shared" si="20"/>
        <v>4 à 7 CPN</v>
      </c>
      <c r="Z232" s="13" t="str">
        <f t="shared" si="21"/>
        <v>37 SA et plus</v>
      </c>
      <c r="AA232" s="13">
        <f t="shared" si="22"/>
        <v>372</v>
      </c>
      <c r="AB232" s="13">
        <f t="shared" si="23"/>
        <v>1</v>
      </c>
    </row>
    <row r="233" spans="1:28" x14ac:dyDescent="0.25">
      <c r="A233" s="13" t="s">
        <v>340</v>
      </c>
      <c r="B233" s="13">
        <v>24</v>
      </c>
      <c r="C233" s="13" t="s">
        <v>79</v>
      </c>
      <c r="D233" s="13" t="s">
        <v>124</v>
      </c>
      <c r="E233" s="13" t="s">
        <v>101</v>
      </c>
      <c r="F233" s="13" t="s">
        <v>94</v>
      </c>
      <c r="G233" s="13">
        <v>5</v>
      </c>
      <c r="H233" s="13">
        <v>4</v>
      </c>
      <c r="I233" s="13" t="s">
        <v>83</v>
      </c>
      <c r="J233" s="13" t="s">
        <v>83</v>
      </c>
      <c r="K233" s="13" t="s">
        <v>83</v>
      </c>
      <c r="L233" s="13" t="s">
        <v>83</v>
      </c>
      <c r="M233" s="13">
        <v>33</v>
      </c>
      <c r="N233" s="13">
        <v>6</v>
      </c>
      <c r="O233" s="13" t="s">
        <v>84</v>
      </c>
      <c r="P233" s="13">
        <v>27.3</v>
      </c>
      <c r="Q233" s="13">
        <v>106</v>
      </c>
      <c r="R233" s="13">
        <v>71</v>
      </c>
      <c r="S233" s="13" t="s">
        <v>85</v>
      </c>
      <c r="T233" s="13" t="s">
        <v>86</v>
      </c>
      <c r="U233" s="13" t="s">
        <v>87</v>
      </c>
      <c r="V233" s="13" t="s">
        <v>83</v>
      </c>
      <c r="W233" s="13" t="str">
        <f t="shared" si="18"/>
        <v>20-29 ans</v>
      </c>
      <c r="X233" s="13" t="str">
        <f t="shared" si="19"/>
        <v>3 accouchements et plus</v>
      </c>
      <c r="Y233" s="13" t="str">
        <f t="shared" si="20"/>
        <v>4 à 7 CPN</v>
      </c>
      <c r="Z233" s="13" t="str">
        <f t="shared" si="21"/>
        <v>28-36 SA</v>
      </c>
      <c r="AA233" s="13">
        <f t="shared" si="22"/>
        <v>139.5</v>
      </c>
      <c r="AB233" s="13">
        <f t="shared" si="23"/>
        <v>1</v>
      </c>
    </row>
    <row r="234" spans="1:28" x14ac:dyDescent="0.25">
      <c r="A234" s="13" t="s">
        <v>341</v>
      </c>
      <c r="B234" s="13">
        <v>29</v>
      </c>
      <c r="C234" s="13" t="s">
        <v>79</v>
      </c>
      <c r="D234" s="13" t="s">
        <v>80</v>
      </c>
      <c r="E234" s="13" t="s">
        <v>90</v>
      </c>
      <c r="F234" s="13" t="s">
        <v>82</v>
      </c>
      <c r="G234" s="13">
        <v>4</v>
      </c>
      <c r="H234" s="13">
        <v>3</v>
      </c>
      <c r="I234" s="13" t="s">
        <v>83</v>
      </c>
      <c r="J234" s="13" t="s">
        <v>83</v>
      </c>
      <c r="K234" s="13" t="s">
        <v>83</v>
      </c>
      <c r="L234" s="13" t="s">
        <v>83</v>
      </c>
      <c r="M234" s="13">
        <v>32</v>
      </c>
      <c r="N234" s="13">
        <v>2</v>
      </c>
      <c r="O234" s="13" t="s">
        <v>84</v>
      </c>
      <c r="P234" s="13">
        <v>21.3</v>
      </c>
      <c r="Q234" s="13">
        <v>104</v>
      </c>
      <c r="R234" s="13">
        <v>65</v>
      </c>
      <c r="S234" s="13" t="s">
        <v>85</v>
      </c>
      <c r="T234" s="13" t="s">
        <v>86</v>
      </c>
      <c r="U234" s="13" t="s">
        <v>87</v>
      </c>
      <c r="V234" s="13" t="s">
        <v>83</v>
      </c>
      <c r="W234" s="13" t="str">
        <f t="shared" si="18"/>
        <v>20-29 ans</v>
      </c>
      <c r="X234" s="13" t="str">
        <f t="shared" si="19"/>
        <v>3 accouchements et plus</v>
      </c>
      <c r="Y234" s="13" t="str">
        <f t="shared" si="20"/>
        <v>Moins de 4 CPN</v>
      </c>
      <c r="Z234" s="13" t="str">
        <f t="shared" si="21"/>
        <v>28-36 SA</v>
      </c>
      <c r="AA234" s="13">
        <f t="shared" si="22"/>
        <v>299</v>
      </c>
      <c r="AB234" s="13">
        <f t="shared" si="23"/>
        <v>1</v>
      </c>
    </row>
    <row r="235" spans="1:28" x14ac:dyDescent="0.25">
      <c r="A235" s="13" t="s">
        <v>342</v>
      </c>
      <c r="B235" s="13">
        <v>27</v>
      </c>
      <c r="C235" s="13" t="s">
        <v>89</v>
      </c>
      <c r="D235" s="13" t="s">
        <v>109</v>
      </c>
      <c r="E235" s="13" t="s">
        <v>81</v>
      </c>
      <c r="F235" s="13" t="s">
        <v>82</v>
      </c>
      <c r="G235" s="13">
        <v>3</v>
      </c>
      <c r="H235" s="13">
        <v>2</v>
      </c>
      <c r="I235" s="13" t="s">
        <v>83</v>
      </c>
      <c r="J235" s="13" t="s">
        <v>83</v>
      </c>
      <c r="K235" s="13" t="s">
        <v>83</v>
      </c>
      <c r="L235" s="13" t="s">
        <v>83</v>
      </c>
      <c r="M235" s="13">
        <v>35</v>
      </c>
      <c r="N235" s="13">
        <v>4</v>
      </c>
      <c r="O235" s="13" t="s">
        <v>84</v>
      </c>
      <c r="P235" s="13">
        <v>24.7</v>
      </c>
      <c r="Q235" s="13">
        <v>104</v>
      </c>
      <c r="R235" s="13">
        <v>61</v>
      </c>
      <c r="S235" s="13" t="s">
        <v>85</v>
      </c>
      <c r="T235" s="13" t="s">
        <v>86</v>
      </c>
      <c r="U235" s="13" t="s">
        <v>87</v>
      </c>
      <c r="V235" s="13" t="s">
        <v>83</v>
      </c>
      <c r="W235" s="13" t="str">
        <f t="shared" si="18"/>
        <v>20-29 ans</v>
      </c>
      <c r="X235" s="13" t="str">
        <f t="shared" si="19"/>
        <v>1-2 accouchements</v>
      </c>
      <c r="Y235" s="13" t="str">
        <f t="shared" si="20"/>
        <v>4 à 7 CPN</v>
      </c>
      <c r="Z235" s="13" t="str">
        <f t="shared" si="21"/>
        <v>28-36 SA</v>
      </c>
      <c r="AA235" s="13">
        <f t="shared" si="22"/>
        <v>243</v>
      </c>
      <c r="AB235" s="13">
        <f t="shared" si="23"/>
        <v>1</v>
      </c>
    </row>
    <row r="236" spans="1:28" x14ac:dyDescent="0.25">
      <c r="A236" s="13" t="s">
        <v>343</v>
      </c>
      <c r="B236" s="13">
        <v>26</v>
      </c>
      <c r="C236" s="13" t="s">
        <v>79</v>
      </c>
      <c r="D236" s="13" t="s">
        <v>80</v>
      </c>
      <c r="E236" s="13" t="s">
        <v>112</v>
      </c>
      <c r="F236" s="13" t="s">
        <v>82</v>
      </c>
      <c r="G236" s="13">
        <v>4</v>
      </c>
      <c r="H236" s="13">
        <v>2</v>
      </c>
      <c r="I236" s="13" t="s">
        <v>83</v>
      </c>
      <c r="J236" s="13" t="s">
        <v>83</v>
      </c>
      <c r="K236" s="13" t="s">
        <v>83</v>
      </c>
      <c r="L236" s="13" t="s">
        <v>83</v>
      </c>
      <c r="M236" s="13">
        <v>37</v>
      </c>
      <c r="N236" s="13">
        <v>8</v>
      </c>
      <c r="O236" s="13" t="s">
        <v>84</v>
      </c>
      <c r="P236" s="13">
        <v>23.7</v>
      </c>
      <c r="Q236" s="13">
        <v>143</v>
      </c>
      <c r="R236" s="13">
        <v>88</v>
      </c>
      <c r="S236" s="13" t="s">
        <v>85</v>
      </c>
      <c r="T236" s="13" t="s">
        <v>86</v>
      </c>
      <c r="U236" s="13" t="s">
        <v>110</v>
      </c>
      <c r="V236" s="13" t="s">
        <v>83</v>
      </c>
      <c r="W236" s="13" t="str">
        <f t="shared" si="18"/>
        <v>20-29 ans</v>
      </c>
      <c r="X236" s="13" t="str">
        <f t="shared" si="19"/>
        <v>1-2 accouchements</v>
      </c>
      <c r="Y236" s="13" t="str">
        <f t="shared" si="20"/>
        <v>8 CPN et plus</v>
      </c>
      <c r="Z236" s="13" t="str">
        <f t="shared" si="21"/>
        <v>37 SA et plus</v>
      </c>
      <c r="AA236" s="13">
        <f t="shared" si="22"/>
        <v>206</v>
      </c>
      <c r="AB236" s="13">
        <f t="shared" si="23"/>
        <v>1</v>
      </c>
    </row>
    <row r="237" spans="1:28" x14ac:dyDescent="0.25">
      <c r="A237" s="13" t="s">
        <v>344</v>
      </c>
      <c r="B237" s="13">
        <v>32</v>
      </c>
      <c r="C237" s="13" t="s">
        <v>79</v>
      </c>
      <c r="D237" s="13" t="s">
        <v>109</v>
      </c>
      <c r="E237" s="13" t="s">
        <v>96</v>
      </c>
      <c r="F237" s="13" t="s">
        <v>82</v>
      </c>
      <c r="G237" s="13">
        <v>4</v>
      </c>
      <c r="H237" s="13">
        <v>3</v>
      </c>
      <c r="I237" s="13" t="s">
        <v>83</v>
      </c>
      <c r="J237" s="13" t="s">
        <v>83</v>
      </c>
      <c r="K237" s="13" t="s">
        <v>91</v>
      </c>
      <c r="L237" s="13" t="s">
        <v>83</v>
      </c>
      <c r="M237" s="13">
        <v>26</v>
      </c>
      <c r="N237" s="13">
        <v>3</v>
      </c>
      <c r="O237" s="13" t="s">
        <v>84</v>
      </c>
      <c r="P237" s="13">
        <v>30.2</v>
      </c>
      <c r="Q237" s="13">
        <v>132</v>
      </c>
      <c r="R237" s="13">
        <v>74</v>
      </c>
      <c r="S237" s="13" t="s">
        <v>85</v>
      </c>
      <c r="T237" s="13" t="s">
        <v>86</v>
      </c>
      <c r="U237" s="13" t="s">
        <v>87</v>
      </c>
      <c r="V237" s="13" t="s">
        <v>83</v>
      </c>
      <c r="W237" s="13" t="str">
        <f t="shared" si="18"/>
        <v>30-34 ans</v>
      </c>
      <c r="X237" s="13" t="str">
        <f t="shared" si="19"/>
        <v>3 accouchements et plus</v>
      </c>
      <c r="Y237" s="13" t="str">
        <f t="shared" si="20"/>
        <v>Moins de 4 CPN</v>
      </c>
      <c r="Z237" s="13" t="str">
        <f t="shared" si="21"/>
        <v>20-27 SA</v>
      </c>
      <c r="AA237" s="13">
        <f t="shared" si="22"/>
        <v>347.5</v>
      </c>
      <c r="AB237" s="13">
        <f t="shared" si="23"/>
        <v>1</v>
      </c>
    </row>
    <row r="238" spans="1:28" x14ac:dyDescent="0.25">
      <c r="A238" s="13" t="s">
        <v>345</v>
      </c>
      <c r="B238" s="13">
        <v>25</v>
      </c>
      <c r="C238" s="13" t="s">
        <v>79</v>
      </c>
      <c r="D238" s="13" t="s">
        <v>80</v>
      </c>
      <c r="E238" s="13" t="s">
        <v>112</v>
      </c>
      <c r="F238" s="13" t="s">
        <v>82</v>
      </c>
      <c r="G238" s="13">
        <v>4</v>
      </c>
      <c r="H238" s="13">
        <v>3</v>
      </c>
      <c r="I238" s="13" t="s">
        <v>83</v>
      </c>
      <c r="J238" s="13" t="s">
        <v>83</v>
      </c>
      <c r="K238" s="13" t="s">
        <v>91</v>
      </c>
      <c r="M238" s="13">
        <v>33</v>
      </c>
      <c r="N238" s="13">
        <v>2</v>
      </c>
      <c r="O238" s="13" t="s">
        <v>84</v>
      </c>
      <c r="Q238" s="13">
        <v>123</v>
      </c>
      <c r="R238" s="13">
        <v>72</v>
      </c>
      <c r="S238" s="13" t="s">
        <v>85</v>
      </c>
      <c r="T238" s="13" t="s">
        <v>86</v>
      </c>
      <c r="U238" s="13" t="s">
        <v>87</v>
      </c>
      <c r="V238" s="13" t="s">
        <v>83</v>
      </c>
      <c r="W238" s="13" t="str">
        <f t="shared" si="18"/>
        <v>20-29 ans</v>
      </c>
      <c r="X238" s="13" t="str">
        <f t="shared" si="19"/>
        <v>3 accouchements et plus</v>
      </c>
      <c r="Y238" s="13" t="str">
        <f t="shared" si="20"/>
        <v>Moins de 4 CPN</v>
      </c>
      <c r="Z238" s="13" t="str">
        <f t="shared" si="21"/>
        <v>28-36 SA</v>
      </c>
      <c r="AA238" s="13">
        <f t="shared" si="22"/>
        <v>173</v>
      </c>
      <c r="AB238" s="13">
        <f t="shared" si="23"/>
        <v>1</v>
      </c>
    </row>
    <row r="239" spans="1:28" x14ac:dyDescent="0.25">
      <c r="A239" s="13" t="s">
        <v>346</v>
      </c>
      <c r="B239" s="13">
        <v>26</v>
      </c>
      <c r="C239" s="13" t="s">
        <v>79</v>
      </c>
      <c r="D239" s="13" t="s">
        <v>93</v>
      </c>
      <c r="E239" s="13" t="s">
        <v>81</v>
      </c>
      <c r="F239" s="13" t="s">
        <v>94</v>
      </c>
      <c r="G239" s="13">
        <v>2</v>
      </c>
      <c r="H239" s="13">
        <v>0</v>
      </c>
      <c r="I239" s="13" t="s">
        <v>86</v>
      </c>
      <c r="J239" s="13" t="s">
        <v>83</v>
      </c>
      <c r="K239" s="13" t="s">
        <v>91</v>
      </c>
      <c r="L239" s="13" t="s">
        <v>83</v>
      </c>
      <c r="M239" s="13">
        <v>39</v>
      </c>
      <c r="N239" s="13">
        <v>3</v>
      </c>
      <c r="O239" s="13" t="s">
        <v>84</v>
      </c>
      <c r="Q239" s="13">
        <v>107</v>
      </c>
      <c r="R239" s="13">
        <v>73</v>
      </c>
      <c r="S239" s="13" t="s">
        <v>85</v>
      </c>
      <c r="T239" s="13" t="s">
        <v>86</v>
      </c>
      <c r="U239" s="13" t="s">
        <v>87</v>
      </c>
      <c r="V239" s="13" t="s">
        <v>83</v>
      </c>
      <c r="W239" s="13" t="str">
        <f t="shared" si="18"/>
        <v>20-29 ans</v>
      </c>
      <c r="X239" s="13" t="str">
        <f t="shared" si="19"/>
        <v>Nullipare (0)</v>
      </c>
      <c r="Y239" s="13" t="str">
        <f t="shared" si="20"/>
        <v>Moins de 4 CPN</v>
      </c>
      <c r="Z239" s="13" t="str">
        <f t="shared" si="21"/>
        <v>37 SA et plus</v>
      </c>
      <c r="AA239" s="13">
        <f t="shared" si="22"/>
        <v>206</v>
      </c>
      <c r="AB239" s="13">
        <f t="shared" si="23"/>
        <v>0</v>
      </c>
    </row>
    <row r="240" spans="1:28" x14ac:dyDescent="0.25">
      <c r="A240" s="13" t="s">
        <v>347</v>
      </c>
      <c r="B240" s="13">
        <v>21</v>
      </c>
      <c r="C240" s="13" t="s">
        <v>79</v>
      </c>
      <c r="D240" s="13" t="s">
        <v>93</v>
      </c>
      <c r="E240" s="13" t="s">
        <v>81</v>
      </c>
      <c r="F240" s="13" t="s">
        <v>82</v>
      </c>
      <c r="G240" s="13">
        <v>1</v>
      </c>
      <c r="H240" s="13">
        <v>0</v>
      </c>
      <c r="I240" s="13" t="s">
        <v>86</v>
      </c>
      <c r="J240" s="13" t="s">
        <v>83</v>
      </c>
      <c r="K240" s="13" t="s">
        <v>83</v>
      </c>
      <c r="L240" s="13" t="s">
        <v>83</v>
      </c>
      <c r="M240" s="13">
        <v>32</v>
      </c>
      <c r="N240" s="13">
        <v>1</v>
      </c>
      <c r="O240" s="13" t="s">
        <v>84</v>
      </c>
      <c r="P240" s="13">
        <v>22.2</v>
      </c>
      <c r="Q240" s="13">
        <v>112</v>
      </c>
      <c r="R240" s="13">
        <v>75</v>
      </c>
      <c r="S240" s="13" t="s">
        <v>85</v>
      </c>
      <c r="T240" s="13" t="s">
        <v>86</v>
      </c>
      <c r="U240" s="13" t="s">
        <v>87</v>
      </c>
      <c r="V240" s="13" t="s">
        <v>83</v>
      </c>
      <c r="W240" s="13" t="str">
        <f t="shared" si="18"/>
        <v>20-29 ans</v>
      </c>
      <c r="X240" s="13" t="str">
        <f t="shared" si="19"/>
        <v>Nullipare (0)</v>
      </c>
      <c r="Y240" s="13" t="str">
        <f t="shared" si="20"/>
        <v>Moins de 4 CPN</v>
      </c>
      <c r="Z240" s="13" t="str">
        <f t="shared" si="21"/>
        <v>28-36 SA</v>
      </c>
      <c r="AA240" s="13">
        <f t="shared" si="22"/>
        <v>48</v>
      </c>
      <c r="AB240" s="13">
        <f t="shared" si="23"/>
        <v>0</v>
      </c>
    </row>
    <row r="241" spans="1:28" x14ac:dyDescent="0.25">
      <c r="A241" s="13" t="s">
        <v>348</v>
      </c>
      <c r="B241" s="13">
        <v>30</v>
      </c>
      <c r="C241" s="13" t="s">
        <v>79</v>
      </c>
      <c r="D241" s="13" t="s">
        <v>93</v>
      </c>
      <c r="E241" s="13" t="s">
        <v>90</v>
      </c>
      <c r="F241" s="13" t="s">
        <v>82</v>
      </c>
      <c r="G241" s="13">
        <v>2</v>
      </c>
      <c r="H241" s="13">
        <v>1</v>
      </c>
      <c r="I241" s="13" t="s">
        <v>83</v>
      </c>
      <c r="J241" s="13" t="s">
        <v>83</v>
      </c>
      <c r="K241" s="13" t="s">
        <v>83</v>
      </c>
      <c r="L241" s="13" t="s">
        <v>83</v>
      </c>
      <c r="M241" s="13">
        <v>32</v>
      </c>
      <c r="N241" s="13">
        <v>3</v>
      </c>
      <c r="O241" s="13" t="s">
        <v>146</v>
      </c>
      <c r="P241" s="13">
        <v>27.9</v>
      </c>
      <c r="Q241" s="13">
        <v>146</v>
      </c>
      <c r="R241" s="13">
        <v>94</v>
      </c>
      <c r="S241" s="13" t="s">
        <v>113</v>
      </c>
      <c r="T241" s="13" t="s">
        <v>83</v>
      </c>
      <c r="U241" s="13" t="s">
        <v>114</v>
      </c>
      <c r="V241" s="13" t="s">
        <v>91</v>
      </c>
      <c r="W241" s="13" t="str">
        <f t="shared" si="18"/>
        <v>30-34 ans</v>
      </c>
      <c r="X241" s="13" t="str">
        <f t="shared" si="19"/>
        <v>1-2 accouchements</v>
      </c>
      <c r="Y241" s="13" t="str">
        <f t="shared" si="20"/>
        <v>Moins de 4 CPN</v>
      </c>
      <c r="Z241" s="13" t="str">
        <f t="shared" si="21"/>
        <v>28-36 SA</v>
      </c>
      <c r="AA241" s="13">
        <f t="shared" si="22"/>
        <v>319.5</v>
      </c>
      <c r="AB241" s="13">
        <f t="shared" si="23"/>
        <v>1</v>
      </c>
    </row>
    <row r="242" spans="1:28" x14ac:dyDescent="0.25">
      <c r="A242" s="13" t="s">
        <v>349</v>
      </c>
      <c r="B242" s="13">
        <v>24</v>
      </c>
      <c r="C242" s="13" t="s">
        <v>79</v>
      </c>
      <c r="D242" s="13" t="s">
        <v>80</v>
      </c>
      <c r="E242" s="13" t="s">
        <v>81</v>
      </c>
      <c r="F242" s="13" t="s">
        <v>94</v>
      </c>
      <c r="G242" s="13">
        <v>1</v>
      </c>
      <c r="H242" s="13">
        <v>0</v>
      </c>
      <c r="I242" s="13" t="s">
        <v>86</v>
      </c>
      <c r="J242" s="13" t="s">
        <v>91</v>
      </c>
      <c r="K242" s="13" t="s">
        <v>83</v>
      </c>
      <c r="L242" s="13" t="s">
        <v>83</v>
      </c>
      <c r="M242" s="13">
        <v>36</v>
      </c>
      <c r="N242" s="13">
        <v>3</v>
      </c>
      <c r="O242" s="13" t="s">
        <v>84</v>
      </c>
      <c r="P242" s="13">
        <v>27.8</v>
      </c>
      <c r="Q242" s="13">
        <v>146</v>
      </c>
      <c r="R242" s="13">
        <v>92</v>
      </c>
      <c r="S242" s="13" t="s">
        <v>85</v>
      </c>
      <c r="T242" s="13" t="s">
        <v>86</v>
      </c>
      <c r="U242" s="13" t="s">
        <v>132</v>
      </c>
      <c r="V242" s="13" t="s">
        <v>83</v>
      </c>
      <c r="W242" s="13" t="str">
        <f t="shared" si="18"/>
        <v>20-29 ans</v>
      </c>
      <c r="X242" s="13" t="str">
        <f t="shared" si="19"/>
        <v>Nullipare (0)</v>
      </c>
      <c r="Y242" s="13" t="str">
        <f t="shared" si="20"/>
        <v>Moins de 4 CPN</v>
      </c>
      <c r="Z242" s="13" t="str">
        <f t="shared" si="21"/>
        <v>28-36 SA</v>
      </c>
      <c r="AA242" s="13">
        <f t="shared" si="22"/>
        <v>139.5</v>
      </c>
      <c r="AB242" s="13">
        <f t="shared" si="23"/>
        <v>0</v>
      </c>
    </row>
    <row r="243" spans="1:28" x14ac:dyDescent="0.25">
      <c r="A243" s="13" t="s">
        <v>350</v>
      </c>
      <c r="B243" s="13">
        <v>25</v>
      </c>
      <c r="C243" s="13" t="s">
        <v>79</v>
      </c>
      <c r="D243" s="13" t="s">
        <v>93</v>
      </c>
      <c r="E243" s="13" t="s">
        <v>112</v>
      </c>
      <c r="F243" s="13" t="s">
        <v>94</v>
      </c>
      <c r="G243" s="13">
        <v>3</v>
      </c>
      <c r="H243" s="13">
        <v>2</v>
      </c>
      <c r="I243" s="13" t="s">
        <v>91</v>
      </c>
      <c r="J243" s="13" t="s">
        <v>83</v>
      </c>
      <c r="K243" s="13" t="s">
        <v>83</v>
      </c>
      <c r="L243" s="13" t="s">
        <v>83</v>
      </c>
      <c r="M243" s="13">
        <v>26</v>
      </c>
      <c r="N243" s="13">
        <v>1</v>
      </c>
      <c r="O243" s="13" t="s">
        <v>84</v>
      </c>
      <c r="P243" s="13">
        <v>23.7</v>
      </c>
      <c r="Q243" s="13">
        <v>103</v>
      </c>
      <c r="R243" s="13">
        <v>67</v>
      </c>
      <c r="S243" s="13" t="s">
        <v>85</v>
      </c>
      <c r="T243" s="13" t="s">
        <v>86</v>
      </c>
      <c r="U243" s="13" t="s">
        <v>87</v>
      </c>
      <c r="V243" s="13" t="s">
        <v>83</v>
      </c>
      <c r="W243" s="13" t="str">
        <f t="shared" si="18"/>
        <v>20-29 ans</v>
      </c>
      <c r="X243" s="13" t="str">
        <f t="shared" si="19"/>
        <v>1-2 accouchements</v>
      </c>
      <c r="Y243" s="13" t="str">
        <f t="shared" si="20"/>
        <v>Moins de 4 CPN</v>
      </c>
      <c r="Z243" s="13" t="str">
        <f t="shared" si="21"/>
        <v>20-27 SA</v>
      </c>
      <c r="AA243" s="13">
        <f t="shared" si="22"/>
        <v>173</v>
      </c>
      <c r="AB243" s="13">
        <f t="shared" si="23"/>
        <v>1</v>
      </c>
    </row>
    <row r="244" spans="1:28" x14ac:dyDescent="0.25">
      <c r="A244" s="13" t="s">
        <v>351</v>
      </c>
      <c r="B244" s="13">
        <v>26</v>
      </c>
      <c r="C244" s="13" t="s">
        <v>89</v>
      </c>
      <c r="D244" s="13" t="s">
        <v>93</v>
      </c>
      <c r="E244" s="13" t="s">
        <v>112</v>
      </c>
      <c r="F244" s="13" t="s">
        <v>82</v>
      </c>
      <c r="G244" s="13">
        <v>2</v>
      </c>
      <c r="H244" s="13">
        <v>0</v>
      </c>
      <c r="I244" s="13" t="s">
        <v>86</v>
      </c>
      <c r="J244" s="13" t="s">
        <v>83</v>
      </c>
      <c r="K244" s="13" t="s">
        <v>83</v>
      </c>
      <c r="L244" s="13" t="s">
        <v>83</v>
      </c>
      <c r="M244" s="13">
        <v>30</v>
      </c>
      <c r="N244" s="13">
        <v>2</v>
      </c>
      <c r="O244" s="13" t="s">
        <v>84</v>
      </c>
      <c r="P244" s="13">
        <v>25.3</v>
      </c>
      <c r="Q244" s="13">
        <v>92</v>
      </c>
      <c r="R244" s="13">
        <v>61</v>
      </c>
      <c r="S244" s="13" t="s">
        <v>85</v>
      </c>
      <c r="T244" s="13" t="s">
        <v>86</v>
      </c>
      <c r="U244" s="13" t="s">
        <v>87</v>
      </c>
      <c r="V244" s="13" t="s">
        <v>83</v>
      </c>
      <c r="W244" s="13" t="str">
        <f t="shared" si="18"/>
        <v>20-29 ans</v>
      </c>
      <c r="X244" s="13" t="str">
        <f t="shared" si="19"/>
        <v>Nullipare (0)</v>
      </c>
      <c r="Y244" s="13" t="str">
        <f t="shared" si="20"/>
        <v>Moins de 4 CPN</v>
      </c>
      <c r="Z244" s="13" t="str">
        <f t="shared" si="21"/>
        <v>28-36 SA</v>
      </c>
      <c r="AA244" s="13">
        <f t="shared" si="22"/>
        <v>206</v>
      </c>
      <c r="AB244" s="13">
        <f t="shared" si="23"/>
        <v>0</v>
      </c>
    </row>
    <row r="245" spans="1:28" x14ac:dyDescent="0.25">
      <c r="A245" s="13" t="s">
        <v>352</v>
      </c>
      <c r="B245" s="13">
        <v>26</v>
      </c>
      <c r="C245" s="13" t="s">
        <v>79</v>
      </c>
      <c r="D245" s="13" t="s">
        <v>93</v>
      </c>
      <c r="E245" s="13" t="s">
        <v>96</v>
      </c>
      <c r="F245" s="13" t="s">
        <v>82</v>
      </c>
      <c r="G245" s="13">
        <v>1</v>
      </c>
      <c r="H245" s="13">
        <v>0</v>
      </c>
      <c r="I245" s="13" t="s">
        <v>86</v>
      </c>
      <c r="J245" s="13" t="s">
        <v>83</v>
      </c>
      <c r="K245" s="13" t="s">
        <v>83</v>
      </c>
      <c r="L245" s="13" t="s">
        <v>83</v>
      </c>
      <c r="M245" s="13">
        <v>30</v>
      </c>
      <c r="N245" s="13">
        <v>6</v>
      </c>
      <c r="O245" s="13" t="s">
        <v>84</v>
      </c>
      <c r="P245" s="13">
        <v>36.200000000000003</v>
      </c>
      <c r="Q245" s="13">
        <v>149</v>
      </c>
      <c r="R245" s="13">
        <v>95</v>
      </c>
      <c r="S245" s="13" t="s">
        <v>85</v>
      </c>
      <c r="T245" s="13" t="s">
        <v>86</v>
      </c>
      <c r="U245" s="13" t="s">
        <v>110</v>
      </c>
      <c r="V245" s="13" t="s">
        <v>83</v>
      </c>
      <c r="W245" s="13" t="str">
        <f t="shared" si="18"/>
        <v>20-29 ans</v>
      </c>
      <c r="X245" s="13" t="str">
        <f t="shared" si="19"/>
        <v>Nullipare (0)</v>
      </c>
      <c r="Y245" s="13" t="str">
        <f t="shared" si="20"/>
        <v>4 à 7 CPN</v>
      </c>
      <c r="Z245" s="13" t="str">
        <f t="shared" si="21"/>
        <v>28-36 SA</v>
      </c>
      <c r="AA245" s="13">
        <f t="shared" si="22"/>
        <v>206</v>
      </c>
      <c r="AB245" s="13">
        <f t="shared" si="23"/>
        <v>0</v>
      </c>
    </row>
    <row r="246" spans="1:28" x14ac:dyDescent="0.25">
      <c r="A246" s="13" t="s">
        <v>353</v>
      </c>
      <c r="B246" s="13">
        <v>28</v>
      </c>
      <c r="C246" s="13" t="s">
        <v>173</v>
      </c>
      <c r="D246" s="13" t="s">
        <v>80</v>
      </c>
      <c r="E246" s="13" t="s">
        <v>90</v>
      </c>
      <c r="F246" s="13" t="s">
        <v>82</v>
      </c>
      <c r="G246" s="13">
        <v>2</v>
      </c>
      <c r="H246" s="13">
        <v>1</v>
      </c>
      <c r="I246" s="13" t="s">
        <v>83</v>
      </c>
      <c r="J246" s="13" t="s">
        <v>83</v>
      </c>
      <c r="K246" s="13" t="s">
        <v>83</v>
      </c>
      <c r="L246" s="13" t="s">
        <v>91</v>
      </c>
      <c r="M246" s="13">
        <v>34</v>
      </c>
      <c r="N246" s="13">
        <v>6</v>
      </c>
      <c r="O246" s="13" t="s">
        <v>84</v>
      </c>
      <c r="P246" s="13">
        <v>23.8</v>
      </c>
      <c r="Q246" s="13">
        <v>117</v>
      </c>
      <c r="R246" s="13">
        <v>68</v>
      </c>
      <c r="S246" s="13" t="s">
        <v>85</v>
      </c>
      <c r="T246" s="13" t="s">
        <v>86</v>
      </c>
      <c r="U246" s="13" t="s">
        <v>87</v>
      </c>
      <c r="V246" s="13" t="s">
        <v>83</v>
      </c>
      <c r="W246" s="13" t="str">
        <f t="shared" si="18"/>
        <v>20-29 ans</v>
      </c>
      <c r="X246" s="13" t="str">
        <f t="shared" si="19"/>
        <v>1-2 accouchements</v>
      </c>
      <c r="Y246" s="13" t="str">
        <f t="shared" si="20"/>
        <v>4 à 7 CPN</v>
      </c>
      <c r="Z246" s="13" t="str">
        <f t="shared" si="21"/>
        <v>28-36 SA</v>
      </c>
      <c r="AA246" s="13">
        <f t="shared" si="22"/>
        <v>276</v>
      </c>
      <c r="AB246" s="13">
        <f t="shared" si="23"/>
        <v>1</v>
      </c>
    </row>
    <row r="247" spans="1:28" x14ac:dyDescent="0.25">
      <c r="A247" s="13" t="s">
        <v>354</v>
      </c>
      <c r="B247" s="13">
        <v>37</v>
      </c>
      <c r="C247" s="13" t="s">
        <v>79</v>
      </c>
      <c r="D247" s="13" t="s">
        <v>80</v>
      </c>
      <c r="E247" s="13" t="s">
        <v>96</v>
      </c>
      <c r="F247" s="13" t="s">
        <v>82</v>
      </c>
      <c r="G247" s="13">
        <v>6</v>
      </c>
      <c r="H247" s="13">
        <v>5</v>
      </c>
      <c r="I247" s="13" t="s">
        <v>83</v>
      </c>
      <c r="J247" s="13" t="s">
        <v>83</v>
      </c>
      <c r="K247" s="13" t="s">
        <v>83</v>
      </c>
      <c r="L247" s="13" t="s">
        <v>83</v>
      </c>
      <c r="M247" s="13">
        <v>39</v>
      </c>
      <c r="N247" s="13">
        <v>3</v>
      </c>
      <c r="O247" s="13" t="s">
        <v>84</v>
      </c>
      <c r="P247" s="13">
        <v>27.4</v>
      </c>
      <c r="Q247" s="13">
        <v>106</v>
      </c>
      <c r="R247" s="13">
        <v>69</v>
      </c>
      <c r="S247" s="13" t="s">
        <v>85</v>
      </c>
      <c r="T247" s="13" t="s">
        <v>86</v>
      </c>
      <c r="U247" s="13" t="s">
        <v>87</v>
      </c>
      <c r="V247" s="13" t="s">
        <v>83</v>
      </c>
      <c r="W247" s="13" t="str">
        <f t="shared" si="18"/>
        <v>35 ans et plus</v>
      </c>
      <c r="X247" s="13" t="str">
        <f t="shared" si="19"/>
        <v>3 accouchements et plus</v>
      </c>
      <c r="Y247" s="13" t="str">
        <f t="shared" si="20"/>
        <v>Moins de 4 CPN</v>
      </c>
      <c r="Z247" s="13" t="str">
        <f t="shared" si="21"/>
        <v>37 SA et plus</v>
      </c>
      <c r="AA247" s="13">
        <f t="shared" si="22"/>
        <v>386.5</v>
      </c>
      <c r="AB247" s="13">
        <f t="shared" si="23"/>
        <v>1</v>
      </c>
    </row>
    <row r="248" spans="1:28" x14ac:dyDescent="0.25">
      <c r="A248" s="13" t="s">
        <v>355</v>
      </c>
      <c r="B248" s="13">
        <v>22</v>
      </c>
      <c r="C248" s="13" t="s">
        <v>79</v>
      </c>
      <c r="D248" s="13" t="s">
        <v>124</v>
      </c>
      <c r="E248" s="13" t="s">
        <v>96</v>
      </c>
      <c r="F248" s="13" t="s">
        <v>94</v>
      </c>
      <c r="G248" s="13">
        <v>2</v>
      </c>
      <c r="H248" s="13">
        <v>0</v>
      </c>
      <c r="I248" s="13" t="s">
        <v>86</v>
      </c>
      <c r="J248" s="13" t="s">
        <v>83</v>
      </c>
      <c r="K248" s="13" t="s">
        <v>91</v>
      </c>
      <c r="L248" s="13" t="s">
        <v>83</v>
      </c>
      <c r="M248" s="13">
        <v>32</v>
      </c>
      <c r="N248" s="13">
        <v>6</v>
      </c>
      <c r="O248" s="13" t="s">
        <v>84</v>
      </c>
      <c r="P248" s="13">
        <v>21</v>
      </c>
      <c r="Q248" s="13">
        <v>105</v>
      </c>
      <c r="R248" s="13">
        <v>68</v>
      </c>
      <c r="S248" s="13" t="s">
        <v>85</v>
      </c>
      <c r="T248" s="13" t="s">
        <v>86</v>
      </c>
      <c r="U248" s="13" t="s">
        <v>87</v>
      </c>
      <c r="V248" s="13" t="s">
        <v>83</v>
      </c>
      <c r="W248" s="13" t="str">
        <f t="shared" si="18"/>
        <v>20-29 ans</v>
      </c>
      <c r="X248" s="13" t="str">
        <f t="shared" si="19"/>
        <v>Nullipare (0)</v>
      </c>
      <c r="Y248" s="13" t="str">
        <f t="shared" si="20"/>
        <v>4 à 7 CPN</v>
      </c>
      <c r="Z248" s="13" t="str">
        <f t="shared" si="21"/>
        <v>28-36 SA</v>
      </c>
      <c r="AA248" s="13">
        <f t="shared" si="22"/>
        <v>70</v>
      </c>
      <c r="AB248" s="13">
        <f t="shared" si="23"/>
        <v>0</v>
      </c>
    </row>
    <row r="249" spans="1:28" x14ac:dyDescent="0.25">
      <c r="A249" s="13" t="s">
        <v>356</v>
      </c>
      <c r="B249" s="13">
        <v>24</v>
      </c>
      <c r="C249" s="13" t="s">
        <v>98</v>
      </c>
      <c r="D249" s="13" t="s">
        <v>109</v>
      </c>
      <c r="E249" s="13" t="s">
        <v>112</v>
      </c>
      <c r="F249" s="13" t="s">
        <v>82</v>
      </c>
      <c r="G249" s="13">
        <v>1</v>
      </c>
      <c r="H249" s="13">
        <v>0</v>
      </c>
      <c r="I249" s="13" t="s">
        <v>86</v>
      </c>
      <c r="J249" s="13" t="s">
        <v>83</v>
      </c>
      <c r="K249" s="13" t="s">
        <v>91</v>
      </c>
      <c r="L249" s="13" t="s">
        <v>83</v>
      </c>
      <c r="M249" s="13">
        <v>23</v>
      </c>
      <c r="N249" s="13">
        <v>2</v>
      </c>
      <c r="O249" s="13" t="s">
        <v>84</v>
      </c>
      <c r="P249" s="13">
        <v>22.9</v>
      </c>
      <c r="Q249" s="13">
        <v>117</v>
      </c>
      <c r="R249" s="13">
        <v>74</v>
      </c>
      <c r="S249" s="13" t="s">
        <v>85</v>
      </c>
      <c r="T249" s="13" t="s">
        <v>86</v>
      </c>
      <c r="U249" s="13" t="s">
        <v>87</v>
      </c>
      <c r="V249" s="13" t="s">
        <v>83</v>
      </c>
      <c r="W249" s="13" t="str">
        <f t="shared" si="18"/>
        <v>20-29 ans</v>
      </c>
      <c r="X249" s="13" t="str">
        <f t="shared" si="19"/>
        <v>Nullipare (0)</v>
      </c>
      <c r="Y249" s="13" t="str">
        <f t="shared" si="20"/>
        <v>Moins de 4 CPN</v>
      </c>
      <c r="Z249" s="13" t="str">
        <f t="shared" si="21"/>
        <v>20-27 SA</v>
      </c>
      <c r="AA249" s="13">
        <f t="shared" si="22"/>
        <v>139.5</v>
      </c>
      <c r="AB249" s="13">
        <f t="shared" si="23"/>
        <v>0</v>
      </c>
    </row>
    <row r="250" spans="1:28" x14ac:dyDescent="0.25">
      <c r="A250" s="13" t="s">
        <v>357</v>
      </c>
      <c r="B250" s="13">
        <v>36</v>
      </c>
      <c r="C250" s="13" t="s">
        <v>79</v>
      </c>
      <c r="D250" s="13" t="s">
        <v>80</v>
      </c>
      <c r="E250" s="13" t="s">
        <v>81</v>
      </c>
      <c r="F250" s="13" t="s">
        <v>94</v>
      </c>
      <c r="G250" s="13">
        <v>7</v>
      </c>
      <c r="H250" s="13">
        <v>5</v>
      </c>
      <c r="I250" s="13" t="s">
        <v>91</v>
      </c>
      <c r="J250" s="13" t="s">
        <v>83</v>
      </c>
      <c r="K250" s="13" t="s">
        <v>83</v>
      </c>
      <c r="L250" s="13" t="s">
        <v>83</v>
      </c>
      <c r="M250" s="13">
        <v>35</v>
      </c>
      <c r="N250" s="13">
        <v>4</v>
      </c>
      <c r="O250" s="13" t="s">
        <v>84</v>
      </c>
      <c r="P250" s="13">
        <v>27.1</v>
      </c>
      <c r="Q250" s="13">
        <v>144</v>
      </c>
      <c r="R250" s="13">
        <v>97</v>
      </c>
      <c r="S250" s="13" t="s">
        <v>113</v>
      </c>
      <c r="T250" s="13" t="s">
        <v>83</v>
      </c>
      <c r="U250" s="13" t="s">
        <v>114</v>
      </c>
      <c r="V250" s="13" t="s">
        <v>91</v>
      </c>
      <c r="W250" s="13" t="str">
        <f t="shared" si="18"/>
        <v>35 ans et plus</v>
      </c>
      <c r="X250" s="13" t="str">
        <f t="shared" si="19"/>
        <v>3 accouchements et plus</v>
      </c>
      <c r="Y250" s="13" t="str">
        <f t="shared" si="20"/>
        <v>4 à 7 CPN</v>
      </c>
      <c r="Z250" s="13" t="str">
        <f t="shared" si="21"/>
        <v>28-36 SA</v>
      </c>
      <c r="AA250" s="13">
        <f t="shared" si="22"/>
        <v>383</v>
      </c>
      <c r="AB250" s="13">
        <f t="shared" si="23"/>
        <v>1</v>
      </c>
    </row>
    <row r="251" spans="1:28" x14ac:dyDescent="0.25">
      <c r="A251" s="13" t="s">
        <v>358</v>
      </c>
      <c r="B251" s="13">
        <v>24</v>
      </c>
      <c r="C251" s="13" t="s">
        <v>98</v>
      </c>
      <c r="D251" s="13" t="s">
        <v>80</v>
      </c>
      <c r="E251" s="13" t="s">
        <v>112</v>
      </c>
      <c r="F251" s="13" t="s">
        <v>82</v>
      </c>
      <c r="G251" s="13">
        <v>1</v>
      </c>
      <c r="H251" s="13">
        <v>0</v>
      </c>
      <c r="I251" s="13" t="s">
        <v>86</v>
      </c>
      <c r="J251" s="13" t="s">
        <v>83</v>
      </c>
      <c r="K251" s="13" t="s">
        <v>83</v>
      </c>
      <c r="L251" s="13" t="s">
        <v>83</v>
      </c>
      <c r="M251" s="13">
        <v>40</v>
      </c>
      <c r="N251" s="13">
        <v>2</v>
      </c>
      <c r="O251" s="13" t="s">
        <v>84</v>
      </c>
      <c r="P251" s="13">
        <v>22.5</v>
      </c>
      <c r="Q251" s="13">
        <v>116</v>
      </c>
      <c r="R251" s="13">
        <v>66</v>
      </c>
      <c r="S251" s="13" t="s">
        <v>85</v>
      </c>
      <c r="T251" s="13" t="s">
        <v>86</v>
      </c>
      <c r="U251" s="13" t="s">
        <v>87</v>
      </c>
      <c r="V251" s="13" t="s">
        <v>83</v>
      </c>
      <c r="W251" s="13" t="str">
        <f t="shared" si="18"/>
        <v>20-29 ans</v>
      </c>
      <c r="X251" s="13" t="str">
        <f t="shared" si="19"/>
        <v>Nullipare (0)</v>
      </c>
      <c r="Y251" s="13" t="str">
        <f t="shared" si="20"/>
        <v>Moins de 4 CPN</v>
      </c>
      <c r="Z251" s="13" t="str">
        <f t="shared" si="21"/>
        <v>37 SA et plus</v>
      </c>
      <c r="AA251" s="13">
        <f t="shared" si="22"/>
        <v>139.5</v>
      </c>
      <c r="AB251" s="13">
        <f t="shared" si="23"/>
        <v>0</v>
      </c>
    </row>
    <row r="252" spans="1:28" x14ac:dyDescent="0.25">
      <c r="A252" s="13" t="s">
        <v>359</v>
      </c>
      <c r="B252" s="13">
        <v>32</v>
      </c>
      <c r="C252" s="13" t="s">
        <v>79</v>
      </c>
      <c r="D252" s="13" t="s">
        <v>80</v>
      </c>
      <c r="E252" s="13" t="s">
        <v>96</v>
      </c>
      <c r="F252" s="13" t="s">
        <v>94</v>
      </c>
      <c r="G252" s="13">
        <v>5</v>
      </c>
      <c r="H252" s="13">
        <v>4</v>
      </c>
      <c r="I252" s="13" t="s">
        <v>91</v>
      </c>
      <c r="J252" s="13" t="s">
        <v>91</v>
      </c>
      <c r="K252" s="13" t="s">
        <v>83</v>
      </c>
      <c r="L252" s="13" t="s">
        <v>83</v>
      </c>
      <c r="M252" s="13">
        <v>29</v>
      </c>
      <c r="N252" s="13">
        <v>4</v>
      </c>
      <c r="O252" s="13" t="s">
        <v>84</v>
      </c>
      <c r="P252" s="13">
        <v>25.3</v>
      </c>
      <c r="Q252" s="13">
        <v>147</v>
      </c>
      <c r="R252" s="13">
        <v>98</v>
      </c>
      <c r="S252" s="13" t="s">
        <v>85</v>
      </c>
      <c r="T252" s="13" t="s">
        <v>86</v>
      </c>
      <c r="U252" s="13" t="s">
        <v>132</v>
      </c>
      <c r="V252" s="13" t="s">
        <v>83</v>
      </c>
      <c r="W252" s="13" t="str">
        <f t="shared" si="18"/>
        <v>30-34 ans</v>
      </c>
      <c r="X252" s="13" t="str">
        <f t="shared" si="19"/>
        <v>3 accouchements et plus</v>
      </c>
      <c r="Y252" s="13" t="str">
        <f t="shared" si="20"/>
        <v>4 à 7 CPN</v>
      </c>
      <c r="Z252" s="13" t="str">
        <f t="shared" si="21"/>
        <v>28-36 SA</v>
      </c>
      <c r="AA252" s="13">
        <f t="shared" si="22"/>
        <v>347.5</v>
      </c>
      <c r="AB252" s="13">
        <f t="shared" si="23"/>
        <v>1</v>
      </c>
    </row>
    <row r="253" spans="1:28" x14ac:dyDescent="0.25">
      <c r="A253" s="13" t="s">
        <v>360</v>
      </c>
      <c r="B253" s="13">
        <v>33</v>
      </c>
      <c r="C253" s="13" t="s">
        <v>79</v>
      </c>
      <c r="D253" s="13" t="s">
        <v>80</v>
      </c>
      <c r="E253" s="13" t="s">
        <v>101</v>
      </c>
      <c r="F253" s="13" t="s">
        <v>94</v>
      </c>
      <c r="G253" s="13">
        <v>4</v>
      </c>
      <c r="H253" s="13">
        <v>3</v>
      </c>
      <c r="I253" s="13" t="s">
        <v>83</v>
      </c>
      <c r="J253" s="13" t="s">
        <v>83</v>
      </c>
      <c r="K253" s="13" t="s">
        <v>83</v>
      </c>
      <c r="L253" s="13" t="s">
        <v>83</v>
      </c>
      <c r="M253" s="13">
        <v>36</v>
      </c>
      <c r="N253" s="13">
        <v>3</v>
      </c>
      <c r="O253" s="13" t="s">
        <v>84</v>
      </c>
      <c r="P253" s="13">
        <v>18.8</v>
      </c>
      <c r="Q253" s="13">
        <v>118</v>
      </c>
      <c r="R253" s="13">
        <v>74</v>
      </c>
      <c r="S253" s="13" t="s">
        <v>85</v>
      </c>
      <c r="T253" s="13" t="s">
        <v>86</v>
      </c>
      <c r="U253" s="13" t="s">
        <v>87</v>
      </c>
      <c r="V253" s="13" t="s">
        <v>83</v>
      </c>
      <c r="W253" s="13" t="str">
        <f t="shared" si="18"/>
        <v>30-34 ans</v>
      </c>
      <c r="X253" s="13" t="str">
        <f t="shared" si="19"/>
        <v>3 accouchements et plus</v>
      </c>
      <c r="Y253" s="13" t="str">
        <f t="shared" si="20"/>
        <v>Moins de 4 CPN</v>
      </c>
      <c r="Z253" s="13" t="str">
        <f t="shared" si="21"/>
        <v>28-36 SA</v>
      </c>
      <c r="AA253" s="13">
        <f t="shared" si="22"/>
        <v>361.5</v>
      </c>
      <c r="AB253" s="13">
        <f t="shared" si="23"/>
        <v>1</v>
      </c>
    </row>
    <row r="254" spans="1:28" x14ac:dyDescent="0.25">
      <c r="A254" s="13" t="s">
        <v>361</v>
      </c>
      <c r="B254" s="13">
        <v>26</v>
      </c>
      <c r="C254" s="13" t="s">
        <v>79</v>
      </c>
      <c r="D254" s="13" t="s">
        <v>80</v>
      </c>
      <c r="E254" s="13" t="s">
        <v>96</v>
      </c>
      <c r="F254" s="13" t="s">
        <v>82</v>
      </c>
      <c r="G254" s="13">
        <v>3</v>
      </c>
      <c r="H254" s="13">
        <v>2</v>
      </c>
      <c r="I254" s="13" t="s">
        <v>91</v>
      </c>
      <c r="J254" s="13" t="s">
        <v>83</v>
      </c>
      <c r="K254" s="13" t="s">
        <v>83</v>
      </c>
      <c r="L254" s="13" t="s">
        <v>83</v>
      </c>
      <c r="M254" s="13">
        <v>35</v>
      </c>
      <c r="N254" s="13">
        <v>7</v>
      </c>
      <c r="O254" s="13" t="s">
        <v>84</v>
      </c>
      <c r="P254" s="13">
        <v>21.8</v>
      </c>
      <c r="Q254" s="13">
        <v>104</v>
      </c>
      <c r="R254" s="13">
        <v>66</v>
      </c>
      <c r="S254" s="13" t="s">
        <v>85</v>
      </c>
      <c r="T254" s="13" t="s">
        <v>86</v>
      </c>
      <c r="U254" s="13" t="s">
        <v>87</v>
      </c>
      <c r="V254" s="13" t="s">
        <v>83</v>
      </c>
      <c r="W254" s="13" t="str">
        <f t="shared" si="18"/>
        <v>20-29 ans</v>
      </c>
      <c r="X254" s="13" t="str">
        <f t="shared" si="19"/>
        <v>1-2 accouchements</v>
      </c>
      <c r="Y254" s="13" t="str">
        <f t="shared" si="20"/>
        <v>4 à 7 CPN</v>
      </c>
      <c r="Z254" s="13" t="str">
        <f t="shared" si="21"/>
        <v>28-36 SA</v>
      </c>
      <c r="AA254" s="13">
        <f t="shared" si="22"/>
        <v>206</v>
      </c>
      <c r="AB254" s="13">
        <f t="shared" si="23"/>
        <v>1</v>
      </c>
    </row>
    <row r="255" spans="1:28" x14ac:dyDescent="0.25">
      <c r="A255" s="13" t="s">
        <v>362</v>
      </c>
      <c r="B255" s="13">
        <v>24</v>
      </c>
      <c r="C255" s="13" t="s">
        <v>79</v>
      </c>
      <c r="D255" s="13" t="s">
        <v>93</v>
      </c>
      <c r="E255" s="13" t="s">
        <v>96</v>
      </c>
      <c r="F255" s="13" t="s">
        <v>82</v>
      </c>
      <c r="G255" s="13">
        <v>3</v>
      </c>
      <c r="H255" s="13">
        <v>1</v>
      </c>
      <c r="I255" s="13" t="s">
        <v>83</v>
      </c>
      <c r="J255" s="13" t="s">
        <v>83</v>
      </c>
      <c r="K255" s="13" t="s">
        <v>83</v>
      </c>
      <c r="L255" s="13" t="s">
        <v>83</v>
      </c>
      <c r="M255" s="13">
        <v>29</v>
      </c>
      <c r="N255" s="13">
        <v>1</v>
      </c>
      <c r="O255" s="13" t="s">
        <v>84</v>
      </c>
      <c r="P255" s="13">
        <v>25.5</v>
      </c>
      <c r="Q255" s="13">
        <v>90</v>
      </c>
      <c r="R255" s="13">
        <v>52</v>
      </c>
      <c r="S255" s="13" t="s">
        <v>85</v>
      </c>
      <c r="T255" s="13" t="s">
        <v>86</v>
      </c>
      <c r="U255" s="13" t="s">
        <v>87</v>
      </c>
      <c r="V255" s="13" t="s">
        <v>83</v>
      </c>
      <c r="W255" s="13" t="str">
        <f t="shared" si="18"/>
        <v>20-29 ans</v>
      </c>
      <c r="X255" s="13" t="str">
        <f t="shared" si="19"/>
        <v>1-2 accouchements</v>
      </c>
      <c r="Y255" s="13" t="str">
        <f t="shared" si="20"/>
        <v>Moins de 4 CPN</v>
      </c>
      <c r="Z255" s="13" t="str">
        <f t="shared" si="21"/>
        <v>28-36 SA</v>
      </c>
      <c r="AA255" s="13">
        <f t="shared" si="22"/>
        <v>139.5</v>
      </c>
      <c r="AB255" s="13">
        <f t="shared" si="23"/>
        <v>1</v>
      </c>
    </row>
    <row r="256" spans="1:28" x14ac:dyDescent="0.25">
      <c r="A256" s="13" t="s">
        <v>363</v>
      </c>
      <c r="B256" s="13">
        <v>28</v>
      </c>
      <c r="C256" s="13" t="s">
        <v>79</v>
      </c>
      <c r="D256" s="13" t="s">
        <v>109</v>
      </c>
      <c r="E256" s="13" t="s">
        <v>99</v>
      </c>
      <c r="F256" s="13" t="s">
        <v>82</v>
      </c>
      <c r="G256" s="13">
        <v>3</v>
      </c>
      <c r="H256" s="13">
        <v>2</v>
      </c>
      <c r="I256" s="13" t="s">
        <v>83</v>
      </c>
      <c r="J256" s="13" t="s">
        <v>83</v>
      </c>
      <c r="K256" s="13" t="s">
        <v>83</v>
      </c>
      <c r="L256" s="13" t="s">
        <v>83</v>
      </c>
      <c r="M256" s="13">
        <v>33</v>
      </c>
      <c r="N256" s="13">
        <v>5</v>
      </c>
      <c r="O256" s="13" t="s">
        <v>84</v>
      </c>
      <c r="P256" s="13">
        <v>23.4</v>
      </c>
      <c r="Q256" s="13">
        <v>116</v>
      </c>
      <c r="R256" s="13">
        <v>69</v>
      </c>
      <c r="S256" s="13" t="s">
        <v>85</v>
      </c>
      <c r="T256" s="13" t="s">
        <v>86</v>
      </c>
      <c r="U256" s="13" t="s">
        <v>87</v>
      </c>
      <c r="V256" s="13" t="s">
        <v>83</v>
      </c>
      <c r="W256" s="13" t="str">
        <f t="shared" si="18"/>
        <v>20-29 ans</v>
      </c>
      <c r="X256" s="13" t="str">
        <f t="shared" si="19"/>
        <v>1-2 accouchements</v>
      </c>
      <c r="Y256" s="13" t="str">
        <f t="shared" si="20"/>
        <v>4 à 7 CPN</v>
      </c>
      <c r="Z256" s="13" t="str">
        <f t="shared" si="21"/>
        <v>28-36 SA</v>
      </c>
      <c r="AA256" s="13">
        <f t="shared" si="22"/>
        <v>276</v>
      </c>
      <c r="AB256" s="13">
        <f t="shared" si="23"/>
        <v>1</v>
      </c>
    </row>
    <row r="257" spans="1:28" x14ac:dyDescent="0.25">
      <c r="A257" s="13" t="s">
        <v>364</v>
      </c>
      <c r="B257" s="13">
        <v>27</v>
      </c>
      <c r="C257" s="13" t="s">
        <v>173</v>
      </c>
      <c r="D257" s="13" t="s">
        <v>93</v>
      </c>
      <c r="E257" s="13" t="s">
        <v>101</v>
      </c>
      <c r="F257" s="13" t="s">
        <v>94</v>
      </c>
      <c r="G257" s="13">
        <v>3</v>
      </c>
      <c r="H257" s="13">
        <v>2</v>
      </c>
      <c r="I257" s="13" t="s">
        <v>83</v>
      </c>
      <c r="J257" s="13" t="s">
        <v>83</v>
      </c>
      <c r="K257" s="13" t="s">
        <v>83</v>
      </c>
      <c r="L257" s="13" t="s">
        <v>83</v>
      </c>
      <c r="M257" s="13">
        <v>39</v>
      </c>
      <c r="N257" s="13">
        <v>4</v>
      </c>
      <c r="O257" s="13" t="s">
        <v>146</v>
      </c>
      <c r="P257" s="13">
        <v>19.399999999999999</v>
      </c>
      <c r="Q257" s="13">
        <v>117</v>
      </c>
      <c r="R257" s="13">
        <v>73</v>
      </c>
      <c r="S257" s="13" t="s">
        <v>85</v>
      </c>
      <c r="T257" s="13" t="s">
        <v>86</v>
      </c>
      <c r="U257" s="13" t="s">
        <v>87</v>
      </c>
      <c r="V257" s="13" t="s">
        <v>83</v>
      </c>
      <c r="W257" s="13" t="str">
        <f t="shared" si="18"/>
        <v>20-29 ans</v>
      </c>
      <c r="X257" s="13" t="str">
        <f t="shared" si="19"/>
        <v>1-2 accouchements</v>
      </c>
      <c r="Y257" s="13" t="str">
        <f t="shared" si="20"/>
        <v>4 à 7 CPN</v>
      </c>
      <c r="Z257" s="13" t="str">
        <f t="shared" si="21"/>
        <v>37 SA et plus</v>
      </c>
      <c r="AA257" s="13">
        <f t="shared" si="22"/>
        <v>243</v>
      </c>
      <c r="AB257" s="13">
        <f t="shared" si="23"/>
        <v>1</v>
      </c>
    </row>
    <row r="258" spans="1:28" x14ac:dyDescent="0.25">
      <c r="A258" s="13" t="s">
        <v>365</v>
      </c>
      <c r="B258" s="13">
        <v>20</v>
      </c>
      <c r="C258" s="13" t="s">
        <v>89</v>
      </c>
      <c r="D258" s="13" t="s">
        <v>124</v>
      </c>
      <c r="E258" s="13" t="s">
        <v>96</v>
      </c>
      <c r="F258" s="13" t="s">
        <v>94</v>
      </c>
      <c r="G258" s="13">
        <v>2</v>
      </c>
      <c r="H258" s="13">
        <v>1</v>
      </c>
      <c r="I258" s="13" t="s">
        <v>83</v>
      </c>
      <c r="J258" s="13" t="s">
        <v>83</v>
      </c>
      <c r="K258" s="13" t="s">
        <v>91</v>
      </c>
      <c r="L258" s="13" t="s">
        <v>83</v>
      </c>
      <c r="M258" s="13">
        <v>39</v>
      </c>
      <c r="N258" s="13">
        <v>6</v>
      </c>
      <c r="O258" s="13" t="s">
        <v>84</v>
      </c>
      <c r="P258" s="13">
        <v>18.8</v>
      </c>
      <c r="Q258" s="13">
        <v>119</v>
      </c>
      <c r="R258" s="13">
        <v>62</v>
      </c>
      <c r="S258" s="13" t="s">
        <v>85</v>
      </c>
      <c r="T258" s="13" t="s">
        <v>86</v>
      </c>
      <c r="U258" s="13" t="s">
        <v>87</v>
      </c>
      <c r="V258" s="13" t="s">
        <v>83</v>
      </c>
      <c r="W258" s="13" t="str">
        <f t="shared" ref="W258:W321" si="24">IF(B258="","",IF(B258&lt;=19,"Moins de 20 ans",IF(B258&lt;=29,"20-29 ans",IF(B258&lt;=34,"30-34 ans","35 ans et plus"))))</f>
        <v>20-29 ans</v>
      </c>
      <c r="X258" s="13" t="str">
        <f t="shared" ref="X258:X321" si="25">IF(H258="","",IF(H258=0,"Nullipare (0)",IF(H258&lt;=2,"1-2 accouchements","3 accouchements et plus")))</f>
        <v>1-2 accouchements</v>
      </c>
      <c r="Y258" s="13" t="str">
        <f t="shared" ref="Y258:Y321" si="26">IF(N258="","",IF(N258&lt;=3,"Moins de 4 CPN",IF(N258&lt;=7,"4 à 7 CPN","8 CPN et plus")))</f>
        <v>4 à 7 CPN</v>
      </c>
      <c r="Z258" s="13" t="str">
        <f t="shared" ref="Z258:Z321" si="27">IF(M258="","",IF(M258&lt;=27,"20-27 SA",IF(M258&lt;=36,"28-36 SA","37 SA et plus")))</f>
        <v>37 SA et plus</v>
      </c>
      <c r="AA258" s="13">
        <f t="shared" ref="AA258:AA321" si="28">RANK(B258,$B$2:$B$401,1)+(COUNTIF($B$2:$B$401,B258)-1)/2</f>
        <v>30.5</v>
      </c>
      <c r="AB258" s="13">
        <f t="shared" ref="AB258:AB321" si="29">IF(AND(H258&gt;=1,OR(I258="Oui",I258="Non")),1,0)</f>
        <v>1</v>
      </c>
    </row>
    <row r="259" spans="1:28" x14ac:dyDescent="0.25">
      <c r="A259" s="13" t="s">
        <v>366</v>
      </c>
      <c r="B259" s="13">
        <v>25</v>
      </c>
      <c r="C259" s="13" t="s">
        <v>79</v>
      </c>
      <c r="D259" s="13" t="s">
        <v>93</v>
      </c>
      <c r="E259" s="13" t="s">
        <v>96</v>
      </c>
      <c r="F259" s="13" t="s">
        <v>94</v>
      </c>
      <c r="G259" s="13">
        <v>2</v>
      </c>
      <c r="H259" s="13">
        <v>1</v>
      </c>
      <c r="I259" s="13" t="s">
        <v>83</v>
      </c>
      <c r="J259" s="13" t="s">
        <v>83</v>
      </c>
      <c r="K259" s="13" t="s">
        <v>83</v>
      </c>
      <c r="L259" s="13" t="s">
        <v>83</v>
      </c>
      <c r="M259" s="13">
        <v>32</v>
      </c>
      <c r="N259" s="13">
        <v>3</v>
      </c>
      <c r="O259" s="13" t="s">
        <v>84</v>
      </c>
      <c r="P259" s="13">
        <v>21.4</v>
      </c>
      <c r="Q259" s="13">
        <v>120</v>
      </c>
      <c r="R259" s="13">
        <v>67</v>
      </c>
      <c r="S259" s="13" t="s">
        <v>85</v>
      </c>
      <c r="T259" s="13" t="s">
        <v>86</v>
      </c>
      <c r="U259" s="13" t="s">
        <v>87</v>
      </c>
      <c r="V259" s="13" t="s">
        <v>83</v>
      </c>
      <c r="W259" s="13" t="str">
        <f t="shared" si="24"/>
        <v>20-29 ans</v>
      </c>
      <c r="X259" s="13" t="str">
        <f t="shared" si="25"/>
        <v>1-2 accouchements</v>
      </c>
      <c r="Y259" s="13" t="str">
        <f t="shared" si="26"/>
        <v>Moins de 4 CPN</v>
      </c>
      <c r="Z259" s="13" t="str">
        <f t="shared" si="27"/>
        <v>28-36 SA</v>
      </c>
      <c r="AA259" s="13">
        <f t="shared" si="28"/>
        <v>173</v>
      </c>
      <c r="AB259" s="13">
        <f t="shared" si="29"/>
        <v>1</v>
      </c>
    </row>
    <row r="260" spans="1:28" x14ac:dyDescent="0.25">
      <c r="A260" s="13" t="s">
        <v>367</v>
      </c>
      <c r="B260" s="13">
        <v>25</v>
      </c>
      <c r="C260" s="13" t="s">
        <v>79</v>
      </c>
      <c r="D260" s="13" t="s">
        <v>80</v>
      </c>
      <c r="E260" s="13" t="s">
        <v>81</v>
      </c>
      <c r="F260" s="13" t="s">
        <v>94</v>
      </c>
      <c r="G260" s="13">
        <v>2</v>
      </c>
      <c r="H260" s="13">
        <v>1</v>
      </c>
      <c r="I260" s="13" t="s">
        <v>83</v>
      </c>
      <c r="J260" s="13" t="s">
        <v>83</v>
      </c>
      <c r="K260" s="13" t="s">
        <v>91</v>
      </c>
      <c r="L260" s="13" t="s">
        <v>83</v>
      </c>
      <c r="M260" s="13">
        <v>33</v>
      </c>
      <c r="N260" s="13">
        <v>2</v>
      </c>
      <c r="O260" s="13" t="s">
        <v>84</v>
      </c>
      <c r="P260" s="13">
        <v>27.5</v>
      </c>
      <c r="Q260" s="13">
        <v>113</v>
      </c>
      <c r="R260" s="13">
        <v>65</v>
      </c>
      <c r="S260" s="13" t="s">
        <v>85</v>
      </c>
      <c r="T260" s="13" t="s">
        <v>86</v>
      </c>
      <c r="U260" s="13" t="s">
        <v>87</v>
      </c>
      <c r="V260" s="13" t="s">
        <v>83</v>
      </c>
      <c r="W260" s="13" t="str">
        <f t="shared" si="24"/>
        <v>20-29 ans</v>
      </c>
      <c r="X260" s="13" t="str">
        <f t="shared" si="25"/>
        <v>1-2 accouchements</v>
      </c>
      <c r="Y260" s="13" t="str">
        <f t="shared" si="26"/>
        <v>Moins de 4 CPN</v>
      </c>
      <c r="Z260" s="13" t="str">
        <f t="shared" si="27"/>
        <v>28-36 SA</v>
      </c>
      <c r="AA260" s="13">
        <f t="shared" si="28"/>
        <v>173</v>
      </c>
      <c r="AB260" s="13">
        <f t="shared" si="29"/>
        <v>1</v>
      </c>
    </row>
    <row r="261" spans="1:28" x14ac:dyDescent="0.25">
      <c r="A261" s="13" t="s">
        <v>368</v>
      </c>
      <c r="B261" s="13">
        <v>27</v>
      </c>
      <c r="C261" s="13" t="s">
        <v>79</v>
      </c>
      <c r="D261" s="13" t="s">
        <v>93</v>
      </c>
      <c r="E261" s="13" t="s">
        <v>101</v>
      </c>
      <c r="F261" s="13" t="s">
        <v>94</v>
      </c>
      <c r="G261" s="13">
        <v>2</v>
      </c>
      <c r="H261" s="13">
        <v>1</v>
      </c>
      <c r="I261" s="13" t="s">
        <v>83</v>
      </c>
      <c r="J261" s="13" t="s">
        <v>83</v>
      </c>
      <c r="K261" s="13" t="s">
        <v>91</v>
      </c>
      <c r="L261" s="13" t="s">
        <v>83</v>
      </c>
      <c r="M261" s="13">
        <v>38</v>
      </c>
      <c r="N261" s="13">
        <v>4</v>
      </c>
      <c r="O261" s="13" t="s">
        <v>84</v>
      </c>
      <c r="P261" s="13">
        <v>30.2</v>
      </c>
      <c r="Q261" s="13">
        <v>102</v>
      </c>
      <c r="R261" s="13">
        <v>70</v>
      </c>
      <c r="S261" s="13" t="s">
        <v>85</v>
      </c>
      <c r="T261" s="13" t="s">
        <v>86</v>
      </c>
      <c r="U261" s="13" t="s">
        <v>87</v>
      </c>
      <c r="V261" s="13" t="s">
        <v>83</v>
      </c>
      <c r="W261" s="13" t="str">
        <f t="shared" si="24"/>
        <v>20-29 ans</v>
      </c>
      <c r="X261" s="13" t="str">
        <f t="shared" si="25"/>
        <v>1-2 accouchements</v>
      </c>
      <c r="Y261" s="13" t="str">
        <f t="shared" si="26"/>
        <v>4 à 7 CPN</v>
      </c>
      <c r="Z261" s="13" t="str">
        <f t="shared" si="27"/>
        <v>37 SA et plus</v>
      </c>
      <c r="AA261" s="13">
        <f t="shared" si="28"/>
        <v>243</v>
      </c>
      <c r="AB261" s="13">
        <f t="shared" si="29"/>
        <v>1</v>
      </c>
    </row>
    <row r="262" spans="1:28" x14ac:dyDescent="0.25">
      <c r="A262" s="13" t="s">
        <v>369</v>
      </c>
      <c r="B262" s="13">
        <v>24</v>
      </c>
      <c r="C262" s="13" t="s">
        <v>79</v>
      </c>
      <c r="D262" s="13" t="s">
        <v>80</v>
      </c>
      <c r="E262" s="13" t="s">
        <v>81</v>
      </c>
      <c r="F262" s="13" t="s">
        <v>82</v>
      </c>
      <c r="G262" s="13">
        <v>2</v>
      </c>
      <c r="H262" s="13">
        <v>1</v>
      </c>
      <c r="I262" s="13" t="s">
        <v>83</v>
      </c>
      <c r="J262" s="13" t="s">
        <v>83</v>
      </c>
      <c r="L262" s="13" t="s">
        <v>83</v>
      </c>
      <c r="M262" s="13">
        <v>38</v>
      </c>
      <c r="N262" s="13">
        <v>2</v>
      </c>
      <c r="O262" s="13" t="s">
        <v>84</v>
      </c>
      <c r="P262" s="13">
        <v>27</v>
      </c>
      <c r="Q262" s="13">
        <v>110</v>
      </c>
      <c r="R262" s="13">
        <v>69</v>
      </c>
      <c r="S262" s="13" t="s">
        <v>85</v>
      </c>
      <c r="T262" s="13" t="s">
        <v>86</v>
      </c>
      <c r="U262" s="13" t="s">
        <v>87</v>
      </c>
      <c r="V262" s="13" t="s">
        <v>83</v>
      </c>
      <c r="W262" s="13" t="str">
        <f t="shared" si="24"/>
        <v>20-29 ans</v>
      </c>
      <c r="X262" s="13" t="str">
        <f t="shared" si="25"/>
        <v>1-2 accouchements</v>
      </c>
      <c r="Y262" s="13" t="str">
        <f t="shared" si="26"/>
        <v>Moins de 4 CPN</v>
      </c>
      <c r="Z262" s="13" t="str">
        <f t="shared" si="27"/>
        <v>37 SA et plus</v>
      </c>
      <c r="AA262" s="13">
        <f t="shared" si="28"/>
        <v>139.5</v>
      </c>
      <c r="AB262" s="13">
        <f t="shared" si="29"/>
        <v>1</v>
      </c>
    </row>
    <row r="263" spans="1:28" x14ac:dyDescent="0.25">
      <c r="A263" s="13" t="s">
        <v>370</v>
      </c>
      <c r="B263" s="13">
        <v>31</v>
      </c>
      <c r="C263" s="13" t="s">
        <v>98</v>
      </c>
      <c r="D263" s="13" t="s">
        <v>80</v>
      </c>
      <c r="E263" s="13" t="s">
        <v>81</v>
      </c>
      <c r="F263" s="13" t="s">
        <v>82</v>
      </c>
      <c r="G263" s="13">
        <v>2</v>
      </c>
      <c r="H263" s="13">
        <v>1</v>
      </c>
      <c r="I263" s="13" t="s">
        <v>83</v>
      </c>
      <c r="J263" s="13" t="s">
        <v>83</v>
      </c>
      <c r="K263" s="13" t="s">
        <v>91</v>
      </c>
      <c r="L263" s="13" t="s">
        <v>83</v>
      </c>
      <c r="M263" s="13">
        <v>38</v>
      </c>
      <c r="N263" s="13">
        <v>7</v>
      </c>
      <c r="O263" s="13" t="s">
        <v>84</v>
      </c>
      <c r="P263" s="13">
        <v>26.1</v>
      </c>
      <c r="Q263" s="13">
        <v>145</v>
      </c>
      <c r="R263" s="13">
        <v>89</v>
      </c>
      <c r="S263" s="13" t="s">
        <v>85</v>
      </c>
      <c r="T263" s="13" t="s">
        <v>86</v>
      </c>
      <c r="U263" s="13" t="s">
        <v>110</v>
      </c>
      <c r="V263" s="13" t="s">
        <v>83</v>
      </c>
      <c r="W263" s="13" t="str">
        <f t="shared" si="24"/>
        <v>30-34 ans</v>
      </c>
      <c r="X263" s="13" t="str">
        <f t="shared" si="25"/>
        <v>1-2 accouchements</v>
      </c>
      <c r="Y263" s="13" t="str">
        <f t="shared" si="26"/>
        <v>4 à 7 CPN</v>
      </c>
      <c r="Z263" s="13" t="str">
        <f t="shared" si="27"/>
        <v>37 SA et plus</v>
      </c>
      <c r="AA263" s="13">
        <f t="shared" si="28"/>
        <v>334.5</v>
      </c>
      <c r="AB263" s="13">
        <f t="shared" si="29"/>
        <v>1</v>
      </c>
    </row>
    <row r="264" spans="1:28" x14ac:dyDescent="0.25">
      <c r="A264" s="13" t="s">
        <v>371</v>
      </c>
      <c r="B264" s="13">
        <v>22</v>
      </c>
      <c r="C264" s="13" t="s">
        <v>79</v>
      </c>
      <c r="D264" s="13" t="s">
        <v>80</v>
      </c>
      <c r="E264" s="13" t="s">
        <v>81</v>
      </c>
      <c r="F264" s="13" t="s">
        <v>82</v>
      </c>
      <c r="G264" s="13">
        <v>1</v>
      </c>
      <c r="H264" s="13">
        <v>0</v>
      </c>
      <c r="I264" s="13" t="s">
        <v>86</v>
      </c>
      <c r="J264" s="13" t="s">
        <v>83</v>
      </c>
      <c r="K264" s="13" t="s">
        <v>83</v>
      </c>
      <c r="L264" s="13" t="s">
        <v>83</v>
      </c>
      <c r="M264" s="13">
        <v>35</v>
      </c>
      <c r="N264" s="13">
        <v>3</v>
      </c>
      <c r="O264" s="13" t="s">
        <v>84</v>
      </c>
      <c r="P264" s="13">
        <v>18.100000000000001</v>
      </c>
      <c r="Q264" s="13">
        <v>164</v>
      </c>
      <c r="R264" s="13">
        <v>95</v>
      </c>
      <c r="S264" s="13" t="s">
        <v>113</v>
      </c>
      <c r="T264" s="13" t="s">
        <v>91</v>
      </c>
      <c r="U264" s="13" t="s">
        <v>114</v>
      </c>
      <c r="V264" s="13" t="s">
        <v>91</v>
      </c>
      <c r="W264" s="13" t="str">
        <f t="shared" si="24"/>
        <v>20-29 ans</v>
      </c>
      <c r="X264" s="13" t="str">
        <f t="shared" si="25"/>
        <v>Nullipare (0)</v>
      </c>
      <c r="Y264" s="13" t="str">
        <f t="shared" si="26"/>
        <v>Moins de 4 CPN</v>
      </c>
      <c r="Z264" s="13" t="str">
        <f t="shared" si="27"/>
        <v>28-36 SA</v>
      </c>
      <c r="AA264" s="13">
        <f t="shared" si="28"/>
        <v>70</v>
      </c>
      <c r="AB264" s="13">
        <f t="shared" si="29"/>
        <v>0</v>
      </c>
    </row>
    <row r="265" spans="1:28" x14ac:dyDescent="0.25">
      <c r="A265" s="13" t="s">
        <v>372</v>
      </c>
      <c r="B265" s="13">
        <v>20</v>
      </c>
      <c r="C265" s="13" t="s">
        <v>79</v>
      </c>
      <c r="D265" s="13" t="s">
        <v>80</v>
      </c>
      <c r="E265" s="13" t="s">
        <v>112</v>
      </c>
      <c r="F265" s="13" t="s">
        <v>82</v>
      </c>
      <c r="G265" s="13">
        <v>2</v>
      </c>
      <c r="H265" s="13">
        <v>1</v>
      </c>
      <c r="I265" s="13" t="s">
        <v>83</v>
      </c>
      <c r="J265" s="13" t="s">
        <v>83</v>
      </c>
      <c r="K265" s="13" t="s">
        <v>83</v>
      </c>
      <c r="L265" s="13" t="s">
        <v>83</v>
      </c>
      <c r="M265" s="13">
        <v>30</v>
      </c>
      <c r="N265" s="13">
        <v>2</v>
      </c>
      <c r="O265" s="13" t="s">
        <v>84</v>
      </c>
      <c r="P265" s="13">
        <v>22.1</v>
      </c>
      <c r="Q265" s="13">
        <v>114</v>
      </c>
      <c r="R265" s="13">
        <v>69</v>
      </c>
      <c r="S265" s="13" t="s">
        <v>85</v>
      </c>
      <c r="T265" s="13" t="s">
        <v>86</v>
      </c>
      <c r="U265" s="13" t="s">
        <v>87</v>
      </c>
      <c r="V265" s="13" t="s">
        <v>83</v>
      </c>
      <c r="W265" s="13" t="str">
        <f t="shared" si="24"/>
        <v>20-29 ans</v>
      </c>
      <c r="X265" s="13" t="str">
        <f t="shared" si="25"/>
        <v>1-2 accouchements</v>
      </c>
      <c r="Y265" s="13" t="str">
        <f t="shared" si="26"/>
        <v>Moins de 4 CPN</v>
      </c>
      <c r="Z265" s="13" t="str">
        <f t="shared" si="27"/>
        <v>28-36 SA</v>
      </c>
      <c r="AA265" s="13">
        <f t="shared" si="28"/>
        <v>30.5</v>
      </c>
      <c r="AB265" s="13">
        <f t="shared" si="29"/>
        <v>1</v>
      </c>
    </row>
    <row r="266" spans="1:28" x14ac:dyDescent="0.25">
      <c r="A266" s="13" t="s">
        <v>373</v>
      </c>
      <c r="B266" s="13">
        <v>22</v>
      </c>
      <c r="C266" s="13" t="s">
        <v>79</v>
      </c>
      <c r="D266" s="13" t="s">
        <v>93</v>
      </c>
      <c r="E266" s="13" t="s">
        <v>101</v>
      </c>
      <c r="F266" s="13" t="s">
        <v>94</v>
      </c>
      <c r="G266" s="13">
        <v>3</v>
      </c>
      <c r="H266" s="13">
        <v>2</v>
      </c>
      <c r="I266" s="13" t="s">
        <v>83</v>
      </c>
      <c r="J266" s="13" t="s">
        <v>83</v>
      </c>
      <c r="K266" s="13" t="s">
        <v>83</v>
      </c>
      <c r="L266" s="13" t="s">
        <v>83</v>
      </c>
      <c r="M266" s="13">
        <v>38</v>
      </c>
      <c r="N266" s="13">
        <v>5</v>
      </c>
      <c r="O266" s="13" t="s">
        <v>84</v>
      </c>
      <c r="P266" s="13">
        <v>22.5</v>
      </c>
      <c r="Q266" s="13">
        <v>99</v>
      </c>
      <c r="R266" s="13">
        <v>59</v>
      </c>
      <c r="S266" s="13" t="s">
        <v>85</v>
      </c>
      <c r="T266" s="13" t="s">
        <v>86</v>
      </c>
      <c r="U266" s="13" t="s">
        <v>87</v>
      </c>
      <c r="V266" s="13" t="s">
        <v>83</v>
      </c>
      <c r="W266" s="13" t="str">
        <f t="shared" si="24"/>
        <v>20-29 ans</v>
      </c>
      <c r="X266" s="13" t="str">
        <f t="shared" si="25"/>
        <v>1-2 accouchements</v>
      </c>
      <c r="Y266" s="13" t="str">
        <f t="shared" si="26"/>
        <v>4 à 7 CPN</v>
      </c>
      <c r="Z266" s="13" t="str">
        <f t="shared" si="27"/>
        <v>37 SA et plus</v>
      </c>
      <c r="AA266" s="13">
        <f t="shared" si="28"/>
        <v>70</v>
      </c>
      <c r="AB266" s="13">
        <f t="shared" si="29"/>
        <v>1</v>
      </c>
    </row>
    <row r="267" spans="1:28" x14ac:dyDescent="0.25">
      <c r="A267" s="13" t="s">
        <v>374</v>
      </c>
      <c r="B267" s="13">
        <v>26</v>
      </c>
      <c r="C267" s="13" t="s">
        <v>79</v>
      </c>
      <c r="D267" s="13" t="s">
        <v>109</v>
      </c>
      <c r="E267" s="13" t="s">
        <v>96</v>
      </c>
      <c r="F267" s="13" t="s">
        <v>82</v>
      </c>
      <c r="G267" s="13">
        <v>4</v>
      </c>
      <c r="H267" s="13">
        <v>3</v>
      </c>
      <c r="I267" s="13" t="s">
        <v>83</v>
      </c>
      <c r="J267" s="13" t="s">
        <v>83</v>
      </c>
      <c r="K267" s="13" t="s">
        <v>83</v>
      </c>
      <c r="L267" s="13" t="s">
        <v>83</v>
      </c>
      <c r="M267" s="13">
        <v>40</v>
      </c>
      <c r="N267" s="13">
        <v>10</v>
      </c>
      <c r="O267" s="13" t="s">
        <v>84</v>
      </c>
      <c r="P267" s="13">
        <v>25.2</v>
      </c>
      <c r="Q267" s="13">
        <v>97</v>
      </c>
      <c r="R267" s="13">
        <v>64</v>
      </c>
      <c r="S267" s="13" t="s">
        <v>85</v>
      </c>
      <c r="T267" s="13" t="s">
        <v>86</v>
      </c>
      <c r="U267" s="13" t="s">
        <v>87</v>
      </c>
      <c r="V267" s="13" t="s">
        <v>83</v>
      </c>
      <c r="W267" s="13" t="str">
        <f t="shared" si="24"/>
        <v>20-29 ans</v>
      </c>
      <c r="X267" s="13" t="str">
        <f t="shared" si="25"/>
        <v>3 accouchements et plus</v>
      </c>
      <c r="Y267" s="13" t="str">
        <f t="shared" si="26"/>
        <v>8 CPN et plus</v>
      </c>
      <c r="Z267" s="13" t="str">
        <f t="shared" si="27"/>
        <v>37 SA et plus</v>
      </c>
      <c r="AA267" s="13">
        <f t="shared" si="28"/>
        <v>206</v>
      </c>
      <c r="AB267" s="13">
        <f t="shared" si="29"/>
        <v>1</v>
      </c>
    </row>
    <row r="268" spans="1:28" x14ac:dyDescent="0.25">
      <c r="A268" s="13" t="s">
        <v>375</v>
      </c>
      <c r="B268" s="13">
        <v>19</v>
      </c>
      <c r="C268" s="13" t="s">
        <v>98</v>
      </c>
      <c r="D268" s="13" t="s">
        <v>93</v>
      </c>
      <c r="E268" s="13" t="s">
        <v>90</v>
      </c>
      <c r="F268" s="13" t="s">
        <v>94</v>
      </c>
      <c r="G268" s="13">
        <v>1</v>
      </c>
      <c r="H268" s="13">
        <v>0</v>
      </c>
      <c r="I268" s="13" t="s">
        <v>86</v>
      </c>
      <c r="J268" s="13" t="s">
        <v>83</v>
      </c>
      <c r="K268" s="13" t="s">
        <v>83</v>
      </c>
      <c r="L268" s="13" t="s">
        <v>91</v>
      </c>
      <c r="M268" s="13">
        <v>40</v>
      </c>
      <c r="N268" s="13">
        <v>5</v>
      </c>
      <c r="O268" s="13" t="s">
        <v>84</v>
      </c>
      <c r="P268" s="13">
        <v>23.8</v>
      </c>
      <c r="Q268" s="13">
        <v>102</v>
      </c>
      <c r="R268" s="13">
        <v>70</v>
      </c>
      <c r="S268" s="13" t="s">
        <v>85</v>
      </c>
      <c r="T268" s="13" t="s">
        <v>86</v>
      </c>
      <c r="U268" s="13" t="s">
        <v>87</v>
      </c>
      <c r="V268" s="13" t="s">
        <v>83</v>
      </c>
      <c r="W268" s="13" t="str">
        <f t="shared" si="24"/>
        <v>Moins de 20 ans</v>
      </c>
      <c r="X268" s="13" t="str">
        <f t="shared" si="25"/>
        <v>Nullipare (0)</v>
      </c>
      <c r="Y268" s="13" t="str">
        <f t="shared" si="26"/>
        <v>4 à 7 CPN</v>
      </c>
      <c r="Z268" s="13" t="str">
        <f t="shared" si="27"/>
        <v>37 SA et plus</v>
      </c>
      <c r="AA268" s="13">
        <f t="shared" si="28"/>
        <v>14.5</v>
      </c>
      <c r="AB268" s="13">
        <f t="shared" si="29"/>
        <v>0</v>
      </c>
    </row>
    <row r="269" spans="1:28" x14ac:dyDescent="0.25">
      <c r="A269" s="13" t="s">
        <v>376</v>
      </c>
      <c r="B269" s="13">
        <v>24</v>
      </c>
      <c r="C269" s="13" t="s">
        <v>79</v>
      </c>
      <c r="D269" s="13" t="s">
        <v>80</v>
      </c>
      <c r="E269" s="13" t="s">
        <v>81</v>
      </c>
      <c r="F269" s="13" t="s">
        <v>94</v>
      </c>
      <c r="G269" s="13">
        <v>2</v>
      </c>
      <c r="H269" s="13">
        <v>1</v>
      </c>
      <c r="I269" s="13" t="s">
        <v>83</v>
      </c>
      <c r="J269" s="13" t="s">
        <v>83</v>
      </c>
      <c r="K269" s="13" t="s">
        <v>83</v>
      </c>
      <c r="L269" s="13" t="s">
        <v>83</v>
      </c>
      <c r="M269" s="13">
        <v>40</v>
      </c>
      <c r="O269" s="13" t="s">
        <v>84</v>
      </c>
      <c r="P269" s="13">
        <v>19.899999999999999</v>
      </c>
      <c r="Q269" s="13">
        <v>116</v>
      </c>
      <c r="R269" s="13">
        <v>70</v>
      </c>
      <c r="S269" s="13" t="s">
        <v>85</v>
      </c>
      <c r="T269" s="13" t="s">
        <v>86</v>
      </c>
      <c r="U269" s="13" t="s">
        <v>87</v>
      </c>
      <c r="V269" s="13" t="s">
        <v>83</v>
      </c>
      <c r="W269" s="13" t="str">
        <f t="shared" si="24"/>
        <v>20-29 ans</v>
      </c>
      <c r="X269" s="13" t="str">
        <f t="shared" si="25"/>
        <v>1-2 accouchements</v>
      </c>
      <c r="Y269" s="13" t="str">
        <f t="shared" si="26"/>
        <v/>
      </c>
      <c r="Z269" s="13" t="str">
        <f t="shared" si="27"/>
        <v>37 SA et plus</v>
      </c>
      <c r="AA269" s="13">
        <f t="shared" si="28"/>
        <v>139.5</v>
      </c>
      <c r="AB269" s="13">
        <f t="shared" si="29"/>
        <v>1</v>
      </c>
    </row>
    <row r="270" spans="1:28" x14ac:dyDescent="0.25">
      <c r="A270" s="13" t="s">
        <v>377</v>
      </c>
      <c r="B270" s="13">
        <v>22</v>
      </c>
      <c r="C270" s="13" t="s">
        <v>79</v>
      </c>
      <c r="D270" s="13" t="s">
        <v>80</v>
      </c>
      <c r="E270" s="13" t="s">
        <v>112</v>
      </c>
      <c r="F270" s="13" t="s">
        <v>82</v>
      </c>
      <c r="G270" s="13">
        <v>1</v>
      </c>
      <c r="H270" s="13">
        <v>0</v>
      </c>
      <c r="I270" s="13" t="s">
        <v>86</v>
      </c>
      <c r="J270" s="13" t="s">
        <v>83</v>
      </c>
      <c r="L270" s="13" t="s">
        <v>83</v>
      </c>
      <c r="M270" s="13">
        <v>31</v>
      </c>
      <c r="N270" s="13">
        <v>4</v>
      </c>
      <c r="O270" s="13" t="s">
        <v>84</v>
      </c>
      <c r="P270" s="13">
        <v>22.2</v>
      </c>
      <c r="Q270" s="13">
        <v>102</v>
      </c>
      <c r="R270" s="13">
        <v>62</v>
      </c>
      <c r="S270" s="13" t="s">
        <v>85</v>
      </c>
      <c r="T270" s="13" t="s">
        <v>86</v>
      </c>
      <c r="U270" s="13" t="s">
        <v>87</v>
      </c>
      <c r="V270" s="13" t="s">
        <v>83</v>
      </c>
      <c r="W270" s="13" t="str">
        <f t="shared" si="24"/>
        <v>20-29 ans</v>
      </c>
      <c r="X270" s="13" t="str">
        <f t="shared" si="25"/>
        <v>Nullipare (0)</v>
      </c>
      <c r="Y270" s="13" t="str">
        <f t="shared" si="26"/>
        <v>4 à 7 CPN</v>
      </c>
      <c r="Z270" s="13" t="str">
        <f t="shared" si="27"/>
        <v>28-36 SA</v>
      </c>
      <c r="AA270" s="13">
        <f t="shared" si="28"/>
        <v>70</v>
      </c>
      <c r="AB270" s="13">
        <f t="shared" si="29"/>
        <v>0</v>
      </c>
    </row>
    <row r="271" spans="1:28" x14ac:dyDescent="0.25">
      <c r="A271" s="13" t="s">
        <v>378</v>
      </c>
      <c r="B271" s="13">
        <v>26</v>
      </c>
      <c r="C271" s="13" t="s">
        <v>79</v>
      </c>
      <c r="D271" s="13" t="s">
        <v>80</v>
      </c>
      <c r="E271" s="13" t="s">
        <v>96</v>
      </c>
      <c r="F271" s="13" t="s">
        <v>82</v>
      </c>
      <c r="G271" s="13">
        <v>4</v>
      </c>
      <c r="H271" s="13">
        <v>3</v>
      </c>
      <c r="I271" s="13" t="s">
        <v>83</v>
      </c>
      <c r="J271" s="13" t="s">
        <v>83</v>
      </c>
      <c r="K271" s="13" t="s">
        <v>83</v>
      </c>
      <c r="L271" s="13" t="s">
        <v>83</v>
      </c>
      <c r="M271" s="13">
        <v>35</v>
      </c>
      <c r="N271" s="13">
        <v>5</v>
      </c>
      <c r="O271" s="13" t="s">
        <v>84</v>
      </c>
      <c r="P271" s="13">
        <v>19.5</v>
      </c>
      <c r="Q271" s="13">
        <v>113</v>
      </c>
      <c r="R271" s="13">
        <v>74</v>
      </c>
      <c r="S271" s="13" t="s">
        <v>113</v>
      </c>
      <c r="T271" s="13" t="s">
        <v>86</v>
      </c>
      <c r="U271" s="13" t="s">
        <v>87</v>
      </c>
      <c r="V271" s="13" t="s">
        <v>83</v>
      </c>
      <c r="W271" s="13" t="str">
        <f t="shared" si="24"/>
        <v>20-29 ans</v>
      </c>
      <c r="X271" s="13" t="str">
        <f t="shared" si="25"/>
        <v>3 accouchements et plus</v>
      </c>
      <c r="Y271" s="13" t="str">
        <f t="shared" si="26"/>
        <v>4 à 7 CPN</v>
      </c>
      <c r="Z271" s="13" t="str">
        <f t="shared" si="27"/>
        <v>28-36 SA</v>
      </c>
      <c r="AA271" s="13">
        <f t="shared" si="28"/>
        <v>206</v>
      </c>
      <c r="AB271" s="13">
        <f t="shared" si="29"/>
        <v>1</v>
      </c>
    </row>
    <row r="272" spans="1:28" x14ac:dyDescent="0.25">
      <c r="A272" s="13" t="s">
        <v>379</v>
      </c>
      <c r="B272" s="13">
        <v>27</v>
      </c>
      <c r="C272" s="13" t="s">
        <v>89</v>
      </c>
      <c r="D272" s="13" t="s">
        <v>80</v>
      </c>
      <c r="E272" s="13" t="s">
        <v>101</v>
      </c>
      <c r="F272" s="13" t="s">
        <v>94</v>
      </c>
      <c r="G272" s="13">
        <v>4</v>
      </c>
      <c r="H272" s="13">
        <v>3</v>
      </c>
      <c r="I272" s="13" t="s">
        <v>83</v>
      </c>
      <c r="J272" s="13" t="s">
        <v>83</v>
      </c>
      <c r="K272" s="13" t="s">
        <v>83</v>
      </c>
      <c r="L272" s="13" t="s">
        <v>83</v>
      </c>
      <c r="M272" s="13">
        <v>38</v>
      </c>
      <c r="N272" s="13">
        <v>6</v>
      </c>
      <c r="O272" s="13" t="s">
        <v>84</v>
      </c>
      <c r="P272" s="13">
        <v>21.8</v>
      </c>
      <c r="Q272" s="13">
        <v>111</v>
      </c>
      <c r="R272" s="13">
        <v>79</v>
      </c>
      <c r="S272" s="13" t="s">
        <v>85</v>
      </c>
      <c r="T272" s="13" t="s">
        <v>86</v>
      </c>
      <c r="U272" s="13" t="s">
        <v>87</v>
      </c>
      <c r="V272" s="13" t="s">
        <v>83</v>
      </c>
      <c r="W272" s="13" t="str">
        <f t="shared" si="24"/>
        <v>20-29 ans</v>
      </c>
      <c r="X272" s="13" t="str">
        <f t="shared" si="25"/>
        <v>3 accouchements et plus</v>
      </c>
      <c r="Y272" s="13" t="str">
        <f t="shared" si="26"/>
        <v>4 à 7 CPN</v>
      </c>
      <c r="Z272" s="13" t="str">
        <f t="shared" si="27"/>
        <v>37 SA et plus</v>
      </c>
      <c r="AA272" s="13">
        <f t="shared" si="28"/>
        <v>243</v>
      </c>
      <c r="AB272" s="13">
        <f t="shared" si="29"/>
        <v>1</v>
      </c>
    </row>
    <row r="273" spans="1:28" x14ac:dyDescent="0.25">
      <c r="A273" s="13" t="s">
        <v>380</v>
      </c>
      <c r="B273" s="13">
        <v>20</v>
      </c>
      <c r="C273" s="13" t="s">
        <v>89</v>
      </c>
      <c r="D273" s="13" t="s">
        <v>80</v>
      </c>
      <c r="E273" s="13" t="s">
        <v>96</v>
      </c>
      <c r="F273" s="13" t="s">
        <v>82</v>
      </c>
      <c r="G273" s="13">
        <v>3</v>
      </c>
      <c r="H273" s="13">
        <v>1</v>
      </c>
      <c r="I273" s="13" t="s">
        <v>83</v>
      </c>
      <c r="J273" s="13" t="s">
        <v>83</v>
      </c>
      <c r="K273" s="13" t="s">
        <v>83</v>
      </c>
      <c r="L273" s="13" t="s">
        <v>83</v>
      </c>
      <c r="M273" s="13">
        <v>33</v>
      </c>
      <c r="N273" s="13">
        <v>3</v>
      </c>
      <c r="O273" s="13" t="s">
        <v>84</v>
      </c>
      <c r="P273" s="13">
        <v>26</v>
      </c>
      <c r="Q273" s="13">
        <v>109</v>
      </c>
      <c r="R273" s="13">
        <v>61</v>
      </c>
      <c r="S273" s="13" t="s">
        <v>85</v>
      </c>
      <c r="T273" s="13" t="s">
        <v>86</v>
      </c>
      <c r="U273" s="13" t="s">
        <v>87</v>
      </c>
      <c r="V273" s="13" t="s">
        <v>83</v>
      </c>
      <c r="W273" s="13" t="str">
        <f t="shared" si="24"/>
        <v>20-29 ans</v>
      </c>
      <c r="X273" s="13" t="str">
        <f t="shared" si="25"/>
        <v>1-2 accouchements</v>
      </c>
      <c r="Y273" s="13" t="str">
        <f t="shared" si="26"/>
        <v>Moins de 4 CPN</v>
      </c>
      <c r="Z273" s="13" t="str">
        <f t="shared" si="27"/>
        <v>28-36 SA</v>
      </c>
      <c r="AA273" s="13">
        <f t="shared" si="28"/>
        <v>30.5</v>
      </c>
      <c r="AB273" s="13">
        <f t="shared" si="29"/>
        <v>1</v>
      </c>
    </row>
    <row r="274" spans="1:28" x14ac:dyDescent="0.25">
      <c r="A274" s="13" t="s">
        <v>381</v>
      </c>
      <c r="B274" s="13">
        <v>28</v>
      </c>
      <c r="C274" s="13" t="s">
        <v>89</v>
      </c>
      <c r="D274" s="13" t="s">
        <v>80</v>
      </c>
      <c r="E274" s="13" t="s">
        <v>96</v>
      </c>
      <c r="F274" s="13" t="s">
        <v>82</v>
      </c>
      <c r="G274" s="13">
        <v>1</v>
      </c>
      <c r="H274" s="13">
        <v>0</v>
      </c>
      <c r="I274" s="13" t="s">
        <v>86</v>
      </c>
      <c r="J274" s="13" t="s">
        <v>83</v>
      </c>
      <c r="K274" s="13" t="s">
        <v>91</v>
      </c>
      <c r="L274" s="13" t="s">
        <v>83</v>
      </c>
      <c r="M274" s="13">
        <v>37</v>
      </c>
      <c r="N274" s="13">
        <v>0</v>
      </c>
      <c r="O274" s="13" t="s">
        <v>84</v>
      </c>
      <c r="P274" s="13">
        <v>24.3</v>
      </c>
      <c r="Q274" s="13">
        <v>112</v>
      </c>
      <c r="R274" s="13">
        <v>76</v>
      </c>
      <c r="S274" s="13" t="s">
        <v>85</v>
      </c>
      <c r="T274" s="13" t="s">
        <v>86</v>
      </c>
      <c r="U274" s="13" t="s">
        <v>87</v>
      </c>
      <c r="V274" s="13" t="s">
        <v>83</v>
      </c>
      <c r="W274" s="13" t="str">
        <f t="shared" si="24"/>
        <v>20-29 ans</v>
      </c>
      <c r="X274" s="13" t="str">
        <f t="shared" si="25"/>
        <v>Nullipare (0)</v>
      </c>
      <c r="Y274" s="13" t="str">
        <f t="shared" si="26"/>
        <v>Moins de 4 CPN</v>
      </c>
      <c r="Z274" s="13" t="str">
        <f t="shared" si="27"/>
        <v>37 SA et plus</v>
      </c>
      <c r="AA274" s="13">
        <f t="shared" si="28"/>
        <v>276</v>
      </c>
      <c r="AB274" s="13">
        <f t="shared" si="29"/>
        <v>0</v>
      </c>
    </row>
    <row r="275" spans="1:28" x14ac:dyDescent="0.25">
      <c r="A275" s="13" t="s">
        <v>382</v>
      </c>
      <c r="B275" s="13">
        <v>23</v>
      </c>
      <c r="C275" s="13" t="s">
        <v>98</v>
      </c>
      <c r="D275" s="13" t="s">
        <v>124</v>
      </c>
      <c r="E275" s="13" t="s">
        <v>81</v>
      </c>
      <c r="F275" s="13" t="s">
        <v>82</v>
      </c>
      <c r="G275" s="13">
        <v>1</v>
      </c>
      <c r="H275" s="13">
        <v>0</v>
      </c>
      <c r="I275" s="13" t="s">
        <v>86</v>
      </c>
      <c r="J275" s="13" t="s">
        <v>83</v>
      </c>
      <c r="K275" s="13" t="s">
        <v>83</v>
      </c>
      <c r="L275" s="13" t="s">
        <v>83</v>
      </c>
      <c r="M275" s="13">
        <v>29</v>
      </c>
      <c r="N275" s="13">
        <v>3</v>
      </c>
      <c r="O275" s="13" t="s">
        <v>84</v>
      </c>
      <c r="P275" s="13">
        <v>28.7</v>
      </c>
      <c r="Q275" s="13">
        <v>101</v>
      </c>
      <c r="R275" s="13">
        <v>68</v>
      </c>
      <c r="S275" s="13" t="s">
        <v>85</v>
      </c>
      <c r="T275" s="13" t="s">
        <v>86</v>
      </c>
      <c r="U275" s="13" t="s">
        <v>87</v>
      </c>
      <c r="V275" s="13" t="s">
        <v>83</v>
      </c>
      <c r="W275" s="13" t="str">
        <f t="shared" si="24"/>
        <v>20-29 ans</v>
      </c>
      <c r="X275" s="13" t="str">
        <f t="shared" si="25"/>
        <v>Nullipare (0)</v>
      </c>
      <c r="Y275" s="13" t="str">
        <f t="shared" si="26"/>
        <v>Moins de 4 CPN</v>
      </c>
      <c r="Z275" s="13" t="str">
        <f t="shared" si="27"/>
        <v>28-36 SA</v>
      </c>
      <c r="AA275" s="13">
        <f t="shared" si="28"/>
        <v>103.5</v>
      </c>
      <c r="AB275" s="13">
        <f t="shared" si="29"/>
        <v>0</v>
      </c>
    </row>
    <row r="276" spans="1:28" x14ac:dyDescent="0.25">
      <c r="A276" s="13" t="s">
        <v>383</v>
      </c>
      <c r="B276" s="13">
        <v>25</v>
      </c>
      <c r="C276" s="13" t="s">
        <v>79</v>
      </c>
      <c r="D276" s="13" t="s">
        <v>124</v>
      </c>
      <c r="E276" s="13" t="s">
        <v>96</v>
      </c>
      <c r="F276" s="13" t="s">
        <v>82</v>
      </c>
      <c r="G276" s="13">
        <v>1</v>
      </c>
      <c r="H276" s="13">
        <v>0</v>
      </c>
      <c r="I276" s="13" t="s">
        <v>86</v>
      </c>
      <c r="J276" s="13" t="s">
        <v>83</v>
      </c>
      <c r="K276" s="13" t="s">
        <v>83</v>
      </c>
      <c r="L276" s="13" t="s">
        <v>83</v>
      </c>
      <c r="M276" s="13">
        <v>37</v>
      </c>
      <c r="N276" s="13">
        <v>5</v>
      </c>
      <c r="O276" s="13" t="s">
        <v>84</v>
      </c>
      <c r="P276" s="13">
        <v>18.399999999999999</v>
      </c>
      <c r="Q276" s="13">
        <v>110</v>
      </c>
      <c r="R276" s="13">
        <v>65</v>
      </c>
      <c r="S276" s="13" t="s">
        <v>85</v>
      </c>
      <c r="T276" s="13" t="s">
        <v>86</v>
      </c>
      <c r="U276" s="13" t="s">
        <v>87</v>
      </c>
      <c r="V276" s="13" t="s">
        <v>83</v>
      </c>
      <c r="W276" s="13" t="str">
        <f t="shared" si="24"/>
        <v>20-29 ans</v>
      </c>
      <c r="X276" s="13" t="str">
        <f t="shared" si="25"/>
        <v>Nullipare (0)</v>
      </c>
      <c r="Y276" s="13" t="str">
        <f t="shared" si="26"/>
        <v>4 à 7 CPN</v>
      </c>
      <c r="Z276" s="13" t="str">
        <f t="shared" si="27"/>
        <v>37 SA et plus</v>
      </c>
      <c r="AA276" s="13">
        <f t="shared" si="28"/>
        <v>173</v>
      </c>
      <c r="AB276" s="13">
        <f t="shared" si="29"/>
        <v>0</v>
      </c>
    </row>
    <row r="277" spans="1:28" x14ac:dyDescent="0.25">
      <c r="A277" s="13" t="s">
        <v>384</v>
      </c>
      <c r="B277" s="13">
        <v>28</v>
      </c>
      <c r="C277" s="13" t="s">
        <v>79</v>
      </c>
      <c r="D277" s="13" t="s">
        <v>80</v>
      </c>
      <c r="E277" s="13" t="s">
        <v>99</v>
      </c>
      <c r="F277" s="13" t="s">
        <v>82</v>
      </c>
      <c r="G277" s="13">
        <v>5</v>
      </c>
      <c r="H277" s="13">
        <v>4</v>
      </c>
      <c r="I277" s="13" t="s">
        <v>83</v>
      </c>
      <c r="J277" s="13" t="s">
        <v>83</v>
      </c>
      <c r="K277" s="13" t="s">
        <v>83</v>
      </c>
      <c r="L277" s="13" t="s">
        <v>83</v>
      </c>
      <c r="M277" s="13">
        <v>33</v>
      </c>
      <c r="N277" s="13">
        <v>3</v>
      </c>
      <c r="O277" s="13" t="s">
        <v>84</v>
      </c>
      <c r="Q277" s="13">
        <v>110</v>
      </c>
      <c r="R277" s="13">
        <v>73</v>
      </c>
      <c r="S277" s="13" t="s">
        <v>106</v>
      </c>
      <c r="T277" s="13" t="s">
        <v>86</v>
      </c>
      <c r="U277" s="13" t="s">
        <v>87</v>
      </c>
      <c r="V277" s="13" t="s">
        <v>83</v>
      </c>
      <c r="W277" s="13" t="str">
        <f t="shared" si="24"/>
        <v>20-29 ans</v>
      </c>
      <c r="X277" s="13" t="str">
        <f t="shared" si="25"/>
        <v>3 accouchements et plus</v>
      </c>
      <c r="Y277" s="13" t="str">
        <f t="shared" si="26"/>
        <v>Moins de 4 CPN</v>
      </c>
      <c r="Z277" s="13" t="str">
        <f t="shared" si="27"/>
        <v>28-36 SA</v>
      </c>
      <c r="AA277" s="13">
        <f t="shared" si="28"/>
        <v>276</v>
      </c>
      <c r="AB277" s="13">
        <f t="shared" si="29"/>
        <v>1</v>
      </c>
    </row>
    <row r="278" spans="1:28" x14ac:dyDescent="0.25">
      <c r="A278" s="13" t="s">
        <v>385</v>
      </c>
      <c r="B278" s="13">
        <v>22</v>
      </c>
      <c r="C278" s="13" t="s">
        <v>98</v>
      </c>
      <c r="D278" s="13" t="s">
        <v>80</v>
      </c>
      <c r="E278" s="13" t="s">
        <v>96</v>
      </c>
      <c r="F278" s="13" t="s">
        <v>94</v>
      </c>
      <c r="G278" s="13">
        <v>1</v>
      </c>
      <c r="H278" s="13">
        <v>0</v>
      </c>
      <c r="I278" s="13" t="s">
        <v>86</v>
      </c>
      <c r="J278" s="13" t="s">
        <v>83</v>
      </c>
      <c r="K278" s="13" t="s">
        <v>83</v>
      </c>
      <c r="L278" s="13" t="s">
        <v>83</v>
      </c>
      <c r="M278" s="13">
        <v>39</v>
      </c>
      <c r="N278" s="13">
        <v>4</v>
      </c>
      <c r="O278" s="13" t="s">
        <v>84</v>
      </c>
      <c r="P278" s="13">
        <v>22.4</v>
      </c>
      <c r="Q278" s="13">
        <v>131</v>
      </c>
      <c r="R278" s="13">
        <v>91</v>
      </c>
      <c r="S278" s="13" t="s">
        <v>113</v>
      </c>
      <c r="T278" s="13" t="s">
        <v>91</v>
      </c>
      <c r="U278" s="13" t="s">
        <v>114</v>
      </c>
      <c r="V278" s="13" t="s">
        <v>91</v>
      </c>
      <c r="W278" s="13" t="str">
        <f t="shared" si="24"/>
        <v>20-29 ans</v>
      </c>
      <c r="X278" s="13" t="str">
        <f t="shared" si="25"/>
        <v>Nullipare (0)</v>
      </c>
      <c r="Y278" s="13" t="str">
        <f t="shared" si="26"/>
        <v>4 à 7 CPN</v>
      </c>
      <c r="Z278" s="13" t="str">
        <f t="shared" si="27"/>
        <v>37 SA et plus</v>
      </c>
      <c r="AA278" s="13">
        <f t="shared" si="28"/>
        <v>70</v>
      </c>
      <c r="AB278" s="13">
        <f t="shared" si="29"/>
        <v>0</v>
      </c>
    </row>
    <row r="279" spans="1:28" x14ac:dyDescent="0.25">
      <c r="A279" s="13" t="s">
        <v>386</v>
      </c>
      <c r="B279" s="13">
        <v>22</v>
      </c>
      <c r="C279" s="13" t="s">
        <v>79</v>
      </c>
      <c r="D279" s="13" t="s">
        <v>124</v>
      </c>
      <c r="E279" s="13" t="s">
        <v>81</v>
      </c>
      <c r="F279" s="13" t="s">
        <v>94</v>
      </c>
      <c r="G279" s="13">
        <v>2</v>
      </c>
      <c r="H279" s="13">
        <v>1</v>
      </c>
      <c r="I279" s="13" t="s">
        <v>83</v>
      </c>
      <c r="J279" s="13" t="s">
        <v>83</v>
      </c>
      <c r="K279" s="13" t="s">
        <v>83</v>
      </c>
      <c r="L279" s="13" t="s">
        <v>83</v>
      </c>
      <c r="M279" s="13">
        <v>30</v>
      </c>
      <c r="N279" s="13">
        <v>3</v>
      </c>
      <c r="O279" s="13" t="s">
        <v>84</v>
      </c>
      <c r="P279" s="13">
        <v>26.8</v>
      </c>
      <c r="Q279" s="13">
        <v>120</v>
      </c>
      <c r="R279" s="13">
        <v>68</v>
      </c>
      <c r="S279" s="13" t="s">
        <v>85</v>
      </c>
      <c r="T279" s="13" t="s">
        <v>86</v>
      </c>
      <c r="U279" s="13" t="s">
        <v>87</v>
      </c>
      <c r="V279" s="13" t="s">
        <v>83</v>
      </c>
      <c r="W279" s="13" t="str">
        <f t="shared" si="24"/>
        <v>20-29 ans</v>
      </c>
      <c r="X279" s="13" t="str">
        <f t="shared" si="25"/>
        <v>1-2 accouchements</v>
      </c>
      <c r="Y279" s="13" t="str">
        <f t="shared" si="26"/>
        <v>Moins de 4 CPN</v>
      </c>
      <c r="Z279" s="13" t="str">
        <f t="shared" si="27"/>
        <v>28-36 SA</v>
      </c>
      <c r="AA279" s="13">
        <f t="shared" si="28"/>
        <v>70</v>
      </c>
      <c r="AB279" s="13">
        <f t="shared" si="29"/>
        <v>1</v>
      </c>
    </row>
    <row r="280" spans="1:28" x14ac:dyDescent="0.25">
      <c r="A280" s="13" t="s">
        <v>387</v>
      </c>
      <c r="B280" s="13">
        <v>27</v>
      </c>
      <c r="C280" s="13" t="s">
        <v>79</v>
      </c>
      <c r="D280" s="13" t="s">
        <v>80</v>
      </c>
      <c r="E280" s="13" t="s">
        <v>96</v>
      </c>
      <c r="F280" s="13" t="s">
        <v>82</v>
      </c>
      <c r="G280" s="13">
        <v>2</v>
      </c>
      <c r="H280" s="13">
        <v>1</v>
      </c>
      <c r="I280" s="13" t="s">
        <v>83</v>
      </c>
      <c r="J280" s="13" t="s">
        <v>83</v>
      </c>
      <c r="K280" s="13" t="s">
        <v>83</v>
      </c>
      <c r="L280" s="13" t="s">
        <v>83</v>
      </c>
      <c r="M280" s="13">
        <v>40</v>
      </c>
      <c r="N280" s="13">
        <v>1</v>
      </c>
      <c r="O280" s="13" t="s">
        <v>84</v>
      </c>
      <c r="P280" s="13">
        <v>17.8</v>
      </c>
      <c r="Q280" s="13">
        <v>110</v>
      </c>
      <c r="R280" s="13">
        <v>72</v>
      </c>
      <c r="S280" s="13" t="s">
        <v>85</v>
      </c>
      <c r="T280" s="13" t="s">
        <v>86</v>
      </c>
      <c r="U280" s="13" t="s">
        <v>87</v>
      </c>
      <c r="V280" s="13" t="s">
        <v>83</v>
      </c>
      <c r="W280" s="13" t="str">
        <f t="shared" si="24"/>
        <v>20-29 ans</v>
      </c>
      <c r="X280" s="13" t="str">
        <f t="shared" si="25"/>
        <v>1-2 accouchements</v>
      </c>
      <c r="Y280" s="13" t="str">
        <f t="shared" si="26"/>
        <v>Moins de 4 CPN</v>
      </c>
      <c r="Z280" s="13" t="str">
        <f t="shared" si="27"/>
        <v>37 SA et plus</v>
      </c>
      <c r="AA280" s="13">
        <f t="shared" si="28"/>
        <v>243</v>
      </c>
      <c r="AB280" s="13">
        <f t="shared" si="29"/>
        <v>1</v>
      </c>
    </row>
    <row r="281" spans="1:28" x14ac:dyDescent="0.25">
      <c r="A281" s="13" t="s">
        <v>388</v>
      </c>
      <c r="B281" s="13">
        <v>24</v>
      </c>
      <c r="C281" s="13" t="s">
        <v>98</v>
      </c>
      <c r="D281" s="13" t="s">
        <v>80</v>
      </c>
      <c r="E281" s="13" t="s">
        <v>81</v>
      </c>
      <c r="F281" s="13" t="s">
        <v>94</v>
      </c>
      <c r="G281" s="13">
        <v>1</v>
      </c>
      <c r="H281" s="13">
        <v>0</v>
      </c>
      <c r="I281" s="13" t="s">
        <v>86</v>
      </c>
      <c r="J281" s="13" t="s">
        <v>83</v>
      </c>
      <c r="K281" s="13" t="s">
        <v>83</v>
      </c>
      <c r="L281" s="13" t="s">
        <v>83</v>
      </c>
      <c r="M281" s="13">
        <v>35</v>
      </c>
      <c r="N281" s="13">
        <v>4</v>
      </c>
      <c r="O281" s="13" t="s">
        <v>84</v>
      </c>
      <c r="P281" s="13">
        <v>31.8</v>
      </c>
      <c r="Q281" s="13">
        <v>109</v>
      </c>
      <c r="R281" s="13">
        <v>59</v>
      </c>
      <c r="S281" s="13" t="s">
        <v>85</v>
      </c>
      <c r="T281" s="13" t="s">
        <v>86</v>
      </c>
      <c r="U281" s="13" t="s">
        <v>87</v>
      </c>
      <c r="V281" s="13" t="s">
        <v>83</v>
      </c>
      <c r="W281" s="13" t="str">
        <f t="shared" si="24"/>
        <v>20-29 ans</v>
      </c>
      <c r="X281" s="13" t="str">
        <f t="shared" si="25"/>
        <v>Nullipare (0)</v>
      </c>
      <c r="Y281" s="13" t="str">
        <f t="shared" si="26"/>
        <v>4 à 7 CPN</v>
      </c>
      <c r="Z281" s="13" t="str">
        <f t="shared" si="27"/>
        <v>28-36 SA</v>
      </c>
      <c r="AA281" s="13">
        <f t="shared" si="28"/>
        <v>139.5</v>
      </c>
      <c r="AB281" s="13">
        <f t="shared" si="29"/>
        <v>0</v>
      </c>
    </row>
    <row r="282" spans="1:28" x14ac:dyDescent="0.25">
      <c r="A282" s="13" t="s">
        <v>389</v>
      </c>
      <c r="B282" s="13">
        <v>27</v>
      </c>
      <c r="C282" s="13" t="s">
        <v>79</v>
      </c>
      <c r="D282" s="13" t="s">
        <v>80</v>
      </c>
      <c r="E282" s="13" t="s">
        <v>81</v>
      </c>
      <c r="F282" s="13" t="s">
        <v>94</v>
      </c>
      <c r="G282" s="13">
        <v>2</v>
      </c>
      <c r="H282" s="13">
        <v>1</v>
      </c>
      <c r="I282" s="13" t="s">
        <v>83</v>
      </c>
      <c r="J282" s="13" t="s">
        <v>83</v>
      </c>
      <c r="K282" s="13" t="s">
        <v>83</v>
      </c>
      <c r="L282" s="13" t="s">
        <v>83</v>
      </c>
      <c r="M282" s="13">
        <v>28</v>
      </c>
      <c r="N282" s="13">
        <v>3</v>
      </c>
      <c r="O282" s="13" t="s">
        <v>84</v>
      </c>
      <c r="Q282" s="13">
        <v>120</v>
      </c>
      <c r="R282" s="13">
        <v>75</v>
      </c>
      <c r="S282" s="13" t="s">
        <v>85</v>
      </c>
      <c r="T282" s="13" t="s">
        <v>86</v>
      </c>
      <c r="U282" s="13" t="s">
        <v>87</v>
      </c>
      <c r="V282" s="13" t="s">
        <v>83</v>
      </c>
      <c r="W282" s="13" t="str">
        <f t="shared" si="24"/>
        <v>20-29 ans</v>
      </c>
      <c r="X282" s="13" t="str">
        <f t="shared" si="25"/>
        <v>1-2 accouchements</v>
      </c>
      <c r="Y282" s="13" t="str">
        <f t="shared" si="26"/>
        <v>Moins de 4 CPN</v>
      </c>
      <c r="Z282" s="13" t="str">
        <f t="shared" si="27"/>
        <v>28-36 SA</v>
      </c>
      <c r="AA282" s="13">
        <f t="shared" si="28"/>
        <v>243</v>
      </c>
      <c r="AB282" s="13">
        <f t="shared" si="29"/>
        <v>1</v>
      </c>
    </row>
    <row r="283" spans="1:28" x14ac:dyDescent="0.25">
      <c r="A283" s="13" t="s">
        <v>390</v>
      </c>
      <c r="B283" s="13">
        <v>25</v>
      </c>
      <c r="C283" s="13" t="s">
        <v>89</v>
      </c>
      <c r="D283" s="13" t="s">
        <v>80</v>
      </c>
      <c r="E283" s="13" t="s">
        <v>81</v>
      </c>
      <c r="F283" s="13" t="s">
        <v>94</v>
      </c>
      <c r="G283" s="13">
        <v>3</v>
      </c>
      <c r="H283" s="13">
        <v>2</v>
      </c>
      <c r="I283" s="13" t="s">
        <v>83</v>
      </c>
      <c r="J283" s="13" t="s">
        <v>83</v>
      </c>
      <c r="K283" s="13" t="s">
        <v>83</v>
      </c>
      <c r="L283" s="13" t="s">
        <v>83</v>
      </c>
      <c r="M283" s="13">
        <v>35</v>
      </c>
      <c r="N283" s="13">
        <v>3</v>
      </c>
      <c r="O283" s="13" t="s">
        <v>84</v>
      </c>
      <c r="P283" s="13">
        <v>23.1</v>
      </c>
      <c r="Q283" s="13">
        <v>103</v>
      </c>
      <c r="R283" s="13">
        <v>73</v>
      </c>
      <c r="S283" s="13" t="s">
        <v>85</v>
      </c>
      <c r="T283" s="13" t="s">
        <v>86</v>
      </c>
      <c r="U283" s="13" t="s">
        <v>87</v>
      </c>
      <c r="V283" s="13" t="s">
        <v>83</v>
      </c>
      <c r="W283" s="13" t="str">
        <f t="shared" si="24"/>
        <v>20-29 ans</v>
      </c>
      <c r="X283" s="13" t="str">
        <f t="shared" si="25"/>
        <v>1-2 accouchements</v>
      </c>
      <c r="Y283" s="13" t="str">
        <f t="shared" si="26"/>
        <v>Moins de 4 CPN</v>
      </c>
      <c r="Z283" s="13" t="str">
        <f t="shared" si="27"/>
        <v>28-36 SA</v>
      </c>
      <c r="AA283" s="13">
        <f t="shared" si="28"/>
        <v>173</v>
      </c>
      <c r="AB283" s="13">
        <f t="shared" si="29"/>
        <v>1</v>
      </c>
    </row>
    <row r="284" spans="1:28" x14ac:dyDescent="0.25">
      <c r="A284" s="13" t="s">
        <v>391</v>
      </c>
      <c r="B284" s="13">
        <v>27</v>
      </c>
      <c r="C284" s="13" t="s">
        <v>79</v>
      </c>
      <c r="D284" s="13" t="s">
        <v>124</v>
      </c>
      <c r="E284" s="13" t="s">
        <v>81</v>
      </c>
      <c r="F284" s="13" t="s">
        <v>82</v>
      </c>
      <c r="G284" s="13">
        <v>1</v>
      </c>
      <c r="H284" s="13">
        <v>0</v>
      </c>
      <c r="I284" s="13" t="s">
        <v>86</v>
      </c>
      <c r="J284" s="13" t="s">
        <v>83</v>
      </c>
      <c r="K284" s="13" t="s">
        <v>83</v>
      </c>
      <c r="L284" s="13" t="s">
        <v>83</v>
      </c>
      <c r="M284" s="13">
        <v>40</v>
      </c>
      <c r="N284" s="13">
        <v>5</v>
      </c>
      <c r="O284" s="13" t="s">
        <v>84</v>
      </c>
      <c r="P284" s="13">
        <v>25.4</v>
      </c>
      <c r="Q284" s="13">
        <v>114</v>
      </c>
      <c r="R284" s="13">
        <v>65</v>
      </c>
      <c r="S284" s="13" t="s">
        <v>106</v>
      </c>
      <c r="T284" s="13" t="s">
        <v>86</v>
      </c>
      <c r="U284" s="13" t="s">
        <v>87</v>
      </c>
      <c r="V284" s="13" t="s">
        <v>83</v>
      </c>
      <c r="W284" s="13" t="str">
        <f t="shared" si="24"/>
        <v>20-29 ans</v>
      </c>
      <c r="X284" s="13" t="str">
        <f t="shared" si="25"/>
        <v>Nullipare (0)</v>
      </c>
      <c r="Y284" s="13" t="str">
        <f t="shared" si="26"/>
        <v>4 à 7 CPN</v>
      </c>
      <c r="Z284" s="13" t="str">
        <f t="shared" si="27"/>
        <v>37 SA et plus</v>
      </c>
      <c r="AA284" s="13">
        <f t="shared" si="28"/>
        <v>243</v>
      </c>
      <c r="AB284" s="13">
        <f t="shared" si="29"/>
        <v>0</v>
      </c>
    </row>
    <row r="285" spans="1:28" x14ac:dyDescent="0.25">
      <c r="A285" s="13" t="s">
        <v>392</v>
      </c>
      <c r="B285" s="13">
        <v>34</v>
      </c>
      <c r="C285" s="13" t="s">
        <v>79</v>
      </c>
      <c r="D285" s="13" t="s">
        <v>124</v>
      </c>
      <c r="E285" s="13" t="s">
        <v>96</v>
      </c>
      <c r="F285" s="13" t="s">
        <v>82</v>
      </c>
      <c r="G285" s="13">
        <v>3</v>
      </c>
      <c r="H285" s="13">
        <v>1</v>
      </c>
      <c r="I285" s="13" t="s">
        <v>83</v>
      </c>
      <c r="J285" s="13" t="s">
        <v>83</v>
      </c>
      <c r="K285" s="13" t="s">
        <v>83</v>
      </c>
      <c r="L285" s="13" t="s">
        <v>83</v>
      </c>
      <c r="M285" s="13">
        <v>29</v>
      </c>
      <c r="N285" s="13">
        <v>7</v>
      </c>
      <c r="O285" s="13" t="s">
        <v>84</v>
      </c>
      <c r="P285" s="13">
        <v>29.3</v>
      </c>
      <c r="Q285" s="13">
        <v>112</v>
      </c>
      <c r="R285" s="13">
        <v>63</v>
      </c>
      <c r="S285" s="13" t="s">
        <v>85</v>
      </c>
      <c r="T285" s="13" t="s">
        <v>86</v>
      </c>
      <c r="U285" s="13" t="s">
        <v>87</v>
      </c>
      <c r="V285" s="13" t="s">
        <v>83</v>
      </c>
      <c r="W285" s="13" t="str">
        <f t="shared" si="24"/>
        <v>30-34 ans</v>
      </c>
      <c r="X285" s="13" t="str">
        <f t="shared" si="25"/>
        <v>1-2 accouchements</v>
      </c>
      <c r="Y285" s="13" t="str">
        <f t="shared" si="26"/>
        <v>4 à 7 CPN</v>
      </c>
      <c r="Z285" s="13" t="str">
        <f t="shared" si="27"/>
        <v>28-36 SA</v>
      </c>
      <c r="AA285" s="13">
        <f t="shared" si="28"/>
        <v>372</v>
      </c>
      <c r="AB285" s="13">
        <f t="shared" si="29"/>
        <v>1</v>
      </c>
    </row>
    <row r="286" spans="1:28" x14ac:dyDescent="0.25">
      <c r="A286" s="13" t="s">
        <v>393</v>
      </c>
      <c r="B286" s="13">
        <v>32</v>
      </c>
      <c r="C286" s="13" t="s">
        <v>79</v>
      </c>
      <c r="D286" s="13" t="s">
        <v>93</v>
      </c>
      <c r="E286" s="13" t="s">
        <v>96</v>
      </c>
      <c r="F286" s="13" t="s">
        <v>82</v>
      </c>
      <c r="G286" s="13">
        <v>1</v>
      </c>
      <c r="H286" s="13">
        <v>0</v>
      </c>
      <c r="I286" s="13" t="s">
        <v>86</v>
      </c>
      <c r="J286" s="13" t="s">
        <v>83</v>
      </c>
      <c r="K286" s="13" t="s">
        <v>91</v>
      </c>
      <c r="L286" s="13" t="s">
        <v>83</v>
      </c>
      <c r="M286" s="13">
        <v>30</v>
      </c>
      <c r="N286" s="13">
        <v>4</v>
      </c>
      <c r="O286" s="13" t="s">
        <v>84</v>
      </c>
      <c r="P286" s="13">
        <v>25.5</v>
      </c>
      <c r="Q286" s="13">
        <v>140</v>
      </c>
      <c r="R286" s="13">
        <v>92</v>
      </c>
      <c r="S286" s="13" t="s">
        <v>113</v>
      </c>
      <c r="T286" s="13" t="s">
        <v>91</v>
      </c>
      <c r="U286" s="13" t="s">
        <v>114</v>
      </c>
      <c r="V286" s="13" t="s">
        <v>91</v>
      </c>
      <c r="W286" s="13" t="str">
        <f t="shared" si="24"/>
        <v>30-34 ans</v>
      </c>
      <c r="X286" s="13" t="str">
        <f t="shared" si="25"/>
        <v>Nullipare (0)</v>
      </c>
      <c r="Y286" s="13" t="str">
        <f t="shared" si="26"/>
        <v>4 à 7 CPN</v>
      </c>
      <c r="Z286" s="13" t="str">
        <f t="shared" si="27"/>
        <v>28-36 SA</v>
      </c>
      <c r="AA286" s="13">
        <f t="shared" si="28"/>
        <v>347.5</v>
      </c>
      <c r="AB286" s="13">
        <f t="shared" si="29"/>
        <v>0</v>
      </c>
    </row>
    <row r="287" spans="1:28" x14ac:dyDescent="0.25">
      <c r="A287" s="13" t="s">
        <v>394</v>
      </c>
      <c r="B287" s="13">
        <v>44</v>
      </c>
      <c r="C287" s="13" t="s">
        <v>79</v>
      </c>
      <c r="D287" s="13" t="s">
        <v>93</v>
      </c>
      <c r="E287" s="13" t="s">
        <v>96</v>
      </c>
      <c r="F287" s="13" t="s">
        <v>82</v>
      </c>
      <c r="G287" s="13">
        <v>6</v>
      </c>
      <c r="H287" s="13">
        <v>5</v>
      </c>
      <c r="I287" s="13" t="s">
        <v>83</v>
      </c>
      <c r="J287" s="13" t="s">
        <v>83</v>
      </c>
      <c r="K287" s="13" t="s">
        <v>83</v>
      </c>
      <c r="L287" s="13" t="s">
        <v>83</v>
      </c>
      <c r="M287" s="13">
        <v>31</v>
      </c>
      <c r="N287" s="13">
        <v>3</v>
      </c>
      <c r="O287" s="13" t="s">
        <v>84</v>
      </c>
      <c r="P287" s="13">
        <v>25.3</v>
      </c>
      <c r="Q287" s="13">
        <v>109</v>
      </c>
      <c r="R287" s="13">
        <v>74</v>
      </c>
      <c r="S287" s="13" t="s">
        <v>85</v>
      </c>
      <c r="T287" s="13" t="s">
        <v>86</v>
      </c>
      <c r="U287" s="13" t="s">
        <v>87</v>
      </c>
      <c r="V287" s="13" t="s">
        <v>83</v>
      </c>
      <c r="W287" s="13" t="str">
        <f t="shared" si="24"/>
        <v>35 ans et plus</v>
      </c>
      <c r="X287" s="13" t="str">
        <f t="shared" si="25"/>
        <v>3 accouchements et plus</v>
      </c>
      <c r="Y287" s="13" t="str">
        <f t="shared" si="26"/>
        <v>Moins de 4 CPN</v>
      </c>
      <c r="Z287" s="13" t="str">
        <f t="shared" si="27"/>
        <v>28-36 SA</v>
      </c>
      <c r="AA287" s="13">
        <f t="shared" si="28"/>
        <v>398</v>
      </c>
      <c r="AB287" s="13">
        <f t="shared" si="29"/>
        <v>1</v>
      </c>
    </row>
    <row r="288" spans="1:28" x14ac:dyDescent="0.25">
      <c r="A288" s="13" t="s">
        <v>395</v>
      </c>
      <c r="B288" s="13">
        <v>22</v>
      </c>
      <c r="C288" s="13" t="s">
        <v>79</v>
      </c>
      <c r="D288" s="13" t="s">
        <v>124</v>
      </c>
      <c r="E288" s="13" t="s">
        <v>96</v>
      </c>
      <c r="F288" s="13" t="s">
        <v>94</v>
      </c>
      <c r="G288" s="13">
        <v>2</v>
      </c>
      <c r="H288" s="13">
        <v>0</v>
      </c>
      <c r="I288" s="13" t="s">
        <v>86</v>
      </c>
      <c r="J288" s="13" t="s">
        <v>83</v>
      </c>
      <c r="K288" s="13" t="s">
        <v>83</v>
      </c>
      <c r="L288" s="13" t="s">
        <v>83</v>
      </c>
      <c r="M288" s="13">
        <v>40</v>
      </c>
      <c r="N288" s="13">
        <v>5</v>
      </c>
      <c r="O288" s="13" t="s">
        <v>146</v>
      </c>
      <c r="P288" s="13">
        <v>33</v>
      </c>
      <c r="Q288" s="13">
        <v>109</v>
      </c>
      <c r="R288" s="13">
        <v>74</v>
      </c>
      <c r="S288" s="13" t="s">
        <v>85</v>
      </c>
      <c r="T288" s="13" t="s">
        <v>86</v>
      </c>
      <c r="U288" s="13" t="s">
        <v>87</v>
      </c>
      <c r="V288" s="13" t="s">
        <v>83</v>
      </c>
      <c r="W288" s="13" t="str">
        <f t="shared" si="24"/>
        <v>20-29 ans</v>
      </c>
      <c r="X288" s="13" t="str">
        <f t="shared" si="25"/>
        <v>Nullipare (0)</v>
      </c>
      <c r="Y288" s="13" t="str">
        <f t="shared" si="26"/>
        <v>4 à 7 CPN</v>
      </c>
      <c r="Z288" s="13" t="str">
        <f t="shared" si="27"/>
        <v>37 SA et plus</v>
      </c>
      <c r="AA288" s="13">
        <f t="shared" si="28"/>
        <v>70</v>
      </c>
      <c r="AB288" s="13">
        <f t="shared" si="29"/>
        <v>0</v>
      </c>
    </row>
    <row r="289" spans="1:28" x14ac:dyDescent="0.25">
      <c r="A289" s="13" t="s">
        <v>396</v>
      </c>
      <c r="B289" s="13">
        <v>22</v>
      </c>
      <c r="C289" s="13" t="s">
        <v>89</v>
      </c>
      <c r="D289" s="13" t="s">
        <v>80</v>
      </c>
      <c r="E289" s="13" t="s">
        <v>101</v>
      </c>
      <c r="F289" s="13" t="s">
        <v>94</v>
      </c>
      <c r="G289" s="13">
        <v>2</v>
      </c>
      <c r="H289" s="13">
        <v>0</v>
      </c>
      <c r="I289" s="13" t="s">
        <v>86</v>
      </c>
      <c r="J289" s="13" t="s">
        <v>83</v>
      </c>
      <c r="K289" s="13" t="s">
        <v>91</v>
      </c>
      <c r="L289" s="13" t="s">
        <v>83</v>
      </c>
      <c r="M289" s="13">
        <v>40</v>
      </c>
      <c r="N289" s="13">
        <v>2</v>
      </c>
      <c r="O289" s="13" t="s">
        <v>84</v>
      </c>
      <c r="P289" s="13">
        <v>20.7</v>
      </c>
      <c r="Q289" s="13">
        <v>113</v>
      </c>
      <c r="R289" s="13">
        <v>63</v>
      </c>
      <c r="S289" s="13" t="s">
        <v>85</v>
      </c>
      <c r="T289" s="13" t="s">
        <v>86</v>
      </c>
      <c r="U289" s="13" t="s">
        <v>87</v>
      </c>
      <c r="V289" s="13" t="s">
        <v>83</v>
      </c>
      <c r="W289" s="13" t="str">
        <f t="shared" si="24"/>
        <v>20-29 ans</v>
      </c>
      <c r="X289" s="13" t="str">
        <f t="shared" si="25"/>
        <v>Nullipare (0)</v>
      </c>
      <c r="Y289" s="13" t="str">
        <f t="shared" si="26"/>
        <v>Moins de 4 CPN</v>
      </c>
      <c r="Z289" s="13" t="str">
        <f t="shared" si="27"/>
        <v>37 SA et plus</v>
      </c>
      <c r="AA289" s="13">
        <f t="shared" si="28"/>
        <v>70</v>
      </c>
      <c r="AB289" s="13">
        <f t="shared" si="29"/>
        <v>0</v>
      </c>
    </row>
    <row r="290" spans="1:28" x14ac:dyDescent="0.25">
      <c r="A290" s="13" t="s">
        <v>397</v>
      </c>
      <c r="B290" s="13">
        <v>24</v>
      </c>
      <c r="C290" s="13" t="s">
        <v>79</v>
      </c>
      <c r="D290" s="13" t="s">
        <v>93</v>
      </c>
      <c r="E290" s="13" t="s">
        <v>96</v>
      </c>
      <c r="F290" s="13" t="s">
        <v>82</v>
      </c>
      <c r="G290" s="13">
        <v>1</v>
      </c>
      <c r="H290" s="13">
        <v>0</v>
      </c>
      <c r="I290" s="13" t="s">
        <v>86</v>
      </c>
      <c r="J290" s="13" t="s">
        <v>83</v>
      </c>
      <c r="K290" s="13" t="s">
        <v>91</v>
      </c>
      <c r="L290" s="13" t="s">
        <v>83</v>
      </c>
      <c r="M290" s="13">
        <v>37</v>
      </c>
      <c r="N290" s="13">
        <v>5</v>
      </c>
      <c r="O290" s="13" t="s">
        <v>84</v>
      </c>
      <c r="P290" s="13">
        <v>28.4</v>
      </c>
      <c r="Q290" s="13">
        <v>159</v>
      </c>
      <c r="R290" s="13">
        <v>102</v>
      </c>
      <c r="S290" s="13" t="s">
        <v>113</v>
      </c>
      <c r="T290" s="13" t="s">
        <v>91</v>
      </c>
      <c r="U290" s="13" t="s">
        <v>114</v>
      </c>
      <c r="V290" s="13" t="s">
        <v>91</v>
      </c>
      <c r="W290" s="13" t="str">
        <f t="shared" si="24"/>
        <v>20-29 ans</v>
      </c>
      <c r="X290" s="13" t="str">
        <f t="shared" si="25"/>
        <v>Nullipare (0)</v>
      </c>
      <c r="Y290" s="13" t="str">
        <f t="shared" si="26"/>
        <v>4 à 7 CPN</v>
      </c>
      <c r="Z290" s="13" t="str">
        <f t="shared" si="27"/>
        <v>37 SA et plus</v>
      </c>
      <c r="AA290" s="13">
        <f t="shared" si="28"/>
        <v>139.5</v>
      </c>
      <c r="AB290" s="13">
        <f t="shared" si="29"/>
        <v>0</v>
      </c>
    </row>
    <row r="291" spans="1:28" x14ac:dyDescent="0.25">
      <c r="A291" s="13" t="s">
        <v>398</v>
      </c>
      <c r="B291" s="13">
        <v>41</v>
      </c>
      <c r="C291" s="13" t="s">
        <v>79</v>
      </c>
      <c r="D291" s="13" t="s">
        <v>124</v>
      </c>
      <c r="E291" s="13" t="s">
        <v>96</v>
      </c>
      <c r="F291" s="13" t="s">
        <v>94</v>
      </c>
      <c r="G291" s="13">
        <v>4</v>
      </c>
      <c r="H291" s="13">
        <v>2</v>
      </c>
      <c r="I291" s="13" t="s">
        <v>83</v>
      </c>
      <c r="J291" s="13" t="s">
        <v>91</v>
      </c>
      <c r="K291" s="13" t="s">
        <v>91</v>
      </c>
      <c r="L291" s="13" t="s">
        <v>83</v>
      </c>
      <c r="M291" s="13">
        <v>37</v>
      </c>
      <c r="N291" s="13">
        <v>6</v>
      </c>
      <c r="O291" s="13" t="s">
        <v>84</v>
      </c>
      <c r="P291" s="13">
        <v>18.899999999999999</v>
      </c>
      <c r="Q291" s="13">
        <v>143</v>
      </c>
      <c r="R291" s="13">
        <v>96</v>
      </c>
      <c r="S291" s="13" t="s">
        <v>85</v>
      </c>
      <c r="T291" s="13" t="s">
        <v>86</v>
      </c>
      <c r="U291" s="13" t="s">
        <v>132</v>
      </c>
      <c r="V291" s="13" t="s">
        <v>83</v>
      </c>
      <c r="W291" s="13" t="str">
        <f t="shared" si="24"/>
        <v>35 ans et plus</v>
      </c>
      <c r="X291" s="13" t="str">
        <f t="shared" si="25"/>
        <v>1-2 accouchements</v>
      </c>
      <c r="Y291" s="13" t="str">
        <f t="shared" si="26"/>
        <v>4 à 7 CPN</v>
      </c>
      <c r="Z291" s="13" t="str">
        <f t="shared" si="27"/>
        <v>37 SA et plus</v>
      </c>
      <c r="AA291" s="13">
        <f t="shared" si="28"/>
        <v>395.5</v>
      </c>
      <c r="AB291" s="13">
        <f t="shared" si="29"/>
        <v>1</v>
      </c>
    </row>
    <row r="292" spans="1:28" x14ac:dyDescent="0.25">
      <c r="A292" s="13" t="s">
        <v>399</v>
      </c>
      <c r="B292" s="13">
        <v>30</v>
      </c>
      <c r="C292" s="13" t="s">
        <v>79</v>
      </c>
      <c r="D292" s="13" t="s">
        <v>124</v>
      </c>
      <c r="E292" s="13" t="s">
        <v>81</v>
      </c>
      <c r="F292" s="13" t="s">
        <v>94</v>
      </c>
      <c r="G292" s="13">
        <v>5</v>
      </c>
      <c r="H292" s="13">
        <v>4</v>
      </c>
      <c r="I292" s="13" t="s">
        <v>91</v>
      </c>
      <c r="J292" s="13" t="s">
        <v>83</v>
      </c>
      <c r="K292" s="13" t="s">
        <v>83</v>
      </c>
      <c r="L292" s="13" t="s">
        <v>83</v>
      </c>
      <c r="M292" s="13">
        <v>37</v>
      </c>
      <c r="N292" s="13">
        <v>3</v>
      </c>
      <c r="O292" s="13" t="s">
        <v>84</v>
      </c>
      <c r="P292" s="13">
        <v>20.6</v>
      </c>
      <c r="Q292" s="13">
        <v>104</v>
      </c>
      <c r="R292" s="13">
        <v>67</v>
      </c>
      <c r="S292" s="13" t="s">
        <v>85</v>
      </c>
      <c r="T292" s="13" t="s">
        <v>86</v>
      </c>
      <c r="U292" s="13" t="s">
        <v>87</v>
      </c>
      <c r="V292" s="13" t="s">
        <v>83</v>
      </c>
      <c r="W292" s="13" t="str">
        <f t="shared" si="24"/>
        <v>30-34 ans</v>
      </c>
      <c r="X292" s="13" t="str">
        <f t="shared" si="25"/>
        <v>3 accouchements et plus</v>
      </c>
      <c r="Y292" s="13" t="str">
        <f t="shared" si="26"/>
        <v>Moins de 4 CPN</v>
      </c>
      <c r="Z292" s="13" t="str">
        <f t="shared" si="27"/>
        <v>37 SA et plus</v>
      </c>
      <c r="AA292" s="13">
        <f t="shared" si="28"/>
        <v>319.5</v>
      </c>
      <c r="AB292" s="13">
        <f t="shared" si="29"/>
        <v>1</v>
      </c>
    </row>
    <row r="293" spans="1:28" x14ac:dyDescent="0.25">
      <c r="A293" s="13" t="s">
        <v>400</v>
      </c>
      <c r="B293" s="13">
        <v>23</v>
      </c>
      <c r="C293" s="13" t="s">
        <v>89</v>
      </c>
      <c r="D293" s="13" t="s">
        <v>80</v>
      </c>
      <c r="E293" s="13" t="s">
        <v>96</v>
      </c>
      <c r="F293" s="13" t="s">
        <v>82</v>
      </c>
      <c r="G293" s="13">
        <v>1</v>
      </c>
      <c r="H293" s="13">
        <v>0</v>
      </c>
      <c r="I293" s="13" t="s">
        <v>86</v>
      </c>
      <c r="J293" s="13" t="s">
        <v>83</v>
      </c>
      <c r="K293" s="13" t="s">
        <v>83</v>
      </c>
      <c r="L293" s="13" t="s">
        <v>83</v>
      </c>
      <c r="M293" s="13">
        <v>37</v>
      </c>
      <c r="N293" s="13">
        <v>7</v>
      </c>
      <c r="O293" s="13" t="s">
        <v>84</v>
      </c>
      <c r="P293" s="13">
        <v>26</v>
      </c>
      <c r="Q293" s="13">
        <v>120</v>
      </c>
      <c r="R293" s="13">
        <v>73</v>
      </c>
      <c r="S293" s="13" t="s">
        <v>85</v>
      </c>
      <c r="T293" s="13" t="s">
        <v>86</v>
      </c>
      <c r="U293" s="13" t="s">
        <v>87</v>
      </c>
      <c r="V293" s="13" t="s">
        <v>83</v>
      </c>
      <c r="W293" s="13" t="str">
        <f t="shared" si="24"/>
        <v>20-29 ans</v>
      </c>
      <c r="X293" s="13" t="str">
        <f t="shared" si="25"/>
        <v>Nullipare (0)</v>
      </c>
      <c r="Y293" s="13" t="str">
        <f t="shared" si="26"/>
        <v>4 à 7 CPN</v>
      </c>
      <c r="Z293" s="13" t="str">
        <f t="shared" si="27"/>
        <v>37 SA et plus</v>
      </c>
      <c r="AA293" s="13">
        <f t="shared" si="28"/>
        <v>103.5</v>
      </c>
      <c r="AB293" s="13">
        <f t="shared" si="29"/>
        <v>0</v>
      </c>
    </row>
    <row r="294" spans="1:28" x14ac:dyDescent="0.25">
      <c r="A294" s="13" t="s">
        <v>401</v>
      </c>
      <c r="B294" s="13">
        <v>27</v>
      </c>
      <c r="C294" s="13" t="s">
        <v>79</v>
      </c>
      <c r="D294" s="13" t="s">
        <v>109</v>
      </c>
      <c r="E294" s="13" t="s">
        <v>90</v>
      </c>
      <c r="F294" s="13" t="s">
        <v>82</v>
      </c>
      <c r="G294" s="13">
        <v>2</v>
      </c>
      <c r="H294" s="13">
        <v>1</v>
      </c>
      <c r="I294" s="13" t="s">
        <v>83</v>
      </c>
      <c r="J294" s="13" t="s">
        <v>83</v>
      </c>
      <c r="K294" s="13" t="s">
        <v>91</v>
      </c>
      <c r="L294" s="13" t="s">
        <v>83</v>
      </c>
      <c r="M294" s="13">
        <v>32</v>
      </c>
      <c r="O294" s="13" t="s">
        <v>84</v>
      </c>
      <c r="Q294" s="13">
        <v>111</v>
      </c>
      <c r="R294" s="13">
        <v>74</v>
      </c>
      <c r="S294" s="13" t="s">
        <v>85</v>
      </c>
      <c r="T294" s="13" t="s">
        <v>86</v>
      </c>
      <c r="U294" s="13" t="s">
        <v>87</v>
      </c>
      <c r="V294" s="13" t="s">
        <v>83</v>
      </c>
      <c r="W294" s="13" t="str">
        <f t="shared" si="24"/>
        <v>20-29 ans</v>
      </c>
      <c r="X294" s="13" t="str">
        <f t="shared" si="25"/>
        <v>1-2 accouchements</v>
      </c>
      <c r="Y294" s="13" t="str">
        <f t="shared" si="26"/>
        <v/>
      </c>
      <c r="Z294" s="13" t="str">
        <f t="shared" si="27"/>
        <v>28-36 SA</v>
      </c>
      <c r="AA294" s="13">
        <f t="shared" si="28"/>
        <v>243</v>
      </c>
      <c r="AB294" s="13">
        <f t="shared" si="29"/>
        <v>1</v>
      </c>
    </row>
    <row r="295" spans="1:28" x14ac:dyDescent="0.25">
      <c r="A295" s="13" t="s">
        <v>402</v>
      </c>
      <c r="B295" s="13">
        <v>26</v>
      </c>
      <c r="C295" s="13" t="s">
        <v>79</v>
      </c>
      <c r="D295" s="13" t="s">
        <v>80</v>
      </c>
      <c r="E295" s="13" t="s">
        <v>90</v>
      </c>
      <c r="F295" s="13" t="s">
        <v>82</v>
      </c>
      <c r="G295" s="13">
        <v>3</v>
      </c>
      <c r="H295" s="13">
        <v>2</v>
      </c>
      <c r="I295" s="13" t="s">
        <v>83</v>
      </c>
      <c r="J295" s="13" t="s">
        <v>83</v>
      </c>
      <c r="K295" s="13" t="s">
        <v>83</v>
      </c>
      <c r="L295" s="13" t="s">
        <v>83</v>
      </c>
      <c r="M295" s="13">
        <v>32</v>
      </c>
      <c r="N295" s="13">
        <v>4</v>
      </c>
      <c r="O295" s="13" t="s">
        <v>84</v>
      </c>
      <c r="P295" s="13">
        <v>17.3</v>
      </c>
      <c r="Q295" s="13">
        <v>110</v>
      </c>
      <c r="R295" s="13">
        <v>69</v>
      </c>
      <c r="S295" s="13" t="s">
        <v>85</v>
      </c>
      <c r="T295" s="13" t="s">
        <v>86</v>
      </c>
      <c r="U295" s="13" t="s">
        <v>87</v>
      </c>
      <c r="V295" s="13" t="s">
        <v>83</v>
      </c>
      <c r="W295" s="13" t="str">
        <f t="shared" si="24"/>
        <v>20-29 ans</v>
      </c>
      <c r="X295" s="13" t="str">
        <f t="shared" si="25"/>
        <v>1-2 accouchements</v>
      </c>
      <c r="Y295" s="13" t="str">
        <f t="shared" si="26"/>
        <v>4 à 7 CPN</v>
      </c>
      <c r="Z295" s="13" t="str">
        <f t="shared" si="27"/>
        <v>28-36 SA</v>
      </c>
      <c r="AA295" s="13">
        <f t="shared" si="28"/>
        <v>206</v>
      </c>
      <c r="AB295" s="13">
        <f t="shared" si="29"/>
        <v>1</v>
      </c>
    </row>
    <row r="296" spans="1:28" x14ac:dyDescent="0.25">
      <c r="A296" s="13" t="s">
        <v>403</v>
      </c>
      <c r="B296" s="13">
        <v>45</v>
      </c>
      <c r="C296" s="13" t="s">
        <v>79</v>
      </c>
      <c r="D296" s="13" t="s">
        <v>93</v>
      </c>
      <c r="E296" s="13" t="s">
        <v>101</v>
      </c>
      <c r="F296" s="13" t="s">
        <v>94</v>
      </c>
      <c r="G296" s="13">
        <v>9</v>
      </c>
      <c r="H296" s="13">
        <v>8</v>
      </c>
      <c r="I296" s="13" t="s">
        <v>83</v>
      </c>
      <c r="J296" s="13" t="s">
        <v>83</v>
      </c>
      <c r="K296" s="13" t="s">
        <v>83</v>
      </c>
      <c r="L296" s="13" t="s">
        <v>83</v>
      </c>
      <c r="M296" s="13">
        <v>40</v>
      </c>
      <c r="N296" s="13">
        <v>1</v>
      </c>
      <c r="O296" s="13" t="s">
        <v>84</v>
      </c>
      <c r="P296" s="13">
        <v>19.899999999999999</v>
      </c>
      <c r="Q296" s="13">
        <v>156</v>
      </c>
      <c r="R296" s="13">
        <v>99</v>
      </c>
      <c r="S296" s="13" t="s">
        <v>113</v>
      </c>
      <c r="T296" s="13" t="s">
        <v>83</v>
      </c>
      <c r="U296" s="13" t="s">
        <v>114</v>
      </c>
      <c r="V296" s="13" t="s">
        <v>91</v>
      </c>
      <c r="W296" s="13" t="str">
        <f t="shared" si="24"/>
        <v>35 ans et plus</v>
      </c>
      <c r="X296" s="13" t="str">
        <f t="shared" si="25"/>
        <v>3 accouchements et plus</v>
      </c>
      <c r="Y296" s="13" t="str">
        <f t="shared" si="26"/>
        <v>Moins de 4 CPN</v>
      </c>
      <c r="Z296" s="13" t="str">
        <f t="shared" si="27"/>
        <v>37 SA et plus</v>
      </c>
      <c r="AA296" s="13">
        <f t="shared" si="28"/>
        <v>399.5</v>
      </c>
      <c r="AB296" s="13">
        <f t="shared" si="29"/>
        <v>1</v>
      </c>
    </row>
    <row r="297" spans="1:28" x14ac:dyDescent="0.25">
      <c r="A297" s="13" t="s">
        <v>404</v>
      </c>
      <c r="B297" s="13">
        <v>20</v>
      </c>
      <c r="C297" s="13" t="s">
        <v>79</v>
      </c>
      <c r="D297" s="13" t="s">
        <v>124</v>
      </c>
      <c r="E297" s="13" t="s">
        <v>101</v>
      </c>
      <c r="F297" s="13" t="s">
        <v>94</v>
      </c>
      <c r="G297" s="13">
        <v>2</v>
      </c>
      <c r="H297" s="13">
        <v>1</v>
      </c>
      <c r="I297" s="13" t="s">
        <v>83</v>
      </c>
      <c r="J297" s="13" t="s">
        <v>83</v>
      </c>
      <c r="K297" s="13" t="s">
        <v>83</v>
      </c>
      <c r="L297" s="13" t="s">
        <v>83</v>
      </c>
      <c r="M297" s="13">
        <v>31</v>
      </c>
      <c r="N297" s="13">
        <v>3</v>
      </c>
      <c r="O297" s="13" t="s">
        <v>84</v>
      </c>
      <c r="P297" s="13">
        <v>20.8</v>
      </c>
      <c r="Q297" s="13">
        <v>122</v>
      </c>
      <c r="R297" s="13">
        <v>70</v>
      </c>
      <c r="S297" s="13" t="s">
        <v>85</v>
      </c>
      <c r="T297" s="13" t="s">
        <v>86</v>
      </c>
      <c r="U297" s="13" t="s">
        <v>87</v>
      </c>
      <c r="V297" s="13" t="s">
        <v>83</v>
      </c>
      <c r="W297" s="13" t="str">
        <f t="shared" si="24"/>
        <v>20-29 ans</v>
      </c>
      <c r="X297" s="13" t="str">
        <f t="shared" si="25"/>
        <v>1-2 accouchements</v>
      </c>
      <c r="Y297" s="13" t="str">
        <f t="shared" si="26"/>
        <v>Moins de 4 CPN</v>
      </c>
      <c r="Z297" s="13" t="str">
        <f t="shared" si="27"/>
        <v>28-36 SA</v>
      </c>
      <c r="AA297" s="13">
        <f t="shared" si="28"/>
        <v>30.5</v>
      </c>
      <c r="AB297" s="13">
        <f t="shared" si="29"/>
        <v>1</v>
      </c>
    </row>
    <row r="298" spans="1:28" x14ac:dyDescent="0.25">
      <c r="A298" s="13" t="s">
        <v>405</v>
      </c>
      <c r="B298" s="13">
        <v>25</v>
      </c>
      <c r="C298" s="13" t="s">
        <v>89</v>
      </c>
      <c r="D298" s="13" t="s">
        <v>80</v>
      </c>
      <c r="E298" s="13" t="s">
        <v>81</v>
      </c>
      <c r="F298" s="13" t="s">
        <v>82</v>
      </c>
      <c r="G298" s="13">
        <v>2</v>
      </c>
      <c r="H298" s="13">
        <v>0</v>
      </c>
      <c r="I298" s="13" t="s">
        <v>86</v>
      </c>
      <c r="J298" s="13" t="s">
        <v>83</v>
      </c>
      <c r="K298" s="13" t="s">
        <v>83</v>
      </c>
      <c r="L298" s="13" t="s">
        <v>83</v>
      </c>
      <c r="M298" s="13">
        <v>41</v>
      </c>
      <c r="N298" s="13">
        <v>9</v>
      </c>
      <c r="O298" s="13" t="s">
        <v>84</v>
      </c>
      <c r="P298" s="13">
        <v>25.8</v>
      </c>
      <c r="Q298" s="13">
        <v>119</v>
      </c>
      <c r="R298" s="13">
        <v>78</v>
      </c>
      <c r="S298" s="13" t="s">
        <v>85</v>
      </c>
      <c r="T298" s="13" t="s">
        <v>86</v>
      </c>
      <c r="U298" s="13" t="s">
        <v>87</v>
      </c>
      <c r="V298" s="13" t="s">
        <v>83</v>
      </c>
      <c r="W298" s="13" t="str">
        <f t="shared" si="24"/>
        <v>20-29 ans</v>
      </c>
      <c r="X298" s="13" t="str">
        <f t="shared" si="25"/>
        <v>Nullipare (0)</v>
      </c>
      <c r="Y298" s="13" t="str">
        <f t="shared" si="26"/>
        <v>8 CPN et plus</v>
      </c>
      <c r="Z298" s="13" t="str">
        <f t="shared" si="27"/>
        <v>37 SA et plus</v>
      </c>
      <c r="AA298" s="13">
        <f t="shared" si="28"/>
        <v>173</v>
      </c>
      <c r="AB298" s="13">
        <f t="shared" si="29"/>
        <v>0</v>
      </c>
    </row>
    <row r="299" spans="1:28" x14ac:dyDescent="0.25">
      <c r="A299" s="13" t="s">
        <v>406</v>
      </c>
      <c r="B299" s="13">
        <v>23</v>
      </c>
      <c r="C299" s="13" t="s">
        <v>79</v>
      </c>
      <c r="D299" s="13" t="s">
        <v>93</v>
      </c>
      <c r="E299" s="13" t="s">
        <v>90</v>
      </c>
      <c r="F299" s="13" t="s">
        <v>82</v>
      </c>
      <c r="G299" s="13">
        <v>2</v>
      </c>
      <c r="H299" s="13">
        <v>1</v>
      </c>
      <c r="I299" s="13" t="s">
        <v>83</v>
      </c>
      <c r="J299" s="13" t="s">
        <v>83</v>
      </c>
      <c r="K299" s="13" t="s">
        <v>83</v>
      </c>
      <c r="L299" s="13" t="s">
        <v>83</v>
      </c>
      <c r="M299" s="13">
        <v>28</v>
      </c>
      <c r="N299" s="13">
        <v>3</v>
      </c>
      <c r="O299" s="13" t="s">
        <v>84</v>
      </c>
      <c r="Q299" s="13">
        <v>97</v>
      </c>
      <c r="R299" s="13">
        <v>68</v>
      </c>
      <c r="S299" s="13" t="s">
        <v>85</v>
      </c>
      <c r="T299" s="13" t="s">
        <v>86</v>
      </c>
      <c r="U299" s="13" t="s">
        <v>87</v>
      </c>
      <c r="V299" s="13" t="s">
        <v>83</v>
      </c>
      <c r="W299" s="13" t="str">
        <f t="shared" si="24"/>
        <v>20-29 ans</v>
      </c>
      <c r="X299" s="13" t="str">
        <f t="shared" si="25"/>
        <v>1-2 accouchements</v>
      </c>
      <c r="Y299" s="13" t="str">
        <f t="shared" si="26"/>
        <v>Moins de 4 CPN</v>
      </c>
      <c r="Z299" s="13" t="str">
        <f t="shared" si="27"/>
        <v>28-36 SA</v>
      </c>
      <c r="AA299" s="13">
        <f t="shared" si="28"/>
        <v>103.5</v>
      </c>
      <c r="AB299" s="13">
        <f t="shared" si="29"/>
        <v>1</v>
      </c>
    </row>
    <row r="300" spans="1:28" x14ac:dyDescent="0.25">
      <c r="A300" s="13" t="s">
        <v>407</v>
      </c>
      <c r="B300" s="13">
        <v>19</v>
      </c>
      <c r="C300" s="13" t="s">
        <v>89</v>
      </c>
      <c r="D300" s="13" t="s">
        <v>80</v>
      </c>
      <c r="E300" s="13" t="s">
        <v>101</v>
      </c>
      <c r="F300" s="13" t="s">
        <v>94</v>
      </c>
      <c r="G300" s="13">
        <v>1</v>
      </c>
      <c r="H300" s="13">
        <v>0</v>
      </c>
      <c r="I300" s="13" t="s">
        <v>86</v>
      </c>
      <c r="J300" s="13" t="s">
        <v>83</v>
      </c>
      <c r="K300" s="13" t="s">
        <v>83</v>
      </c>
      <c r="L300" s="13" t="s">
        <v>83</v>
      </c>
      <c r="M300" s="13">
        <v>35</v>
      </c>
      <c r="N300" s="13">
        <v>3</v>
      </c>
      <c r="O300" s="13" t="s">
        <v>84</v>
      </c>
      <c r="P300" s="13">
        <v>20.6</v>
      </c>
      <c r="Q300" s="13">
        <v>146</v>
      </c>
      <c r="R300" s="13">
        <v>95</v>
      </c>
      <c r="S300" s="13" t="s">
        <v>106</v>
      </c>
      <c r="T300" s="13" t="s">
        <v>91</v>
      </c>
      <c r="U300" s="13" t="s">
        <v>114</v>
      </c>
      <c r="V300" s="13" t="s">
        <v>91</v>
      </c>
      <c r="W300" s="13" t="str">
        <f t="shared" si="24"/>
        <v>Moins de 20 ans</v>
      </c>
      <c r="X300" s="13" t="str">
        <f t="shared" si="25"/>
        <v>Nullipare (0)</v>
      </c>
      <c r="Y300" s="13" t="str">
        <f t="shared" si="26"/>
        <v>Moins de 4 CPN</v>
      </c>
      <c r="Z300" s="13" t="str">
        <f t="shared" si="27"/>
        <v>28-36 SA</v>
      </c>
      <c r="AA300" s="13">
        <f t="shared" si="28"/>
        <v>14.5</v>
      </c>
      <c r="AB300" s="13">
        <f t="shared" si="29"/>
        <v>0</v>
      </c>
    </row>
    <row r="301" spans="1:28" x14ac:dyDescent="0.25">
      <c r="A301" s="13" t="s">
        <v>408</v>
      </c>
      <c r="B301" s="13">
        <v>28</v>
      </c>
      <c r="C301" s="13" t="s">
        <v>79</v>
      </c>
      <c r="D301" s="13" t="s">
        <v>80</v>
      </c>
      <c r="E301" s="13" t="s">
        <v>101</v>
      </c>
      <c r="F301" s="13" t="s">
        <v>94</v>
      </c>
      <c r="G301" s="13">
        <v>1</v>
      </c>
      <c r="H301" s="13">
        <v>0</v>
      </c>
      <c r="I301" s="13" t="s">
        <v>86</v>
      </c>
      <c r="J301" s="13" t="s">
        <v>83</v>
      </c>
      <c r="K301" s="13" t="s">
        <v>83</v>
      </c>
      <c r="L301" s="13" t="s">
        <v>83</v>
      </c>
      <c r="M301" s="13">
        <v>38</v>
      </c>
      <c r="N301" s="13">
        <v>1</v>
      </c>
      <c r="O301" s="13" t="s">
        <v>84</v>
      </c>
      <c r="P301" s="13">
        <v>22.8</v>
      </c>
      <c r="Q301" s="13">
        <v>107</v>
      </c>
      <c r="R301" s="13">
        <v>70</v>
      </c>
      <c r="S301" s="13" t="s">
        <v>85</v>
      </c>
      <c r="T301" s="13" t="s">
        <v>86</v>
      </c>
      <c r="U301" s="13" t="s">
        <v>87</v>
      </c>
      <c r="V301" s="13" t="s">
        <v>83</v>
      </c>
      <c r="W301" s="13" t="str">
        <f t="shared" si="24"/>
        <v>20-29 ans</v>
      </c>
      <c r="X301" s="13" t="str">
        <f t="shared" si="25"/>
        <v>Nullipare (0)</v>
      </c>
      <c r="Y301" s="13" t="str">
        <f t="shared" si="26"/>
        <v>Moins de 4 CPN</v>
      </c>
      <c r="Z301" s="13" t="str">
        <f t="shared" si="27"/>
        <v>37 SA et plus</v>
      </c>
      <c r="AA301" s="13">
        <f t="shared" si="28"/>
        <v>276</v>
      </c>
      <c r="AB301" s="13">
        <f t="shared" si="29"/>
        <v>0</v>
      </c>
    </row>
    <row r="302" spans="1:28" x14ac:dyDescent="0.25">
      <c r="A302" s="13" t="s">
        <v>409</v>
      </c>
      <c r="B302" s="13">
        <v>24</v>
      </c>
      <c r="C302" s="13" t="s">
        <v>79</v>
      </c>
      <c r="D302" s="13" t="s">
        <v>109</v>
      </c>
      <c r="E302" s="13" t="s">
        <v>96</v>
      </c>
      <c r="F302" s="13" t="s">
        <v>82</v>
      </c>
      <c r="G302" s="13">
        <v>2</v>
      </c>
      <c r="H302" s="13">
        <v>0</v>
      </c>
      <c r="I302" s="13" t="s">
        <v>86</v>
      </c>
      <c r="J302" s="13" t="s">
        <v>83</v>
      </c>
      <c r="K302" s="13" t="s">
        <v>83</v>
      </c>
      <c r="L302" s="13" t="s">
        <v>83</v>
      </c>
      <c r="M302" s="13">
        <v>32</v>
      </c>
      <c r="N302" s="13">
        <v>4</v>
      </c>
      <c r="O302" s="13" t="s">
        <v>84</v>
      </c>
      <c r="P302" s="13">
        <v>18.899999999999999</v>
      </c>
      <c r="Q302" s="13">
        <v>119</v>
      </c>
      <c r="R302" s="13">
        <v>70</v>
      </c>
      <c r="S302" s="13" t="s">
        <v>85</v>
      </c>
      <c r="T302" s="13" t="s">
        <v>86</v>
      </c>
      <c r="U302" s="13" t="s">
        <v>87</v>
      </c>
      <c r="V302" s="13" t="s">
        <v>83</v>
      </c>
      <c r="W302" s="13" t="str">
        <f t="shared" si="24"/>
        <v>20-29 ans</v>
      </c>
      <c r="X302" s="13" t="str">
        <f t="shared" si="25"/>
        <v>Nullipare (0)</v>
      </c>
      <c r="Y302" s="13" t="str">
        <f t="shared" si="26"/>
        <v>4 à 7 CPN</v>
      </c>
      <c r="Z302" s="13" t="str">
        <f t="shared" si="27"/>
        <v>28-36 SA</v>
      </c>
      <c r="AA302" s="13">
        <f t="shared" si="28"/>
        <v>139.5</v>
      </c>
      <c r="AB302" s="13">
        <f t="shared" si="29"/>
        <v>0</v>
      </c>
    </row>
    <row r="303" spans="1:28" x14ac:dyDescent="0.25">
      <c r="A303" s="13" t="s">
        <v>410</v>
      </c>
      <c r="B303" s="13">
        <v>28</v>
      </c>
      <c r="C303" s="13" t="s">
        <v>79</v>
      </c>
      <c r="D303" s="13" t="s">
        <v>93</v>
      </c>
      <c r="E303" s="13" t="s">
        <v>112</v>
      </c>
      <c r="F303" s="13" t="s">
        <v>82</v>
      </c>
      <c r="G303" s="13">
        <v>2</v>
      </c>
      <c r="H303" s="13">
        <v>1</v>
      </c>
      <c r="I303" s="13" t="s">
        <v>91</v>
      </c>
      <c r="J303" s="13" t="s">
        <v>83</v>
      </c>
      <c r="K303" s="13" t="s">
        <v>83</v>
      </c>
      <c r="L303" s="13" t="s">
        <v>83</v>
      </c>
      <c r="M303" s="13">
        <v>30</v>
      </c>
      <c r="N303" s="13">
        <v>1</v>
      </c>
      <c r="O303" s="13" t="s">
        <v>84</v>
      </c>
      <c r="P303" s="13">
        <v>24.3</v>
      </c>
      <c r="Q303" s="13">
        <v>115</v>
      </c>
      <c r="R303" s="13">
        <v>68</v>
      </c>
      <c r="S303" s="13" t="s">
        <v>85</v>
      </c>
      <c r="T303" s="13" t="s">
        <v>86</v>
      </c>
      <c r="U303" s="13" t="s">
        <v>87</v>
      </c>
      <c r="V303" s="13" t="s">
        <v>83</v>
      </c>
      <c r="W303" s="13" t="str">
        <f t="shared" si="24"/>
        <v>20-29 ans</v>
      </c>
      <c r="X303" s="13" t="str">
        <f t="shared" si="25"/>
        <v>1-2 accouchements</v>
      </c>
      <c r="Y303" s="13" t="str">
        <f t="shared" si="26"/>
        <v>Moins de 4 CPN</v>
      </c>
      <c r="Z303" s="13" t="str">
        <f t="shared" si="27"/>
        <v>28-36 SA</v>
      </c>
      <c r="AA303" s="13">
        <f t="shared" si="28"/>
        <v>276</v>
      </c>
      <c r="AB303" s="13">
        <f t="shared" si="29"/>
        <v>1</v>
      </c>
    </row>
    <row r="304" spans="1:28" x14ac:dyDescent="0.25">
      <c r="A304" s="13" t="s">
        <v>411</v>
      </c>
      <c r="B304" s="13">
        <v>25</v>
      </c>
      <c r="C304" s="13" t="s">
        <v>98</v>
      </c>
      <c r="D304" s="13" t="s">
        <v>93</v>
      </c>
      <c r="E304" s="13" t="s">
        <v>96</v>
      </c>
      <c r="F304" s="13" t="s">
        <v>94</v>
      </c>
      <c r="G304" s="13">
        <v>2</v>
      </c>
      <c r="H304" s="13">
        <v>1</v>
      </c>
      <c r="I304" s="13" t="s">
        <v>83</v>
      </c>
      <c r="J304" s="13" t="s">
        <v>83</v>
      </c>
      <c r="K304" s="13" t="s">
        <v>83</v>
      </c>
      <c r="L304" s="13" t="s">
        <v>83</v>
      </c>
      <c r="M304" s="13">
        <v>30</v>
      </c>
      <c r="N304" s="13">
        <v>5</v>
      </c>
      <c r="O304" s="13" t="s">
        <v>84</v>
      </c>
      <c r="P304" s="13">
        <v>16</v>
      </c>
      <c r="Q304" s="13">
        <v>109</v>
      </c>
      <c r="R304" s="13">
        <v>62</v>
      </c>
      <c r="S304" s="13" t="s">
        <v>85</v>
      </c>
      <c r="T304" s="13" t="s">
        <v>86</v>
      </c>
      <c r="U304" s="13" t="s">
        <v>87</v>
      </c>
      <c r="V304" s="13" t="s">
        <v>83</v>
      </c>
      <c r="W304" s="13" t="str">
        <f t="shared" si="24"/>
        <v>20-29 ans</v>
      </c>
      <c r="X304" s="13" t="str">
        <f t="shared" si="25"/>
        <v>1-2 accouchements</v>
      </c>
      <c r="Y304" s="13" t="str">
        <f t="shared" si="26"/>
        <v>4 à 7 CPN</v>
      </c>
      <c r="Z304" s="13" t="str">
        <f t="shared" si="27"/>
        <v>28-36 SA</v>
      </c>
      <c r="AA304" s="13">
        <f t="shared" si="28"/>
        <v>173</v>
      </c>
      <c r="AB304" s="13">
        <f t="shared" si="29"/>
        <v>1</v>
      </c>
    </row>
    <row r="305" spans="1:28" x14ac:dyDescent="0.25">
      <c r="A305" s="13" t="s">
        <v>412</v>
      </c>
      <c r="B305" s="13">
        <v>29</v>
      </c>
      <c r="C305" s="13" t="s">
        <v>89</v>
      </c>
      <c r="D305" s="13" t="s">
        <v>109</v>
      </c>
      <c r="E305" s="13" t="s">
        <v>112</v>
      </c>
      <c r="F305" s="13" t="s">
        <v>82</v>
      </c>
      <c r="G305" s="13">
        <v>1</v>
      </c>
      <c r="H305" s="13">
        <v>0</v>
      </c>
      <c r="I305" s="13" t="s">
        <v>86</v>
      </c>
      <c r="J305" s="13" t="s">
        <v>83</v>
      </c>
      <c r="K305" s="13" t="s">
        <v>83</v>
      </c>
      <c r="L305" s="13" t="s">
        <v>83</v>
      </c>
      <c r="M305" s="13">
        <v>40</v>
      </c>
      <c r="N305" s="13">
        <v>3</v>
      </c>
      <c r="O305" s="13" t="s">
        <v>84</v>
      </c>
      <c r="P305" s="13">
        <v>24.8</v>
      </c>
      <c r="Q305" s="13">
        <v>123</v>
      </c>
      <c r="R305" s="13">
        <v>71</v>
      </c>
      <c r="S305" s="13" t="s">
        <v>85</v>
      </c>
      <c r="T305" s="13" t="s">
        <v>86</v>
      </c>
      <c r="U305" s="13" t="s">
        <v>87</v>
      </c>
      <c r="V305" s="13" t="s">
        <v>83</v>
      </c>
      <c r="W305" s="13" t="str">
        <f t="shared" si="24"/>
        <v>20-29 ans</v>
      </c>
      <c r="X305" s="13" t="str">
        <f t="shared" si="25"/>
        <v>Nullipare (0)</v>
      </c>
      <c r="Y305" s="13" t="str">
        <f t="shared" si="26"/>
        <v>Moins de 4 CPN</v>
      </c>
      <c r="Z305" s="13" t="str">
        <f t="shared" si="27"/>
        <v>37 SA et plus</v>
      </c>
      <c r="AA305" s="13">
        <f t="shared" si="28"/>
        <v>299</v>
      </c>
      <c r="AB305" s="13">
        <f t="shared" si="29"/>
        <v>0</v>
      </c>
    </row>
    <row r="306" spans="1:28" x14ac:dyDescent="0.25">
      <c r="A306" s="13" t="s">
        <v>413</v>
      </c>
      <c r="B306" s="13">
        <v>33</v>
      </c>
      <c r="C306" s="13" t="s">
        <v>98</v>
      </c>
      <c r="D306" s="13" t="s">
        <v>93</v>
      </c>
      <c r="E306" s="13" t="s">
        <v>96</v>
      </c>
      <c r="F306" s="13" t="s">
        <v>82</v>
      </c>
      <c r="G306" s="13">
        <v>3</v>
      </c>
      <c r="H306" s="13">
        <v>2</v>
      </c>
      <c r="I306" s="13" t="s">
        <v>83</v>
      </c>
      <c r="J306" s="13" t="s">
        <v>83</v>
      </c>
      <c r="K306" s="13" t="s">
        <v>83</v>
      </c>
      <c r="L306" s="13" t="s">
        <v>83</v>
      </c>
      <c r="M306" s="13">
        <v>38</v>
      </c>
      <c r="N306" s="13">
        <v>3</v>
      </c>
      <c r="O306" s="13" t="s">
        <v>84</v>
      </c>
      <c r="P306" s="13">
        <v>24.2</v>
      </c>
      <c r="Q306" s="13">
        <v>102</v>
      </c>
      <c r="R306" s="13">
        <v>65</v>
      </c>
      <c r="S306" s="13" t="s">
        <v>85</v>
      </c>
      <c r="T306" s="13" t="s">
        <v>86</v>
      </c>
      <c r="U306" s="13" t="s">
        <v>87</v>
      </c>
      <c r="V306" s="13" t="s">
        <v>83</v>
      </c>
      <c r="W306" s="13" t="str">
        <f t="shared" si="24"/>
        <v>30-34 ans</v>
      </c>
      <c r="X306" s="13" t="str">
        <f t="shared" si="25"/>
        <v>1-2 accouchements</v>
      </c>
      <c r="Y306" s="13" t="str">
        <f t="shared" si="26"/>
        <v>Moins de 4 CPN</v>
      </c>
      <c r="Z306" s="13" t="str">
        <f t="shared" si="27"/>
        <v>37 SA et plus</v>
      </c>
      <c r="AA306" s="13">
        <f t="shared" si="28"/>
        <v>361.5</v>
      </c>
      <c r="AB306" s="13">
        <f t="shared" si="29"/>
        <v>1</v>
      </c>
    </row>
    <row r="307" spans="1:28" x14ac:dyDescent="0.25">
      <c r="A307" s="13" t="s">
        <v>414</v>
      </c>
      <c r="B307" s="13">
        <v>23</v>
      </c>
      <c r="C307" s="13" t="s">
        <v>79</v>
      </c>
      <c r="D307" s="13" t="s">
        <v>80</v>
      </c>
      <c r="F307" s="13" t="s">
        <v>94</v>
      </c>
      <c r="G307" s="13">
        <v>1</v>
      </c>
      <c r="H307" s="13">
        <v>0</v>
      </c>
      <c r="I307" s="13" t="s">
        <v>86</v>
      </c>
      <c r="J307" s="13" t="s">
        <v>83</v>
      </c>
      <c r="K307" s="13" t="s">
        <v>83</v>
      </c>
      <c r="L307" s="13" t="s">
        <v>83</v>
      </c>
      <c r="M307" s="13">
        <v>24</v>
      </c>
      <c r="N307" s="13">
        <v>2</v>
      </c>
      <c r="O307" s="13" t="s">
        <v>84</v>
      </c>
      <c r="P307" s="13">
        <v>23.6</v>
      </c>
      <c r="Q307" s="13">
        <v>107</v>
      </c>
      <c r="R307" s="13">
        <v>64</v>
      </c>
      <c r="S307" s="13" t="s">
        <v>85</v>
      </c>
      <c r="T307" s="13" t="s">
        <v>86</v>
      </c>
      <c r="U307" s="13" t="s">
        <v>87</v>
      </c>
      <c r="V307" s="13" t="s">
        <v>83</v>
      </c>
      <c r="W307" s="13" t="str">
        <f t="shared" si="24"/>
        <v>20-29 ans</v>
      </c>
      <c r="X307" s="13" t="str">
        <f t="shared" si="25"/>
        <v>Nullipare (0)</v>
      </c>
      <c r="Y307" s="13" t="str">
        <f t="shared" si="26"/>
        <v>Moins de 4 CPN</v>
      </c>
      <c r="Z307" s="13" t="str">
        <f t="shared" si="27"/>
        <v>20-27 SA</v>
      </c>
      <c r="AA307" s="13">
        <f t="shared" si="28"/>
        <v>103.5</v>
      </c>
      <c r="AB307" s="13">
        <f t="shared" si="29"/>
        <v>0</v>
      </c>
    </row>
    <row r="308" spans="1:28" x14ac:dyDescent="0.25">
      <c r="A308" s="13" t="s">
        <v>415</v>
      </c>
      <c r="B308" s="13">
        <v>21</v>
      </c>
      <c r="C308" s="13" t="s">
        <v>98</v>
      </c>
      <c r="D308" s="13" t="s">
        <v>80</v>
      </c>
      <c r="F308" s="13" t="s">
        <v>82</v>
      </c>
      <c r="G308" s="13">
        <v>2</v>
      </c>
      <c r="H308" s="13">
        <v>0</v>
      </c>
      <c r="I308" s="13" t="s">
        <v>86</v>
      </c>
      <c r="J308" s="13" t="s">
        <v>91</v>
      </c>
      <c r="K308" s="13" t="s">
        <v>83</v>
      </c>
      <c r="L308" s="13" t="s">
        <v>83</v>
      </c>
      <c r="M308" s="13">
        <v>25</v>
      </c>
      <c r="N308" s="13">
        <v>3</v>
      </c>
      <c r="O308" s="13" t="s">
        <v>84</v>
      </c>
      <c r="P308" s="13">
        <v>26.1</v>
      </c>
      <c r="Q308" s="13">
        <v>173</v>
      </c>
      <c r="R308" s="13">
        <v>102</v>
      </c>
      <c r="S308" s="13" t="s">
        <v>85</v>
      </c>
      <c r="T308" s="13" t="s">
        <v>91</v>
      </c>
      <c r="U308" s="13" t="s">
        <v>107</v>
      </c>
      <c r="V308" s="13" t="s">
        <v>91</v>
      </c>
      <c r="W308" s="13" t="str">
        <f t="shared" si="24"/>
        <v>20-29 ans</v>
      </c>
      <c r="X308" s="13" t="str">
        <f t="shared" si="25"/>
        <v>Nullipare (0)</v>
      </c>
      <c r="Y308" s="13" t="str">
        <f t="shared" si="26"/>
        <v>Moins de 4 CPN</v>
      </c>
      <c r="Z308" s="13" t="str">
        <f t="shared" si="27"/>
        <v>20-27 SA</v>
      </c>
      <c r="AA308" s="13">
        <f t="shared" si="28"/>
        <v>48</v>
      </c>
      <c r="AB308" s="13">
        <f t="shared" si="29"/>
        <v>0</v>
      </c>
    </row>
    <row r="309" spans="1:28" x14ac:dyDescent="0.25">
      <c r="A309" s="13" t="s">
        <v>416</v>
      </c>
      <c r="B309" s="13">
        <v>28</v>
      </c>
      <c r="C309" s="13" t="s">
        <v>89</v>
      </c>
      <c r="D309" s="13" t="s">
        <v>80</v>
      </c>
      <c r="E309" s="13" t="s">
        <v>96</v>
      </c>
      <c r="F309" s="13" t="s">
        <v>82</v>
      </c>
      <c r="G309" s="13">
        <v>2</v>
      </c>
      <c r="H309" s="13">
        <v>1</v>
      </c>
      <c r="I309" s="13" t="s">
        <v>83</v>
      </c>
      <c r="J309" s="13" t="s">
        <v>83</v>
      </c>
      <c r="K309" s="13" t="s">
        <v>91</v>
      </c>
      <c r="L309" s="13" t="s">
        <v>83</v>
      </c>
      <c r="M309" s="13">
        <v>39</v>
      </c>
      <c r="N309" s="13">
        <v>8</v>
      </c>
      <c r="O309" s="13" t="s">
        <v>84</v>
      </c>
      <c r="P309" s="13">
        <v>26.3</v>
      </c>
      <c r="Q309" s="13">
        <v>127</v>
      </c>
      <c r="R309" s="13">
        <v>71</v>
      </c>
      <c r="S309" s="13" t="s">
        <v>85</v>
      </c>
      <c r="T309" s="13" t="s">
        <v>86</v>
      </c>
      <c r="U309" s="13" t="s">
        <v>87</v>
      </c>
      <c r="V309" s="13" t="s">
        <v>83</v>
      </c>
      <c r="W309" s="13" t="str">
        <f t="shared" si="24"/>
        <v>20-29 ans</v>
      </c>
      <c r="X309" s="13" t="str">
        <f t="shared" si="25"/>
        <v>1-2 accouchements</v>
      </c>
      <c r="Y309" s="13" t="str">
        <f t="shared" si="26"/>
        <v>8 CPN et plus</v>
      </c>
      <c r="Z309" s="13" t="str">
        <f t="shared" si="27"/>
        <v>37 SA et plus</v>
      </c>
      <c r="AA309" s="13">
        <f t="shared" si="28"/>
        <v>276</v>
      </c>
      <c r="AB309" s="13">
        <f t="shared" si="29"/>
        <v>1</v>
      </c>
    </row>
    <row r="310" spans="1:28" x14ac:dyDescent="0.25">
      <c r="A310" s="13" t="s">
        <v>417</v>
      </c>
      <c r="B310" s="13">
        <v>36</v>
      </c>
      <c r="C310" s="13" t="s">
        <v>173</v>
      </c>
      <c r="D310" s="13" t="s">
        <v>80</v>
      </c>
      <c r="E310" s="13" t="s">
        <v>96</v>
      </c>
      <c r="F310" s="13" t="s">
        <v>82</v>
      </c>
      <c r="G310" s="13">
        <v>4</v>
      </c>
      <c r="H310" s="13">
        <v>3</v>
      </c>
      <c r="I310" s="13" t="s">
        <v>83</v>
      </c>
      <c r="J310" s="13" t="s">
        <v>83</v>
      </c>
      <c r="K310" s="13" t="s">
        <v>91</v>
      </c>
      <c r="L310" s="13" t="s">
        <v>83</v>
      </c>
      <c r="M310" s="13">
        <v>41</v>
      </c>
      <c r="N310" s="13">
        <v>7</v>
      </c>
      <c r="O310" s="13" t="s">
        <v>84</v>
      </c>
      <c r="P310" s="13">
        <v>27.1</v>
      </c>
      <c r="Q310" s="13">
        <v>110</v>
      </c>
      <c r="R310" s="13">
        <v>72</v>
      </c>
      <c r="S310" s="13" t="s">
        <v>85</v>
      </c>
      <c r="T310" s="13" t="s">
        <v>86</v>
      </c>
      <c r="U310" s="13" t="s">
        <v>87</v>
      </c>
      <c r="V310" s="13" t="s">
        <v>83</v>
      </c>
      <c r="W310" s="13" t="str">
        <f t="shared" si="24"/>
        <v>35 ans et plus</v>
      </c>
      <c r="X310" s="13" t="str">
        <f t="shared" si="25"/>
        <v>3 accouchements et plus</v>
      </c>
      <c r="Y310" s="13" t="str">
        <f t="shared" si="26"/>
        <v>4 à 7 CPN</v>
      </c>
      <c r="Z310" s="13" t="str">
        <f t="shared" si="27"/>
        <v>37 SA et plus</v>
      </c>
      <c r="AA310" s="13">
        <f t="shared" si="28"/>
        <v>383</v>
      </c>
      <c r="AB310" s="13">
        <f t="shared" si="29"/>
        <v>1</v>
      </c>
    </row>
    <row r="311" spans="1:28" x14ac:dyDescent="0.25">
      <c r="A311" s="13" t="s">
        <v>418</v>
      </c>
      <c r="B311" s="13">
        <v>27</v>
      </c>
      <c r="C311" s="13" t="s">
        <v>79</v>
      </c>
      <c r="D311" s="13" t="s">
        <v>124</v>
      </c>
      <c r="E311" s="13" t="s">
        <v>81</v>
      </c>
      <c r="F311" s="13" t="s">
        <v>94</v>
      </c>
      <c r="G311" s="13">
        <v>5</v>
      </c>
      <c r="H311" s="13">
        <v>4</v>
      </c>
      <c r="I311" s="13" t="s">
        <v>83</v>
      </c>
      <c r="J311" s="13" t="s">
        <v>83</v>
      </c>
      <c r="K311" s="13" t="s">
        <v>83</v>
      </c>
      <c r="L311" s="13" t="s">
        <v>83</v>
      </c>
      <c r="M311" s="13">
        <v>37</v>
      </c>
      <c r="N311" s="13">
        <v>1</v>
      </c>
      <c r="O311" s="13" t="s">
        <v>84</v>
      </c>
      <c r="P311" s="13">
        <v>25.2</v>
      </c>
      <c r="Q311" s="13">
        <v>94</v>
      </c>
      <c r="R311" s="13">
        <v>65</v>
      </c>
      <c r="S311" s="13" t="s">
        <v>85</v>
      </c>
      <c r="T311" s="13" t="s">
        <v>86</v>
      </c>
      <c r="U311" s="13" t="s">
        <v>87</v>
      </c>
      <c r="V311" s="13" t="s">
        <v>83</v>
      </c>
      <c r="W311" s="13" t="str">
        <f t="shared" si="24"/>
        <v>20-29 ans</v>
      </c>
      <c r="X311" s="13" t="str">
        <f t="shared" si="25"/>
        <v>3 accouchements et plus</v>
      </c>
      <c r="Y311" s="13" t="str">
        <f t="shared" si="26"/>
        <v>Moins de 4 CPN</v>
      </c>
      <c r="Z311" s="13" t="str">
        <f t="shared" si="27"/>
        <v>37 SA et plus</v>
      </c>
      <c r="AA311" s="13">
        <f t="shared" si="28"/>
        <v>243</v>
      </c>
      <c r="AB311" s="13">
        <f t="shared" si="29"/>
        <v>1</v>
      </c>
    </row>
    <row r="312" spans="1:28" x14ac:dyDescent="0.25">
      <c r="A312" s="13" t="s">
        <v>419</v>
      </c>
      <c r="B312" s="13">
        <v>29</v>
      </c>
      <c r="C312" s="13" t="s">
        <v>79</v>
      </c>
      <c r="D312" s="13" t="s">
        <v>80</v>
      </c>
      <c r="E312" s="13" t="s">
        <v>101</v>
      </c>
      <c r="F312" s="13" t="s">
        <v>94</v>
      </c>
      <c r="G312" s="13">
        <v>2</v>
      </c>
      <c r="H312" s="13">
        <v>1</v>
      </c>
      <c r="I312" s="13" t="s">
        <v>83</v>
      </c>
      <c r="J312" s="13" t="s">
        <v>83</v>
      </c>
      <c r="K312" s="13" t="s">
        <v>83</v>
      </c>
      <c r="L312" s="13" t="s">
        <v>83</v>
      </c>
      <c r="M312" s="13">
        <v>38</v>
      </c>
      <c r="N312" s="13">
        <v>2</v>
      </c>
      <c r="O312" s="13" t="s">
        <v>146</v>
      </c>
      <c r="P312" s="13">
        <v>20.9</v>
      </c>
      <c r="Q312" s="13">
        <v>121</v>
      </c>
      <c r="R312" s="13">
        <v>74</v>
      </c>
      <c r="S312" s="13" t="s">
        <v>85</v>
      </c>
      <c r="T312" s="13" t="s">
        <v>86</v>
      </c>
      <c r="U312" s="13" t="s">
        <v>87</v>
      </c>
      <c r="V312" s="13" t="s">
        <v>83</v>
      </c>
      <c r="W312" s="13" t="str">
        <f t="shared" si="24"/>
        <v>20-29 ans</v>
      </c>
      <c r="X312" s="13" t="str">
        <f t="shared" si="25"/>
        <v>1-2 accouchements</v>
      </c>
      <c r="Y312" s="13" t="str">
        <f t="shared" si="26"/>
        <v>Moins de 4 CPN</v>
      </c>
      <c r="Z312" s="13" t="str">
        <f t="shared" si="27"/>
        <v>37 SA et plus</v>
      </c>
      <c r="AA312" s="13">
        <f t="shared" si="28"/>
        <v>299</v>
      </c>
      <c r="AB312" s="13">
        <f t="shared" si="29"/>
        <v>1</v>
      </c>
    </row>
    <row r="313" spans="1:28" x14ac:dyDescent="0.25">
      <c r="A313" s="13" t="s">
        <v>420</v>
      </c>
      <c r="B313" s="13">
        <v>45</v>
      </c>
      <c r="C313" s="13" t="s">
        <v>79</v>
      </c>
      <c r="D313" s="13" t="s">
        <v>124</v>
      </c>
      <c r="E313" s="13" t="s">
        <v>81</v>
      </c>
      <c r="F313" s="13" t="s">
        <v>94</v>
      </c>
      <c r="G313" s="13">
        <v>9</v>
      </c>
      <c r="H313" s="13">
        <v>8</v>
      </c>
      <c r="I313" s="13" t="s">
        <v>83</v>
      </c>
      <c r="J313" s="13" t="s">
        <v>91</v>
      </c>
      <c r="K313" s="13" t="s">
        <v>83</v>
      </c>
      <c r="L313" s="13" t="s">
        <v>83</v>
      </c>
      <c r="M313" s="13">
        <v>33</v>
      </c>
      <c r="N313" s="13">
        <v>1</v>
      </c>
      <c r="O313" s="13" t="s">
        <v>84</v>
      </c>
      <c r="P313" s="13">
        <v>24.5</v>
      </c>
      <c r="Q313" s="13">
        <v>143</v>
      </c>
      <c r="R313" s="13">
        <v>92</v>
      </c>
      <c r="S313" s="13" t="s">
        <v>85</v>
      </c>
      <c r="T313" s="13" t="s">
        <v>86</v>
      </c>
      <c r="U313" s="13" t="s">
        <v>132</v>
      </c>
      <c r="V313" s="13" t="s">
        <v>83</v>
      </c>
      <c r="W313" s="13" t="str">
        <f t="shared" si="24"/>
        <v>35 ans et plus</v>
      </c>
      <c r="X313" s="13" t="str">
        <f t="shared" si="25"/>
        <v>3 accouchements et plus</v>
      </c>
      <c r="Y313" s="13" t="str">
        <f t="shared" si="26"/>
        <v>Moins de 4 CPN</v>
      </c>
      <c r="Z313" s="13" t="str">
        <f t="shared" si="27"/>
        <v>28-36 SA</v>
      </c>
      <c r="AA313" s="13">
        <f t="shared" si="28"/>
        <v>399.5</v>
      </c>
      <c r="AB313" s="13">
        <f t="shared" si="29"/>
        <v>1</v>
      </c>
    </row>
    <row r="314" spans="1:28" x14ac:dyDescent="0.25">
      <c r="A314" s="13" t="s">
        <v>421</v>
      </c>
      <c r="B314" s="13">
        <v>22</v>
      </c>
      <c r="C314" s="13" t="s">
        <v>79</v>
      </c>
      <c r="D314" s="13" t="s">
        <v>80</v>
      </c>
      <c r="E314" s="13" t="s">
        <v>81</v>
      </c>
      <c r="F314" s="13" t="s">
        <v>94</v>
      </c>
      <c r="G314" s="13">
        <v>3</v>
      </c>
      <c r="H314" s="13">
        <v>2</v>
      </c>
      <c r="I314" s="13" t="s">
        <v>83</v>
      </c>
      <c r="J314" s="13" t="s">
        <v>83</v>
      </c>
      <c r="L314" s="13" t="s">
        <v>83</v>
      </c>
      <c r="M314" s="13">
        <v>32</v>
      </c>
      <c r="N314" s="13">
        <v>2</v>
      </c>
      <c r="O314" s="13" t="s">
        <v>84</v>
      </c>
      <c r="P314" s="13">
        <v>26.7</v>
      </c>
      <c r="Q314" s="13">
        <v>101</v>
      </c>
      <c r="R314" s="13">
        <v>62</v>
      </c>
      <c r="S314" s="13" t="s">
        <v>85</v>
      </c>
      <c r="T314" s="13" t="s">
        <v>86</v>
      </c>
      <c r="U314" s="13" t="s">
        <v>87</v>
      </c>
      <c r="V314" s="13" t="s">
        <v>83</v>
      </c>
      <c r="W314" s="13" t="str">
        <f t="shared" si="24"/>
        <v>20-29 ans</v>
      </c>
      <c r="X314" s="13" t="str">
        <f t="shared" si="25"/>
        <v>1-2 accouchements</v>
      </c>
      <c r="Y314" s="13" t="str">
        <f t="shared" si="26"/>
        <v>Moins de 4 CPN</v>
      </c>
      <c r="Z314" s="13" t="str">
        <f t="shared" si="27"/>
        <v>28-36 SA</v>
      </c>
      <c r="AA314" s="13">
        <f t="shared" si="28"/>
        <v>70</v>
      </c>
      <c r="AB314" s="13">
        <f t="shared" si="29"/>
        <v>1</v>
      </c>
    </row>
    <row r="315" spans="1:28" x14ac:dyDescent="0.25">
      <c r="A315" s="13" t="s">
        <v>422</v>
      </c>
      <c r="B315" s="13">
        <v>23</v>
      </c>
      <c r="C315" s="13" t="s">
        <v>79</v>
      </c>
      <c r="D315" s="13" t="s">
        <v>80</v>
      </c>
      <c r="E315" s="13" t="s">
        <v>101</v>
      </c>
      <c r="F315" s="13" t="s">
        <v>94</v>
      </c>
      <c r="G315" s="13">
        <v>5</v>
      </c>
      <c r="H315" s="13">
        <v>3</v>
      </c>
      <c r="I315" s="13" t="s">
        <v>83</v>
      </c>
      <c r="J315" s="13" t="s">
        <v>83</v>
      </c>
      <c r="K315" s="13" t="s">
        <v>91</v>
      </c>
      <c r="L315" s="13" t="s">
        <v>91</v>
      </c>
      <c r="M315" s="13">
        <v>29</v>
      </c>
      <c r="N315" s="13">
        <v>8</v>
      </c>
      <c r="O315" s="13" t="s">
        <v>84</v>
      </c>
      <c r="P315" s="13">
        <v>17.7</v>
      </c>
      <c r="Q315" s="13">
        <v>96</v>
      </c>
      <c r="R315" s="13">
        <v>62</v>
      </c>
      <c r="S315" s="13" t="s">
        <v>85</v>
      </c>
      <c r="T315" s="13" t="s">
        <v>86</v>
      </c>
      <c r="U315" s="13" t="s">
        <v>87</v>
      </c>
      <c r="V315" s="13" t="s">
        <v>83</v>
      </c>
      <c r="W315" s="13" t="str">
        <f t="shared" si="24"/>
        <v>20-29 ans</v>
      </c>
      <c r="X315" s="13" t="str">
        <f t="shared" si="25"/>
        <v>3 accouchements et plus</v>
      </c>
      <c r="Y315" s="13" t="str">
        <f t="shared" si="26"/>
        <v>8 CPN et plus</v>
      </c>
      <c r="Z315" s="13" t="str">
        <f t="shared" si="27"/>
        <v>28-36 SA</v>
      </c>
      <c r="AA315" s="13">
        <f t="shared" si="28"/>
        <v>103.5</v>
      </c>
      <c r="AB315" s="13">
        <f t="shared" si="29"/>
        <v>1</v>
      </c>
    </row>
    <row r="316" spans="1:28" x14ac:dyDescent="0.25">
      <c r="A316" s="13" t="s">
        <v>423</v>
      </c>
      <c r="B316" s="13">
        <v>29</v>
      </c>
      <c r="C316" s="13" t="s">
        <v>89</v>
      </c>
      <c r="D316" s="13" t="s">
        <v>80</v>
      </c>
      <c r="E316" s="13" t="s">
        <v>81</v>
      </c>
      <c r="F316" s="13" t="s">
        <v>94</v>
      </c>
      <c r="G316" s="13">
        <v>2</v>
      </c>
      <c r="H316" s="13">
        <v>1</v>
      </c>
      <c r="I316" s="13" t="s">
        <v>83</v>
      </c>
      <c r="J316" s="13" t="s">
        <v>83</v>
      </c>
      <c r="K316" s="13" t="s">
        <v>83</v>
      </c>
      <c r="L316" s="13" t="s">
        <v>83</v>
      </c>
      <c r="M316" s="13">
        <v>39</v>
      </c>
      <c r="N316" s="13">
        <v>3</v>
      </c>
      <c r="O316" s="13" t="s">
        <v>84</v>
      </c>
      <c r="P316" s="13">
        <v>28.3</v>
      </c>
      <c r="Q316" s="13">
        <v>115</v>
      </c>
      <c r="R316" s="13">
        <v>62</v>
      </c>
      <c r="S316" s="13" t="s">
        <v>85</v>
      </c>
      <c r="T316" s="13" t="s">
        <v>86</v>
      </c>
      <c r="U316" s="13" t="s">
        <v>87</v>
      </c>
      <c r="V316" s="13" t="s">
        <v>83</v>
      </c>
      <c r="W316" s="13" t="str">
        <f t="shared" si="24"/>
        <v>20-29 ans</v>
      </c>
      <c r="X316" s="13" t="str">
        <f t="shared" si="25"/>
        <v>1-2 accouchements</v>
      </c>
      <c r="Y316" s="13" t="str">
        <f t="shared" si="26"/>
        <v>Moins de 4 CPN</v>
      </c>
      <c r="Z316" s="13" t="str">
        <f t="shared" si="27"/>
        <v>37 SA et plus</v>
      </c>
      <c r="AA316" s="13">
        <f t="shared" si="28"/>
        <v>299</v>
      </c>
      <c r="AB316" s="13">
        <f t="shared" si="29"/>
        <v>1</v>
      </c>
    </row>
    <row r="317" spans="1:28" x14ac:dyDescent="0.25">
      <c r="A317" s="13" t="s">
        <v>424</v>
      </c>
      <c r="B317" s="13">
        <v>23</v>
      </c>
      <c r="C317" s="13" t="s">
        <v>89</v>
      </c>
      <c r="D317" s="13" t="s">
        <v>80</v>
      </c>
      <c r="E317" s="13" t="s">
        <v>90</v>
      </c>
      <c r="F317" s="13" t="s">
        <v>82</v>
      </c>
      <c r="G317" s="13">
        <v>1</v>
      </c>
      <c r="H317" s="13">
        <v>0</v>
      </c>
      <c r="I317" s="13" t="s">
        <v>86</v>
      </c>
      <c r="J317" s="13" t="s">
        <v>83</v>
      </c>
      <c r="K317" s="13" t="s">
        <v>83</v>
      </c>
      <c r="L317" s="13" t="s">
        <v>83</v>
      </c>
      <c r="M317" s="13">
        <v>34</v>
      </c>
      <c r="N317" s="13">
        <v>7</v>
      </c>
      <c r="O317" s="13" t="s">
        <v>84</v>
      </c>
      <c r="P317" s="13">
        <v>26.8</v>
      </c>
      <c r="Q317" s="13">
        <v>109</v>
      </c>
      <c r="R317" s="13">
        <v>69</v>
      </c>
      <c r="S317" s="13" t="s">
        <v>85</v>
      </c>
      <c r="T317" s="13" t="s">
        <v>86</v>
      </c>
      <c r="U317" s="13" t="s">
        <v>87</v>
      </c>
      <c r="V317" s="13" t="s">
        <v>83</v>
      </c>
      <c r="W317" s="13" t="str">
        <f t="shared" si="24"/>
        <v>20-29 ans</v>
      </c>
      <c r="X317" s="13" t="str">
        <f t="shared" si="25"/>
        <v>Nullipare (0)</v>
      </c>
      <c r="Y317" s="13" t="str">
        <f t="shared" si="26"/>
        <v>4 à 7 CPN</v>
      </c>
      <c r="Z317" s="13" t="str">
        <f t="shared" si="27"/>
        <v>28-36 SA</v>
      </c>
      <c r="AA317" s="13">
        <f t="shared" si="28"/>
        <v>103.5</v>
      </c>
      <c r="AB317" s="13">
        <f t="shared" si="29"/>
        <v>0</v>
      </c>
    </row>
    <row r="318" spans="1:28" x14ac:dyDescent="0.25">
      <c r="A318" s="13" t="s">
        <v>425</v>
      </c>
      <c r="B318" s="13">
        <v>19</v>
      </c>
      <c r="C318" s="13" t="s">
        <v>98</v>
      </c>
      <c r="D318" s="13" t="s">
        <v>93</v>
      </c>
      <c r="E318" s="13" t="s">
        <v>90</v>
      </c>
      <c r="F318" s="13" t="s">
        <v>82</v>
      </c>
      <c r="G318" s="13">
        <v>1</v>
      </c>
      <c r="H318" s="13">
        <v>0</v>
      </c>
      <c r="I318" s="13" t="s">
        <v>86</v>
      </c>
      <c r="J318" s="13" t="s">
        <v>83</v>
      </c>
      <c r="K318" s="13" t="s">
        <v>91</v>
      </c>
      <c r="L318" s="13" t="s">
        <v>83</v>
      </c>
      <c r="M318" s="13">
        <v>34</v>
      </c>
      <c r="N318" s="13">
        <v>2</v>
      </c>
      <c r="O318" s="13" t="s">
        <v>84</v>
      </c>
      <c r="P318" s="13">
        <v>18.5</v>
      </c>
      <c r="Q318" s="13">
        <v>116</v>
      </c>
      <c r="R318" s="13">
        <v>77</v>
      </c>
      <c r="S318" s="13" t="s">
        <v>85</v>
      </c>
      <c r="T318" s="13" t="s">
        <v>86</v>
      </c>
      <c r="U318" s="13" t="s">
        <v>87</v>
      </c>
      <c r="V318" s="13" t="s">
        <v>83</v>
      </c>
      <c r="W318" s="13" t="str">
        <f t="shared" si="24"/>
        <v>Moins de 20 ans</v>
      </c>
      <c r="X318" s="13" t="str">
        <f t="shared" si="25"/>
        <v>Nullipare (0)</v>
      </c>
      <c r="Y318" s="13" t="str">
        <f t="shared" si="26"/>
        <v>Moins de 4 CPN</v>
      </c>
      <c r="Z318" s="13" t="str">
        <f t="shared" si="27"/>
        <v>28-36 SA</v>
      </c>
      <c r="AA318" s="13">
        <f t="shared" si="28"/>
        <v>14.5</v>
      </c>
      <c r="AB318" s="13">
        <f t="shared" si="29"/>
        <v>0</v>
      </c>
    </row>
    <row r="319" spans="1:28" x14ac:dyDescent="0.25">
      <c r="A319" s="13" t="s">
        <v>426</v>
      </c>
      <c r="B319" s="13">
        <v>21</v>
      </c>
      <c r="C319" s="13" t="s">
        <v>89</v>
      </c>
      <c r="D319" s="13" t="s">
        <v>80</v>
      </c>
      <c r="E319" s="13" t="s">
        <v>112</v>
      </c>
      <c r="F319" s="13" t="s">
        <v>94</v>
      </c>
      <c r="G319" s="13">
        <v>3</v>
      </c>
      <c r="H319" s="13">
        <v>1</v>
      </c>
      <c r="I319" s="13" t="s">
        <v>83</v>
      </c>
      <c r="J319" s="13" t="s">
        <v>83</v>
      </c>
      <c r="K319" s="13" t="s">
        <v>83</v>
      </c>
      <c r="L319" s="13" t="s">
        <v>83</v>
      </c>
      <c r="M319" s="13">
        <v>37</v>
      </c>
      <c r="N319" s="13">
        <v>4</v>
      </c>
      <c r="O319" s="13" t="s">
        <v>84</v>
      </c>
      <c r="P319" s="13">
        <v>18.7</v>
      </c>
      <c r="Q319" s="13">
        <v>107</v>
      </c>
      <c r="R319" s="13">
        <v>76</v>
      </c>
      <c r="S319" s="13" t="s">
        <v>85</v>
      </c>
      <c r="T319" s="13" t="s">
        <v>86</v>
      </c>
      <c r="U319" s="13" t="s">
        <v>87</v>
      </c>
      <c r="V319" s="13" t="s">
        <v>83</v>
      </c>
      <c r="W319" s="13" t="str">
        <f t="shared" si="24"/>
        <v>20-29 ans</v>
      </c>
      <c r="X319" s="13" t="str">
        <f t="shared" si="25"/>
        <v>1-2 accouchements</v>
      </c>
      <c r="Y319" s="13" t="str">
        <f t="shared" si="26"/>
        <v>4 à 7 CPN</v>
      </c>
      <c r="Z319" s="13" t="str">
        <f t="shared" si="27"/>
        <v>37 SA et plus</v>
      </c>
      <c r="AA319" s="13">
        <f t="shared" si="28"/>
        <v>48</v>
      </c>
      <c r="AB319" s="13">
        <f t="shared" si="29"/>
        <v>1</v>
      </c>
    </row>
    <row r="320" spans="1:28" x14ac:dyDescent="0.25">
      <c r="A320" s="13" t="s">
        <v>427</v>
      </c>
      <c r="B320" s="13">
        <v>25</v>
      </c>
      <c r="C320" s="13" t="s">
        <v>89</v>
      </c>
      <c r="D320" s="13" t="s">
        <v>80</v>
      </c>
      <c r="E320" s="13" t="s">
        <v>96</v>
      </c>
      <c r="F320" s="13" t="s">
        <v>82</v>
      </c>
      <c r="G320" s="13">
        <v>2</v>
      </c>
      <c r="H320" s="13">
        <v>1</v>
      </c>
      <c r="I320" s="13" t="s">
        <v>83</v>
      </c>
      <c r="J320" s="13" t="s">
        <v>83</v>
      </c>
      <c r="K320" s="13" t="s">
        <v>83</v>
      </c>
      <c r="L320" s="13" t="s">
        <v>83</v>
      </c>
      <c r="M320" s="13">
        <v>37</v>
      </c>
      <c r="N320" s="13">
        <v>1</v>
      </c>
      <c r="O320" s="13" t="s">
        <v>84</v>
      </c>
      <c r="P320" s="13">
        <v>23.6</v>
      </c>
      <c r="Q320" s="13">
        <v>125</v>
      </c>
      <c r="R320" s="13">
        <v>84</v>
      </c>
      <c r="S320" s="13" t="s">
        <v>85</v>
      </c>
      <c r="T320" s="13" t="s">
        <v>86</v>
      </c>
      <c r="U320" s="13" t="s">
        <v>87</v>
      </c>
      <c r="V320" s="13" t="s">
        <v>83</v>
      </c>
      <c r="W320" s="13" t="str">
        <f t="shared" si="24"/>
        <v>20-29 ans</v>
      </c>
      <c r="X320" s="13" t="str">
        <f t="shared" si="25"/>
        <v>1-2 accouchements</v>
      </c>
      <c r="Y320" s="13" t="str">
        <f t="shared" si="26"/>
        <v>Moins de 4 CPN</v>
      </c>
      <c r="Z320" s="13" t="str">
        <f t="shared" si="27"/>
        <v>37 SA et plus</v>
      </c>
      <c r="AA320" s="13">
        <f t="shared" si="28"/>
        <v>173</v>
      </c>
      <c r="AB320" s="13">
        <f t="shared" si="29"/>
        <v>1</v>
      </c>
    </row>
    <row r="321" spans="1:28" x14ac:dyDescent="0.25">
      <c r="A321" s="13" t="s">
        <v>428</v>
      </c>
      <c r="B321" s="13">
        <v>26</v>
      </c>
      <c r="C321" s="13" t="s">
        <v>98</v>
      </c>
      <c r="E321" s="13" t="s">
        <v>96</v>
      </c>
      <c r="F321" s="13" t="s">
        <v>82</v>
      </c>
      <c r="G321" s="13">
        <v>6</v>
      </c>
      <c r="H321" s="13">
        <v>4</v>
      </c>
      <c r="I321" s="13" t="s">
        <v>83</v>
      </c>
      <c r="J321" s="13" t="s">
        <v>83</v>
      </c>
      <c r="L321" s="13" t="s">
        <v>83</v>
      </c>
      <c r="M321" s="13">
        <v>33</v>
      </c>
      <c r="N321" s="13">
        <v>8</v>
      </c>
      <c r="O321" s="13" t="s">
        <v>84</v>
      </c>
      <c r="P321" s="13">
        <v>22.1</v>
      </c>
      <c r="Q321" s="13">
        <v>116</v>
      </c>
      <c r="R321" s="13">
        <v>76</v>
      </c>
      <c r="S321" s="13" t="s">
        <v>106</v>
      </c>
      <c r="T321" s="13" t="s">
        <v>86</v>
      </c>
      <c r="U321" s="13" t="s">
        <v>87</v>
      </c>
      <c r="V321" s="13" t="s">
        <v>83</v>
      </c>
      <c r="W321" s="13" t="str">
        <f t="shared" si="24"/>
        <v>20-29 ans</v>
      </c>
      <c r="X321" s="13" t="str">
        <f t="shared" si="25"/>
        <v>3 accouchements et plus</v>
      </c>
      <c r="Y321" s="13" t="str">
        <f t="shared" si="26"/>
        <v>8 CPN et plus</v>
      </c>
      <c r="Z321" s="13" t="str">
        <f t="shared" si="27"/>
        <v>28-36 SA</v>
      </c>
      <c r="AA321" s="13">
        <f t="shared" si="28"/>
        <v>206</v>
      </c>
      <c r="AB321" s="13">
        <f t="shared" si="29"/>
        <v>1</v>
      </c>
    </row>
    <row r="322" spans="1:28" x14ac:dyDescent="0.25">
      <c r="A322" s="13" t="s">
        <v>429</v>
      </c>
      <c r="B322" s="13">
        <v>27</v>
      </c>
      <c r="C322" s="13" t="s">
        <v>79</v>
      </c>
      <c r="D322" s="13" t="s">
        <v>109</v>
      </c>
      <c r="E322" s="13" t="s">
        <v>90</v>
      </c>
      <c r="F322" s="13" t="s">
        <v>82</v>
      </c>
      <c r="G322" s="13">
        <v>1</v>
      </c>
      <c r="H322" s="13">
        <v>0</v>
      </c>
      <c r="I322" s="13" t="s">
        <v>86</v>
      </c>
      <c r="J322" s="13" t="s">
        <v>83</v>
      </c>
      <c r="K322" s="13" t="s">
        <v>83</v>
      </c>
      <c r="L322" s="13" t="s">
        <v>83</v>
      </c>
      <c r="M322" s="13">
        <v>32</v>
      </c>
      <c r="N322" s="13">
        <v>2</v>
      </c>
      <c r="O322" s="13" t="s">
        <v>84</v>
      </c>
      <c r="P322" s="13">
        <v>20.100000000000001</v>
      </c>
      <c r="Q322" s="13">
        <v>105</v>
      </c>
      <c r="R322" s="13">
        <v>66</v>
      </c>
      <c r="S322" s="13" t="s">
        <v>85</v>
      </c>
      <c r="T322" s="13" t="s">
        <v>86</v>
      </c>
      <c r="U322" s="13" t="s">
        <v>87</v>
      </c>
      <c r="V322" s="13" t="s">
        <v>83</v>
      </c>
      <c r="W322" s="13" t="str">
        <f t="shared" ref="W322:W385" si="30">IF(B322="","",IF(B322&lt;=19,"Moins de 20 ans",IF(B322&lt;=29,"20-29 ans",IF(B322&lt;=34,"30-34 ans","35 ans et plus"))))</f>
        <v>20-29 ans</v>
      </c>
      <c r="X322" s="13" t="str">
        <f t="shared" ref="X322:X385" si="31">IF(H322="","",IF(H322=0,"Nullipare (0)",IF(H322&lt;=2,"1-2 accouchements","3 accouchements et plus")))</f>
        <v>Nullipare (0)</v>
      </c>
      <c r="Y322" s="13" t="str">
        <f t="shared" ref="Y322:Y385" si="32">IF(N322="","",IF(N322&lt;=3,"Moins de 4 CPN",IF(N322&lt;=7,"4 à 7 CPN","8 CPN et plus")))</f>
        <v>Moins de 4 CPN</v>
      </c>
      <c r="Z322" s="13" t="str">
        <f t="shared" ref="Z322:Z385" si="33">IF(M322="","",IF(M322&lt;=27,"20-27 SA",IF(M322&lt;=36,"28-36 SA","37 SA et plus")))</f>
        <v>28-36 SA</v>
      </c>
      <c r="AA322" s="13">
        <f t="shared" ref="AA322:AA385" si="34">RANK(B322,$B$2:$B$401,1)+(COUNTIF($B$2:$B$401,B322)-1)/2</f>
        <v>243</v>
      </c>
      <c r="AB322" s="13">
        <f t="shared" ref="AB322:AB385" si="35">IF(AND(H322&gt;=1,OR(I322="Oui",I322="Non")),1,0)</f>
        <v>0</v>
      </c>
    </row>
    <row r="323" spans="1:28" x14ac:dyDescent="0.25">
      <c r="A323" s="13" t="s">
        <v>430</v>
      </c>
      <c r="B323" s="13">
        <v>36</v>
      </c>
      <c r="C323" s="13" t="s">
        <v>79</v>
      </c>
      <c r="D323" s="13" t="s">
        <v>109</v>
      </c>
      <c r="E323" s="13" t="s">
        <v>112</v>
      </c>
      <c r="F323" s="13" t="s">
        <v>82</v>
      </c>
      <c r="G323" s="13">
        <v>4</v>
      </c>
      <c r="H323" s="13">
        <v>3</v>
      </c>
      <c r="I323" s="13" t="s">
        <v>83</v>
      </c>
      <c r="J323" s="13" t="s">
        <v>83</v>
      </c>
      <c r="K323" s="13" t="s">
        <v>83</v>
      </c>
      <c r="L323" s="13" t="s">
        <v>83</v>
      </c>
      <c r="M323" s="13">
        <v>39</v>
      </c>
      <c r="N323" s="13">
        <v>4</v>
      </c>
      <c r="O323" s="13" t="s">
        <v>84</v>
      </c>
      <c r="P323" s="13">
        <v>30.8</v>
      </c>
      <c r="Q323" s="13">
        <v>125</v>
      </c>
      <c r="R323" s="13">
        <v>76</v>
      </c>
      <c r="S323" s="13" t="s">
        <v>85</v>
      </c>
      <c r="T323" s="13" t="s">
        <v>86</v>
      </c>
      <c r="U323" s="13" t="s">
        <v>87</v>
      </c>
      <c r="V323" s="13" t="s">
        <v>83</v>
      </c>
      <c r="W323" s="13" t="str">
        <f t="shared" si="30"/>
        <v>35 ans et plus</v>
      </c>
      <c r="X323" s="13" t="str">
        <f t="shared" si="31"/>
        <v>3 accouchements et plus</v>
      </c>
      <c r="Y323" s="13" t="str">
        <f t="shared" si="32"/>
        <v>4 à 7 CPN</v>
      </c>
      <c r="Z323" s="13" t="str">
        <f t="shared" si="33"/>
        <v>37 SA et plus</v>
      </c>
      <c r="AA323" s="13">
        <f t="shared" si="34"/>
        <v>383</v>
      </c>
      <c r="AB323" s="13">
        <f t="shared" si="35"/>
        <v>1</v>
      </c>
    </row>
    <row r="324" spans="1:28" x14ac:dyDescent="0.25">
      <c r="A324" s="13" t="s">
        <v>431</v>
      </c>
      <c r="B324" s="13">
        <v>31</v>
      </c>
      <c r="C324" s="13" t="s">
        <v>98</v>
      </c>
      <c r="D324" s="13" t="s">
        <v>80</v>
      </c>
      <c r="E324" s="13" t="s">
        <v>81</v>
      </c>
      <c r="F324" s="13" t="s">
        <v>94</v>
      </c>
      <c r="G324" s="13">
        <v>5</v>
      </c>
      <c r="H324" s="13">
        <v>3</v>
      </c>
      <c r="I324" s="13" t="s">
        <v>83</v>
      </c>
      <c r="J324" s="13" t="s">
        <v>83</v>
      </c>
      <c r="K324" s="13" t="s">
        <v>83</v>
      </c>
      <c r="L324" s="13" t="s">
        <v>83</v>
      </c>
      <c r="M324" s="13">
        <v>31</v>
      </c>
      <c r="N324" s="13">
        <v>8</v>
      </c>
      <c r="O324" s="13" t="s">
        <v>84</v>
      </c>
      <c r="P324" s="13">
        <v>22.7</v>
      </c>
      <c r="Q324" s="13">
        <v>100</v>
      </c>
      <c r="R324" s="13">
        <v>67</v>
      </c>
      <c r="S324" s="13" t="s">
        <v>85</v>
      </c>
      <c r="T324" s="13" t="s">
        <v>86</v>
      </c>
      <c r="U324" s="13" t="s">
        <v>87</v>
      </c>
      <c r="V324" s="13" t="s">
        <v>83</v>
      </c>
      <c r="W324" s="13" t="str">
        <f t="shared" si="30"/>
        <v>30-34 ans</v>
      </c>
      <c r="X324" s="13" t="str">
        <f t="shared" si="31"/>
        <v>3 accouchements et plus</v>
      </c>
      <c r="Y324" s="13" t="str">
        <f t="shared" si="32"/>
        <v>8 CPN et plus</v>
      </c>
      <c r="Z324" s="13" t="str">
        <f t="shared" si="33"/>
        <v>28-36 SA</v>
      </c>
      <c r="AA324" s="13">
        <f t="shared" si="34"/>
        <v>334.5</v>
      </c>
      <c r="AB324" s="13">
        <f t="shared" si="35"/>
        <v>1</v>
      </c>
    </row>
    <row r="325" spans="1:28" x14ac:dyDescent="0.25">
      <c r="A325" s="13" t="s">
        <v>432</v>
      </c>
      <c r="B325" s="13">
        <v>20</v>
      </c>
      <c r="C325" s="13" t="s">
        <v>89</v>
      </c>
      <c r="D325" s="13" t="s">
        <v>93</v>
      </c>
      <c r="E325" s="13" t="s">
        <v>96</v>
      </c>
      <c r="F325" s="13" t="s">
        <v>94</v>
      </c>
      <c r="G325" s="13">
        <v>1</v>
      </c>
      <c r="H325" s="13">
        <v>0</v>
      </c>
      <c r="I325" s="13" t="s">
        <v>86</v>
      </c>
      <c r="J325" s="13" t="s">
        <v>83</v>
      </c>
      <c r="K325" s="13" t="s">
        <v>83</v>
      </c>
      <c r="L325" s="13" t="s">
        <v>83</v>
      </c>
      <c r="M325" s="13">
        <v>29</v>
      </c>
      <c r="N325" s="13">
        <v>2</v>
      </c>
      <c r="O325" s="13" t="s">
        <v>84</v>
      </c>
      <c r="P325" s="13">
        <v>23.1</v>
      </c>
      <c r="Q325" s="13">
        <v>112</v>
      </c>
      <c r="R325" s="13">
        <v>66</v>
      </c>
      <c r="S325" s="13" t="s">
        <v>85</v>
      </c>
      <c r="T325" s="13" t="s">
        <v>86</v>
      </c>
      <c r="U325" s="13" t="s">
        <v>87</v>
      </c>
      <c r="V325" s="13" t="s">
        <v>83</v>
      </c>
      <c r="W325" s="13" t="str">
        <f t="shared" si="30"/>
        <v>20-29 ans</v>
      </c>
      <c r="X325" s="13" t="str">
        <f t="shared" si="31"/>
        <v>Nullipare (0)</v>
      </c>
      <c r="Y325" s="13" t="str">
        <f t="shared" si="32"/>
        <v>Moins de 4 CPN</v>
      </c>
      <c r="Z325" s="13" t="str">
        <f t="shared" si="33"/>
        <v>28-36 SA</v>
      </c>
      <c r="AA325" s="13">
        <f t="shared" si="34"/>
        <v>30.5</v>
      </c>
      <c r="AB325" s="13">
        <f t="shared" si="35"/>
        <v>0</v>
      </c>
    </row>
    <row r="326" spans="1:28" x14ac:dyDescent="0.25">
      <c r="A326" s="13" t="s">
        <v>433</v>
      </c>
      <c r="B326" s="13">
        <v>24</v>
      </c>
      <c r="C326" s="13" t="s">
        <v>79</v>
      </c>
      <c r="D326" s="13" t="s">
        <v>80</v>
      </c>
      <c r="F326" s="13" t="s">
        <v>94</v>
      </c>
      <c r="G326" s="13">
        <v>2</v>
      </c>
      <c r="H326" s="13">
        <v>1</v>
      </c>
      <c r="I326" s="13" t="s">
        <v>83</v>
      </c>
      <c r="J326" s="13" t="s">
        <v>83</v>
      </c>
      <c r="K326" s="13" t="s">
        <v>83</v>
      </c>
      <c r="L326" s="13" t="s">
        <v>83</v>
      </c>
      <c r="M326" s="13">
        <v>36</v>
      </c>
      <c r="N326" s="13">
        <v>1</v>
      </c>
      <c r="O326" s="13" t="s">
        <v>84</v>
      </c>
      <c r="P326" s="13">
        <v>29.5</v>
      </c>
      <c r="Q326" s="13">
        <v>121</v>
      </c>
      <c r="R326" s="13">
        <v>71</v>
      </c>
      <c r="S326" s="13" t="s">
        <v>85</v>
      </c>
      <c r="T326" s="13" t="s">
        <v>86</v>
      </c>
      <c r="U326" s="13" t="s">
        <v>87</v>
      </c>
      <c r="V326" s="13" t="s">
        <v>83</v>
      </c>
      <c r="W326" s="13" t="str">
        <f t="shared" si="30"/>
        <v>20-29 ans</v>
      </c>
      <c r="X326" s="13" t="str">
        <f t="shared" si="31"/>
        <v>1-2 accouchements</v>
      </c>
      <c r="Y326" s="13" t="str">
        <f t="shared" si="32"/>
        <v>Moins de 4 CPN</v>
      </c>
      <c r="Z326" s="13" t="str">
        <f t="shared" si="33"/>
        <v>28-36 SA</v>
      </c>
      <c r="AA326" s="13">
        <f t="shared" si="34"/>
        <v>139.5</v>
      </c>
      <c r="AB326" s="13">
        <f t="shared" si="35"/>
        <v>1</v>
      </c>
    </row>
    <row r="327" spans="1:28" x14ac:dyDescent="0.25">
      <c r="A327" s="13" t="s">
        <v>434</v>
      </c>
      <c r="B327" s="13">
        <v>27</v>
      </c>
      <c r="C327" s="13" t="s">
        <v>89</v>
      </c>
      <c r="D327" s="13" t="s">
        <v>109</v>
      </c>
      <c r="E327" s="13" t="s">
        <v>96</v>
      </c>
      <c r="F327" s="13" t="s">
        <v>82</v>
      </c>
      <c r="G327" s="13">
        <v>2</v>
      </c>
      <c r="H327" s="13">
        <v>1</v>
      </c>
      <c r="I327" s="13" t="s">
        <v>83</v>
      </c>
      <c r="J327" s="13" t="s">
        <v>83</v>
      </c>
      <c r="K327" s="13" t="s">
        <v>83</v>
      </c>
      <c r="L327" s="13" t="s">
        <v>83</v>
      </c>
      <c r="M327" s="13">
        <v>38</v>
      </c>
      <c r="N327" s="13">
        <v>3</v>
      </c>
      <c r="O327" s="13" t="s">
        <v>84</v>
      </c>
      <c r="P327" s="13">
        <v>25.8</v>
      </c>
      <c r="Q327" s="13">
        <v>100</v>
      </c>
      <c r="R327" s="13">
        <v>60</v>
      </c>
      <c r="S327" s="13" t="s">
        <v>85</v>
      </c>
      <c r="T327" s="13" t="s">
        <v>86</v>
      </c>
      <c r="U327" s="13" t="s">
        <v>87</v>
      </c>
      <c r="V327" s="13" t="s">
        <v>83</v>
      </c>
      <c r="W327" s="13" t="str">
        <f t="shared" si="30"/>
        <v>20-29 ans</v>
      </c>
      <c r="X327" s="13" t="str">
        <f t="shared" si="31"/>
        <v>1-2 accouchements</v>
      </c>
      <c r="Y327" s="13" t="str">
        <f t="shared" si="32"/>
        <v>Moins de 4 CPN</v>
      </c>
      <c r="Z327" s="13" t="str">
        <f t="shared" si="33"/>
        <v>37 SA et plus</v>
      </c>
      <c r="AA327" s="13">
        <f t="shared" si="34"/>
        <v>243</v>
      </c>
      <c r="AB327" s="13">
        <f t="shared" si="35"/>
        <v>1</v>
      </c>
    </row>
    <row r="328" spans="1:28" x14ac:dyDescent="0.25">
      <c r="A328" s="13" t="s">
        <v>435</v>
      </c>
      <c r="B328" s="13">
        <v>20</v>
      </c>
      <c r="C328" s="13" t="s">
        <v>79</v>
      </c>
      <c r="D328" s="13" t="s">
        <v>80</v>
      </c>
      <c r="E328" s="13" t="s">
        <v>90</v>
      </c>
      <c r="F328" s="13" t="s">
        <v>82</v>
      </c>
      <c r="G328" s="13">
        <v>2</v>
      </c>
      <c r="H328" s="13">
        <v>0</v>
      </c>
      <c r="I328" s="13" t="s">
        <v>86</v>
      </c>
      <c r="J328" s="13" t="s">
        <v>83</v>
      </c>
      <c r="K328" s="13" t="s">
        <v>83</v>
      </c>
      <c r="L328" s="13" t="s">
        <v>83</v>
      </c>
      <c r="M328" s="13">
        <v>37</v>
      </c>
      <c r="N328" s="13">
        <v>4</v>
      </c>
      <c r="O328" s="13" t="s">
        <v>84</v>
      </c>
      <c r="P328" s="13">
        <v>22.4</v>
      </c>
      <c r="Q328" s="13">
        <v>140</v>
      </c>
      <c r="R328" s="13">
        <v>95</v>
      </c>
      <c r="S328" s="13" t="s">
        <v>85</v>
      </c>
      <c r="T328" s="13" t="s">
        <v>86</v>
      </c>
      <c r="U328" s="13" t="s">
        <v>110</v>
      </c>
      <c r="V328" s="13" t="s">
        <v>83</v>
      </c>
      <c r="W328" s="13" t="str">
        <f t="shared" si="30"/>
        <v>20-29 ans</v>
      </c>
      <c r="X328" s="13" t="str">
        <f t="shared" si="31"/>
        <v>Nullipare (0)</v>
      </c>
      <c r="Y328" s="13" t="str">
        <f t="shared" si="32"/>
        <v>4 à 7 CPN</v>
      </c>
      <c r="Z328" s="13" t="str">
        <f t="shared" si="33"/>
        <v>37 SA et plus</v>
      </c>
      <c r="AA328" s="13">
        <f t="shared" si="34"/>
        <v>30.5</v>
      </c>
      <c r="AB328" s="13">
        <f t="shared" si="35"/>
        <v>0</v>
      </c>
    </row>
    <row r="329" spans="1:28" x14ac:dyDescent="0.25">
      <c r="A329" s="13" t="s">
        <v>436</v>
      </c>
      <c r="B329" s="13">
        <v>27</v>
      </c>
      <c r="C329" s="13" t="s">
        <v>79</v>
      </c>
      <c r="D329" s="13" t="s">
        <v>93</v>
      </c>
      <c r="E329" s="13" t="s">
        <v>81</v>
      </c>
      <c r="F329" s="13" t="s">
        <v>94</v>
      </c>
      <c r="G329" s="13">
        <v>4</v>
      </c>
      <c r="H329" s="13">
        <v>3</v>
      </c>
      <c r="I329" s="13" t="s">
        <v>83</v>
      </c>
      <c r="J329" s="13" t="s">
        <v>83</v>
      </c>
      <c r="K329" s="13" t="s">
        <v>83</v>
      </c>
      <c r="L329" s="13" t="s">
        <v>91</v>
      </c>
      <c r="M329" s="13">
        <v>36</v>
      </c>
      <c r="N329" s="13">
        <v>1</v>
      </c>
      <c r="O329" s="13" t="s">
        <v>84</v>
      </c>
      <c r="P329" s="13">
        <v>25.5</v>
      </c>
      <c r="Q329" s="13">
        <v>173</v>
      </c>
      <c r="R329" s="13">
        <v>101</v>
      </c>
      <c r="S329" s="13" t="s">
        <v>85</v>
      </c>
      <c r="T329" s="13" t="s">
        <v>91</v>
      </c>
      <c r="U329" s="13" t="s">
        <v>114</v>
      </c>
      <c r="V329" s="13" t="s">
        <v>91</v>
      </c>
      <c r="W329" s="13" t="str">
        <f t="shared" si="30"/>
        <v>20-29 ans</v>
      </c>
      <c r="X329" s="13" t="str">
        <f t="shared" si="31"/>
        <v>3 accouchements et plus</v>
      </c>
      <c r="Y329" s="13" t="str">
        <f t="shared" si="32"/>
        <v>Moins de 4 CPN</v>
      </c>
      <c r="Z329" s="13" t="str">
        <f t="shared" si="33"/>
        <v>28-36 SA</v>
      </c>
      <c r="AA329" s="13">
        <f t="shared" si="34"/>
        <v>243</v>
      </c>
      <c r="AB329" s="13">
        <f t="shared" si="35"/>
        <v>1</v>
      </c>
    </row>
    <row r="330" spans="1:28" x14ac:dyDescent="0.25">
      <c r="A330" s="13" t="s">
        <v>437</v>
      </c>
      <c r="B330" s="13">
        <v>40</v>
      </c>
      <c r="C330" s="13" t="s">
        <v>79</v>
      </c>
      <c r="D330" s="13" t="s">
        <v>80</v>
      </c>
      <c r="E330" s="13" t="s">
        <v>81</v>
      </c>
      <c r="F330" s="13" t="s">
        <v>94</v>
      </c>
      <c r="G330" s="13">
        <v>7</v>
      </c>
      <c r="H330" s="13">
        <v>6</v>
      </c>
      <c r="I330" s="13" t="s">
        <v>83</v>
      </c>
      <c r="J330" s="13" t="s">
        <v>83</v>
      </c>
      <c r="K330" s="13" t="s">
        <v>83</v>
      </c>
      <c r="L330" s="13" t="s">
        <v>83</v>
      </c>
      <c r="M330" s="13">
        <v>32</v>
      </c>
      <c r="N330" s="13">
        <v>5</v>
      </c>
      <c r="O330" s="13" t="s">
        <v>84</v>
      </c>
      <c r="P330" s="13">
        <v>29.1</v>
      </c>
      <c r="Q330" s="13">
        <v>103</v>
      </c>
      <c r="R330" s="13">
        <v>64</v>
      </c>
      <c r="S330" s="13" t="s">
        <v>85</v>
      </c>
      <c r="T330" s="13" t="s">
        <v>86</v>
      </c>
      <c r="U330" s="13" t="s">
        <v>87</v>
      </c>
      <c r="V330" s="13" t="s">
        <v>83</v>
      </c>
      <c r="W330" s="13" t="str">
        <f t="shared" si="30"/>
        <v>35 ans et plus</v>
      </c>
      <c r="X330" s="13" t="str">
        <f t="shared" si="31"/>
        <v>3 accouchements et plus</v>
      </c>
      <c r="Y330" s="13" t="str">
        <f t="shared" si="32"/>
        <v>4 à 7 CPN</v>
      </c>
      <c r="Z330" s="13" t="str">
        <f t="shared" si="33"/>
        <v>28-36 SA</v>
      </c>
      <c r="AA330" s="13">
        <f t="shared" si="34"/>
        <v>393.5</v>
      </c>
      <c r="AB330" s="13">
        <f t="shared" si="35"/>
        <v>1</v>
      </c>
    </row>
    <row r="331" spans="1:28" x14ac:dyDescent="0.25">
      <c r="A331" s="13" t="s">
        <v>438</v>
      </c>
      <c r="B331" s="13">
        <v>24</v>
      </c>
      <c r="C331" s="13" t="s">
        <v>79</v>
      </c>
      <c r="D331" s="13" t="s">
        <v>80</v>
      </c>
      <c r="E331" s="13" t="s">
        <v>81</v>
      </c>
      <c r="F331" s="13" t="s">
        <v>94</v>
      </c>
      <c r="G331" s="13">
        <v>3</v>
      </c>
      <c r="H331" s="13">
        <v>2</v>
      </c>
      <c r="I331" s="13" t="s">
        <v>83</v>
      </c>
      <c r="J331" s="13" t="s">
        <v>83</v>
      </c>
      <c r="K331" s="13" t="s">
        <v>83</v>
      </c>
      <c r="M331" s="13">
        <v>40</v>
      </c>
      <c r="N331" s="13">
        <v>4</v>
      </c>
      <c r="O331" s="13" t="s">
        <v>84</v>
      </c>
      <c r="Q331" s="13">
        <v>110</v>
      </c>
      <c r="R331" s="13">
        <v>67</v>
      </c>
      <c r="S331" s="13" t="s">
        <v>85</v>
      </c>
      <c r="T331" s="13" t="s">
        <v>86</v>
      </c>
      <c r="U331" s="13" t="s">
        <v>87</v>
      </c>
      <c r="V331" s="13" t="s">
        <v>83</v>
      </c>
      <c r="W331" s="13" t="str">
        <f t="shared" si="30"/>
        <v>20-29 ans</v>
      </c>
      <c r="X331" s="13" t="str">
        <f t="shared" si="31"/>
        <v>1-2 accouchements</v>
      </c>
      <c r="Y331" s="13" t="str">
        <f t="shared" si="32"/>
        <v>4 à 7 CPN</v>
      </c>
      <c r="Z331" s="13" t="str">
        <f t="shared" si="33"/>
        <v>37 SA et plus</v>
      </c>
      <c r="AA331" s="13">
        <f t="shared" si="34"/>
        <v>139.5</v>
      </c>
      <c r="AB331" s="13">
        <f t="shared" si="35"/>
        <v>1</v>
      </c>
    </row>
    <row r="332" spans="1:28" x14ac:dyDescent="0.25">
      <c r="A332" s="13" t="s">
        <v>439</v>
      </c>
      <c r="B332" s="13">
        <v>27</v>
      </c>
      <c r="C332" s="13" t="s">
        <v>79</v>
      </c>
      <c r="D332" s="13" t="s">
        <v>80</v>
      </c>
      <c r="E332" s="13" t="s">
        <v>96</v>
      </c>
      <c r="F332" s="13" t="s">
        <v>94</v>
      </c>
      <c r="G332" s="13">
        <v>2</v>
      </c>
      <c r="H332" s="13">
        <v>1</v>
      </c>
      <c r="I332" s="13" t="s">
        <v>91</v>
      </c>
      <c r="J332" s="13" t="s">
        <v>83</v>
      </c>
      <c r="K332" s="13" t="s">
        <v>83</v>
      </c>
      <c r="L332" s="13" t="s">
        <v>83</v>
      </c>
      <c r="M332" s="13">
        <v>38</v>
      </c>
      <c r="N332" s="13">
        <v>1</v>
      </c>
      <c r="O332" s="13" t="s">
        <v>84</v>
      </c>
      <c r="P332" s="13">
        <v>19.7</v>
      </c>
      <c r="Q332" s="13">
        <v>91</v>
      </c>
      <c r="R332" s="13">
        <v>62</v>
      </c>
      <c r="S332" s="13" t="s">
        <v>85</v>
      </c>
      <c r="T332" s="13" t="s">
        <v>86</v>
      </c>
      <c r="U332" s="13" t="s">
        <v>87</v>
      </c>
      <c r="V332" s="13" t="s">
        <v>83</v>
      </c>
      <c r="W332" s="13" t="str">
        <f t="shared" si="30"/>
        <v>20-29 ans</v>
      </c>
      <c r="X332" s="13" t="str">
        <f t="shared" si="31"/>
        <v>1-2 accouchements</v>
      </c>
      <c r="Y332" s="13" t="str">
        <f t="shared" si="32"/>
        <v>Moins de 4 CPN</v>
      </c>
      <c r="Z332" s="13" t="str">
        <f t="shared" si="33"/>
        <v>37 SA et plus</v>
      </c>
      <c r="AA332" s="13">
        <f t="shared" si="34"/>
        <v>243</v>
      </c>
      <c r="AB332" s="13">
        <f t="shared" si="35"/>
        <v>1</v>
      </c>
    </row>
    <row r="333" spans="1:28" x14ac:dyDescent="0.25">
      <c r="A333" s="13" t="s">
        <v>440</v>
      </c>
      <c r="B333" s="13">
        <v>28</v>
      </c>
      <c r="C333" s="13" t="s">
        <v>79</v>
      </c>
      <c r="D333" s="13" t="s">
        <v>124</v>
      </c>
      <c r="E333" s="13" t="s">
        <v>112</v>
      </c>
      <c r="F333" s="13" t="s">
        <v>94</v>
      </c>
      <c r="G333" s="13">
        <v>3</v>
      </c>
      <c r="H333" s="13">
        <v>2</v>
      </c>
      <c r="I333" s="13" t="s">
        <v>83</v>
      </c>
      <c r="J333" s="13" t="s">
        <v>83</v>
      </c>
      <c r="K333" s="13" t="s">
        <v>83</v>
      </c>
      <c r="L333" s="13" t="s">
        <v>83</v>
      </c>
      <c r="M333" s="13">
        <v>31</v>
      </c>
      <c r="N333" s="13">
        <v>0</v>
      </c>
      <c r="O333" s="13" t="s">
        <v>84</v>
      </c>
      <c r="Q333" s="13">
        <v>92</v>
      </c>
      <c r="R333" s="13">
        <v>64</v>
      </c>
      <c r="S333" s="13" t="s">
        <v>85</v>
      </c>
      <c r="T333" s="13" t="s">
        <v>86</v>
      </c>
      <c r="U333" s="13" t="s">
        <v>87</v>
      </c>
      <c r="V333" s="13" t="s">
        <v>83</v>
      </c>
      <c r="W333" s="13" t="str">
        <f t="shared" si="30"/>
        <v>20-29 ans</v>
      </c>
      <c r="X333" s="13" t="str">
        <f t="shared" si="31"/>
        <v>1-2 accouchements</v>
      </c>
      <c r="Y333" s="13" t="str">
        <f t="shared" si="32"/>
        <v>Moins de 4 CPN</v>
      </c>
      <c r="Z333" s="13" t="str">
        <f t="shared" si="33"/>
        <v>28-36 SA</v>
      </c>
      <c r="AA333" s="13">
        <f t="shared" si="34"/>
        <v>276</v>
      </c>
      <c r="AB333" s="13">
        <f t="shared" si="35"/>
        <v>1</v>
      </c>
    </row>
    <row r="334" spans="1:28" x14ac:dyDescent="0.25">
      <c r="A334" s="13" t="s">
        <v>441</v>
      </c>
      <c r="B334" s="13">
        <v>28</v>
      </c>
      <c r="C334" s="13" t="s">
        <v>79</v>
      </c>
      <c r="D334" s="13" t="s">
        <v>80</v>
      </c>
      <c r="F334" s="13" t="s">
        <v>82</v>
      </c>
      <c r="G334" s="13">
        <v>5</v>
      </c>
      <c r="H334" s="13">
        <v>4</v>
      </c>
      <c r="I334" s="13" t="s">
        <v>83</v>
      </c>
      <c r="J334" s="13" t="s">
        <v>83</v>
      </c>
      <c r="K334" s="13" t="s">
        <v>83</v>
      </c>
      <c r="L334" s="13" t="s">
        <v>83</v>
      </c>
      <c r="M334" s="13">
        <v>36</v>
      </c>
      <c r="N334" s="13">
        <v>2</v>
      </c>
      <c r="O334" s="13" t="s">
        <v>84</v>
      </c>
      <c r="Q334" s="13">
        <v>111</v>
      </c>
      <c r="R334" s="13">
        <v>70</v>
      </c>
      <c r="S334" s="13" t="s">
        <v>85</v>
      </c>
      <c r="T334" s="13" t="s">
        <v>86</v>
      </c>
      <c r="U334" s="13" t="s">
        <v>87</v>
      </c>
      <c r="V334" s="13" t="s">
        <v>83</v>
      </c>
      <c r="W334" s="13" t="str">
        <f t="shared" si="30"/>
        <v>20-29 ans</v>
      </c>
      <c r="X334" s="13" t="str">
        <f t="shared" si="31"/>
        <v>3 accouchements et plus</v>
      </c>
      <c r="Y334" s="13" t="str">
        <f t="shared" si="32"/>
        <v>Moins de 4 CPN</v>
      </c>
      <c r="Z334" s="13" t="str">
        <f t="shared" si="33"/>
        <v>28-36 SA</v>
      </c>
      <c r="AA334" s="13">
        <f t="shared" si="34"/>
        <v>276</v>
      </c>
      <c r="AB334" s="13">
        <f t="shared" si="35"/>
        <v>1</v>
      </c>
    </row>
    <row r="335" spans="1:28" x14ac:dyDescent="0.25">
      <c r="A335" s="13" t="s">
        <v>442</v>
      </c>
      <c r="B335" s="13">
        <v>22</v>
      </c>
      <c r="C335" s="13" t="s">
        <v>79</v>
      </c>
      <c r="D335" s="13" t="s">
        <v>80</v>
      </c>
      <c r="E335" s="13" t="s">
        <v>96</v>
      </c>
      <c r="F335" s="13" t="s">
        <v>82</v>
      </c>
      <c r="G335" s="13">
        <v>3</v>
      </c>
      <c r="H335" s="13">
        <v>2</v>
      </c>
      <c r="I335" s="13" t="s">
        <v>83</v>
      </c>
      <c r="J335" s="13" t="s">
        <v>83</v>
      </c>
      <c r="K335" s="13" t="s">
        <v>83</v>
      </c>
      <c r="L335" s="13" t="s">
        <v>83</v>
      </c>
      <c r="M335" s="13">
        <v>34</v>
      </c>
      <c r="N335" s="13">
        <v>4</v>
      </c>
      <c r="O335" s="13" t="s">
        <v>84</v>
      </c>
      <c r="P335" s="13">
        <v>20.5</v>
      </c>
      <c r="Q335" s="13">
        <v>99</v>
      </c>
      <c r="R335" s="13">
        <v>66</v>
      </c>
      <c r="S335" s="13" t="s">
        <v>85</v>
      </c>
      <c r="T335" s="13" t="s">
        <v>86</v>
      </c>
      <c r="U335" s="13" t="s">
        <v>87</v>
      </c>
      <c r="V335" s="13" t="s">
        <v>83</v>
      </c>
      <c r="W335" s="13" t="str">
        <f t="shared" si="30"/>
        <v>20-29 ans</v>
      </c>
      <c r="X335" s="13" t="str">
        <f t="shared" si="31"/>
        <v>1-2 accouchements</v>
      </c>
      <c r="Y335" s="13" t="str">
        <f t="shared" si="32"/>
        <v>4 à 7 CPN</v>
      </c>
      <c r="Z335" s="13" t="str">
        <f t="shared" si="33"/>
        <v>28-36 SA</v>
      </c>
      <c r="AA335" s="13">
        <f t="shared" si="34"/>
        <v>70</v>
      </c>
      <c r="AB335" s="13">
        <f t="shared" si="35"/>
        <v>1</v>
      </c>
    </row>
    <row r="336" spans="1:28" x14ac:dyDescent="0.25">
      <c r="A336" s="13" t="s">
        <v>443</v>
      </c>
      <c r="B336" s="13">
        <v>31</v>
      </c>
      <c r="C336" s="13" t="s">
        <v>98</v>
      </c>
      <c r="D336" s="13" t="s">
        <v>80</v>
      </c>
      <c r="E336" s="13" t="s">
        <v>96</v>
      </c>
      <c r="F336" s="13" t="s">
        <v>94</v>
      </c>
      <c r="G336" s="13">
        <v>7</v>
      </c>
      <c r="H336" s="13">
        <v>6</v>
      </c>
      <c r="I336" s="13" t="s">
        <v>83</v>
      </c>
      <c r="J336" s="13" t="s">
        <v>83</v>
      </c>
      <c r="K336" s="13" t="s">
        <v>83</v>
      </c>
      <c r="L336" s="13" t="s">
        <v>83</v>
      </c>
      <c r="M336" s="13">
        <v>34</v>
      </c>
      <c r="N336" s="13">
        <v>4</v>
      </c>
      <c r="O336" s="13" t="s">
        <v>84</v>
      </c>
      <c r="P336" s="13">
        <v>25.1</v>
      </c>
      <c r="Q336" s="13">
        <v>110</v>
      </c>
      <c r="R336" s="13">
        <v>69</v>
      </c>
      <c r="S336" s="13" t="s">
        <v>85</v>
      </c>
      <c r="T336" s="13" t="s">
        <v>86</v>
      </c>
      <c r="U336" s="13" t="s">
        <v>87</v>
      </c>
      <c r="V336" s="13" t="s">
        <v>83</v>
      </c>
      <c r="W336" s="13" t="str">
        <f t="shared" si="30"/>
        <v>30-34 ans</v>
      </c>
      <c r="X336" s="13" t="str">
        <f t="shared" si="31"/>
        <v>3 accouchements et plus</v>
      </c>
      <c r="Y336" s="13" t="str">
        <f t="shared" si="32"/>
        <v>4 à 7 CPN</v>
      </c>
      <c r="Z336" s="13" t="str">
        <f t="shared" si="33"/>
        <v>28-36 SA</v>
      </c>
      <c r="AA336" s="13">
        <f t="shared" si="34"/>
        <v>334.5</v>
      </c>
      <c r="AB336" s="13">
        <f t="shared" si="35"/>
        <v>1</v>
      </c>
    </row>
    <row r="337" spans="1:28" x14ac:dyDescent="0.25">
      <c r="A337" s="13" t="s">
        <v>444</v>
      </c>
      <c r="B337" s="13">
        <v>22</v>
      </c>
      <c r="C337" s="13" t="s">
        <v>79</v>
      </c>
      <c r="D337" s="13" t="s">
        <v>80</v>
      </c>
      <c r="E337" s="13" t="s">
        <v>99</v>
      </c>
      <c r="F337" s="13" t="s">
        <v>82</v>
      </c>
      <c r="G337" s="13">
        <v>1</v>
      </c>
      <c r="H337" s="13">
        <v>0</v>
      </c>
      <c r="I337" s="13" t="s">
        <v>86</v>
      </c>
      <c r="J337" s="13" t="s">
        <v>83</v>
      </c>
      <c r="K337" s="13" t="s">
        <v>83</v>
      </c>
      <c r="L337" s="13" t="s">
        <v>83</v>
      </c>
      <c r="M337" s="13">
        <v>31</v>
      </c>
      <c r="N337" s="13">
        <v>3</v>
      </c>
      <c r="O337" s="13" t="s">
        <v>84</v>
      </c>
      <c r="Q337" s="13">
        <v>119</v>
      </c>
      <c r="R337" s="13">
        <v>75</v>
      </c>
      <c r="S337" s="13" t="s">
        <v>85</v>
      </c>
      <c r="T337" s="13" t="s">
        <v>86</v>
      </c>
      <c r="U337" s="13" t="s">
        <v>87</v>
      </c>
      <c r="V337" s="13" t="s">
        <v>83</v>
      </c>
      <c r="W337" s="13" t="str">
        <f t="shared" si="30"/>
        <v>20-29 ans</v>
      </c>
      <c r="X337" s="13" t="str">
        <f t="shared" si="31"/>
        <v>Nullipare (0)</v>
      </c>
      <c r="Y337" s="13" t="str">
        <f t="shared" si="32"/>
        <v>Moins de 4 CPN</v>
      </c>
      <c r="Z337" s="13" t="str">
        <f t="shared" si="33"/>
        <v>28-36 SA</v>
      </c>
      <c r="AA337" s="13">
        <f t="shared" si="34"/>
        <v>70</v>
      </c>
      <c r="AB337" s="13">
        <f t="shared" si="35"/>
        <v>0</v>
      </c>
    </row>
    <row r="338" spans="1:28" x14ac:dyDescent="0.25">
      <c r="A338" s="13" t="s">
        <v>445</v>
      </c>
      <c r="B338" s="13">
        <v>26</v>
      </c>
      <c r="C338" s="13" t="s">
        <v>79</v>
      </c>
      <c r="D338" s="13" t="s">
        <v>80</v>
      </c>
      <c r="E338" s="13" t="s">
        <v>81</v>
      </c>
      <c r="F338" s="13" t="s">
        <v>82</v>
      </c>
      <c r="G338" s="13">
        <v>3</v>
      </c>
      <c r="H338" s="13">
        <v>2</v>
      </c>
      <c r="I338" s="13" t="s">
        <v>83</v>
      </c>
      <c r="J338" s="13" t="s">
        <v>83</v>
      </c>
      <c r="K338" s="13" t="s">
        <v>83</v>
      </c>
      <c r="L338" s="13" t="s">
        <v>83</v>
      </c>
      <c r="M338" s="13">
        <v>31</v>
      </c>
      <c r="N338" s="13">
        <v>5</v>
      </c>
      <c r="O338" s="13" t="s">
        <v>84</v>
      </c>
      <c r="P338" s="13">
        <v>28.3</v>
      </c>
      <c r="Q338" s="13">
        <v>121</v>
      </c>
      <c r="R338" s="13">
        <v>79</v>
      </c>
      <c r="S338" s="13" t="s">
        <v>106</v>
      </c>
      <c r="T338" s="13" t="s">
        <v>86</v>
      </c>
      <c r="U338" s="13" t="s">
        <v>87</v>
      </c>
      <c r="V338" s="13" t="s">
        <v>83</v>
      </c>
      <c r="W338" s="13" t="str">
        <f t="shared" si="30"/>
        <v>20-29 ans</v>
      </c>
      <c r="X338" s="13" t="str">
        <f t="shared" si="31"/>
        <v>1-2 accouchements</v>
      </c>
      <c r="Y338" s="13" t="str">
        <f t="shared" si="32"/>
        <v>4 à 7 CPN</v>
      </c>
      <c r="Z338" s="13" t="str">
        <f t="shared" si="33"/>
        <v>28-36 SA</v>
      </c>
      <c r="AA338" s="13">
        <f t="shared" si="34"/>
        <v>206</v>
      </c>
      <c r="AB338" s="13">
        <f t="shared" si="35"/>
        <v>1</v>
      </c>
    </row>
    <row r="339" spans="1:28" x14ac:dyDescent="0.25">
      <c r="A339" s="13" t="s">
        <v>446</v>
      </c>
      <c r="B339" s="13">
        <v>18</v>
      </c>
      <c r="C339" s="13" t="s">
        <v>89</v>
      </c>
      <c r="D339" s="13" t="s">
        <v>80</v>
      </c>
      <c r="E339" s="13" t="s">
        <v>81</v>
      </c>
      <c r="F339" s="13" t="s">
        <v>94</v>
      </c>
      <c r="G339" s="13">
        <v>1</v>
      </c>
      <c r="H339" s="13">
        <v>0</v>
      </c>
      <c r="I339" s="13" t="s">
        <v>86</v>
      </c>
      <c r="J339" s="13" t="s">
        <v>83</v>
      </c>
      <c r="K339" s="13" t="s">
        <v>91</v>
      </c>
      <c r="L339" s="13" t="s">
        <v>83</v>
      </c>
      <c r="M339" s="13">
        <v>32</v>
      </c>
      <c r="N339" s="13">
        <v>2</v>
      </c>
      <c r="O339" s="13" t="s">
        <v>84</v>
      </c>
      <c r="P339" s="13">
        <v>28.3</v>
      </c>
      <c r="Q339" s="13">
        <v>149</v>
      </c>
      <c r="R339" s="13">
        <v>99</v>
      </c>
      <c r="S339" s="13" t="s">
        <v>85</v>
      </c>
      <c r="T339" s="13" t="s">
        <v>91</v>
      </c>
      <c r="U339" s="13" t="s">
        <v>114</v>
      </c>
      <c r="V339" s="13" t="s">
        <v>91</v>
      </c>
      <c r="W339" s="13" t="str">
        <f t="shared" si="30"/>
        <v>Moins de 20 ans</v>
      </c>
      <c r="X339" s="13" t="str">
        <f t="shared" si="31"/>
        <v>Nullipare (0)</v>
      </c>
      <c r="Y339" s="13" t="str">
        <f t="shared" si="32"/>
        <v>Moins de 4 CPN</v>
      </c>
      <c r="Z339" s="13" t="str">
        <f t="shared" si="33"/>
        <v>28-36 SA</v>
      </c>
      <c r="AA339" s="13">
        <f t="shared" si="34"/>
        <v>4.5</v>
      </c>
      <c r="AB339" s="13">
        <f t="shared" si="35"/>
        <v>0</v>
      </c>
    </row>
    <row r="340" spans="1:28" x14ac:dyDescent="0.25">
      <c r="A340" s="13" t="s">
        <v>447</v>
      </c>
      <c r="B340" s="13">
        <v>26</v>
      </c>
      <c r="C340" s="13" t="s">
        <v>79</v>
      </c>
      <c r="D340" s="13" t="s">
        <v>124</v>
      </c>
      <c r="E340" s="13" t="s">
        <v>96</v>
      </c>
      <c r="F340" s="13" t="s">
        <v>82</v>
      </c>
      <c r="G340" s="13">
        <v>3</v>
      </c>
      <c r="H340" s="13">
        <v>2</v>
      </c>
      <c r="I340" s="13" t="s">
        <v>83</v>
      </c>
      <c r="J340" s="13" t="s">
        <v>83</v>
      </c>
      <c r="K340" s="13" t="s">
        <v>83</v>
      </c>
      <c r="L340" s="13" t="s">
        <v>83</v>
      </c>
      <c r="M340" s="13">
        <v>32</v>
      </c>
      <c r="N340" s="13">
        <v>5</v>
      </c>
      <c r="O340" s="13" t="s">
        <v>84</v>
      </c>
      <c r="P340" s="13">
        <v>28.3</v>
      </c>
      <c r="Q340" s="13">
        <v>112</v>
      </c>
      <c r="R340" s="13">
        <v>75</v>
      </c>
      <c r="S340" s="13" t="s">
        <v>85</v>
      </c>
      <c r="T340" s="13" t="s">
        <v>86</v>
      </c>
      <c r="U340" s="13" t="s">
        <v>87</v>
      </c>
      <c r="V340" s="13" t="s">
        <v>83</v>
      </c>
      <c r="W340" s="13" t="str">
        <f t="shared" si="30"/>
        <v>20-29 ans</v>
      </c>
      <c r="X340" s="13" t="str">
        <f t="shared" si="31"/>
        <v>1-2 accouchements</v>
      </c>
      <c r="Y340" s="13" t="str">
        <f t="shared" si="32"/>
        <v>4 à 7 CPN</v>
      </c>
      <c r="Z340" s="13" t="str">
        <f t="shared" si="33"/>
        <v>28-36 SA</v>
      </c>
      <c r="AA340" s="13">
        <f t="shared" si="34"/>
        <v>206</v>
      </c>
      <c r="AB340" s="13">
        <f t="shared" si="35"/>
        <v>1</v>
      </c>
    </row>
    <row r="341" spans="1:28" x14ac:dyDescent="0.25">
      <c r="A341" s="13" t="s">
        <v>448</v>
      </c>
      <c r="B341" s="13">
        <v>24</v>
      </c>
      <c r="C341" s="13" t="s">
        <v>79</v>
      </c>
      <c r="D341" s="13" t="s">
        <v>80</v>
      </c>
      <c r="E341" s="13" t="s">
        <v>96</v>
      </c>
      <c r="F341" s="13" t="s">
        <v>82</v>
      </c>
      <c r="G341" s="13">
        <v>3</v>
      </c>
      <c r="H341" s="13">
        <v>2</v>
      </c>
      <c r="I341" s="13" t="s">
        <v>83</v>
      </c>
      <c r="J341" s="13" t="s">
        <v>83</v>
      </c>
      <c r="K341" s="13" t="s">
        <v>83</v>
      </c>
      <c r="L341" s="13" t="s">
        <v>83</v>
      </c>
      <c r="M341" s="13">
        <v>39</v>
      </c>
      <c r="N341" s="13">
        <v>4</v>
      </c>
      <c r="O341" s="13" t="s">
        <v>84</v>
      </c>
      <c r="P341" s="13">
        <v>25.6</v>
      </c>
      <c r="Q341" s="13">
        <v>147</v>
      </c>
      <c r="R341" s="13">
        <v>106</v>
      </c>
      <c r="S341" s="13" t="s">
        <v>118</v>
      </c>
      <c r="T341" s="13" t="s">
        <v>91</v>
      </c>
      <c r="U341" s="13" t="s">
        <v>114</v>
      </c>
      <c r="V341" s="13" t="s">
        <v>91</v>
      </c>
      <c r="W341" s="13" t="str">
        <f t="shared" si="30"/>
        <v>20-29 ans</v>
      </c>
      <c r="X341" s="13" t="str">
        <f t="shared" si="31"/>
        <v>1-2 accouchements</v>
      </c>
      <c r="Y341" s="13" t="str">
        <f t="shared" si="32"/>
        <v>4 à 7 CPN</v>
      </c>
      <c r="Z341" s="13" t="str">
        <f t="shared" si="33"/>
        <v>37 SA et plus</v>
      </c>
      <c r="AA341" s="13">
        <f t="shared" si="34"/>
        <v>139.5</v>
      </c>
      <c r="AB341" s="13">
        <f t="shared" si="35"/>
        <v>1</v>
      </c>
    </row>
    <row r="342" spans="1:28" x14ac:dyDescent="0.25">
      <c r="A342" s="13" t="s">
        <v>449</v>
      </c>
      <c r="B342" s="13">
        <v>22</v>
      </c>
      <c r="C342" s="13" t="s">
        <v>79</v>
      </c>
      <c r="D342" s="13" t="s">
        <v>80</v>
      </c>
      <c r="E342" s="13" t="s">
        <v>90</v>
      </c>
      <c r="F342" s="13" t="s">
        <v>82</v>
      </c>
      <c r="G342" s="13">
        <v>1</v>
      </c>
      <c r="H342" s="13">
        <v>0</v>
      </c>
      <c r="I342" s="13" t="s">
        <v>86</v>
      </c>
      <c r="J342" s="13" t="s">
        <v>83</v>
      </c>
      <c r="K342" s="13" t="s">
        <v>83</v>
      </c>
      <c r="L342" s="13" t="s">
        <v>83</v>
      </c>
      <c r="M342" s="13">
        <v>35</v>
      </c>
      <c r="N342" s="13">
        <v>3</v>
      </c>
      <c r="O342" s="13" t="s">
        <v>84</v>
      </c>
      <c r="P342" s="13">
        <v>18.899999999999999</v>
      </c>
      <c r="Q342" s="13">
        <v>146</v>
      </c>
      <c r="R342" s="13">
        <v>91</v>
      </c>
      <c r="S342" s="13" t="s">
        <v>85</v>
      </c>
      <c r="T342" s="13" t="s">
        <v>86</v>
      </c>
      <c r="U342" s="13" t="s">
        <v>110</v>
      </c>
      <c r="V342" s="13" t="s">
        <v>83</v>
      </c>
      <c r="W342" s="13" t="str">
        <f t="shared" si="30"/>
        <v>20-29 ans</v>
      </c>
      <c r="X342" s="13" t="str">
        <f t="shared" si="31"/>
        <v>Nullipare (0)</v>
      </c>
      <c r="Y342" s="13" t="str">
        <f t="shared" si="32"/>
        <v>Moins de 4 CPN</v>
      </c>
      <c r="Z342" s="13" t="str">
        <f t="shared" si="33"/>
        <v>28-36 SA</v>
      </c>
      <c r="AA342" s="13">
        <f t="shared" si="34"/>
        <v>70</v>
      </c>
      <c r="AB342" s="13">
        <f t="shared" si="35"/>
        <v>0</v>
      </c>
    </row>
    <row r="343" spans="1:28" x14ac:dyDescent="0.25">
      <c r="A343" s="13" t="s">
        <v>450</v>
      </c>
      <c r="B343" s="13">
        <v>27</v>
      </c>
      <c r="C343" s="13" t="s">
        <v>79</v>
      </c>
      <c r="D343" s="13" t="s">
        <v>124</v>
      </c>
      <c r="E343" s="13" t="s">
        <v>81</v>
      </c>
      <c r="F343" s="13" t="s">
        <v>82</v>
      </c>
      <c r="G343" s="13">
        <v>3</v>
      </c>
      <c r="H343" s="13">
        <v>2</v>
      </c>
      <c r="I343" s="13" t="s">
        <v>83</v>
      </c>
      <c r="J343" s="13" t="s">
        <v>83</v>
      </c>
      <c r="K343" s="13" t="s">
        <v>83</v>
      </c>
      <c r="L343" s="13" t="s">
        <v>83</v>
      </c>
      <c r="M343" s="13">
        <v>24</v>
      </c>
      <c r="N343" s="13">
        <v>2</v>
      </c>
      <c r="O343" s="13" t="s">
        <v>84</v>
      </c>
      <c r="Q343" s="13">
        <v>103</v>
      </c>
      <c r="R343" s="13">
        <v>62</v>
      </c>
      <c r="S343" s="13" t="s">
        <v>106</v>
      </c>
      <c r="T343" s="13" t="s">
        <v>86</v>
      </c>
      <c r="U343" s="13" t="s">
        <v>87</v>
      </c>
      <c r="V343" s="13" t="s">
        <v>83</v>
      </c>
      <c r="W343" s="13" t="str">
        <f t="shared" si="30"/>
        <v>20-29 ans</v>
      </c>
      <c r="X343" s="13" t="str">
        <f t="shared" si="31"/>
        <v>1-2 accouchements</v>
      </c>
      <c r="Y343" s="13" t="str">
        <f t="shared" si="32"/>
        <v>Moins de 4 CPN</v>
      </c>
      <c r="Z343" s="13" t="str">
        <f t="shared" si="33"/>
        <v>20-27 SA</v>
      </c>
      <c r="AA343" s="13">
        <f t="shared" si="34"/>
        <v>243</v>
      </c>
      <c r="AB343" s="13">
        <f t="shared" si="35"/>
        <v>1</v>
      </c>
    </row>
    <row r="344" spans="1:28" x14ac:dyDescent="0.25">
      <c r="A344" s="13" t="s">
        <v>451</v>
      </c>
      <c r="B344" s="13">
        <v>39</v>
      </c>
      <c r="C344" s="13" t="s">
        <v>79</v>
      </c>
      <c r="D344" s="13" t="s">
        <v>80</v>
      </c>
      <c r="E344" s="13" t="s">
        <v>96</v>
      </c>
      <c r="F344" s="13" t="s">
        <v>82</v>
      </c>
      <c r="G344" s="13">
        <v>5</v>
      </c>
      <c r="H344" s="13">
        <v>4</v>
      </c>
      <c r="I344" s="13" t="s">
        <v>83</v>
      </c>
      <c r="J344" s="13" t="s">
        <v>83</v>
      </c>
      <c r="K344" s="13" t="s">
        <v>83</v>
      </c>
      <c r="L344" s="13" t="s">
        <v>83</v>
      </c>
      <c r="M344" s="13">
        <v>40</v>
      </c>
      <c r="N344" s="13">
        <v>5</v>
      </c>
      <c r="O344" s="13" t="s">
        <v>84</v>
      </c>
      <c r="P344" s="13">
        <v>24</v>
      </c>
      <c r="Q344" s="13">
        <v>175</v>
      </c>
      <c r="R344" s="13">
        <v>106</v>
      </c>
      <c r="S344" s="13" t="s">
        <v>113</v>
      </c>
      <c r="T344" s="13" t="s">
        <v>91</v>
      </c>
      <c r="U344" s="13" t="s">
        <v>114</v>
      </c>
      <c r="V344" s="13" t="s">
        <v>91</v>
      </c>
      <c r="W344" s="13" t="str">
        <f t="shared" si="30"/>
        <v>35 ans et plus</v>
      </c>
      <c r="X344" s="13" t="str">
        <f t="shared" si="31"/>
        <v>3 accouchements et plus</v>
      </c>
      <c r="Y344" s="13" t="str">
        <f t="shared" si="32"/>
        <v>4 à 7 CPN</v>
      </c>
      <c r="Z344" s="13" t="str">
        <f t="shared" si="33"/>
        <v>37 SA et plus</v>
      </c>
      <c r="AA344" s="13">
        <f t="shared" si="34"/>
        <v>391.5</v>
      </c>
      <c r="AB344" s="13">
        <f t="shared" si="35"/>
        <v>1</v>
      </c>
    </row>
    <row r="345" spans="1:28" x14ac:dyDescent="0.25">
      <c r="A345" s="13" t="s">
        <v>452</v>
      </c>
      <c r="B345" s="13">
        <v>27</v>
      </c>
      <c r="C345" s="13" t="s">
        <v>79</v>
      </c>
      <c r="D345" s="13" t="s">
        <v>109</v>
      </c>
      <c r="E345" s="13" t="s">
        <v>112</v>
      </c>
      <c r="F345" s="13" t="s">
        <v>82</v>
      </c>
      <c r="G345" s="13">
        <v>2</v>
      </c>
      <c r="H345" s="13">
        <v>1</v>
      </c>
      <c r="I345" s="13" t="s">
        <v>83</v>
      </c>
      <c r="J345" s="13" t="s">
        <v>83</v>
      </c>
      <c r="K345" s="13" t="s">
        <v>91</v>
      </c>
      <c r="L345" s="13" t="s">
        <v>83</v>
      </c>
      <c r="M345" s="13">
        <v>38</v>
      </c>
      <c r="N345" s="13">
        <v>3</v>
      </c>
      <c r="O345" s="13" t="s">
        <v>84</v>
      </c>
      <c r="P345" s="13">
        <v>25.8</v>
      </c>
      <c r="Q345" s="13">
        <v>98</v>
      </c>
      <c r="R345" s="13">
        <v>55</v>
      </c>
      <c r="S345" s="13" t="s">
        <v>85</v>
      </c>
      <c r="T345" s="13" t="s">
        <v>86</v>
      </c>
      <c r="U345" s="13" t="s">
        <v>87</v>
      </c>
      <c r="V345" s="13" t="s">
        <v>83</v>
      </c>
      <c r="W345" s="13" t="str">
        <f t="shared" si="30"/>
        <v>20-29 ans</v>
      </c>
      <c r="X345" s="13" t="str">
        <f t="shared" si="31"/>
        <v>1-2 accouchements</v>
      </c>
      <c r="Y345" s="13" t="str">
        <f t="shared" si="32"/>
        <v>Moins de 4 CPN</v>
      </c>
      <c r="Z345" s="13" t="str">
        <f t="shared" si="33"/>
        <v>37 SA et plus</v>
      </c>
      <c r="AA345" s="13">
        <f t="shared" si="34"/>
        <v>243</v>
      </c>
      <c r="AB345" s="13">
        <f t="shared" si="35"/>
        <v>1</v>
      </c>
    </row>
    <row r="346" spans="1:28" x14ac:dyDescent="0.25">
      <c r="A346" s="13" t="s">
        <v>453</v>
      </c>
      <c r="B346" s="13">
        <v>28</v>
      </c>
      <c r="C346" s="13" t="s">
        <v>79</v>
      </c>
      <c r="D346" s="13" t="s">
        <v>80</v>
      </c>
      <c r="E346" s="13" t="s">
        <v>90</v>
      </c>
      <c r="F346" s="13" t="s">
        <v>82</v>
      </c>
      <c r="G346" s="13">
        <v>4</v>
      </c>
      <c r="H346" s="13">
        <v>2</v>
      </c>
      <c r="I346" s="13" t="s">
        <v>91</v>
      </c>
      <c r="J346" s="13" t="s">
        <v>83</v>
      </c>
      <c r="K346" s="13" t="s">
        <v>83</v>
      </c>
      <c r="L346" s="13" t="s">
        <v>83</v>
      </c>
      <c r="M346" s="13">
        <v>31</v>
      </c>
      <c r="N346" s="13">
        <v>4</v>
      </c>
      <c r="O346" s="13" t="s">
        <v>84</v>
      </c>
      <c r="P346" s="13">
        <v>30.1</v>
      </c>
      <c r="Q346" s="13">
        <v>113</v>
      </c>
      <c r="R346" s="13">
        <v>76</v>
      </c>
      <c r="S346" s="13" t="s">
        <v>85</v>
      </c>
      <c r="T346" s="13" t="s">
        <v>86</v>
      </c>
      <c r="U346" s="13" t="s">
        <v>87</v>
      </c>
      <c r="V346" s="13" t="s">
        <v>83</v>
      </c>
      <c r="W346" s="13" t="str">
        <f t="shared" si="30"/>
        <v>20-29 ans</v>
      </c>
      <c r="X346" s="13" t="str">
        <f t="shared" si="31"/>
        <v>1-2 accouchements</v>
      </c>
      <c r="Y346" s="13" t="str">
        <f t="shared" si="32"/>
        <v>4 à 7 CPN</v>
      </c>
      <c r="Z346" s="13" t="str">
        <f t="shared" si="33"/>
        <v>28-36 SA</v>
      </c>
      <c r="AA346" s="13">
        <f t="shared" si="34"/>
        <v>276</v>
      </c>
      <c r="AB346" s="13">
        <f t="shared" si="35"/>
        <v>1</v>
      </c>
    </row>
    <row r="347" spans="1:28" x14ac:dyDescent="0.25">
      <c r="A347" s="13" t="s">
        <v>454</v>
      </c>
      <c r="B347" s="13">
        <v>27</v>
      </c>
      <c r="C347" s="13" t="s">
        <v>79</v>
      </c>
      <c r="D347" s="13" t="s">
        <v>80</v>
      </c>
      <c r="E347" s="13" t="s">
        <v>112</v>
      </c>
      <c r="F347" s="13" t="s">
        <v>82</v>
      </c>
      <c r="G347" s="13">
        <v>2</v>
      </c>
      <c r="H347" s="13">
        <v>0</v>
      </c>
      <c r="I347" s="13" t="s">
        <v>86</v>
      </c>
      <c r="J347" s="13" t="s">
        <v>83</v>
      </c>
      <c r="K347" s="13" t="s">
        <v>83</v>
      </c>
      <c r="L347" s="13" t="s">
        <v>83</v>
      </c>
      <c r="M347" s="13">
        <v>40</v>
      </c>
      <c r="N347" s="13">
        <v>2</v>
      </c>
      <c r="O347" s="13" t="s">
        <v>84</v>
      </c>
      <c r="P347" s="13">
        <v>26.5</v>
      </c>
      <c r="Q347" s="13">
        <v>103</v>
      </c>
      <c r="R347" s="13">
        <v>70</v>
      </c>
      <c r="S347" s="13" t="s">
        <v>85</v>
      </c>
      <c r="T347" s="13" t="s">
        <v>86</v>
      </c>
      <c r="U347" s="13" t="s">
        <v>87</v>
      </c>
      <c r="V347" s="13" t="s">
        <v>83</v>
      </c>
      <c r="W347" s="13" t="str">
        <f t="shared" si="30"/>
        <v>20-29 ans</v>
      </c>
      <c r="X347" s="13" t="str">
        <f t="shared" si="31"/>
        <v>Nullipare (0)</v>
      </c>
      <c r="Y347" s="13" t="str">
        <f t="shared" si="32"/>
        <v>Moins de 4 CPN</v>
      </c>
      <c r="Z347" s="13" t="str">
        <f t="shared" si="33"/>
        <v>37 SA et plus</v>
      </c>
      <c r="AA347" s="13">
        <f t="shared" si="34"/>
        <v>243</v>
      </c>
      <c r="AB347" s="13">
        <f t="shared" si="35"/>
        <v>0</v>
      </c>
    </row>
    <row r="348" spans="1:28" x14ac:dyDescent="0.25">
      <c r="A348" s="13" t="s">
        <v>455</v>
      </c>
      <c r="B348" s="13">
        <v>33</v>
      </c>
      <c r="C348" s="13" t="s">
        <v>89</v>
      </c>
      <c r="D348" s="13" t="s">
        <v>93</v>
      </c>
      <c r="E348" s="13" t="s">
        <v>101</v>
      </c>
      <c r="F348" s="13" t="s">
        <v>94</v>
      </c>
      <c r="G348" s="13">
        <v>3</v>
      </c>
      <c r="H348" s="13">
        <v>2</v>
      </c>
      <c r="I348" s="13" t="s">
        <v>83</v>
      </c>
      <c r="J348" s="13" t="s">
        <v>83</v>
      </c>
      <c r="K348" s="13" t="s">
        <v>83</v>
      </c>
      <c r="M348" s="13">
        <v>36</v>
      </c>
      <c r="N348" s="13">
        <v>6</v>
      </c>
      <c r="O348" s="13" t="s">
        <v>84</v>
      </c>
      <c r="P348" s="13">
        <v>19.5</v>
      </c>
      <c r="Q348" s="13">
        <v>153</v>
      </c>
      <c r="R348" s="13">
        <v>94</v>
      </c>
      <c r="S348" s="13" t="s">
        <v>118</v>
      </c>
      <c r="T348" s="13" t="s">
        <v>83</v>
      </c>
      <c r="U348" s="13" t="s">
        <v>114</v>
      </c>
      <c r="V348" s="13" t="s">
        <v>91</v>
      </c>
      <c r="W348" s="13" t="str">
        <f t="shared" si="30"/>
        <v>30-34 ans</v>
      </c>
      <c r="X348" s="13" t="str">
        <f t="shared" si="31"/>
        <v>1-2 accouchements</v>
      </c>
      <c r="Y348" s="13" t="str">
        <f t="shared" si="32"/>
        <v>4 à 7 CPN</v>
      </c>
      <c r="Z348" s="13" t="str">
        <f t="shared" si="33"/>
        <v>28-36 SA</v>
      </c>
      <c r="AA348" s="13">
        <f t="shared" si="34"/>
        <v>361.5</v>
      </c>
      <c r="AB348" s="13">
        <f t="shared" si="35"/>
        <v>1</v>
      </c>
    </row>
    <row r="349" spans="1:28" x14ac:dyDescent="0.25">
      <c r="A349" s="13" t="s">
        <v>456</v>
      </c>
      <c r="B349" s="13">
        <v>29</v>
      </c>
      <c r="C349" s="13" t="s">
        <v>79</v>
      </c>
      <c r="D349" s="13" t="s">
        <v>93</v>
      </c>
      <c r="E349" s="13" t="s">
        <v>81</v>
      </c>
      <c r="F349" s="13" t="s">
        <v>94</v>
      </c>
      <c r="G349" s="13">
        <v>3</v>
      </c>
      <c r="H349" s="13">
        <v>1</v>
      </c>
      <c r="I349" s="13" t="s">
        <v>83</v>
      </c>
      <c r="J349" s="13" t="s">
        <v>83</v>
      </c>
      <c r="K349" s="13" t="s">
        <v>91</v>
      </c>
      <c r="L349" s="13" t="s">
        <v>83</v>
      </c>
      <c r="M349" s="13">
        <v>35</v>
      </c>
      <c r="N349" s="13">
        <v>2</v>
      </c>
      <c r="O349" s="13" t="s">
        <v>84</v>
      </c>
      <c r="P349" s="13">
        <v>20.399999999999999</v>
      </c>
      <c r="Q349" s="13">
        <v>93</v>
      </c>
      <c r="R349" s="13">
        <v>62</v>
      </c>
      <c r="S349" s="13" t="s">
        <v>85</v>
      </c>
      <c r="T349" s="13" t="s">
        <v>86</v>
      </c>
      <c r="U349" s="13" t="s">
        <v>87</v>
      </c>
      <c r="V349" s="13" t="s">
        <v>83</v>
      </c>
      <c r="W349" s="13" t="str">
        <f t="shared" si="30"/>
        <v>20-29 ans</v>
      </c>
      <c r="X349" s="13" t="str">
        <f t="shared" si="31"/>
        <v>1-2 accouchements</v>
      </c>
      <c r="Y349" s="13" t="str">
        <f t="shared" si="32"/>
        <v>Moins de 4 CPN</v>
      </c>
      <c r="Z349" s="13" t="str">
        <f t="shared" si="33"/>
        <v>28-36 SA</v>
      </c>
      <c r="AA349" s="13">
        <f t="shared" si="34"/>
        <v>299</v>
      </c>
      <c r="AB349" s="13">
        <f t="shared" si="35"/>
        <v>1</v>
      </c>
    </row>
    <row r="350" spans="1:28" x14ac:dyDescent="0.25">
      <c r="A350" s="13" t="s">
        <v>457</v>
      </c>
      <c r="B350" s="13">
        <v>30</v>
      </c>
      <c r="C350" s="13" t="s">
        <v>98</v>
      </c>
      <c r="D350" s="13" t="s">
        <v>80</v>
      </c>
      <c r="E350" s="13" t="s">
        <v>101</v>
      </c>
      <c r="F350" s="13" t="s">
        <v>94</v>
      </c>
      <c r="G350" s="13">
        <v>2</v>
      </c>
      <c r="H350" s="13">
        <v>1</v>
      </c>
      <c r="I350" s="13" t="s">
        <v>83</v>
      </c>
      <c r="J350" s="13" t="s">
        <v>83</v>
      </c>
      <c r="L350" s="13" t="s">
        <v>83</v>
      </c>
      <c r="M350" s="13">
        <v>33</v>
      </c>
      <c r="N350" s="13">
        <v>3</v>
      </c>
      <c r="O350" s="13" t="s">
        <v>84</v>
      </c>
      <c r="P350" s="13">
        <v>24.7</v>
      </c>
      <c r="Q350" s="13">
        <v>106</v>
      </c>
      <c r="R350" s="13">
        <v>73</v>
      </c>
      <c r="S350" s="13" t="s">
        <v>85</v>
      </c>
      <c r="T350" s="13" t="s">
        <v>86</v>
      </c>
      <c r="U350" s="13" t="s">
        <v>87</v>
      </c>
      <c r="V350" s="13" t="s">
        <v>83</v>
      </c>
      <c r="W350" s="13" t="str">
        <f t="shared" si="30"/>
        <v>30-34 ans</v>
      </c>
      <c r="X350" s="13" t="str">
        <f t="shared" si="31"/>
        <v>1-2 accouchements</v>
      </c>
      <c r="Y350" s="13" t="str">
        <f t="shared" si="32"/>
        <v>Moins de 4 CPN</v>
      </c>
      <c r="Z350" s="13" t="str">
        <f t="shared" si="33"/>
        <v>28-36 SA</v>
      </c>
      <c r="AA350" s="13">
        <f t="shared" si="34"/>
        <v>319.5</v>
      </c>
      <c r="AB350" s="13">
        <f t="shared" si="35"/>
        <v>1</v>
      </c>
    </row>
    <row r="351" spans="1:28" x14ac:dyDescent="0.25">
      <c r="A351" s="13" t="s">
        <v>458</v>
      </c>
      <c r="B351" s="13">
        <v>28</v>
      </c>
      <c r="C351" s="13" t="s">
        <v>98</v>
      </c>
      <c r="D351" s="13" t="s">
        <v>124</v>
      </c>
      <c r="E351" s="13" t="s">
        <v>96</v>
      </c>
      <c r="F351" s="13" t="s">
        <v>82</v>
      </c>
      <c r="G351" s="13">
        <v>3</v>
      </c>
      <c r="H351" s="13">
        <v>2</v>
      </c>
      <c r="I351" s="13" t="s">
        <v>83</v>
      </c>
      <c r="J351" s="13" t="s">
        <v>91</v>
      </c>
      <c r="K351" s="13" t="s">
        <v>83</v>
      </c>
      <c r="L351" s="13" t="s">
        <v>83</v>
      </c>
      <c r="M351" s="13">
        <v>34</v>
      </c>
      <c r="N351" s="13">
        <v>4</v>
      </c>
      <c r="O351" s="13" t="s">
        <v>84</v>
      </c>
      <c r="P351" s="13">
        <v>24.4</v>
      </c>
      <c r="Q351" s="13">
        <v>136</v>
      </c>
      <c r="R351" s="13">
        <v>88</v>
      </c>
      <c r="S351" s="13" t="s">
        <v>85</v>
      </c>
      <c r="T351" s="13" t="s">
        <v>86</v>
      </c>
      <c r="U351" s="13" t="s">
        <v>132</v>
      </c>
      <c r="V351" s="13" t="s">
        <v>83</v>
      </c>
      <c r="W351" s="13" t="str">
        <f t="shared" si="30"/>
        <v>20-29 ans</v>
      </c>
      <c r="X351" s="13" t="str">
        <f t="shared" si="31"/>
        <v>1-2 accouchements</v>
      </c>
      <c r="Y351" s="13" t="str">
        <f t="shared" si="32"/>
        <v>4 à 7 CPN</v>
      </c>
      <c r="Z351" s="13" t="str">
        <f t="shared" si="33"/>
        <v>28-36 SA</v>
      </c>
      <c r="AA351" s="13">
        <f t="shared" si="34"/>
        <v>276</v>
      </c>
      <c r="AB351" s="13">
        <f t="shared" si="35"/>
        <v>1</v>
      </c>
    </row>
    <row r="352" spans="1:28" x14ac:dyDescent="0.25">
      <c r="A352" s="13" t="s">
        <v>459</v>
      </c>
      <c r="B352" s="13">
        <v>21</v>
      </c>
      <c r="C352" s="13" t="s">
        <v>79</v>
      </c>
      <c r="D352" s="13" t="s">
        <v>80</v>
      </c>
      <c r="E352" s="13" t="s">
        <v>96</v>
      </c>
      <c r="F352" s="13" t="s">
        <v>82</v>
      </c>
      <c r="G352" s="13">
        <v>2</v>
      </c>
      <c r="H352" s="13">
        <v>0</v>
      </c>
      <c r="I352" s="13" t="s">
        <v>86</v>
      </c>
      <c r="J352" s="13" t="s">
        <v>83</v>
      </c>
      <c r="K352" s="13" t="s">
        <v>83</v>
      </c>
      <c r="L352" s="13" t="s">
        <v>83</v>
      </c>
      <c r="M352" s="13">
        <v>24</v>
      </c>
      <c r="N352" s="13">
        <v>2</v>
      </c>
      <c r="O352" s="13" t="s">
        <v>84</v>
      </c>
      <c r="P352" s="13">
        <v>29.5</v>
      </c>
      <c r="Q352" s="13">
        <v>114</v>
      </c>
      <c r="R352" s="13">
        <v>78</v>
      </c>
      <c r="S352" s="13" t="s">
        <v>85</v>
      </c>
      <c r="T352" s="13" t="s">
        <v>86</v>
      </c>
      <c r="U352" s="13" t="s">
        <v>87</v>
      </c>
      <c r="V352" s="13" t="s">
        <v>83</v>
      </c>
      <c r="W352" s="13" t="str">
        <f t="shared" si="30"/>
        <v>20-29 ans</v>
      </c>
      <c r="X352" s="13" t="str">
        <f t="shared" si="31"/>
        <v>Nullipare (0)</v>
      </c>
      <c r="Y352" s="13" t="str">
        <f t="shared" si="32"/>
        <v>Moins de 4 CPN</v>
      </c>
      <c r="Z352" s="13" t="str">
        <f t="shared" si="33"/>
        <v>20-27 SA</v>
      </c>
      <c r="AA352" s="13">
        <f t="shared" si="34"/>
        <v>48</v>
      </c>
      <c r="AB352" s="13">
        <f t="shared" si="35"/>
        <v>0</v>
      </c>
    </row>
    <row r="353" spans="1:28" x14ac:dyDescent="0.25">
      <c r="A353" s="13" t="s">
        <v>460</v>
      </c>
      <c r="B353" s="13">
        <v>23</v>
      </c>
      <c r="C353" s="13" t="s">
        <v>98</v>
      </c>
      <c r="D353" s="13" t="s">
        <v>124</v>
      </c>
      <c r="E353" s="13" t="s">
        <v>81</v>
      </c>
      <c r="F353" s="13" t="s">
        <v>82</v>
      </c>
      <c r="G353" s="13">
        <v>1</v>
      </c>
      <c r="H353" s="13">
        <v>0</v>
      </c>
      <c r="I353" s="13" t="s">
        <v>86</v>
      </c>
      <c r="J353" s="13" t="s">
        <v>83</v>
      </c>
      <c r="K353" s="13" t="s">
        <v>91</v>
      </c>
      <c r="L353" s="13" t="s">
        <v>83</v>
      </c>
      <c r="M353" s="13">
        <v>29</v>
      </c>
      <c r="N353" s="13">
        <v>4</v>
      </c>
      <c r="O353" s="13" t="s">
        <v>84</v>
      </c>
      <c r="P353" s="13">
        <v>31.1</v>
      </c>
      <c r="Q353" s="13">
        <v>105</v>
      </c>
      <c r="R353" s="13">
        <v>72</v>
      </c>
      <c r="S353" s="13" t="s">
        <v>85</v>
      </c>
      <c r="T353" s="13" t="s">
        <v>86</v>
      </c>
      <c r="U353" s="13" t="s">
        <v>87</v>
      </c>
      <c r="V353" s="13" t="s">
        <v>83</v>
      </c>
      <c r="W353" s="13" t="str">
        <f t="shared" si="30"/>
        <v>20-29 ans</v>
      </c>
      <c r="X353" s="13" t="str">
        <f t="shared" si="31"/>
        <v>Nullipare (0)</v>
      </c>
      <c r="Y353" s="13" t="str">
        <f t="shared" si="32"/>
        <v>4 à 7 CPN</v>
      </c>
      <c r="Z353" s="13" t="str">
        <f t="shared" si="33"/>
        <v>28-36 SA</v>
      </c>
      <c r="AA353" s="13">
        <f t="shared" si="34"/>
        <v>103.5</v>
      </c>
      <c r="AB353" s="13">
        <f t="shared" si="35"/>
        <v>0</v>
      </c>
    </row>
    <row r="354" spans="1:28" x14ac:dyDescent="0.25">
      <c r="A354" s="13" t="s">
        <v>461</v>
      </c>
      <c r="B354" s="13">
        <v>18</v>
      </c>
      <c r="C354" s="13" t="s">
        <v>98</v>
      </c>
      <c r="D354" s="13" t="s">
        <v>93</v>
      </c>
      <c r="E354" s="13" t="s">
        <v>101</v>
      </c>
      <c r="F354" s="13" t="s">
        <v>94</v>
      </c>
      <c r="G354" s="13">
        <v>1</v>
      </c>
      <c r="H354" s="13">
        <v>0</v>
      </c>
      <c r="I354" s="13" t="s">
        <v>86</v>
      </c>
      <c r="J354" s="13" t="s">
        <v>83</v>
      </c>
      <c r="K354" s="13" t="s">
        <v>83</v>
      </c>
      <c r="L354" s="13" t="s">
        <v>91</v>
      </c>
      <c r="M354" s="13">
        <v>32</v>
      </c>
      <c r="O354" s="13" t="s">
        <v>84</v>
      </c>
      <c r="P354" s="13">
        <v>18.5</v>
      </c>
      <c r="Q354" s="13">
        <v>117</v>
      </c>
      <c r="R354" s="13">
        <v>67</v>
      </c>
      <c r="S354" s="13" t="s">
        <v>106</v>
      </c>
      <c r="T354" s="13" t="s">
        <v>86</v>
      </c>
      <c r="U354" s="13" t="s">
        <v>87</v>
      </c>
      <c r="V354" s="13" t="s">
        <v>83</v>
      </c>
      <c r="W354" s="13" t="str">
        <f t="shared" si="30"/>
        <v>Moins de 20 ans</v>
      </c>
      <c r="X354" s="13" t="str">
        <f t="shared" si="31"/>
        <v>Nullipare (0)</v>
      </c>
      <c r="Y354" s="13" t="str">
        <f t="shared" si="32"/>
        <v/>
      </c>
      <c r="Z354" s="13" t="str">
        <f t="shared" si="33"/>
        <v>28-36 SA</v>
      </c>
      <c r="AA354" s="13">
        <f t="shared" si="34"/>
        <v>4.5</v>
      </c>
      <c r="AB354" s="13">
        <f t="shared" si="35"/>
        <v>0</v>
      </c>
    </row>
    <row r="355" spans="1:28" x14ac:dyDescent="0.25">
      <c r="A355" s="13" t="s">
        <v>462</v>
      </c>
      <c r="B355" s="13">
        <v>25</v>
      </c>
      <c r="C355" s="13" t="s">
        <v>98</v>
      </c>
      <c r="D355" s="13" t="s">
        <v>124</v>
      </c>
      <c r="E355" s="13" t="s">
        <v>112</v>
      </c>
      <c r="F355" s="13" t="s">
        <v>82</v>
      </c>
      <c r="G355" s="13">
        <v>2</v>
      </c>
      <c r="H355" s="13">
        <v>0</v>
      </c>
      <c r="I355" s="13" t="s">
        <v>86</v>
      </c>
      <c r="J355" s="13" t="s">
        <v>83</v>
      </c>
      <c r="K355" s="13" t="s">
        <v>83</v>
      </c>
      <c r="L355" s="13" t="s">
        <v>83</v>
      </c>
      <c r="M355" s="13">
        <v>40</v>
      </c>
      <c r="N355" s="13">
        <v>3</v>
      </c>
      <c r="O355" s="13" t="s">
        <v>84</v>
      </c>
      <c r="P355" s="13">
        <v>24.4</v>
      </c>
      <c r="Q355" s="13">
        <v>106</v>
      </c>
      <c r="R355" s="13">
        <v>64</v>
      </c>
      <c r="S355" s="13" t="s">
        <v>85</v>
      </c>
      <c r="T355" s="13" t="s">
        <v>86</v>
      </c>
      <c r="U355" s="13" t="s">
        <v>87</v>
      </c>
      <c r="V355" s="13" t="s">
        <v>83</v>
      </c>
      <c r="W355" s="13" t="str">
        <f t="shared" si="30"/>
        <v>20-29 ans</v>
      </c>
      <c r="X355" s="13" t="str">
        <f t="shared" si="31"/>
        <v>Nullipare (0)</v>
      </c>
      <c r="Y355" s="13" t="str">
        <f t="shared" si="32"/>
        <v>Moins de 4 CPN</v>
      </c>
      <c r="Z355" s="13" t="str">
        <f t="shared" si="33"/>
        <v>37 SA et plus</v>
      </c>
      <c r="AA355" s="13">
        <f t="shared" si="34"/>
        <v>173</v>
      </c>
      <c r="AB355" s="13">
        <f t="shared" si="35"/>
        <v>0</v>
      </c>
    </row>
    <row r="356" spans="1:28" x14ac:dyDescent="0.25">
      <c r="A356" s="13" t="s">
        <v>463</v>
      </c>
      <c r="B356" s="13">
        <v>37</v>
      </c>
      <c r="C356" s="13" t="s">
        <v>79</v>
      </c>
      <c r="D356" s="13" t="s">
        <v>80</v>
      </c>
      <c r="E356" s="13" t="s">
        <v>96</v>
      </c>
      <c r="F356" s="13" t="s">
        <v>82</v>
      </c>
      <c r="G356" s="13">
        <v>2</v>
      </c>
      <c r="H356" s="13">
        <v>1</v>
      </c>
      <c r="I356" s="13" t="s">
        <v>83</v>
      </c>
      <c r="J356" s="13" t="s">
        <v>83</v>
      </c>
      <c r="K356" s="13" t="s">
        <v>83</v>
      </c>
      <c r="L356" s="13" t="s">
        <v>83</v>
      </c>
      <c r="M356" s="13">
        <v>40</v>
      </c>
      <c r="N356" s="13">
        <v>6</v>
      </c>
      <c r="O356" s="13" t="s">
        <v>84</v>
      </c>
      <c r="P356" s="13">
        <v>20.3</v>
      </c>
      <c r="Q356" s="13">
        <v>121</v>
      </c>
      <c r="R356" s="13">
        <v>62</v>
      </c>
      <c r="S356" s="13" t="s">
        <v>85</v>
      </c>
      <c r="T356" s="13" t="s">
        <v>86</v>
      </c>
      <c r="U356" s="13" t="s">
        <v>87</v>
      </c>
      <c r="V356" s="13" t="s">
        <v>83</v>
      </c>
      <c r="W356" s="13" t="str">
        <f t="shared" si="30"/>
        <v>35 ans et plus</v>
      </c>
      <c r="X356" s="13" t="str">
        <f t="shared" si="31"/>
        <v>1-2 accouchements</v>
      </c>
      <c r="Y356" s="13" t="str">
        <f t="shared" si="32"/>
        <v>4 à 7 CPN</v>
      </c>
      <c r="Z356" s="13" t="str">
        <f t="shared" si="33"/>
        <v>37 SA et plus</v>
      </c>
      <c r="AA356" s="13">
        <f t="shared" si="34"/>
        <v>386.5</v>
      </c>
      <c r="AB356" s="13">
        <f t="shared" si="35"/>
        <v>1</v>
      </c>
    </row>
    <row r="357" spans="1:28" x14ac:dyDescent="0.25">
      <c r="A357" s="13" t="s">
        <v>464</v>
      </c>
      <c r="B357" s="13">
        <v>27</v>
      </c>
      <c r="C357" s="13" t="s">
        <v>79</v>
      </c>
      <c r="D357" s="13" t="s">
        <v>93</v>
      </c>
      <c r="E357" s="13" t="s">
        <v>96</v>
      </c>
      <c r="F357" s="13" t="s">
        <v>82</v>
      </c>
      <c r="G357" s="13">
        <v>4</v>
      </c>
      <c r="H357" s="13">
        <v>3</v>
      </c>
      <c r="I357" s="13" t="s">
        <v>83</v>
      </c>
      <c r="J357" s="13" t="s">
        <v>83</v>
      </c>
      <c r="K357" s="13" t="s">
        <v>83</v>
      </c>
      <c r="L357" s="13" t="s">
        <v>83</v>
      </c>
      <c r="M357" s="13">
        <v>36</v>
      </c>
      <c r="N357" s="13">
        <v>1</v>
      </c>
      <c r="O357" s="13" t="s">
        <v>146</v>
      </c>
      <c r="P357" s="13">
        <v>23.8</v>
      </c>
      <c r="Q357" s="13">
        <v>115</v>
      </c>
      <c r="R357" s="13">
        <v>71</v>
      </c>
      <c r="S357" s="13" t="s">
        <v>85</v>
      </c>
      <c r="T357" s="13" t="s">
        <v>86</v>
      </c>
      <c r="U357" s="13" t="s">
        <v>87</v>
      </c>
      <c r="V357" s="13" t="s">
        <v>83</v>
      </c>
      <c r="W357" s="13" t="str">
        <f t="shared" si="30"/>
        <v>20-29 ans</v>
      </c>
      <c r="X357" s="13" t="str">
        <f t="shared" si="31"/>
        <v>3 accouchements et plus</v>
      </c>
      <c r="Y357" s="13" t="str">
        <f t="shared" si="32"/>
        <v>Moins de 4 CPN</v>
      </c>
      <c r="Z357" s="13" t="str">
        <f t="shared" si="33"/>
        <v>28-36 SA</v>
      </c>
      <c r="AA357" s="13">
        <f t="shared" si="34"/>
        <v>243</v>
      </c>
      <c r="AB357" s="13">
        <f t="shared" si="35"/>
        <v>1</v>
      </c>
    </row>
    <row r="358" spans="1:28" x14ac:dyDescent="0.25">
      <c r="A358" s="13" t="s">
        <v>465</v>
      </c>
      <c r="B358" s="13">
        <v>31</v>
      </c>
      <c r="C358" s="13" t="s">
        <v>79</v>
      </c>
      <c r="D358" s="13" t="s">
        <v>80</v>
      </c>
      <c r="E358" s="13" t="s">
        <v>81</v>
      </c>
      <c r="F358" s="13" t="s">
        <v>82</v>
      </c>
      <c r="G358" s="13">
        <v>2</v>
      </c>
      <c r="H358" s="13">
        <v>1</v>
      </c>
      <c r="I358" s="13" t="s">
        <v>91</v>
      </c>
      <c r="J358" s="13" t="s">
        <v>91</v>
      </c>
      <c r="K358" s="13" t="s">
        <v>83</v>
      </c>
      <c r="L358" s="13" t="s">
        <v>83</v>
      </c>
      <c r="M358" s="13">
        <v>37</v>
      </c>
      <c r="N358" s="13">
        <v>4</v>
      </c>
      <c r="O358" s="13" t="s">
        <v>84</v>
      </c>
      <c r="P358" s="13">
        <v>24.1</v>
      </c>
      <c r="Q358" s="13">
        <v>148</v>
      </c>
      <c r="R358" s="13">
        <v>102</v>
      </c>
      <c r="S358" s="13" t="s">
        <v>85</v>
      </c>
      <c r="T358" s="13" t="s">
        <v>86</v>
      </c>
      <c r="U358" s="13" t="s">
        <v>132</v>
      </c>
      <c r="V358" s="13" t="s">
        <v>83</v>
      </c>
      <c r="W358" s="13" t="str">
        <f t="shared" si="30"/>
        <v>30-34 ans</v>
      </c>
      <c r="X358" s="13" t="str">
        <f t="shared" si="31"/>
        <v>1-2 accouchements</v>
      </c>
      <c r="Y358" s="13" t="str">
        <f t="shared" si="32"/>
        <v>4 à 7 CPN</v>
      </c>
      <c r="Z358" s="13" t="str">
        <f t="shared" si="33"/>
        <v>37 SA et plus</v>
      </c>
      <c r="AA358" s="13">
        <f t="shared" si="34"/>
        <v>334.5</v>
      </c>
      <c r="AB358" s="13">
        <f t="shared" si="35"/>
        <v>1</v>
      </c>
    </row>
    <row r="359" spans="1:28" x14ac:dyDescent="0.25">
      <c r="A359" s="13" t="s">
        <v>466</v>
      </c>
      <c r="B359" s="13">
        <v>29</v>
      </c>
      <c r="C359" s="13" t="s">
        <v>98</v>
      </c>
      <c r="D359" s="13" t="s">
        <v>93</v>
      </c>
      <c r="E359" s="13" t="s">
        <v>101</v>
      </c>
      <c r="F359" s="13" t="s">
        <v>94</v>
      </c>
      <c r="G359" s="13">
        <v>3</v>
      </c>
      <c r="H359" s="13">
        <v>2</v>
      </c>
      <c r="I359" s="13" t="s">
        <v>83</v>
      </c>
      <c r="J359" s="13" t="s">
        <v>83</v>
      </c>
      <c r="K359" s="13" t="s">
        <v>83</v>
      </c>
      <c r="L359" s="13" t="s">
        <v>83</v>
      </c>
      <c r="M359" s="13">
        <v>33</v>
      </c>
      <c r="N359" s="13">
        <v>3</v>
      </c>
      <c r="O359" s="13" t="s">
        <v>84</v>
      </c>
      <c r="P359" s="13">
        <v>23.5</v>
      </c>
      <c r="Q359" s="13">
        <v>110</v>
      </c>
      <c r="R359" s="13">
        <v>70</v>
      </c>
      <c r="S359" s="13" t="s">
        <v>85</v>
      </c>
      <c r="T359" s="13" t="s">
        <v>86</v>
      </c>
      <c r="U359" s="13" t="s">
        <v>87</v>
      </c>
      <c r="V359" s="13" t="s">
        <v>83</v>
      </c>
      <c r="W359" s="13" t="str">
        <f t="shared" si="30"/>
        <v>20-29 ans</v>
      </c>
      <c r="X359" s="13" t="str">
        <f t="shared" si="31"/>
        <v>1-2 accouchements</v>
      </c>
      <c r="Y359" s="13" t="str">
        <f t="shared" si="32"/>
        <v>Moins de 4 CPN</v>
      </c>
      <c r="Z359" s="13" t="str">
        <f t="shared" si="33"/>
        <v>28-36 SA</v>
      </c>
      <c r="AA359" s="13">
        <f t="shared" si="34"/>
        <v>299</v>
      </c>
      <c r="AB359" s="13">
        <f t="shared" si="35"/>
        <v>1</v>
      </c>
    </row>
    <row r="360" spans="1:28" x14ac:dyDescent="0.25">
      <c r="A360" s="13" t="s">
        <v>467</v>
      </c>
      <c r="B360" s="13">
        <v>33</v>
      </c>
      <c r="C360" s="13" t="s">
        <v>79</v>
      </c>
      <c r="E360" s="13" t="s">
        <v>96</v>
      </c>
      <c r="F360" s="13" t="s">
        <v>94</v>
      </c>
      <c r="G360" s="13">
        <v>3</v>
      </c>
      <c r="H360" s="13">
        <v>2</v>
      </c>
      <c r="I360" s="13" t="s">
        <v>83</v>
      </c>
      <c r="J360" s="13" t="s">
        <v>83</v>
      </c>
      <c r="K360" s="13" t="s">
        <v>83</v>
      </c>
      <c r="L360" s="13" t="s">
        <v>83</v>
      </c>
      <c r="M360" s="13">
        <v>35</v>
      </c>
      <c r="N360" s="13">
        <v>1</v>
      </c>
      <c r="O360" s="13" t="s">
        <v>84</v>
      </c>
      <c r="P360" s="13">
        <v>19.600000000000001</v>
      </c>
      <c r="Q360" s="13">
        <v>115</v>
      </c>
      <c r="R360" s="13">
        <v>74</v>
      </c>
      <c r="S360" s="13" t="s">
        <v>85</v>
      </c>
      <c r="T360" s="13" t="s">
        <v>86</v>
      </c>
      <c r="U360" s="13" t="s">
        <v>87</v>
      </c>
      <c r="V360" s="13" t="s">
        <v>83</v>
      </c>
      <c r="W360" s="13" t="str">
        <f t="shared" si="30"/>
        <v>30-34 ans</v>
      </c>
      <c r="X360" s="13" t="str">
        <f t="shared" si="31"/>
        <v>1-2 accouchements</v>
      </c>
      <c r="Y360" s="13" t="str">
        <f t="shared" si="32"/>
        <v>Moins de 4 CPN</v>
      </c>
      <c r="Z360" s="13" t="str">
        <f t="shared" si="33"/>
        <v>28-36 SA</v>
      </c>
      <c r="AA360" s="13">
        <f t="shared" si="34"/>
        <v>361.5</v>
      </c>
      <c r="AB360" s="13">
        <f t="shared" si="35"/>
        <v>1</v>
      </c>
    </row>
    <row r="361" spans="1:28" x14ac:dyDescent="0.25">
      <c r="A361" s="13" t="s">
        <v>468</v>
      </c>
      <c r="B361" s="13">
        <v>38</v>
      </c>
      <c r="C361" s="13" t="s">
        <v>98</v>
      </c>
      <c r="D361" s="13" t="s">
        <v>109</v>
      </c>
      <c r="E361" s="13" t="s">
        <v>96</v>
      </c>
      <c r="F361" s="13" t="s">
        <v>94</v>
      </c>
      <c r="G361" s="13">
        <v>4</v>
      </c>
      <c r="H361" s="13">
        <v>3</v>
      </c>
      <c r="I361" s="13" t="s">
        <v>91</v>
      </c>
      <c r="J361" s="13" t="s">
        <v>91</v>
      </c>
      <c r="K361" s="13" t="s">
        <v>83</v>
      </c>
      <c r="L361" s="13" t="s">
        <v>83</v>
      </c>
      <c r="M361" s="13">
        <v>36</v>
      </c>
      <c r="N361" s="13">
        <v>4</v>
      </c>
      <c r="O361" s="13" t="s">
        <v>84</v>
      </c>
      <c r="P361" s="13">
        <v>29.3</v>
      </c>
      <c r="Q361" s="13">
        <v>162</v>
      </c>
      <c r="R361" s="13">
        <v>91</v>
      </c>
      <c r="S361" s="13" t="s">
        <v>113</v>
      </c>
      <c r="T361" s="13" t="s">
        <v>91</v>
      </c>
      <c r="U361" s="13" t="s">
        <v>107</v>
      </c>
      <c r="V361" s="13" t="s">
        <v>91</v>
      </c>
      <c r="W361" s="13" t="str">
        <f t="shared" si="30"/>
        <v>35 ans et plus</v>
      </c>
      <c r="X361" s="13" t="str">
        <f t="shared" si="31"/>
        <v>3 accouchements et plus</v>
      </c>
      <c r="Y361" s="13" t="str">
        <f t="shared" si="32"/>
        <v>4 à 7 CPN</v>
      </c>
      <c r="Z361" s="13" t="str">
        <f t="shared" si="33"/>
        <v>28-36 SA</v>
      </c>
      <c r="AA361" s="13">
        <f t="shared" si="34"/>
        <v>389</v>
      </c>
      <c r="AB361" s="13">
        <f t="shared" si="35"/>
        <v>1</v>
      </c>
    </row>
    <row r="362" spans="1:28" x14ac:dyDescent="0.25">
      <c r="A362" s="13" t="s">
        <v>469</v>
      </c>
      <c r="B362" s="13">
        <v>19</v>
      </c>
      <c r="C362" s="13" t="s">
        <v>79</v>
      </c>
      <c r="D362" s="13" t="s">
        <v>124</v>
      </c>
      <c r="E362" s="13" t="s">
        <v>81</v>
      </c>
      <c r="F362" s="13" t="s">
        <v>94</v>
      </c>
      <c r="G362" s="13">
        <v>1</v>
      </c>
      <c r="H362" s="13">
        <v>0</v>
      </c>
      <c r="I362" s="13" t="s">
        <v>86</v>
      </c>
      <c r="J362" s="13" t="s">
        <v>83</v>
      </c>
      <c r="K362" s="13" t="s">
        <v>83</v>
      </c>
      <c r="L362" s="13" t="s">
        <v>83</v>
      </c>
      <c r="M362" s="13">
        <v>38</v>
      </c>
      <c r="N362" s="13">
        <v>4</v>
      </c>
      <c r="O362" s="13" t="s">
        <v>84</v>
      </c>
      <c r="P362" s="13">
        <v>19.899999999999999</v>
      </c>
      <c r="Q362" s="13">
        <v>151</v>
      </c>
      <c r="R362" s="13">
        <v>103</v>
      </c>
      <c r="S362" s="13" t="s">
        <v>118</v>
      </c>
      <c r="T362" s="13" t="s">
        <v>83</v>
      </c>
      <c r="U362" s="13" t="s">
        <v>114</v>
      </c>
      <c r="V362" s="13" t="s">
        <v>91</v>
      </c>
      <c r="W362" s="13" t="str">
        <f t="shared" si="30"/>
        <v>Moins de 20 ans</v>
      </c>
      <c r="X362" s="13" t="str">
        <f t="shared" si="31"/>
        <v>Nullipare (0)</v>
      </c>
      <c r="Y362" s="13" t="str">
        <f t="shared" si="32"/>
        <v>4 à 7 CPN</v>
      </c>
      <c r="Z362" s="13" t="str">
        <f t="shared" si="33"/>
        <v>37 SA et plus</v>
      </c>
      <c r="AA362" s="13">
        <f t="shared" si="34"/>
        <v>14.5</v>
      </c>
      <c r="AB362" s="13">
        <f t="shared" si="35"/>
        <v>0</v>
      </c>
    </row>
    <row r="363" spans="1:28" x14ac:dyDescent="0.25">
      <c r="A363" s="13" t="s">
        <v>470</v>
      </c>
      <c r="B363" s="13">
        <v>23</v>
      </c>
      <c r="C363" s="13" t="s">
        <v>79</v>
      </c>
      <c r="D363" s="13" t="s">
        <v>109</v>
      </c>
      <c r="E363" s="13" t="s">
        <v>101</v>
      </c>
      <c r="F363" s="13" t="s">
        <v>82</v>
      </c>
      <c r="G363" s="13">
        <v>3</v>
      </c>
      <c r="H363" s="13">
        <v>2</v>
      </c>
      <c r="I363" s="13" t="s">
        <v>91</v>
      </c>
      <c r="J363" s="13" t="s">
        <v>83</v>
      </c>
      <c r="K363" s="13" t="s">
        <v>83</v>
      </c>
      <c r="L363" s="13" t="s">
        <v>83</v>
      </c>
      <c r="M363" s="13">
        <v>33</v>
      </c>
      <c r="N363" s="13">
        <v>1</v>
      </c>
      <c r="O363" s="13" t="s">
        <v>84</v>
      </c>
      <c r="P363" s="13">
        <v>21.8</v>
      </c>
      <c r="Q363" s="13">
        <v>91</v>
      </c>
      <c r="R363" s="13">
        <v>60</v>
      </c>
      <c r="S363" s="13" t="s">
        <v>85</v>
      </c>
      <c r="T363" s="13" t="s">
        <v>86</v>
      </c>
      <c r="U363" s="13" t="s">
        <v>87</v>
      </c>
      <c r="V363" s="13" t="s">
        <v>83</v>
      </c>
      <c r="W363" s="13" t="str">
        <f t="shared" si="30"/>
        <v>20-29 ans</v>
      </c>
      <c r="X363" s="13" t="str">
        <f t="shared" si="31"/>
        <v>1-2 accouchements</v>
      </c>
      <c r="Y363" s="13" t="str">
        <f t="shared" si="32"/>
        <v>Moins de 4 CPN</v>
      </c>
      <c r="Z363" s="13" t="str">
        <f t="shared" si="33"/>
        <v>28-36 SA</v>
      </c>
      <c r="AA363" s="13">
        <f t="shared" si="34"/>
        <v>103.5</v>
      </c>
      <c r="AB363" s="13">
        <f t="shared" si="35"/>
        <v>1</v>
      </c>
    </row>
    <row r="364" spans="1:28" x14ac:dyDescent="0.25">
      <c r="A364" s="13" t="s">
        <v>471</v>
      </c>
      <c r="B364" s="13">
        <v>29</v>
      </c>
      <c r="C364" s="13" t="s">
        <v>79</v>
      </c>
      <c r="D364" s="13" t="s">
        <v>93</v>
      </c>
      <c r="E364" s="13" t="s">
        <v>81</v>
      </c>
      <c r="F364" s="13" t="s">
        <v>94</v>
      </c>
      <c r="G364" s="13">
        <v>6</v>
      </c>
      <c r="H364" s="13">
        <v>5</v>
      </c>
      <c r="I364" s="13" t="s">
        <v>83</v>
      </c>
      <c r="J364" s="13" t="s">
        <v>91</v>
      </c>
      <c r="K364" s="13" t="s">
        <v>83</v>
      </c>
      <c r="L364" s="13" t="s">
        <v>83</v>
      </c>
      <c r="M364" s="13">
        <v>38</v>
      </c>
      <c r="N364" s="13">
        <v>5</v>
      </c>
      <c r="O364" s="13" t="s">
        <v>84</v>
      </c>
      <c r="P364" s="13">
        <v>24.1</v>
      </c>
      <c r="Q364" s="13">
        <v>144</v>
      </c>
      <c r="R364" s="13">
        <v>92</v>
      </c>
      <c r="S364" s="13" t="s">
        <v>113</v>
      </c>
      <c r="T364" s="13" t="s">
        <v>83</v>
      </c>
      <c r="U364" s="13" t="s">
        <v>107</v>
      </c>
      <c r="V364" s="13" t="s">
        <v>91</v>
      </c>
      <c r="W364" s="13" t="str">
        <f t="shared" si="30"/>
        <v>20-29 ans</v>
      </c>
      <c r="X364" s="13" t="str">
        <f t="shared" si="31"/>
        <v>3 accouchements et plus</v>
      </c>
      <c r="Y364" s="13" t="str">
        <f t="shared" si="32"/>
        <v>4 à 7 CPN</v>
      </c>
      <c r="Z364" s="13" t="str">
        <f t="shared" si="33"/>
        <v>37 SA et plus</v>
      </c>
      <c r="AA364" s="13">
        <f t="shared" si="34"/>
        <v>299</v>
      </c>
      <c r="AB364" s="13">
        <f t="shared" si="35"/>
        <v>1</v>
      </c>
    </row>
    <row r="365" spans="1:28" x14ac:dyDescent="0.25">
      <c r="A365" s="13" t="s">
        <v>472</v>
      </c>
      <c r="B365" s="13">
        <v>34</v>
      </c>
      <c r="C365" s="13" t="s">
        <v>79</v>
      </c>
      <c r="D365" s="13" t="s">
        <v>93</v>
      </c>
      <c r="E365" s="13" t="s">
        <v>81</v>
      </c>
      <c r="F365" s="13" t="s">
        <v>94</v>
      </c>
      <c r="G365" s="13">
        <v>4</v>
      </c>
      <c r="H365" s="13">
        <v>3</v>
      </c>
      <c r="I365" s="13" t="s">
        <v>83</v>
      </c>
      <c r="J365" s="13" t="s">
        <v>83</v>
      </c>
      <c r="K365" s="13" t="s">
        <v>83</v>
      </c>
      <c r="L365" s="13" t="s">
        <v>83</v>
      </c>
      <c r="M365" s="13">
        <v>37</v>
      </c>
      <c r="N365" s="13">
        <v>4</v>
      </c>
      <c r="O365" s="13" t="s">
        <v>84</v>
      </c>
      <c r="P365" s="13">
        <v>20.9</v>
      </c>
      <c r="Q365" s="13">
        <v>111</v>
      </c>
      <c r="R365" s="13">
        <v>66</v>
      </c>
      <c r="S365" s="13" t="s">
        <v>85</v>
      </c>
      <c r="T365" s="13" t="s">
        <v>86</v>
      </c>
      <c r="U365" s="13" t="s">
        <v>87</v>
      </c>
      <c r="V365" s="13" t="s">
        <v>83</v>
      </c>
      <c r="W365" s="13" t="str">
        <f t="shared" si="30"/>
        <v>30-34 ans</v>
      </c>
      <c r="X365" s="13" t="str">
        <f t="shared" si="31"/>
        <v>3 accouchements et plus</v>
      </c>
      <c r="Y365" s="13" t="str">
        <f t="shared" si="32"/>
        <v>4 à 7 CPN</v>
      </c>
      <c r="Z365" s="13" t="str">
        <f t="shared" si="33"/>
        <v>37 SA et plus</v>
      </c>
      <c r="AA365" s="13">
        <f t="shared" si="34"/>
        <v>372</v>
      </c>
      <c r="AB365" s="13">
        <f t="shared" si="35"/>
        <v>1</v>
      </c>
    </row>
    <row r="366" spans="1:28" x14ac:dyDescent="0.25">
      <c r="A366" s="13" t="s">
        <v>473</v>
      </c>
      <c r="B366" s="13">
        <v>27</v>
      </c>
      <c r="C366" s="13" t="s">
        <v>79</v>
      </c>
      <c r="D366" s="13" t="s">
        <v>93</v>
      </c>
      <c r="E366" s="13" t="s">
        <v>101</v>
      </c>
      <c r="F366" s="13" t="s">
        <v>94</v>
      </c>
      <c r="G366" s="13">
        <v>4</v>
      </c>
      <c r="H366" s="13">
        <v>3</v>
      </c>
      <c r="I366" s="13" t="s">
        <v>83</v>
      </c>
      <c r="J366" s="13" t="s">
        <v>91</v>
      </c>
      <c r="K366" s="13" t="s">
        <v>91</v>
      </c>
      <c r="L366" s="13" t="s">
        <v>83</v>
      </c>
      <c r="M366" s="13">
        <v>35</v>
      </c>
      <c r="N366" s="13">
        <v>2</v>
      </c>
      <c r="O366" s="13" t="s">
        <v>84</v>
      </c>
      <c r="Q366" s="13">
        <v>152</v>
      </c>
      <c r="R366" s="13">
        <v>86</v>
      </c>
      <c r="S366" s="13" t="s">
        <v>113</v>
      </c>
      <c r="T366" s="13" t="s">
        <v>91</v>
      </c>
      <c r="U366" s="13" t="s">
        <v>107</v>
      </c>
      <c r="V366" s="13" t="s">
        <v>91</v>
      </c>
      <c r="W366" s="13" t="str">
        <f t="shared" si="30"/>
        <v>20-29 ans</v>
      </c>
      <c r="X366" s="13" t="str">
        <f t="shared" si="31"/>
        <v>3 accouchements et plus</v>
      </c>
      <c r="Y366" s="13" t="str">
        <f t="shared" si="32"/>
        <v>Moins de 4 CPN</v>
      </c>
      <c r="Z366" s="13" t="str">
        <f t="shared" si="33"/>
        <v>28-36 SA</v>
      </c>
      <c r="AA366" s="13">
        <f t="shared" si="34"/>
        <v>243</v>
      </c>
      <c r="AB366" s="13">
        <f t="shared" si="35"/>
        <v>1</v>
      </c>
    </row>
    <row r="367" spans="1:28" x14ac:dyDescent="0.25">
      <c r="A367" s="13" t="s">
        <v>474</v>
      </c>
      <c r="B367" s="13">
        <v>30</v>
      </c>
      <c r="C367" s="13" t="s">
        <v>98</v>
      </c>
      <c r="D367" s="13" t="s">
        <v>109</v>
      </c>
      <c r="E367" s="13" t="s">
        <v>112</v>
      </c>
      <c r="F367" s="13" t="s">
        <v>82</v>
      </c>
      <c r="G367" s="13">
        <v>1</v>
      </c>
      <c r="H367" s="13">
        <v>0</v>
      </c>
      <c r="I367" s="13" t="s">
        <v>86</v>
      </c>
      <c r="J367" s="13" t="s">
        <v>83</v>
      </c>
      <c r="K367" s="13" t="s">
        <v>83</v>
      </c>
      <c r="L367" s="13" t="s">
        <v>83</v>
      </c>
      <c r="M367" s="13">
        <v>40</v>
      </c>
      <c r="N367" s="13">
        <v>5</v>
      </c>
      <c r="O367" s="13" t="s">
        <v>84</v>
      </c>
      <c r="P367" s="13">
        <v>21.6</v>
      </c>
      <c r="Q367" s="13">
        <v>105</v>
      </c>
      <c r="R367" s="13">
        <v>77</v>
      </c>
      <c r="S367" s="13" t="s">
        <v>85</v>
      </c>
      <c r="T367" s="13" t="s">
        <v>86</v>
      </c>
      <c r="U367" s="13" t="s">
        <v>87</v>
      </c>
      <c r="V367" s="13" t="s">
        <v>83</v>
      </c>
      <c r="W367" s="13" t="str">
        <f t="shared" si="30"/>
        <v>30-34 ans</v>
      </c>
      <c r="X367" s="13" t="str">
        <f t="shared" si="31"/>
        <v>Nullipare (0)</v>
      </c>
      <c r="Y367" s="13" t="str">
        <f t="shared" si="32"/>
        <v>4 à 7 CPN</v>
      </c>
      <c r="Z367" s="13" t="str">
        <f t="shared" si="33"/>
        <v>37 SA et plus</v>
      </c>
      <c r="AA367" s="13">
        <f t="shared" si="34"/>
        <v>319.5</v>
      </c>
      <c r="AB367" s="13">
        <f t="shared" si="35"/>
        <v>0</v>
      </c>
    </row>
    <row r="368" spans="1:28" x14ac:dyDescent="0.25">
      <c r="A368" s="13" t="s">
        <v>475</v>
      </c>
      <c r="B368" s="13">
        <v>30</v>
      </c>
      <c r="C368" s="13" t="s">
        <v>79</v>
      </c>
      <c r="D368" s="13" t="s">
        <v>80</v>
      </c>
      <c r="E368" s="13" t="s">
        <v>81</v>
      </c>
      <c r="F368" s="13" t="s">
        <v>82</v>
      </c>
      <c r="G368" s="13">
        <v>7</v>
      </c>
      <c r="H368" s="13">
        <v>5</v>
      </c>
      <c r="I368" s="13" t="s">
        <v>83</v>
      </c>
      <c r="J368" s="13" t="s">
        <v>83</v>
      </c>
      <c r="K368" s="13" t="s">
        <v>83</v>
      </c>
      <c r="L368" s="13" t="s">
        <v>83</v>
      </c>
      <c r="M368" s="13">
        <v>33</v>
      </c>
      <c r="N368" s="13">
        <v>4</v>
      </c>
      <c r="O368" s="13" t="s">
        <v>84</v>
      </c>
      <c r="P368" s="13">
        <v>24.2</v>
      </c>
      <c r="Q368" s="13">
        <v>139</v>
      </c>
      <c r="R368" s="13">
        <v>98</v>
      </c>
      <c r="S368" s="13" t="s">
        <v>118</v>
      </c>
      <c r="T368" s="13" t="s">
        <v>91</v>
      </c>
      <c r="U368" s="13" t="s">
        <v>114</v>
      </c>
      <c r="V368" s="13" t="s">
        <v>91</v>
      </c>
      <c r="W368" s="13" t="str">
        <f t="shared" si="30"/>
        <v>30-34 ans</v>
      </c>
      <c r="X368" s="13" t="str">
        <f t="shared" si="31"/>
        <v>3 accouchements et plus</v>
      </c>
      <c r="Y368" s="13" t="str">
        <f t="shared" si="32"/>
        <v>4 à 7 CPN</v>
      </c>
      <c r="Z368" s="13" t="str">
        <f t="shared" si="33"/>
        <v>28-36 SA</v>
      </c>
      <c r="AA368" s="13">
        <f t="shared" si="34"/>
        <v>319.5</v>
      </c>
      <c r="AB368" s="13">
        <f t="shared" si="35"/>
        <v>1</v>
      </c>
    </row>
    <row r="369" spans="1:28" x14ac:dyDescent="0.25">
      <c r="A369" s="13" t="s">
        <v>476</v>
      </c>
      <c r="B369" s="13">
        <v>33</v>
      </c>
      <c r="C369" s="13" t="s">
        <v>79</v>
      </c>
      <c r="D369" s="13" t="s">
        <v>80</v>
      </c>
      <c r="E369" s="13" t="s">
        <v>101</v>
      </c>
      <c r="F369" s="13" t="s">
        <v>94</v>
      </c>
      <c r="G369" s="13">
        <v>5</v>
      </c>
      <c r="H369" s="13">
        <v>3</v>
      </c>
      <c r="I369" s="13" t="s">
        <v>91</v>
      </c>
      <c r="J369" s="13" t="s">
        <v>83</v>
      </c>
      <c r="K369" s="13" t="s">
        <v>83</v>
      </c>
      <c r="L369" s="13" t="s">
        <v>83</v>
      </c>
      <c r="M369" s="13">
        <v>32</v>
      </c>
      <c r="N369" s="13">
        <v>7</v>
      </c>
      <c r="O369" s="13" t="s">
        <v>84</v>
      </c>
      <c r="Q369" s="13">
        <v>99</v>
      </c>
      <c r="R369" s="13">
        <v>62</v>
      </c>
      <c r="S369" s="13" t="s">
        <v>85</v>
      </c>
      <c r="T369" s="13" t="s">
        <v>86</v>
      </c>
      <c r="U369" s="13" t="s">
        <v>87</v>
      </c>
      <c r="V369" s="13" t="s">
        <v>83</v>
      </c>
      <c r="W369" s="13" t="str">
        <f t="shared" si="30"/>
        <v>30-34 ans</v>
      </c>
      <c r="X369" s="13" t="str">
        <f t="shared" si="31"/>
        <v>3 accouchements et plus</v>
      </c>
      <c r="Y369" s="13" t="str">
        <f t="shared" si="32"/>
        <v>4 à 7 CPN</v>
      </c>
      <c r="Z369" s="13" t="str">
        <f t="shared" si="33"/>
        <v>28-36 SA</v>
      </c>
      <c r="AA369" s="13">
        <f t="shared" si="34"/>
        <v>361.5</v>
      </c>
      <c r="AB369" s="13">
        <f t="shared" si="35"/>
        <v>1</v>
      </c>
    </row>
    <row r="370" spans="1:28" x14ac:dyDescent="0.25">
      <c r="A370" s="13" t="s">
        <v>477</v>
      </c>
      <c r="B370" s="13">
        <v>23</v>
      </c>
      <c r="C370" s="13" t="s">
        <v>79</v>
      </c>
      <c r="D370" s="13" t="s">
        <v>124</v>
      </c>
      <c r="E370" s="13" t="s">
        <v>81</v>
      </c>
      <c r="F370" s="13" t="s">
        <v>94</v>
      </c>
      <c r="G370" s="13">
        <v>1</v>
      </c>
      <c r="H370" s="13">
        <v>0</v>
      </c>
      <c r="I370" s="13" t="s">
        <v>86</v>
      </c>
      <c r="J370" s="13" t="s">
        <v>83</v>
      </c>
      <c r="K370" s="13" t="s">
        <v>83</v>
      </c>
      <c r="L370" s="13" t="s">
        <v>83</v>
      </c>
      <c r="M370" s="13">
        <v>31</v>
      </c>
      <c r="N370" s="13">
        <v>2</v>
      </c>
      <c r="O370" s="13" t="s">
        <v>84</v>
      </c>
      <c r="P370" s="13">
        <v>21.1</v>
      </c>
      <c r="Q370" s="13">
        <v>115</v>
      </c>
      <c r="R370" s="13">
        <v>76</v>
      </c>
      <c r="S370" s="13" t="s">
        <v>85</v>
      </c>
      <c r="T370" s="13" t="s">
        <v>86</v>
      </c>
      <c r="U370" s="13" t="s">
        <v>87</v>
      </c>
      <c r="V370" s="13" t="s">
        <v>83</v>
      </c>
      <c r="W370" s="13" t="str">
        <f t="shared" si="30"/>
        <v>20-29 ans</v>
      </c>
      <c r="X370" s="13" t="str">
        <f t="shared" si="31"/>
        <v>Nullipare (0)</v>
      </c>
      <c r="Y370" s="13" t="str">
        <f t="shared" si="32"/>
        <v>Moins de 4 CPN</v>
      </c>
      <c r="Z370" s="13" t="str">
        <f t="shared" si="33"/>
        <v>28-36 SA</v>
      </c>
      <c r="AA370" s="13">
        <f t="shared" si="34"/>
        <v>103.5</v>
      </c>
      <c r="AB370" s="13">
        <f t="shared" si="35"/>
        <v>0</v>
      </c>
    </row>
    <row r="371" spans="1:28" x14ac:dyDescent="0.25">
      <c r="A371" s="13" t="s">
        <v>478</v>
      </c>
      <c r="B371" s="13">
        <v>33</v>
      </c>
      <c r="C371" s="13" t="s">
        <v>79</v>
      </c>
      <c r="D371" s="13" t="s">
        <v>93</v>
      </c>
      <c r="E371" s="13" t="s">
        <v>81</v>
      </c>
      <c r="F371" s="13" t="s">
        <v>94</v>
      </c>
      <c r="G371" s="13">
        <v>6</v>
      </c>
      <c r="H371" s="13">
        <v>5</v>
      </c>
      <c r="I371" s="13" t="s">
        <v>83</v>
      </c>
      <c r="J371" s="13" t="s">
        <v>83</v>
      </c>
      <c r="K371" s="13" t="s">
        <v>83</v>
      </c>
      <c r="L371" s="13" t="s">
        <v>83</v>
      </c>
      <c r="M371" s="13">
        <v>39</v>
      </c>
      <c r="N371" s="13">
        <v>3</v>
      </c>
      <c r="O371" s="13" t="s">
        <v>84</v>
      </c>
      <c r="P371" s="13">
        <v>21.4</v>
      </c>
      <c r="Q371" s="13">
        <v>109</v>
      </c>
      <c r="R371" s="13">
        <v>63</v>
      </c>
      <c r="S371" s="13" t="s">
        <v>85</v>
      </c>
      <c r="T371" s="13" t="s">
        <v>86</v>
      </c>
      <c r="U371" s="13" t="s">
        <v>87</v>
      </c>
      <c r="V371" s="13" t="s">
        <v>83</v>
      </c>
      <c r="W371" s="13" t="str">
        <f t="shared" si="30"/>
        <v>30-34 ans</v>
      </c>
      <c r="X371" s="13" t="str">
        <f t="shared" si="31"/>
        <v>3 accouchements et plus</v>
      </c>
      <c r="Y371" s="13" t="str">
        <f t="shared" si="32"/>
        <v>Moins de 4 CPN</v>
      </c>
      <c r="Z371" s="13" t="str">
        <f t="shared" si="33"/>
        <v>37 SA et plus</v>
      </c>
      <c r="AA371" s="13">
        <f t="shared" si="34"/>
        <v>361.5</v>
      </c>
      <c r="AB371" s="13">
        <f t="shared" si="35"/>
        <v>1</v>
      </c>
    </row>
    <row r="372" spans="1:28" x14ac:dyDescent="0.25">
      <c r="A372" s="13" t="s">
        <v>479</v>
      </c>
      <c r="B372" s="13">
        <v>27</v>
      </c>
      <c r="C372" s="13" t="s">
        <v>79</v>
      </c>
      <c r="D372" s="13" t="s">
        <v>93</v>
      </c>
      <c r="E372" s="13" t="s">
        <v>96</v>
      </c>
      <c r="F372" s="13" t="s">
        <v>82</v>
      </c>
      <c r="G372" s="13">
        <v>2</v>
      </c>
      <c r="H372" s="13">
        <v>1</v>
      </c>
      <c r="I372" s="13" t="s">
        <v>83</v>
      </c>
      <c r="J372" s="13" t="s">
        <v>83</v>
      </c>
      <c r="K372" s="13" t="s">
        <v>83</v>
      </c>
      <c r="L372" s="13" t="s">
        <v>83</v>
      </c>
      <c r="M372" s="13">
        <v>38</v>
      </c>
      <c r="N372" s="13">
        <v>5</v>
      </c>
      <c r="O372" s="13" t="s">
        <v>84</v>
      </c>
      <c r="P372" s="13">
        <v>23.7</v>
      </c>
      <c r="Q372" s="13">
        <v>104</v>
      </c>
      <c r="R372" s="13">
        <v>64</v>
      </c>
      <c r="S372" s="13" t="s">
        <v>85</v>
      </c>
      <c r="T372" s="13" t="s">
        <v>86</v>
      </c>
      <c r="U372" s="13" t="s">
        <v>87</v>
      </c>
      <c r="V372" s="13" t="s">
        <v>83</v>
      </c>
      <c r="W372" s="13" t="str">
        <f t="shared" si="30"/>
        <v>20-29 ans</v>
      </c>
      <c r="X372" s="13" t="str">
        <f t="shared" si="31"/>
        <v>1-2 accouchements</v>
      </c>
      <c r="Y372" s="13" t="str">
        <f t="shared" si="32"/>
        <v>4 à 7 CPN</v>
      </c>
      <c r="Z372" s="13" t="str">
        <f t="shared" si="33"/>
        <v>37 SA et plus</v>
      </c>
      <c r="AA372" s="13">
        <f t="shared" si="34"/>
        <v>243</v>
      </c>
      <c r="AB372" s="13">
        <f t="shared" si="35"/>
        <v>1</v>
      </c>
    </row>
    <row r="373" spans="1:28" x14ac:dyDescent="0.25">
      <c r="A373" s="13" t="s">
        <v>480</v>
      </c>
      <c r="B373" s="13">
        <v>26</v>
      </c>
      <c r="C373" s="13" t="s">
        <v>98</v>
      </c>
      <c r="D373" s="13" t="s">
        <v>93</v>
      </c>
      <c r="E373" s="13" t="s">
        <v>96</v>
      </c>
      <c r="F373" s="13" t="s">
        <v>82</v>
      </c>
      <c r="G373" s="13">
        <v>2</v>
      </c>
      <c r="H373" s="13">
        <v>1</v>
      </c>
      <c r="I373" s="13" t="s">
        <v>83</v>
      </c>
      <c r="J373" s="13" t="s">
        <v>83</v>
      </c>
      <c r="K373" s="13" t="s">
        <v>83</v>
      </c>
      <c r="L373" s="13" t="s">
        <v>83</v>
      </c>
      <c r="M373" s="13">
        <v>39</v>
      </c>
      <c r="N373" s="13">
        <v>3</v>
      </c>
      <c r="O373" s="13" t="s">
        <v>84</v>
      </c>
      <c r="P373" s="13">
        <v>25.2</v>
      </c>
      <c r="Q373" s="13">
        <v>118</v>
      </c>
      <c r="R373" s="13">
        <v>69</v>
      </c>
      <c r="S373" s="13" t="s">
        <v>85</v>
      </c>
      <c r="T373" s="13" t="s">
        <v>86</v>
      </c>
      <c r="U373" s="13" t="s">
        <v>87</v>
      </c>
      <c r="V373" s="13" t="s">
        <v>83</v>
      </c>
      <c r="W373" s="13" t="str">
        <f t="shared" si="30"/>
        <v>20-29 ans</v>
      </c>
      <c r="X373" s="13" t="str">
        <f t="shared" si="31"/>
        <v>1-2 accouchements</v>
      </c>
      <c r="Y373" s="13" t="str">
        <f t="shared" si="32"/>
        <v>Moins de 4 CPN</v>
      </c>
      <c r="Z373" s="13" t="str">
        <f t="shared" si="33"/>
        <v>37 SA et plus</v>
      </c>
      <c r="AA373" s="13">
        <f t="shared" si="34"/>
        <v>206</v>
      </c>
      <c r="AB373" s="13">
        <f t="shared" si="35"/>
        <v>1</v>
      </c>
    </row>
    <row r="374" spans="1:28" x14ac:dyDescent="0.25">
      <c r="A374" s="13" t="s">
        <v>481</v>
      </c>
      <c r="B374" s="13">
        <v>30</v>
      </c>
      <c r="C374" s="13" t="s">
        <v>79</v>
      </c>
      <c r="D374" s="13" t="s">
        <v>80</v>
      </c>
      <c r="E374" s="13" t="s">
        <v>112</v>
      </c>
      <c r="F374" s="13" t="s">
        <v>82</v>
      </c>
      <c r="G374" s="13">
        <v>4</v>
      </c>
      <c r="H374" s="13">
        <v>3</v>
      </c>
      <c r="I374" s="13" t="s">
        <v>83</v>
      </c>
      <c r="J374" s="13" t="s">
        <v>83</v>
      </c>
      <c r="K374" s="13" t="s">
        <v>83</v>
      </c>
      <c r="L374" s="13" t="s">
        <v>83</v>
      </c>
      <c r="M374" s="13">
        <v>33</v>
      </c>
      <c r="N374" s="13">
        <v>7</v>
      </c>
      <c r="O374" s="13" t="s">
        <v>84</v>
      </c>
      <c r="P374" s="13">
        <v>18.7</v>
      </c>
      <c r="Q374" s="13">
        <v>117</v>
      </c>
      <c r="R374" s="13">
        <v>63</v>
      </c>
      <c r="S374" s="13" t="s">
        <v>85</v>
      </c>
      <c r="T374" s="13" t="s">
        <v>86</v>
      </c>
      <c r="U374" s="13" t="s">
        <v>87</v>
      </c>
      <c r="V374" s="13" t="s">
        <v>83</v>
      </c>
      <c r="W374" s="13" t="str">
        <f t="shared" si="30"/>
        <v>30-34 ans</v>
      </c>
      <c r="X374" s="13" t="str">
        <f t="shared" si="31"/>
        <v>3 accouchements et plus</v>
      </c>
      <c r="Y374" s="13" t="str">
        <f t="shared" si="32"/>
        <v>4 à 7 CPN</v>
      </c>
      <c r="Z374" s="13" t="str">
        <f t="shared" si="33"/>
        <v>28-36 SA</v>
      </c>
      <c r="AA374" s="13">
        <f t="shared" si="34"/>
        <v>319.5</v>
      </c>
      <c r="AB374" s="13">
        <f t="shared" si="35"/>
        <v>1</v>
      </c>
    </row>
    <row r="375" spans="1:28" x14ac:dyDescent="0.25">
      <c r="A375" s="13" t="s">
        <v>482</v>
      </c>
      <c r="B375" s="13">
        <v>21</v>
      </c>
      <c r="C375" s="13" t="s">
        <v>79</v>
      </c>
      <c r="D375" s="13" t="s">
        <v>93</v>
      </c>
      <c r="E375" s="13" t="s">
        <v>90</v>
      </c>
      <c r="F375" s="13" t="s">
        <v>82</v>
      </c>
      <c r="G375" s="13">
        <v>3</v>
      </c>
      <c r="H375" s="13">
        <v>2</v>
      </c>
      <c r="I375" s="13" t="s">
        <v>83</v>
      </c>
      <c r="J375" s="13" t="s">
        <v>83</v>
      </c>
      <c r="K375" s="13" t="s">
        <v>83</v>
      </c>
      <c r="L375" s="13" t="s">
        <v>83</v>
      </c>
      <c r="M375" s="13">
        <v>41</v>
      </c>
      <c r="N375" s="13">
        <v>2</v>
      </c>
      <c r="O375" s="13" t="s">
        <v>146</v>
      </c>
      <c r="P375" s="13">
        <v>28.3</v>
      </c>
      <c r="Q375" s="13">
        <v>100</v>
      </c>
      <c r="R375" s="13">
        <v>61</v>
      </c>
      <c r="S375" s="13" t="s">
        <v>113</v>
      </c>
      <c r="T375" s="13" t="s">
        <v>86</v>
      </c>
      <c r="U375" s="13" t="s">
        <v>87</v>
      </c>
      <c r="V375" s="13" t="s">
        <v>83</v>
      </c>
      <c r="W375" s="13" t="str">
        <f t="shared" si="30"/>
        <v>20-29 ans</v>
      </c>
      <c r="X375" s="13" t="str">
        <f t="shared" si="31"/>
        <v>1-2 accouchements</v>
      </c>
      <c r="Y375" s="13" t="str">
        <f t="shared" si="32"/>
        <v>Moins de 4 CPN</v>
      </c>
      <c r="Z375" s="13" t="str">
        <f t="shared" si="33"/>
        <v>37 SA et plus</v>
      </c>
      <c r="AA375" s="13">
        <f t="shared" si="34"/>
        <v>48</v>
      </c>
      <c r="AB375" s="13">
        <f t="shared" si="35"/>
        <v>1</v>
      </c>
    </row>
    <row r="376" spans="1:28" x14ac:dyDescent="0.25">
      <c r="A376" s="13" t="s">
        <v>483</v>
      </c>
      <c r="B376" s="13">
        <v>24</v>
      </c>
      <c r="C376" s="13" t="s">
        <v>89</v>
      </c>
      <c r="D376" s="13" t="s">
        <v>80</v>
      </c>
      <c r="E376" s="13" t="s">
        <v>81</v>
      </c>
      <c r="F376" s="13" t="s">
        <v>82</v>
      </c>
      <c r="G376" s="13">
        <v>2</v>
      </c>
      <c r="H376" s="13">
        <v>1</v>
      </c>
      <c r="I376" s="13" t="s">
        <v>83</v>
      </c>
      <c r="J376" s="13" t="s">
        <v>83</v>
      </c>
      <c r="K376" s="13" t="s">
        <v>91</v>
      </c>
      <c r="L376" s="13" t="s">
        <v>83</v>
      </c>
      <c r="M376" s="13">
        <v>34</v>
      </c>
      <c r="N376" s="13">
        <v>5</v>
      </c>
      <c r="O376" s="13" t="s">
        <v>84</v>
      </c>
      <c r="P376" s="13">
        <v>19.399999999999999</v>
      </c>
      <c r="Q376" s="13">
        <v>110</v>
      </c>
      <c r="R376" s="13">
        <v>70</v>
      </c>
      <c r="S376" s="13" t="s">
        <v>85</v>
      </c>
      <c r="T376" s="13" t="s">
        <v>86</v>
      </c>
      <c r="U376" s="13" t="s">
        <v>87</v>
      </c>
      <c r="V376" s="13" t="s">
        <v>83</v>
      </c>
      <c r="W376" s="13" t="str">
        <f t="shared" si="30"/>
        <v>20-29 ans</v>
      </c>
      <c r="X376" s="13" t="str">
        <f t="shared" si="31"/>
        <v>1-2 accouchements</v>
      </c>
      <c r="Y376" s="13" t="str">
        <f t="shared" si="32"/>
        <v>4 à 7 CPN</v>
      </c>
      <c r="Z376" s="13" t="str">
        <f t="shared" si="33"/>
        <v>28-36 SA</v>
      </c>
      <c r="AA376" s="13">
        <f t="shared" si="34"/>
        <v>139.5</v>
      </c>
      <c r="AB376" s="13">
        <f t="shared" si="35"/>
        <v>1</v>
      </c>
    </row>
    <row r="377" spans="1:28" x14ac:dyDescent="0.25">
      <c r="A377" s="13" t="s">
        <v>484</v>
      </c>
      <c r="B377" s="13">
        <v>20</v>
      </c>
      <c r="C377" s="13" t="s">
        <v>79</v>
      </c>
      <c r="D377" s="13" t="s">
        <v>80</v>
      </c>
      <c r="E377" s="13" t="s">
        <v>81</v>
      </c>
      <c r="F377" s="13" t="s">
        <v>82</v>
      </c>
      <c r="G377" s="13">
        <v>2</v>
      </c>
      <c r="H377" s="13">
        <v>1</v>
      </c>
      <c r="I377" s="13" t="s">
        <v>83</v>
      </c>
      <c r="J377" s="13" t="s">
        <v>83</v>
      </c>
      <c r="K377" s="13" t="s">
        <v>83</v>
      </c>
      <c r="L377" s="13" t="s">
        <v>83</v>
      </c>
      <c r="M377" s="13">
        <v>40</v>
      </c>
      <c r="N377" s="13">
        <v>3</v>
      </c>
      <c r="O377" s="13" t="s">
        <v>84</v>
      </c>
      <c r="Q377" s="13">
        <v>112</v>
      </c>
      <c r="R377" s="13">
        <v>64</v>
      </c>
      <c r="S377" s="13" t="s">
        <v>85</v>
      </c>
      <c r="T377" s="13" t="s">
        <v>86</v>
      </c>
      <c r="U377" s="13" t="s">
        <v>87</v>
      </c>
      <c r="V377" s="13" t="s">
        <v>83</v>
      </c>
      <c r="W377" s="13" t="str">
        <f t="shared" si="30"/>
        <v>20-29 ans</v>
      </c>
      <c r="X377" s="13" t="str">
        <f t="shared" si="31"/>
        <v>1-2 accouchements</v>
      </c>
      <c r="Y377" s="13" t="str">
        <f t="shared" si="32"/>
        <v>Moins de 4 CPN</v>
      </c>
      <c r="Z377" s="13" t="str">
        <f t="shared" si="33"/>
        <v>37 SA et plus</v>
      </c>
      <c r="AA377" s="13">
        <f t="shared" si="34"/>
        <v>30.5</v>
      </c>
      <c r="AB377" s="13">
        <f t="shared" si="35"/>
        <v>1</v>
      </c>
    </row>
    <row r="378" spans="1:28" x14ac:dyDescent="0.25">
      <c r="A378" s="13" t="s">
        <v>485</v>
      </c>
      <c r="B378" s="13">
        <v>20</v>
      </c>
      <c r="C378" s="13" t="s">
        <v>89</v>
      </c>
      <c r="D378" s="13" t="s">
        <v>80</v>
      </c>
      <c r="E378" s="13" t="s">
        <v>96</v>
      </c>
      <c r="F378" s="13" t="s">
        <v>82</v>
      </c>
      <c r="G378" s="13">
        <v>1</v>
      </c>
      <c r="H378" s="13">
        <v>0</v>
      </c>
      <c r="I378" s="13" t="s">
        <v>86</v>
      </c>
      <c r="J378" s="13" t="s">
        <v>83</v>
      </c>
      <c r="K378" s="13" t="s">
        <v>83</v>
      </c>
      <c r="L378" s="13" t="s">
        <v>83</v>
      </c>
      <c r="M378" s="13">
        <v>33</v>
      </c>
      <c r="N378" s="13">
        <v>4</v>
      </c>
      <c r="O378" s="13" t="s">
        <v>84</v>
      </c>
      <c r="P378" s="13">
        <v>28</v>
      </c>
      <c r="Q378" s="13">
        <v>110</v>
      </c>
      <c r="R378" s="13">
        <v>70</v>
      </c>
      <c r="S378" s="13" t="s">
        <v>85</v>
      </c>
      <c r="T378" s="13" t="s">
        <v>86</v>
      </c>
      <c r="U378" s="13" t="s">
        <v>87</v>
      </c>
      <c r="V378" s="13" t="s">
        <v>83</v>
      </c>
      <c r="W378" s="13" t="str">
        <f t="shared" si="30"/>
        <v>20-29 ans</v>
      </c>
      <c r="X378" s="13" t="str">
        <f t="shared" si="31"/>
        <v>Nullipare (0)</v>
      </c>
      <c r="Y378" s="13" t="str">
        <f t="shared" si="32"/>
        <v>4 à 7 CPN</v>
      </c>
      <c r="Z378" s="13" t="str">
        <f t="shared" si="33"/>
        <v>28-36 SA</v>
      </c>
      <c r="AA378" s="13">
        <f t="shared" si="34"/>
        <v>30.5</v>
      </c>
      <c r="AB378" s="13">
        <f t="shared" si="35"/>
        <v>0</v>
      </c>
    </row>
    <row r="379" spans="1:28" x14ac:dyDescent="0.25">
      <c r="A379" s="13" t="s">
        <v>486</v>
      </c>
      <c r="B379" s="13">
        <v>23</v>
      </c>
      <c r="C379" s="13" t="s">
        <v>79</v>
      </c>
      <c r="D379" s="13" t="s">
        <v>80</v>
      </c>
      <c r="E379" s="13" t="s">
        <v>81</v>
      </c>
      <c r="F379" s="13" t="s">
        <v>94</v>
      </c>
      <c r="G379" s="13">
        <v>2</v>
      </c>
      <c r="H379" s="13">
        <v>1</v>
      </c>
      <c r="I379" s="13" t="s">
        <v>83</v>
      </c>
      <c r="J379" s="13" t="s">
        <v>83</v>
      </c>
      <c r="K379" s="13" t="s">
        <v>83</v>
      </c>
      <c r="L379" s="13" t="s">
        <v>83</v>
      </c>
      <c r="M379" s="13">
        <v>32</v>
      </c>
      <c r="N379" s="13">
        <v>5</v>
      </c>
      <c r="O379" s="13" t="s">
        <v>84</v>
      </c>
      <c r="P379" s="13">
        <v>18.100000000000001</v>
      </c>
      <c r="Q379" s="13">
        <v>116</v>
      </c>
      <c r="R379" s="13">
        <v>70</v>
      </c>
      <c r="S379" s="13" t="s">
        <v>85</v>
      </c>
      <c r="T379" s="13" t="s">
        <v>86</v>
      </c>
      <c r="U379" s="13" t="s">
        <v>87</v>
      </c>
      <c r="V379" s="13" t="s">
        <v>83</v>
      </c>
      <c r="W379" s="13" t="str">
        <f t="shared" si="30"/>
        <v>20-29 ans</v>
      </c>
      <c r="X379" s="13" t="str">
        <f t="shared" si="31"/>
        <v>1-2 accouchements</v>
      </c>
      <c r="Y379" s="13" t="str">
        <f t="shared" si="32"/>
        <v>4 à 7 CPN</v>
      </c>
      <c r="Z379" s="13" t="str">
        <f t="shared" si="33"/>
        <v>28-36 SA</v>
      </c>
      <c r="AA379" s="13">
        <f t="shared" si="34"/>
        <v>103.5</v>
      </c>
      <c r="AB379" s="13">
        <f t="shared" si="35"/>
        <v>1</v>
      </c>
    </row>
    <row r="380" spans="1:28" x14ac:dyDescent="0.25">
      <c r="A380" s="13" t="s">
        <v>487</v>
      </c>
      <c r="B380" s="13">
        <v>32</v>
      </c>
      <c r="C380" s="13" t="s">
        <v>79</v>
      </c>
      <c r="D380" s="13" t="s">
        <v>93</v>
      </c>
      <c r="E380" s="13" t="s">
        <v>81</v>
      </c>
      <c r="F380" s="13" t="s">
        <v>82</v>
      </c>
      <c r="G380" s="13">
        <v>3</v>
      </c>
      <c r="H380" s="13">
        <v>2</v>
      </c>
      <c r="I380" s="13" t="s">
        <v>83</v>
      </c>
      <c r="J380" s="13" t="s">
        <v>83</v>
      </c>
      <c r="K380" s="13" t="s">
        <v>91</v>
      </c>
      <c r="L380" s="13" t="s">
        <v>83</v>
      </c>
      <c r="M380" s="13">
        <v>37</v>
      </c>
      <c r="N380" s="13">
        <v>1</v>
      </c>
      <c r="O380" s="13" t="s">
        <v>84</v>
      </c>
      <c r="P380" s="13">
        <v>25.5</v>
      </c>
      <c r="Q380" s="13">
        <v>119</v>
      </c>
      <c r="R380" s="13">
        <v>77</v>
      </c>
      <c r="S380" s="13" t="s">
        <v>85</v>
      </c>
      <c r="T380" s="13" t="s">
        <v>86</v>
      </c>
      <c r="U380" s="13" t="s">
        <v>87</v>
      </c>
      <c r="V380" s="13" t="s">
        <v>83</v>
      </c>
      <c r="W380" s="13" t="str">
        <f t="shared" si="30"/>
        <v>30-34 ans</v>
      </c>
      <c r="X380" s="13" t="str">
        <f t="shared" si="31"/>
        <v>1-2 accouchements</v>
      </c>
      <c r="Y380" s="13" t="str">
        <f t="shared" si="32"/>
        <v>Moins de 4 CPN</v>
      </c>
      <c r="Z380" s="13" t="str">
        <f t="shared" si="33"/>
        <v>37 SA et plus</v>
      </c>
      <c r="AA380" s="13">
        <f t="shared" si="34"/>
        <v>347.5</v>
      </c>
      <c r="AB380" s="13">
        <f t="shared" si="35"/>
        <v>1</v>
      </c>
    </row>
    <row r="381" spans="1:28" x14ac:dyDescent="0.25">
      <c r="A381" s="13" t="s">
        <v>488</v>
      </c>
      <c r="B381" s="13">
        <v>29</v>
      </c>
      <c r="C381" s="13" t="s">
        <v>79</v>
      </c>
      <c r="D381" s="13" t="s">
        <v>93</v>
      </c>
      <c r="E381" s="13" t="s">
        <v>81</v>
      </c>
      <c r="F381" s="13" t="s">
        <v>82</v>
      </c>
      <c r="G381" s="13">
        <v>3</v>
      </c>
      <c r="H381" s="13">
        <v>2</v>
      </c>
      <c r="I381" s="13" t="s">
        <v>83</v>
      </c>
      <c r="J381" s="13" t="s">
        <v>83</v>
      </c>
      <c r="K381" s="13" t="s">
        <v>83</v>
      </c>
      <c r="L381" s="13" t="s">
        <v>83</v>
      </c>
      <c r="M381" s="13">
        <v>35</v>
      </c>
      <c r="N381" s="13">
        <v>2</v>
      </c>
      <c r="O381" s="13" t="s">
        <v>84</v>
      </c>
      <c r="P381" s="13">
        <v>22.8</v>
      </c>
      <c r="Q381" s="13">
        <v>110</v>
      </c>
      <c r="R381" s="13">
        <v>71</v>
      </c>
      <c r="S381" s="13" t="s">
        <v>85</v>
      </c>
      <c r="T381" s="13" t="s">
        <v>86</v>
      </c>
      <c r="U381" s="13" t="s">
        <v>87</v>
      </c>
      <c r="V381" s="13" t="s">
        <v>83</v>
      </c>
      <c r="W381" s="13" t="str">
        <f t="shared" si="30"/>
        <v>20-29 ans</v>
      </c>
      <c r="X381" s="13" t="str">
        <f t="shared" si="31"/>
        <v>1-2 accouchements</v>
      </c>
      <c r="Y381" s="13" t="str">
        <f t="shared" si="32"/>
        <v>Moins de 4 CPN</v>
      </c>
      <c r="Z381" s="13" t="str">
        <f t="shared" si="33"/>
        <v>28-36 SA</v>
      </c>
      <c r="AA381" s="13">
        <f t="shared" si="34"/>
        <v>299</v>
      </c>
      <c r="AB381" s="13">
        <f t="shared" si="35"/>
        <v>1</v>
      </c>
    </row>
    <row r="382" spans="1:28" x14ac:dyDescent="0.25">
      <c r="A382" s="13" t="s">
        <v>489</v>
      </c>
      <c r="B382" s="13">
        <v>31</v>
      </c>
      <c r="C382" s="13" t="s">
        <v>79</v>
      </c>
      <c r="D382" s="13" t="s">
        <v>93</v>
      </c>
      <c r="E382" s="13" t="s">
        <v>96</v>
      </c>
      <c r="F382" s="13" t="s">
        <v>82</v>
      </c>
      <c r="G382" s="13">
        <v>3</v>
      </c>
      <c r="H382" s="13">
        <v>2</v>
      </c>
      <c r="I382" s="13" t="s">
        <v>83</v>
      </c>
      <c r="J382" s="13" t="s">
        <v>83</v>
      </c>
      <c r="K382" s="13" t="s">
        <v>83</v>
      </c>
      <c r="L382" s="13" t="s">
        <v>91</v>
      </c>
      <c r="M382" s="13">
        <v>36</v>
      </c>
      <c r="N382" s="13">
        <v>4</v>
      </c>
      <c r="O382" s="13" t="s">
        <v>84</v>
      </c>
      <c r="P382" s="13">
        <v>26.2</v>
      </c>
      <c r="Q382" s="13">
        <v>119</v>
      </c>
      <c r="R382" s="13">
        <v>74</v>
      </c>
      <c r="S382" s="13" t="s">
        <v>85</v>
      </c>
      <c r="T382" s="13" t="s">
        <v>86</v>
      </c>
      <c r="U382" s="13" t="s">
        <v>87</v>
      </c>
      <c r="V382" s="13" t="s">
        <v>83</v>
      </c>
      <c r="W382" s="13" t="str">
        <f t="shared" si="30"/>
        <v>30-34 ans</v>
      </c>
      <c r="X382" s="13" t="str">
        <f t="shared" si="31"/>
        <v>1-2 accouchements</v>
      </c>
      <c r="Y382" s="13" t="str">
        <f t="shared" si="32"/>
        <v>4 à 7 CPN</v>
      </c>
      <c r="Z382" s="13" t="str">
        <f t="shared" si="33"/>
        <v>28-36 SA</v>
      </c>
      <c r="AA382" s="13">
        <f t="shared" si="34"/>
        <v>334.5</v>
      </c>
      <c r="AB382" s="13">
        <f t="shared" si="35"/>
        <v>1</v>
      </c>
    </row>
    <row r="383" spans="1:28" x14ac:dyDescent="0.25">
      <c r="A383" s="13" t="s">
        <v>490</v>
      </c>
      <c r="B383" s="13">
        <v>33</v>
      </c>
      <c r="C383" s="13" t="s">
        <v>89</v>
      </c>
      <c r="D383" s="13" t="s">
        <v>93</v>
      </c>
      <c r="E383" s="13" t="s">
        <v>96</v>
      </c>
      <c r="F383" s="13" t="s">
        <v>82</v>
      </c>
      <c r="G383" s="13">
        <v>2</v>
      </c>
      <c r="H383" s="13">
        <v>1</v>
      </c>
      <c r="I383" s="13" t="s">
        <v>83</v>
      </c>
      <c r="J383" s="13" t="s">
        <v>83</v>
      </c>
      <c r="K383" s="13" t="s">
        <v>83</v>
      </c>
      <c r="L383" s="13" t="s">
        <v>83</v>
      </c>
      <c r="M383" s="13">
        <v>40</v>
      </c>
      <c r="N383" s="13">
        <v>6</v>
      </c>
      <c r="O383" s="13" t="s">
        <v>84</v>
      </c>
      <c r="P383" s="13">
        <v>26.9</v>
      </c>
      <c r="Q383" s="13">
        <v>97</v>
      </c>
      <c r="R383" s="13">
        <v>59</v>
      </c>
      <c r="S383" s="13" t="s">
        <v>85</v>
      </c>
      <c r="T383" s="13" t="s">
        <v>86</v>
      </c>
      <c r="U383" s="13" t="s">
        <v>87</v>
      </c>
      <c r="V383" s="13" t="s">
        <v>83</v>
      </c>
      <c r="W383" s="13" t="str">
        <f t="shared" si="30"/>
        <v>30-34 ans</v>
      </c>
      <c r="X383" s="13" t="str">
        <f t="shared" si="31"/>
        <v>1-2 accouchements</v>
      </c>
      <c r="Y383" s="13" t="str">
        <f t="shared" si="32"/>
        <v>4 à 7 CPN</v>
      </c>
      <c r="Z383" s="13" t="str">
        <f t="shared" si="33"/>
        <v>37 SA et plus</v>
      </c>
      <c r="AA383" s="13">
        <f t="shared" si="34"/>
        <v>361.5</v>
      </c>
      <c r="AB383" s="13">
        <f t="shared" si="35"/>
        <v>1</v>
      </c>
    </row>
    <row r="384" spans="1:28" x14ac:dyDescent="0.25">
      <c r="A384" s="13" t="s">
        <v>491</v>
      </c>
      <c r="B384" s="13">
        <v>31</v>
      </c>
      <c r="C384" s="13" t="s">
        <v>79</v>
      </c>
      <c r="D384" s="13" t="s">
        <v>124</v>
      </c>
      <c r="E384" s="13" t="s">
        <v>101</v>
      </c>
      <c r="F384" s="13" t="s">
        <v>94</v>
      </c>
      <c r="G384" s="13">
        <v>3</v>
      </c>
      <c r="H384" s="13">
        <v>2</v>
      </c>
      <c r="I384" s="13" t="s">
        <v>83</v>
      </c>
      <c r="J384" s="13" t="s">
        <v>83</v>
      </c>
      <c r="K384" s="13" t="s">
        <v>83</v>
      </c>
      <c r="L384" s="13" t="s">
        <v>83</v>
      </c>
      <c r="M384" s="13">
        <v>37</v>
      </c>
      <c r="N384" s="13">
        <v>5</v>
      </c>
      <c r="O384" s="13" t="s">
        <v>146</v>
      </c>
      <c r="P384" s="13">
        <v>28.2</v>
      </c>
      <c r="Q384" s="13">
        <v>106</v>
      </c>
      <c r="R384" s="13">
        <v>68</v>
      </c>
      <c r="S384" s="13" t="s">
        <v>85</v>
      </c>
      <c r="T384" s="13" t="s">
        <v>86</v>
      </c>
      <c r="U384" s="13" t="s">
        <v>87</v>
      </c>
      <c r="V384" s="13" t="s">
        <v>83</v>
      </c>
      <c r="W384" s="13" t="str">
        <f t="shared" si="30"/>
        <v>30-34 ans</v>
      </c>
      <c r="X384" s="13" t="str">
        <f t="shared" si="31"/>
        <v>1-2 accouchements</v>
      </c>
      <c r="Y384" s="13" t="str">
        <f t="shared" si="32"/>
        <v>4 à 7 CPN</v>
      </c>
      <c r="Z384" s="13" t="str">
        <f t="shared" si="33"/>
        <v>37 SA et plus</v>
      </c>
      <c r="AA384" s="13">
        <f t="shared" si="34"/>
        <v>334.5</v>
      </c>
      <c r="AB384" s="13">
        <f t="shared" si="35"/>
        <v>1</v>
      </c>
    </row>
    <row r="385" spans="1:28" x14ac:dyDescent="0.25">
      <c r="A385" s="13" t="s">
        <v>492</v>
      </c>
      <c r="B385" s="13">
        <v>18</v>
      </c>
      <c r="C385" s="13" t="s">
        <v>173</v>
      </c>
      <c r="D385" s="13" t="s">
        <v>80</v>
      </c>
      <c r="E385" s="13" t="s">
        <v>96</v>
      </c>
      <c r="F385" s="13" t="s">
        <v>82</v>
      </c>
      <c r="G385" s="13">
        <v>1</v>
      </c>
      <c r="H385" s="13">
        <v>0</v>
      </c>
      <c r="I385" s="13" t="s">
        <v>86</v>
      </c>
      <c r="J385" s="13" t="s">
        <v>83</v>
      </c>
      <c r="K385" s="13" t="s">
        <v>83</v>
      </c>
      <c r="L385" s="13" t="s">
        <v>83</v>
      </c>
      <c r="M385" s="13">
        <v>26</v>
      </c>
      <c r="N385" s="13">
        <v>2</v>
      </c>
      <c r="O385" s="13" t="s">
        <v>84</v>
      </c>
      <c r="P385" s="13">
        <v>26.6</v>
      </c>
      <c r="Q385" s="13">
        <v>107</v>
      </c>
      <c r="R385" s="13">
        <v>64</v>
      </c>
      <c r="S385" s="13" t="s">
        <v>85</v>
      </c>
      <c r="T385" s="13" t="s">
        <v>86</v>
      </c>
      <c r="U385" s="13" t="s">
        <v>87</v>
      </c>
      <c r="V385" s="13" t="s">
        <v>83</v>
      </c>
      <c r="W385" s="13" t="str">
        <f t="shared" si="30"/>
        <v>Moins de 20 ans</v>
      </c>
      <c r="X385" s="13" t="str">
        <f t="shared" si="31"/>
        <v>Nullipare (0)</v>
      </c>
      <c r="Y385" s="13" t="str">
        <f t="shared" si="32"/>
        <v>Moins de 4 CPN</v>
      </c>
      <c r="Z385" s="13" t="str">
        <f t="shared" si="33"/>
        <v>20-27 SA</v>
      </c>
      <c r="AA385" s="13">
        <f t="shared" si="34"/>
        <v>4.5</v>
      </c>
      <c r="AB385" s="13">
        <f t="shared" si="35"/>
        <v>0</v>
      </c>
    </row>
    <row r="386" spans="1:28" x14ac:dyDescent="0.25">
      <c r="A386" s="13" t="s">
        <v>493</v>
      </c>
      <c r="B386" s="13">
        <v>35</v>
      </c>
      <c r="C386" s="13" t="s">
        <v>98</v>
      </c>
      <c r="D386" s="13" t="s">
        <v>80</v>
      </c>
      <c r="E386" s="13" t="s">
        <v>81</v>
      </c>
      <c r="F386" s="13" t="s">
        <v>94</v>
      </c>
      <c r="G386" s="13">
        <v>4</v>
      </c>
      <c r="H386" s="13">
        <v>3</v>
      </c>
      <c r="I386" s="13" t="s">
        <v>83</v>
      </c>
      <c r="J386" s="13" t="s">
        <v>83</v>
      </c>
      <c r="K386" s="13" t="s">
        <v>83</v>
      </c>
      <c r="L386" s="13" t="s">
        <v>91</v>
      </c>
      <c r="M386" s="13">
        <v>36</v>
      </c>
      <c r="N386" s="13">
        <v>3</v>
      </c>
      <c r="O386" s="13" t="s">
        <v>84</v>
      </c>
      <c r="P386" s="13">
        <v>24.3</v>
      </c>
      <c r="Q386" s="13">
        <v>109</v>
      </c>
      <c r="R386" s="13">
        <v>69</v>
      </c>
      <c r="S386" s="13" t="s">
        <v>85</v>
      </c>
      <c r="T386" s="13" t="s">
        <v>86</v>
      </c>
      <c r="U386" s="13" t="s">
        <v>87</v>
      </c>
      <c r="V386" s="13" t="s">
        <v>83</v>
      </c>
      <c r="W386" s="13" t="str">
        <f t="shared" ref="W386:W401" si="36">IF(B386="","",IF(B386&lt;=19,"Moins de 20 ans",IF(B386&lt;=29,"20-29 ans",IF(B386&lt;=34,"30-34 ans","35 ans et plus"))))</f>
        <v>35 ans et plus</v>
      </c>
      <c r="X386" s="13" t="str">
        <f t="shared" ref="X386:X401" si="37">IF(H386="","",IF(H386=0,"Nullipare (0)",IF(H386&lt;=2,"1-2 accouchements","3 accouchements et plus")))</f>
        <v>3 accouchements et plus</v>
      </c>
      <c r="Y386" s="13" t="str">
        <f t="shared" ref="Y386:Y401" si="38">IF(N386="","",IF(N386&lt;=3,"Moins de 4 CPN",IF(N386&lt;=7,"4 à 7 CPN","8 CPN et plus")))</f>
        <v>Moins de 4 CPN</v>
      </c>
      <c r="Z386" s="13" t="str">
        <f t="shared" ref="Z386:Z401" si="39">IF(M386="","",IF(M386&lt;=27,"20-27 SA",IF(M386&lt;=36,"28-36 SA","37 SA et plus")))</f>
        <v>28-36 SA</v>
      </c>
      <c r="AA386" s="13">
        <f t="shared" ref="AA386:AA401" si="40">RANK(B386,$B$2:$B$401,1)+(COUNTIF($B$2:$B$401,B386)-1)/2</f>
        <v>378</v>
      </c>
      <c r="AB386" s="13">
        <f t="shared" ref="AB386:AB401" si="41">IF(AND(H386&gt;=1,OR(I386="Oui",I386="Non")),1,0)</f>
        <v>1</v>
      </c>
    </row>
    <row r="387" spans="1:28" x14ac:dyDescent="0.25">
      <c r="A387" s="13" t="s">
        <v>494</v>
      </c>
      <c r="B387" s="13">
        <v>19</v>
      </c>
      <c r="C387" s="13" t="s">
        <v>89</v>
      </c>
      <c r="D387" s="13" t="s">
        <v>93</v>
      </c>
      <c r="E387" s="13" t="s">
        <v>90</v>
      </c>
      <c r="F387" s="13" t="s">
        <v>82</v>
      </c>
      <c r="G387" s="13">
        <v>2</v>
      </c>
      <c r="H387" s="13">
        <v>1</v>
      </c>
      <c r="I387" s="13" t="s">
        <v>83</v>
      </c>
      <c r="J387" s="13" t="s">
        <v>83</v>
      </c>
      <c r="K387" s="13" t="s">
        <v>83</v>
      </c>
      <c r="L387" s="13" t="s">
        <v>83</v>
      </c>
      <c r="M387" s="13">
        <v>30</v>
      </c>
      <c r="O387" s="13" t="s">
        <v>84</v>
      </c>
      <c r="P387" s="13">
        <v>24.3</v>
      </c>
      <c r="Q387" s="13">
        <v>113</v>
      </c>
      <c r="R387" s="13">
        <v>65</v>
      </c>
      <c r="S387" s="13" t="s">
        <v>85</v>
      </c>
      <c r="T387" s="13" t="s">
        <v>86</v>
      </c>
      <c r="U387" s="13" t="s">
        <v>87</v>
      </c>
      <c r="V387" s="13" t="s">
        <v>83</v>
      </c>
      <c r="W387" s="13" t="str">
        <f t="shared" si="36"/>
        <v>Moins de 20 ans</v>
      </c>
      <c r="X387" s="13" t="str">
        <f t="shared" si="37"/>
        <v>1-2 accouchements</v>
      </c>
      <c r="Y387" s="13" t="str">
        <f t="shared" si="38"/>
        <v/>
      </c>
      <c r="Z387" s="13" t="str">
        <f t="shared" si="39"/>
        <v>28-36 SA</v>
      </c>
      <c r="AA387" s="13">
        <f t="shared" si="40"/>
        <v>14.5</v>
      </c>
      <c r="AB387" s="13">
        <f t="shared" si="41"/>
        <v>1</v>
      </c>
    </row>
    <row r="388" spans="1:28" x14ac:dyDescent="0.25">
      <c r="A388" s="13" t="s">
        <v>495</v>
      </c>
      <c r="B388" s="13">
        <v>25</v>
      </c>
      <c r="C388" s="13" t="s">
        <v>89</v>
      </c>
      <c r="D388" s="13" t="s">
        <v>93</v>
      </c>
      <c r="E388" s="13" t="s">
        <v>90</v>
      </c>
      <c r="F388" s="13" t="s">
        <v>94</v>
      </c>
      <c r="G388" s="13">
        <v>2</v>
      </c>
      <c r="H388" s="13">
        <v>1</v>
      </c>
      <c r="I388" s="13" t="s">
        <v>83</v>
      </c>
      <c r="J388" s="13" t="s">
        <v>83</v>
      </c>
      <c r="K388" s="13" t="s">
        <v>83</v>
      </c>
      <c r="L388" s="13" t="s">
        <v>83</v>
      </c>
      <c r="M388" s="13">
        <v>40</v>
      </c>
      <c r="N388" s="13">
        <v>0</v>
      </c>
      <c r="O388" s="13" t="s">
        <v>84</v>
      </c>
      <c r="P388" s="13">
        <v>24.9</v>
      </c>
      <c r="Q388" s="13">
        <v>104</v>
      </c>
      <c r="R388" s="13">
        <v>61</v>
      </c>
      <c r="S388" s="13" t="s">
        <v>85</v>
      </c>
      <c r="T388" s="13" t="s">
        <v>86</v>
      </c>
      <c r="U388" s="13" t="s">
        <v>87</v>
      </c>
      <c r="V388" s="13" t="s">
        <v>83</v>
      </c>
      <c r="W388" s="13" t="str">
        <f t="shared" si="36"/>
        <v>20-29 ans</v>
      </c>
      <c r="X388" s="13" t="str">
        <f t="shared" si="37"/>
        <v>1-2 accouchements</v>
      </c>
      <c r="Y388" s="13" t="str">
        <f t="shared" si="38"/>
        <v>Moins de 4 CPN</v>
      </c>
      <c r="Z388" s="13" t="str">
        <f t="shared" si="39"/>
        <v>37 SA et plus</v>
      </c>
      <c r="AA388" s="13">
        <f t="shared" si="40"/>
        <v>173</v>
      </c>
      <c r="AB388" s="13">
        <f t="shared" si="41"/>
        <v>1</v>
      </c>
    </row>
    <row r="389" spans="1:28" x14ac:dyDescent="0.25">
      <c r="A389" s="13" t="s">
        <v>496</v>
      </c>
      <c r="B389" s="13">
        <v>24</v>
      </c>
      <c r="C389" s="13" t="s">
        <v>98</v>
      </c>
      <c r="D389" s="13" t="s">
        <v>93</v>
      </c>
      <c r="E389" s="13" t="s">
        <v>112</v>
      </c>
      <c r="F389" s="13" t="s">
        <v>82</v>
      </c>
      <c r="G389" s="13">
        <v>2</v>
      </c>
      <c r="H389" s="13">
        <v>1</v>
      </c>
      <c r="I389" s="13" t="s">
        <v>83</v>
      </c>
      <c r="J389" s="13" t="s">
        <v>83</v>
      </c>
      <c r="K389" s="13" t="s">
        <v>91</v>
      </c>
      <c r="L389" s="13" t="s">
        <v>83</v>
      </c>
      <c r="M389" s="13">
        <v>37</v>
      </c>
      <c r="N389" s="13">
        <v>2</v>
      </c>
      <c r="O389" s="13" t="s">
        <v>84</v>
      </c>
      <c r="P389" s="13">
        <v>30.2</v>
      </c>
      <c r="Q389" s="13">
        <v>109</v>
      </c>
      <c r="R389" s="13">
        <v>71</v>
      </c>
      <c r="S389" s="13" t="s">
        <v>85</v>
      </c>
      <c r="T389" s="13" t="s">
        <v>86</v>
      </c>
      <c r="U389" s="13" t="s">
        <v>87</v>
      </c>
      <c r="V389" s="13" t="s">
        <v>83</v>
      </c>
      <c r="W389" s="13" t="str">
        <f t="shared" si="36"/>
        <v>20-29 ans</v>
      </c>
      <c r="X389" s="13" t="str">
        <f t="shared" si="37"/>
        <v>1-2 accouchements</v>
      </c>
      <c r="Y389" s="13" t="str">
        <f t="shared" si="38"/>
        <v>Moins de 4 CPN</v>
      </c>
      <c r="Z389" s="13" t="str">
        <f t="shared" si="39"/>
        <v>37 SA et plus</v>
      </c>
      <c r="AA389" s="13">
        <f t="shared" si="40"/>
        <v>139.5</v>
      </c>
      <c r="AB389" s="13">
        <f t="shared" si="41"/>
        <v>1</v>
      </c>
    </row>
    <row r="390" spans="1:28" x14ac:dyDescent="0.25">
      <c r="A390" s="13" t="s">
        <v>497</v>
      </c>
      <c r="B390" s="13">
        <v>19</v>
      </c>
      <c r="C390" s="13" t="s">
        <v>79</v>
      </c>
      <c r="D390" s="13" t="s">
        <v>93</v>
      </c>
      <c r="E390" s="13" t="s">
        <v>96</v>
      </c>
      <c r="F390" s="13" t="s">
        <v>94</v>
      </c>
      <c r="G390" s="13">
        <v>2</v>
      </c>
      <c r="H390" s="13">
        <v>1</v>
      </c>
      <c r="I390" s="13" t="s">
        <v>83</v>
      </c>
      <c r="J390" s="13" t="s">
        <v>83</v>
      </c>
      <c r="K390" s="13" t="s">
        <v>83</v>
      </c>
      <c r="L390" s="13" t="s">
        <v>83</v>
      </c>
      <c r="M390" s="13">
        <v>34</v>
      </c>
      <c r="N390" s="13">
        <v>2</v>
      </c>
      <c r="O390" s="13" t="s">
        <v>84</v>
      </c>
      <c r="P390" s="13">
        <v>17.2</v>
      </c>
      <c r="Q390" s="13">
        <v>108</v>
      </c>
      <c r="R390" s="13">
        <v>74</v>
      </c>
      <c r="S390" s="13" t="s">
        <v>85</v>
      </c>
      <c r="T390" s="13" t="s">
        <v>86</v>
      </c>
      <c r="U390" s="13" t="s">
        <v>87</v>
      </c>
      <c r="V390" s="13" t="s">
        <v>83</v>
      </c>
      <c r="W390" s="13" t="str">
        <f t="shared" si="36"/>
        <v>Moins de 20 ans</v>
      </c>
      <c r="X390" s="13" t="str">
        <f t="shared" si="37"/>
        <v>1-2 accouchements</v>
      </c>
      <c r="Y390" s="13" t="str">
        <f t="shared" si="38"/>
        <v>Moins de 4 CPN</v>
      </c>
      <c r="Z390" s="13" t="str">
        <f t="shared" si="39"/>
        <v>28-36 SA</v>
      </c>
      <c r="AA390" s="13">
        <f t="shared" si="40"/>
        <v>14.5</v>
      </c>
      <c r="AB390" s="13">
        <f t="shared" si="41"/>
        <v>1</v>
      </c>
    </row>
    <row r="391" spans="1:28" x14ac:dyDescent="0.25">
      <c r="A391" s="13" t="s">
        <v>498</v>
      </c>
      <c r="B391" s="13">
        <v>35</v>
      </c>
      <c r="C391" s="13" t="s">
        <v>79</v>
      </c>
      <c r="D391" s="13" t="s">
        <v>109</v>
      </c>
      <c r="E391" s="13" t="s">
        <v>99</v>
      </c>
      <c r="F391" s="13" t="s">
        <v>82</v>
      </c>
      <c r="G391" s="13">
        <v>4</v>
      </c>
      <c r="H391" s="13">
        <v>2</v>
      </c>
      <c r="I391" s="13" t="s">
        <v>83</v>
      </c>
      <c r="J391" s="13" t="s">
        <v>83</v>
      </c>
      <c r="K391" s="13" t="s">
        <v>83</v>
      </c>
      <c r="L391" s="13" t="s">
        <v>83</v>
      </c>
      <c r="M391" s="13">
        <v>32</v>
      </c>
      <c r="N391" s="13">
        <v>3</v>
      </c>
      <c r="O391" s="13" t="s">
        <v>84</v>
      </c>
      <c r="P391" s="13">
        <v>20.7</v>
      </c>
      <c r="Q391" s="13">
        <v>129</v>
      </c>
      <c r="R391" s="13">
        <v>75</v>
      </c>
      <c r="S391" s="13" t="s">
        <v>85</v>
      </c>
      <c r="T391" s="13" t="s">
        <v>86</v>
      </c>
      <c r="U391" s="13" t="s">
        <v>87</v>
      </c>
      <c r="V391" s="13" t="s">
        <v>83</v>
      </c>
      <c r="W391" s="13" t="str">
        <f t="shared" si="36"/>
        <v>35 ans et plus</v>
      </c>
      <c r="X391" s="13" t="str">
        <f t="shared" si="37"/>
        <v>1-2 accouchements</v>
      </c>
      <c r="Y391" s="13" t="str">
        <f t="shared" si="38"/>
        <v>Moins de 4 CPN</v>
      </c>
      <c r="Z391" s="13" t="str">
        <f t="shared" si="39"/>
        <v>28-36 SA</v>
      </c>
      <c r="AA391" s="13">
        <f t="shared" si="40"/>
        <v>378</v>
      </c>
      <c r="AB391" s="13">
        <f t="shared" si="41"/>
        <v>1</v>
      </c>
    </row>
    <row r="392" spans="1:28" x14ac:dyDescent="0.25">
      <c r="A392" s="13" t="s">
        <v>499</v>
      </c>
      <c r="B392" s="13">
        <v>27</v>
      </c>
      <c r="C392" s="13" t="s">
        <v>79</v>
      </c>
      <c r="D392" s="13" t="s">
        <v>80</v>
      </c>
      <c r="E392" s="13" t="s">
        <v>96</v>
      </c>
      <c r="F392" s="13" t="s">
        <v>82</v>
      </c>
      <c r="G392" s="13">
        <v>2</v>
      </c>
      <c r="H392" s="13">
        <v>1</v>
      </c>
      <c r="I392" s="13" t="s">
        <v>83</v>
      </c>
      <c r="J392" s="13" t="s">
        <v>83</v>
      </c>
      <c r="K392" s="13" t="s">
        <v>91</v>
      </c>
      <c r="M392" s="13">
        <v>36</v>
      </c>
      <c r="N392" s="13">
        <v>3</v>
      </c>
      <c r="O392" s="13" t="s">
        <v>84</v>
      </c>
      <c r="P392" s="13">
        <v>19.8</v>
      </c>
      <c r="Q392" s="13">
        <v>103</v>
      </c>
      <c r="R392" s="13">
        <v>69</v>
      </c>
      <c r="S392" s="13" t="s">
        <v>85</v>
      </c>
      <c r="T392" s="13" t="s">
        <v>86</v>
      </c>
      <c r="U392" s="13" t="s">
        <v>87</v>
      </c>
      <c r="V392" s="13" t="s">
        <v>83</v>
      </c>
      <c r="W392" s="13" t="str">
        <f t="shared" si="36"/>
        <v>20-29 ans</v>
      </c>
      <c r="X392" s="13" t="str">
        <f t="shared" si="37"/>
        <v>1-2 accouchements</v>
      </c>
      <c r="Y392" s="13" t="str">
        <f t="shared" si="38"/>
        <v>Moins de 4 CPN</v>
      </c>
      <c r="Z392" s="13" t="str">
        <f t="shared" si="39"/>
        <v>28-36 SA</v>
      </c>
      <c r="AA392" s="13">
        <f t="shared" si="40"/>
        <v>243</v>
      </c>
      <c r="AB392" s="13">
        <f t="shared" si="41"/>
        <v>1</v>
      </c>
    </row>
    <row r="393" spans="1:28" x14ac:dyDescent="0.25">
      <c r="A393" s="13" t="s">
        <v>500</v>
      </c>
      <c r="B393" s="13">
        <v>22</v>
      </c>
      <c r="C393" s="13" t="s">
        <v>79</v>
      </c>
      <c r="D393" s="13" t="s">
        <v>80</v>
      </c>
      <c r="E393" s="13" t="s">
        <v>101</v>
      </c>
      <c r="F393" s="13" t="s">
        <v>94</v>
      </c>
      <c r="G393" s="13">
        <v>1</v>
      </c>
      <c r="H393" s="13">
        <v>0</v>
      </c>
      <c r="I393" s="13" t="s">
        <v>86</v>
      </c>
      <c r="J393" s="13" t="s">
        <v>83</v>
      </c>
      <c r="K393" s="13" t="s">
        <v>83</v>
      </c>
      <c r="L393" s="13" t="s">
        <v>83</v>
      </c>
      <c r="M393" s="13">
        <v>32</v>
      </c>
      <c r="N393" s="13">
        <v>5</v>
      </c>
      <c r="O393" s="13" t="s">
        <v>84</v>
      </c>
      <c r="P393" s="13">
        <v>25.9</v>
      </c>
      <c r="Q393" s="13">
        <v>110</v>
      </c>
      <c r="R393" s="13">
        <v>75</v>
      </c>
      <c r="S393" s="13" t="s">
        <v>113</v>
      </c>
      <c r="T393" s="13" t="s">
        <v>86</v>
      </c>
      <c r="U393" s="13" t="s">
        <v>87</v>
      </c>
      <c r="V393" s="13" t="s">
        <v>83</v>
      </c>
      <c r="W393" s="13" t="str">
        <f t="shared" si="36"/>
        <v>20-29 ans</v>
      </c>
      <c r="X393" s="13" t="str">
        <f t="shared" si="37"/>
        <v>Nullipare (0)</v>
      </c>
      <c r="Y393" s="13" t="str">
        <f t="shared" si="38"/>
        <v>4 à 7 CPN</v>
      </c>
      <c r="Z393" s="13" t="str">
        <f t="shared" si="39"/>
        <v>28-36 SA</v>
      </c>
      <c r="AA393" s="13">
        <f t="shared" si="40"/>
        <v>70</v>
      </c>
      <c r="AB393" s="13">
        <f t="shared" si="41"/>
        <v>0</v>
      </c>
    </row>
    <row r="394" spans="1:28" x14ac:dyDescent="0.25">
      <c r="A394" s="13" t="s">
        <v>501</v>
      </c>
      <c r="B394" s="13">
        <v>22</v>
      </c>
      <c r="C394" s="13" t="s">
        <v>79</v>
      </c>
      <c r="D394" s="13" t="s">
        <v>80</v>
      </c>
      <c r="E394" s="13" t="s">
        <v>99</v>
      </c>
      <c r="F394" s="13" t="s">
        <v>94</v>
      </c>
      <c r="G394" s="13">
        <v>2</v>
      </c>
      <c r="H394" s="13">
        <v>1</v>
      </c>
      <c r="I394" s="13" t="s">
        <v>83</v>
      </c>
      <c r="J394" s="13" t="s">
        <v>83</v>
      </c>
      <c r="K394" s="13" t="s">
        <v>83</v>
      </c>
      <c r="L394" s="13" t="s">
        <v>83</v>
      </c>
      <c r="M394" s="13">
        <v>39</v>
      </c>
      <c r="N394" s="13">
        <v>3</v>
      </c>
      <c r="O394" s="13" t="s">
        <v>84</v>
      </c>
      <c r="Q394" s="13">
        <v>113</v>
      </c>
      <c r="R394" s="13">
        <v>77</v>
      </c>
      <c r="S394" s="13" t="s">
        <v>85</v>
      </c>
      <c r="T394" s="13" t="s">
        <v>86</v>
      </c>
      <c r="U394" s="13" t="s">
        <v>87</v>
      </c>
      <c r="V394" s="13" t="s">
        <v>83</v>
      </c>
      <c r="W394" s="13" t="str">
        <f t="shared" si="36"/>
        <v>20-29 ans</v>
      </c>
      <c r="X394" s="13" t="str">
        <f t="shared" si="37"/>
        <v>1-2 accouchements</v>
      </c>
      <c r="Y394" s="13" t="str">
        <f t="shared" si="38"/>
        <v>Moins de 4 CPN</v>
      </c>
      <c r="Z394" s="13" t="str">
        <f t="shared" si="39"/>
        <v>37 SA et plus</v>
      </c>
      <c r="AA394" s="13">
        <f t="shared" si="40"/>
        <v>70</v>
      </c>
      <c r="AB394" s="13">
        <f t="shared" si="41"/>
        <v>1</v>
      </c>
    </row>
    <row r="395" spans="1:28" x14ac:dyDescent="0.25">
      <c r="A395" s="13" t="s">
        <v>502</v>
      </c>
      <c r="B395" s="13">
        <v>33</v>
      </c>
      <c r="C395" s="13" t="s">
        <v>79</v>
      </c>
      <c r="D395" s="13" t="s">
        <v>109</v>
      </c>
      <c r="E395" s="13" t="s">
        <v>101</v>
      </c>
      <c r="F395" s="13" t="s">
        <v>82</v>
      </c>
      <c r="G395" s="13">
        <v>2</v>
      </c>
      <c r="H395" s="13">
        <v>1</v>
      </c>
      <c r="I395" s="13" t="s">
        <v>83</v>
      </c>
      <c r="J395" s="13" t="s">
        <v>83</v>
      </c>
      <c r="K395" s="13" t="s">
        <v>83</v>
      </c>
      <c r="L395" s="13" t="s">
        <v>83</v>
      </c>
      <c r="M395" s="13">
        <v>34</v>
      </c>
      <c r="N395" s="13">
        <v>3</v>
      </c>
      <c r="O395" s="13" t="s">
        <v>84</v>
      </c>
      <c r="P395" s="13">
        <v>27.3</v>
      </c>
      <c r="Q395" s="13">
        <v>108</v>
      </c>
      <c r="R395" s="13">
        <v>72</v>
      </c>
      <c r="S395" s="13" t="s">
        <v>85</v>
      </c>
      <c r="T395" s="13" t="s">
        <v>86</v>
      </c>
      <c r="U395" s="13" t="s">
        <v>87</v>
      </c>
      <c r="V395" s="13" t="s">
        <v>83</v>
      </c>
      <c r="W395" s="13" t="str">
        <f t="shared" si="36"/>
        <v>30-34 ans</v>
      </c>
      <c r="X395" s="13" t="str">
        <f t="shared" si="37"/>
        <v>1-2 accouchements</v>
      </c>
      <c r="Y395" s="13" t="str">
        <f t="shared" si="38"/>
        <v>Moins de 4 CPN</v>
      </c>
      <c r="Z395" s="13" t="str">
        <f t="shared" si="39"/>
        <v>28-36 SA</v>
      </c>
      <c r="AA395" s="13">
        <f t="shared" si="40"/>
        <v>361.5</v>
      </c>
      <c r="AB395" s="13">
        <f t="shared" si="41"/>
        <v>1</v>
      </c>
    </row>
    <row r="396" spans="1:28" x14ac:dyDescent="0.25">
      <c r="A396" s="13" t="s">
        <v>503</v>
      </c>
      <c r="B396" s="13">
        <v>25</v>
      </c>
      <c r="C396" s="13" t="s">
        <v>89</v>
      </c>
      <c r="D396" s="13" t="s">
        <v>109</v>
      </c>
      <c r="E396" s="13" t="s">
        <v>90</v>
      </c>
      <c r="F396" s="13" t="s">
        <v>82</v>
      </c>
      <c r="G396" s="13">
        <v>1</v>
      </c>
      <c r="H396" s="13">
        <v>0</v>
      </c>
      <c r="I396" s="13" t="s">
        <v>86</v>
      </c>
      <c r="J396" s="13" t="s">
        <v>83</v>
      </c>
      <c r="K396" s="13" t="s">
        <v>91</v>
      </c>
      <c r="L396" s="13" t="s">
        <v>83</v>
      </c>
      <c r="M396" s="13">
        <v>40</v>
      </c>
      <c r="N396" s="13">
        <v>7</v>
      </c>
      <c r="O396" s="13" t="s">
        <v>84</v>
      </c>
      <c r="P396" s="13">
        <v>18.2</v>
      </c>
      <c r="Q396" s="13">
        <v>113</v>
      </c>
      <c r="R396" s="13">
        <v>70</v>
      </c>
      <c r="S396" s="13" t="s">
        <v>85</v>
      </c>
      <c r="T396" s="13" t="s">
        <v>86</v>
      </c>
      <c r="U396" s="13" t="s">
        <v>87</v>
      </c>
      <c r="V396" s="13" t="s">
        <v>83</v>
      </c>
      <c r="W396" s="13" t="str">
        <f t="shared" si="36"/>
        <v>20-29 ans</v>
      </c>
      <c r="X396" s="13" t="str">
        <f t="shared" si="37"/>
        <v>Nullipare (0)</v>
      </c>
      <c r="Y396" s="13" t="str">
        <f t="shared" si="38"/>
        <v>4 à 7 CPN</v>
      </c>
      <c r="Z396" s="13" t="str">
        <f t="shared" si="39"/>
        <v>37 SA et plus</v>
      </c>
      <c r="AA396" s="13">
        <f t="shared" si="40"/>
        <v>173</v>
      </c>
      <c r="AB396" s="13">
        <f t="shared" si="41"/>
        <v>0</v>
      </c>
    </row>
    <row r="397" spans="1:28" x14ac:dyDescent="0.25">
      <c r="A397" s="13" t="s">
        <v>504</v>
      </c>
      <c r="B397" s="13">
        <v>21</v>
      </c>
      <c r="C397" s="13" t="s">
        <v>79</v>
      </c>
      <c r="D397" s="13" t="s">
        <v>80</v>
      </c>
      <c r="E397" s="13" t="s">
        <v>81</v>
      </c>
      <c r="F397" s="13" t="s">
        <v>94</v>
      </c>
      <c r="G397" s="13">
        <v>2</v>
      </c>
      <c r="H397" s="13">
        <v>0</v>
      </c>
      <c r="I397" s="13" t="s">
        <v>86</v>
      </c>
      <c r="J397" s="13" t="s">
        <v>91</v>
      </c>
      <c r="K397" s="13" t="s">
        <v>83</v>
      </c>
      <c r="L397" s="13" t="s">
        <v>83</v>
      </c>
      <c r="M397" s="13">
        <v>39</v>
      </c>
      <c r="N397" s="13">
        <v>6</v>
      </c>
      <c r="O397" s="13" t="s">
        <v>84</v>
      </c>
      <c r="P397" s="13">
        <v>29.5</v>
      </c>
      <c r="Q397" s="13">
        <v>140</v>
      </c>
      <c r="R397" s="13">
        <v>88</v>
      </c>
      <c r="S397" s="13" t="s">
        <v>85</v>
      </c>
      <c r="T397" s="13" t="s">
        <v>86</v>
      </c>
      <c r="U397" s="13" t="s">
        <v>132</v>
      </c>
      <c r="V397" s="13" t="s">
        <v>83</v>
      </c>
      <c r="W397" s="13" t="str">
        <f t="shared" si="36"/>
        <v>20-29 ans</v>
      </c>
      <c r="X397" s="13" t="str">
        <f t="shared" si="37"/>
        <v>Nullipare (0)</v>
      </c>
      <c r="Y397" s="13" t="str">
        <f t="shared" si="38"/>
        <v>4 à 7 CPN</v>
      </c>
      <c r="Z397" s="13" t="str">
        <f t="shared" si="39"/>
        <v>37 SA et plus</v>
      </c>
      <c r="AA397" s="13">
        <f t="shared" si="40"/>
        <v>48</v>
      </c>
      <c r="AB397" s="13">
        <f t="shared" si="41"/>
        <v>0</v>
      </c>
    </row>
    <row r="398" spans="1:28" x14ac:dyDescent="0.25">
      <c r="A398" s="13" t="s">
        <v>505</v>
      </c>
      <c r="B398" s="13">
        <v>23</v>
      </c>
      <c r="C398" s="13" t="s">
        <v>79</v>
      </c>
      <c r="D398" s="13" t="s">
        <v>93</v>
      </c>
      <c r="E398" s="13" t="s">
        <v>96</v>
      </c>
      <c r="F398" s="13" t="s">
        <v>94</v>
      </c>
      <c r="G398" s="13">
        <v>2</v>
      </c>
      <c r="H398" s="13">
        <v>1</v>
      </c>
      <c r="I398" s="13" t="s">
        <v>83</v>
      </c>
      <c r="J398" s="13" t="s">
        <v>83</v>
      </c>
      <c r="K398" s="13" t="s">
        <v>83</v>
      </c>
      <c r="L398" s="13" t="s">
        <v>83</v>
      </c>
      <c r="M398" s="13">
        <v>33</v>
      </c>
      <c r="N398" s="13">
        <v>1</v>
      </c>
      <c r="O398" s="13" t="s">
        <v>84</v>
      </c>
      <c r="P398" s="13">
        <v>23.9</v>
      </c>
      <c r="Q398" s="13">
        <v>121</v>
      </c>
      <c r="R398" s="13">
        <v>68</v>
      </c>
      <c r="S398" s="13" t="s">
        <v>85</v>
      </c>
      <c r="T398" s="13" t="s">
        <v>86</v>
      </c>
      <c r="U398" s="13" t="s">
        <v>87</v>
      </c>
      <c r="V398" s="13" t="s">
        <v>83</v>
      </c>
      <c r="W398" s="13" t="str">
        <f t="shared" si="36"/>
        <v>20-29 ans</v>
      </c>
      <c r="X398" s="13" t="str">
        <f t="shared" si="37"/>
        <v>1-2 accouchements</v>
      </c>
      <c r="Y398" s="13" t="str">
        <f t="shared" si="38"/>
        <v>Moins de 4 CPN</v>
      </c>
      <c r="Z398" s="13" t="str">
        <f t="shared" si="39"/>
        <v>28-36 SA</v>
      </c>
      <c r="AA398" s="13">
        <f t="shared" si="40"/>
        <v>103.5</v>
      </c>
      <c r="AB398" s="13">
        <f t="shared" si="41"/>
        <v>1</v>
      </c>
    </row>
    <row r="399" spans="1:28" x14ac:dyDescent="0.25">
      <c r="A399" s="13" t="s">
        <v>506</v>
      </c>
      <c r="B399" s="13">
        <v>32</v>
      </c>
      <c r="C399" s="13" t="s">
        <v>79</v>
      </c>
      <c r="D399" s="13" t="s">
        <v>80</v>
      </c>
      <c r="E399" s="13" t="s">
        <v>99</v>
      </c>
      <c r="F399" s="13" t="s">
        <v>82</v>
      </c>
      <c r="G399" s="13">
        <v>2</v>
      </c>
      <c r="H399" s="13">
        <v>1</v>
      </c>
      <c r="I399" s="13" t="s">
        <v>83</v>
      </c>
      <c r="J399" s="13" t="s">
        <v>83</v>
      </c>
      <c r="K399" s="13" t="s">
        <v>83</v>
      </c>
      <c r="L399" s="13" t="s">
        <v>83</v>
      </c>
      <c r="M399" s="13">
        <v>36</v>
      </c>
      <c r="N399" s="13">
        <v>4</v>
      </c>
      <c r="O399" s="13" t="s">
        <v>84</v>
      </c>
      <c r="P399" s="13">
        <v>16.7</v>
      </c>
      <c r="Q399" s="13">
        <v>107</v>
      </c>
      <c r="R399" s="13">
        <v>74</v>
      </c>
      <c r="S399" s="13" t="s">
        <v>85</v>
      </c>
      <c r="T399" s="13" t="s">
        <v>86</v>
      </c>
      <c r="U399" s="13" t="s">
        <v>87</v>
      </c>
      <c r="V399" s="13" t="s">
        <v>83</v>
      </c>
      <c r="W399" s="13" t="str">
        <f t="shared" si="36"/>
        <v>30-34 ans</v>
      </c>
      <c r="X399" s="13" t="str">
        <f t="shared" si="37"/>
        <v>1-2 accouchements</v>
      </c>
      <c r="Y399" s="13" t="str">
        <f t="shared" si="38"/>
        <v>4 à 7 CPN</v>
      </c>
      <c r="Z399" s="13" t="str">
        <f t="shared" si="39"/>
        <v>28-36 SA</v>
      </c>
      <c r="AA399" s="13">
        <f t="shared" si="40"/>
        <v>347.5</v>
      </c>
      <c r="AB399" s="13">
        <f t="shared" si="41"/>
        <v>1</v>
      </c>
    </row>
    <row r="400" spans="1:28" x14ac:dyDescent="0.25">
      <c r="A400" s="13" t="s">
        <v>507</v>
      </c>
      <c r="B400" s="13">
        <v>23</v>
      </c>
      <c r="C400" s="13" t="s">
        <v>79</v>
      </c>
      <c r="D400" s="13" t="s">
        <v>124</v>
      </c>
      <c r="E400" s="13" t="s">
        <v>96</v>
      </c>
      <c r="F400" s="13" t="s">
        <v>82</v>
      </c>
      <c r="G400" s="13">
        <v>2</v>
      </c>
      <c r="H400" s="13">
        <v>1</v>
      </c>
      <c r="I400" s="13" t="s">
        <v>83</v>
      </c>
      <c r="J400" s="13" t="s">
        <v>83</v>
      </c>
      <c r="K400" s="13" t="s">
        <v>83</v>
      </c>
      <c r="L400" s="13" t="s">
        <v>83</v>
      </c>
      <c r="M400" s="13">
        <v>27</v>
      </c>
      <c r="N400" s="13">
        <v>2</v>
      </c>
      <c r="O400" s="13" t="s">
        <v>84</v>
      </c>
      <c r="P400" s="13">
        <v>27.9</v>
      </c>
      <c r="Q400" s="13">
        <v>104</v>
      </c>
      <c r="R400" s="13">
        <v>68</v>
      </c>
      <c r="S400" s="13" t="s">
        <v>85</v>
      </c>
      <c r="T400" s="13" t="s">
        <v>86</v>
      </c>
      <c r="U400" s="13" t="s">
        <v>87</v>
      </c>
      <c r="V400" s="13" t="s">
        <v>83</v>
      </c>
      <c r="W400" s="13" t="str">
        <f t="shared" si="36"/>
        <v>20-29 ans</v>
      </c>
      <c r="X400" s="13" t="str">
        <f t="shared" si="37"/>
        <v>1-2 accouchements</v>
      </c>
      <c r="Y400" s="13" t="str">
        <f t="shared" si="38"/>
        <v>Moins de 4 CPN</v>
      </c>
      <c r="Z400" s="13" t="str">
        <f t="shared" si="39"/>
        <v>20-27 SA</v>
      </c>
      <c r="AA400" s="13">
        <f t="shared" si="40"/>
        <v>103.5</v>
      </c>
      <c r="AB400" s="13">
        <f t="shared" si="41"/>
        <v>1</v>
      </c>
    </row>
    <row r="401" spans="1:28" x14ac:dyDescent="0.25">
      <c r="A401" s="13" t="s">
        <v>508</v>
      </c>
      <c r="B401" s="13">
        <v>22</v>
      </c>
      <c r="C401" s="13" t="s">
        <v>79</v>
      </c>
      <c r="D401" s="13" t="s">
        <v>93</v>
      </c>
      <c r="E401" s="13" t="s">
        <v>81</v>
      </c>
      <c r="F401" s="13" t="s">
        <v>82</v>
      </c>
      <c r="G401" s="13">
        <v>2</v>
      </c>
      <c r="H401" s="13">
        <v>1</v>
      </c>
      <c r="I401" s="13" t="s">
        <v>91</v>
      </c>
      <c r="J401" s="13" t="s">
        <v>83</v>
      </c>
      <c r="K401" s="13" t="s">
        <v>91</v>
      </c>
      <c r="L401" s="13" t="s">
        <v>83</v>
      </c>
      <c r="M401" s="13">
        <v>35</v>
      </c>
      <c r="N401" s="13">
        <v>2</v>
      </c>
      <c r="O401" s="13" t="s">
        <v>84</v>
      </c>
      <c r="Q401" s="13">
        <v>180</v>
      </c>
      <c r="R401" s="13">
        <v>104</v>
      </c>
      <c r="S401" s="13" t="s">
        <v>113</v>
      </c>
      <c r="T401" s="13" t="s">
        <v>91</v>
      </c>
      <c r="U401" s="13" t="s">
        <v>114</v>
      </c>
      <c r="V401" s="13" t="s">
        <v>91</v>
      </c>
      <c r="W401" s="13" t="str">
        <f t="shared" si="36"/>
        <v>20-29 ans</v>
      </c>
      <c r="X401" s="13" t="str">
        <f t="shared" si="37"/>
        <v>1-2 accouchements</v>
      </c>
      <c r="Y401" s="13" t="str">
        <f t="shared" si="38"/>
        <v>Moins de 4 CPN</v>
      </c>
      <c r="Z401" s="13" t="str">
        <f t="shared" si="39"/>
        <v>28-36 SA</v>
      </c>
      <c r="AA401" s="13">
        <f t="shared" si="40"/>
        <v>70</v>
      </c>
      <c r="AB401" s="13">
        <f t="shared" si="41"/>
        <v>1</v>
      </c>
    </row>
  </sheetData>
  <autoFilter ref="A1:AB401" xr:uid="{00000000-0009-0000-0000-000001000000}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8"/>
  <sheetViews>
    <sheetView showGridLines="0" zoomScale="205" zoomScaleNormal="205" workbookViewId="0"/>
  </sheetViews>
  <sheetFormatPr baseColWidth="10" defaultColWidth="9.140625" defaultRowHeight="15" x14ac:dyDescent="0.25"/>
  <cols>
    <col min="1" max="1" width="8" customWidth="1"/>
    <col min="2" max="2" width="24" customWidth="1"/>
    <col min="3" max="3" width="48" customWidth="1"/>
    <col min="4" max="4" width="24" customWidth="1"/>
    <col min="5" max="5" width="14" customWidth="1"/>
    <col min="6" max="6" width="44" customWidth="1"/>
    <col min="7" max="7" width="14" customWidth="1"/>
    <col min="8" max="8" width="28" customWidth="1"/>
  </cols>
  <sheetData>
    <row r="1" spans="1:8" ht="26.1" customHeight="1" x14ac:dyDescent="0.35">
      <c r="A1" s="1" t="s">
        <v>19</v>
      </c>
    </row>
    <row r="2" spans="1:8" x14ac:dyDescent="0.25">
      <c r="A2" s="2" t="s">
        <v>509</v>
      </c>
    </row>
    <row r="4" spans="1:8" ht="38.25" x14ac:dyDescent="0.25">
      <c r="A4" s="6" t="s">
        <v>510</v>
      </c>
      <c r="B4" s="7" t="s">
        <v>511</v>
      </c>
      <c r="C4" s="7" t="s">
        <v>512</v>
      </c>
      <c r="D4" s="7" t="s">
        <v>513</v>
      </c>
      <c r="E4" s="7" t="s">
        <v>514</v>
      </c>
      <c r="F4" s="7" t="s">
        <v>515</v>
      </c>
      <c r="G4" s="7" t="s">
        <v>516</v>
      </c>
      <c r="H4" s="7" t="s">
        <v>517</v>
      </c>
    </row>
    <row r="5" spans="1:8" x14ac:dyDescent="0.25">
      <c r="A5" s="14" t="s">
        <v>518</v>
      </c>
      <c r="B5" s="15" t="s">
        <v>49</v>
      </c>
      <c r="C5" s="9" t="s">
        <v>519</v>
      </c>
      <c r="D5" s="9" t="s">
        <v>520</v>
      </c>
      <c r="E5" s="9" t="s">
        <v>521</v>
      </c>
      <c r="F5" s="9" t="s">
        <v>522</v>
      </c>
      <c r="G5" s="14">
        <f>COUNTBLANK(Donnees!$A$2:$A$401)</f>
        <v>0</v>
      </c>
      <c r="H5" s="9" t="s">
        <v>521</v>
      </c>
    </row>
    <row r="6" spans="1:8" x14ac:dyDescent="0.25">
      <c r="A6" s="14" t="s">
        <v>523</v>
      </c>
      <c r="B6" s="15" t="s">
        <v>50</v>
      </c>
      <c r="C6" s="9" t="s">
        <v>524</v>
      </c>
      <c r="D6" s="9" t="s">
        <v>525</v>
      </c>
      <c r="E6" s="9" t="s">
        <v>526</v>
      </c>
      <c r="F6" s="9" t="s">
        <v>527</v>
      </c>
      <c r="G6" s="14">
        <f>COUNTBLANK(Donnees!$B$2:$B$401)</f>
        <v>0</v>
      </c>
      <c r="H6" s="9" t="s">
        <v>521</v>
      </c>
    </row>
    <row r="7" spans="1:8" x14ac:dyDescent="0.25">
      <c r="A7" s="14" t="s">
        <v>528</v>
      </c>
      <c r="B7" s="15" t="s">
        <v>51</v>
      </c>
      <c r="C7" s="9" t="s">
        <v>529</v>
      </c>
      <c r="D7" s="9" t="s">
        <v>530</v>
      </c>
      <c r="E7" s="9" t="s">
        <v>521</v>
      </c>
      <c r="F7" s="9" t="s">
        <v>531</v>
      </c>
      <c r="G7" s="14">
        <f>COUNTBLANK(Donnees!$C$2:$C$401)</f>
        <v>0</v>
      </c>
      <c r="H7" s="9" t="s">
        <v>521</v>
      </c>
    </row>
    <row r="8" spans="1:8" x14ac:dyDescent="0.25">
      <c r="A8" s="14" t="s">
        <v>532</v>
      </c>
      <c r="B8" s="15" t="s">
        <v>52</v>
      </c>
      <c r="C8" s="9" t="s">
        <v>533</v>
      </c>
      <c r="D8" s="9" t="s">
        <v>534</v>
      </c>
      <c r="E8" s="9" t="s">
        <v>521</v>
      </c>
      <c r="F8" s="9" t="s">
        <v>535</v>
      </c>
      <c r="G8" s="14">
        <f>COUNTBLANK(Donnees!$D$2:$D$401)</f>
        <v>6</v>
      </c>
      <c r="H8" s="9" t="s">
        <v>536</v>
      </c>
    </row>
    <row r="9" spans="1:8" ht="25.5" x14ac:dyDescent="0.25">
      <c r="A9" s="14" t="s">
        <v>537</v>
      </c>
      <c r="B9" s="15" t="s">
        <v>53</v>
      </c>
      <c r="C9" s="9" t="s">
        <v>538</v>
      </c>
      <c r="D9" s="9" t="s">
        <v>530</v>
      </c>
      <c r="E9" s="9" t="s">
        <v>521</v>
      </c>
      <c r="F9" s="9" t="s">
        <v>539</v>
      </c>
      <c r="G9" s="14">
        <f>COUNTBLANK(Donnees!$E$2:$E$401)</f>
        <v>8</v>
      </c>
      <c r="H9" s="9" t="s">
        <v>540</v>
      </c>
    </row>
    <row r="10" spans="1:8" ht="25.5" x14ac:dyDescent="0.25">
      <c r="A10" s="14" t="s">
        <v>541</v>
      </c>
      <c r="B10" s="15" t="s">
        <v>54</v>
      </c>
      <c r="C10" s="9" t="s">
        <v>542</v>
      </c>
      <c r="D10" s="9" t="s">
        <v>543</v>
      </c>
      <c r="E10" s="9" t="s">
        <v>521</v>
      </c>
      <c r="F10" s="9" t="s">
        <v>544</v>
      </c>
      <c r="G10" s="14">
        <f>COUNTBLANK(Donnees!$F$2:$F$401)</f>
        <v>0</v>
      </c>
      <c r="H10" s="9" t="s">
        <v>521</v>
      </c>
    </row>
    <row r="11" spans="1:8" ht="25.5" x14ac:dyDescent="0.25">
      <c r="A11" s="14" t="s">
        <v>545</v>
      </c>
      <c r="B11" s="15" t="s">
        <v>55</v>
      </c>
      <c r="C11" s="9" t="s">
        <v>546</v>
      </c>
      <c r="D11" s="9" t="s">
        <v>525</v>
      </c>
      <c r="E11" s="9" t="s">
        <v>547</v>
      </c>
      <c r="F11" s="9" t="s">
        <v>548</v>
      </c>
      <c r="G11" s="14">
        <f>COUNTBLANK(Donnees!$G$2:$G$401)</f>
        <v>0</v>
      </c>
      <c r="H11" s="9" t="s">
        <v>521</v>
      </c>
    </row>
    <row r="12" spans="1:8" ht="25.5" x14ac:dyDescent="0.25">
      <c r="A12" s="14" t="s">
        <v>549</v>
      </c>
      <c r="B12" s="15" t="s">
        <v>56</v>
      </c>
      <c r="C12" s="9" t="s">
        <v>550</v>
      </c>
      <c r="D12" s="9" t="s">
        <v>525</v>
      </c>
      <c r="E12" s="9" t="s">
        <v>547</v>
      </c>
      <c r="F12" s="9" t="s">
        <v>551</v>
      </c>
      <c r="G12" s="14">
        <f>COUNTBLANK(Donnees!$H$2:$H$401)</f>
        <v>0</v>
      </c>
      <c r="H12" s="9" t="s">
        <v>521</v>
      </c>
    </row>
    <row r="13" spans="1:8" ht="38.25" x14ac:dyDescent="0.25">
      <c r="A13" s="14" t="s">
        <v>552</v>
      </c>
      <c r="B13" s="15" t="s">
        <v>57</v>
      </c>
      <c r="C13" s="9" t="s">
        <v>553</v>
      </c>
      <c r="D13" s="9" t="s">
        <v>530</v>
      </c>
      <c r="E13" s="9" t="s">
        <v>521</v>
      </c>
      <c r="F13" s="9" t="s">
        <v>554</v>
      </c>
      <c r="G13" s="14">
        <f>COUNTBLANK(Donnees!$I$2:$I$401)</f>
        <v>6</v>
      </c>
      <c r="H13" s="9" t="s">
        <v>555</v>
      </c>
    </row>
    <row r="14" spans="1:8" ht="25.5" x14ac:dyDescent="0.25">
      <c r="A14" s="14" t="s">
        <v>556</v>
      </c>
      <c r="B14" s="15" t="s">
        <v>58</v>
      </c>
      <c r="C14" s="9" t="s">
        <v>557</v>
      </c>
      <c r="D14" s="9" t="s">
        <v>543</v>
      </c>
      <c r="E14" s="9" t="s">
        <v>521</v>
      </c>
      <c r="F14" s="9" t="s">
        <v>558</v>
      </c>
      <c r="G14" s="14">
        <f>COUNTBLANK(Donnees!$J$2:$J$401)</f>
        <v>0</v>
      </c>
      <c r="H14" s="9" t="s">
        <v>521</v>
      </c>
    </row>
    <row r="15" spans="1:8" ht="25.5" x14ac:dyDescent="0.25">
      <c r="A15" s="14" t="s">
        <v>559</v>
      </c>
      <c r="B15" s="15" t="s">
        <v>59</v>
      </c>
      <c r="C15" s="9" t="s">
        <v>560</v>
      </c>
      <c r="D15" s="9" t="s">
        <v>543</v>
      </c>
      <c r="E15" s="9" t="s">
        <v>521</v>
      </c>
      <c r="F15" s="9" t="s">
        <v>558</v>
      </c>
      <c r="G15" s="14">
        <f>COUNTBLANK(Donnees!$K$2:$K$401)</f>
        <v>12</v>
      </c>
      <c r="H15" s="9" t="s">
        <v>536</v>
      </c>
    </row>
    <row r="16" spans="1:8" ht="25.5" x14ac:dyDescent="0.25">
      <c r="A16" s="14" t="s">
        <v>561</v>
      </c>
      <c r="B16" s="15" t="s">
        <v>60</v>
      </c>
      <c r="C16" s="9" t="s">
        <v>562</v>
      </c>
      <c r="D16" s="9" t="s">
        <v>543</v>
      </c>
      <c r="E16" s="9" t="s">
        <v>521</v>
      </c>
      <c r="F16" s="9" t="s">
        <v>558</v>
      </c>
      <c r="G16" s="14">
        <f>COUNTBLANK(Donnees!$L$2:$L$401)</f>
        <v>5</v>
      </c>
      <c r="H16" s="9" t="s">
        <v>536</v>
      </c>
    </row>
    <row r="17" spans="1:8" ht="38.25" x14ac:dyDescent="0.25">
      <c r="A17" s="14" t="s">
        <v>563</v>
      </c>
      <c r="B17" s="15" t="s">
        <v>61</v>
      </c>
      <c r="C17" s="9" t="s">
        <v>564</v>
      </c>
      <c r="D17" s="9" t="s">
        <v>525</v>
      </c>
      <c r="E17" s="9" t="s">
        <v>565</v>
      </c>
      <c r="F17" s="9" t="s">
        <v>566</v>
      </c>
      <c r="G17" s="14">
        <f>COUNTBLANK(Donnees!$M$2:$M$401)</f>
        <v>0</v>
      </c>
      <c r="H17" s="9" t="s">
        <v>521</v>
      </c>
    </row>
    <row r="18" spans="1:8" x14ac:dyDescent="0.25">
      <c r="A18" s="14" t="s">
        <v>567</v>
      </c>
      <c r="B18" s="15" t="s">
        <v>62</v>
      </c>
      <c r="C18" s="9" t="s">
        <v>568</v>
      </c>
      <c r="D18" s="9" t="s">
        <v>525</v>
      </c>
      <c r="E18" s="9" t="s">
        <v>547</v>
      </c>
      <c r="F18" s="9" t="s">
        <v>569</v>
      </c>
      <c r="G18" s="14">
        <f>COUNTBLANK(Donnees!$N$2:$N$401)</f>
        <v>10</v>
      </c>
      <c r="H18" s="9" t="s">
        <v>536</v>
      </c>
    </row>
    <row r="19" spans="1:8" ht="25.5" x14ac:dyDescent="0.25">
      <c r="A19" s="14" t="s">
        <v>570</v>
      </c>
      <c r="B19" s="15" t="s">
        <v>63</v>
      </c>
      <c r="C19" s="9" t="s">
        <v>571</v>
      </c>
      <c r="D19" s="9" t="s">
        <v>543</v>
      </c>
      <c r="E19" s="9" t="s">
        <v>521</v>
      </c>
      <c r="F19" s="9" t="s">
        <v>572</v>
      </c>
      <c r="G19" s="14">
        <f>COUNTBLANK(Donnees!$O$2:$O$401)</f>
        <v>0</v>
      </c>
      <c r="H19" s="9" t="s">
        <v>521</v>
      </c>
    </row>
    <row r="20" spans="1:8" x14ac:dyDescent="0.25">
      <c r="A20" s="14" t="s">
        <v>573</v>
      </c>
      <c r="B20" s="15" t="s">
        <v>64</v>
      </c>
      <c r="C20" s="9" t="s">
        <v>574</v>
      </c>
      <c r="D20" s="9" t="s">
        <v>575</v>
      </c>
      <c r="E20" s="9" t="s">
        <v>576</v>
      </c>
      <c r="F20" s="9" t="s">
        <v>577</v>
      </c>
      <c r="G20" s="14">
        <f>COUNTBLANK(Donnees!$P$2:$P$401)</f>
        <v>30</v>
      </c>
      <c r="H20" s="9" t="s">
        <v>578</v>
      </c>
    </row>
    <row r="21" spans="1:8" ht="25.5" x14ac:dyDescent="0.25">
      <c r="A21" s="14" t="s">
        <v>579</v>
      </c>
      <c r="B21" s="15" t="s">
        <v>65</v>
      </c>
      <c r="C21" s="9" t="s">
        <v>580</v>
      </c>
      <c r="D21" s="9" t="s">
        <v>525</v>
      </c>
      <c r="E21" s="9" t="s">
        <v>581</v>
      </c>
      <c r="F21" s="9" t="s">
        <v>582</v>
      </c>
      <c r="G21" s="14">
        <f>COUNTBLANK(Donnees!$Q$2:$Q$401)</f>
        <v>0</v>
      </c>
      <c r="H21" s="9" t="s">
        <v>521</v>
      </c>
    </row>
    <row r="22" spans="1:8" ht="25.5" x14ac:dyDescent="0.25">
      <c r="A22" s="14" t="s">
        <v>583</v>
      </c>
      <c r="B22" s="15" t="s">
        <v>66</v>
      </c>
      <c r="C22" s="9" t="s">
        <v>584</v>
      </c>
      <c r="D22" s="9" t="s">
        <v>525</v>
      </c>
      <c r="E22" s="9" t="s">
        <v>581</v>
      </c>
      <c r="F22" s="9" t="s">
        <v>582</v>
      </c>
      <c r="G22" s="14">
        <f>COUNTBLANK(Donnees!$R$2:$R$401)</f>
        <v>0</v>
      </c>
      <c r="H22" s="9" t="s">
        <v>521</v>
      </c>
    </row>
    <row r="23" spans="1:8" x14ac:dyDescent="0.25">
      <c r="A23" s="14" t="s">
        <v>585</v>
      </c>
      <c r="B23" s="15" t="s">
        <v>67</v>
      </c>
      <c r="C23" s="9" t="s">
        <v>586</v>
      </c>
      <c r="D23" s="9" t="s">
        <v>534</v>
      </c>
      <c r="E23" s="9" t="s">
        <v>521</v>
      </c>
      <c r="F23" s="9" t="s">
        <v>587</v>
      </c>
      <c r="G23" s="14">
        <f>COUNTBLANK(Donnees!$S$2:$S$401)</f>
        <v>0</v>
      </c>
      <c r="H23" s="9" t="s">
        <v>521</v>
      </c>
    </row>
    <row r="24" spans="1:8" ht="38.25" x14ac:dyDescent="0.25">
      <c r="A24" s="14" t="s">
        <v>588</v>
      </c>
      <c r="B24" s="15" t="s">
        <v>68</v>
      </c>
      <c r="C24" s="9" t="s">
        <v>589</v>
      </c>
      <c r="D24" s="9" t="s">
        <v>530</v>
      </c>
      <c r="E24" s="9" t="s">
        <v>521</v>
      </c>
      <c r="F24" s="9" t="s">
        <v>590</v>
      </c>
      <c r="G24" s="14">
        <f>COUNTBLANK(Donnees!$T$2:$T$401)</f>
        <v>0</v>
      </c>
      <c r="H24" s="9" t="s">
        <v>521</v>
      </c>
    </row>
    <row r="25" spans="1:8" ht="25.5" x14ac:dyDescent="0.25">
      <c r="A25" s="14" t="s">
        <v>591</v>
      </c>
      <c r="B25" s="15" t="s">
        <v>69</v>
      </c>
      <c r="C25" s="9" t="s">
        <v>592</v>
      </c>
      <c r="D25" s="9" t="s">
        <v>530</v>
      </c>
      <c r="E25" s="9" t="s">
        <v>521</v>
      </c>
      <c r="F25" s="9" t="s">
        <v>593</v>
      </c>
      <c r="G25" s="14">
        <f>COUNTBLANK(Donnees!$U$2:$U$401)</f>
        <v>0</v>
      </c>
      <c r="H25" s="9" t="s">
        <v>521</v>
      </c>
    </row>
    <row r="26" spans="1:8" ht="25.5" x14ac:dyDescent="0.25">
      <c r="A26" s="14" t="s">
        <v>594</v>
      </c>
      <c r="B26" s="15" t="s">
        <v>70</v>
      </c>
      <c r="C26" s="9" t="s">
        <v>595</v>
      </c>
      <c r="D26" s="9" t="s">
        <v>543</v>
      </c>
      <c r="E26" s="9" t="s">
        <v>521</v>
      </c>
      <c r="F26" s="9" t="s">
        <v>558</v>
      </c>
      <c r="G26" s="14">
        <f>COUNTBLANK(Donnees!$V$2:$V$401)</f>
        <v>0</v>
      </c>
      <c r="H26" s="9" t="s">
        <v>521</v>
      </c>
    </row>
    <row r="28" spans="1:8" x14ac:dyDescent="0.25">
      <c r="A28" s="2" t="s">
        <v>596</v>
      </c>
    </row>
  </sheetData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1"/>
  <sheetViews>
    <sheetView showGridLines="0" topLeftCell="A25" zoomScale="160" zoomScaleNormal="160" workbookViewId="0">
      <selection activeCell="F27" sqref="F27"/>
    </sheetView>
  </sheetViews>
  <sheetFormatPr baseColWidth="10" defaultColWidth="9.140625" defaultRowHeight="15" x14ac:dyDescent="0.25"/>
  <cols>
    <col min="1" max="1" width="38" customWidth="1"/>
    <col min="2" max="2" width="30" customWidth="1"/>
    <col min="3" max="3" width="16" customWidth="1"/>
    <col min="4" max="4" width="18" customWidth="1"/>
    <col min="5" max="5" width="14" customWidth="1"/>
    <col min="6" max="6" width="12" customWidth="1"/>
    <col min="7" max="7" width="13" customWidth="1"/>
    <col min="8" max="8" width="12" customWidth="1"/>
  </cols>
  <sheetData>
    <row r="1" spans="1:6" ht="26.1" customHeight="1" x14ac:dyDescent="0.35">
      <c r="A1" s="1" t="s">
        <v>597</v>
      </c>
    </row>
    <row r="2" spans="1:6" x14ac:dyDescent="0.25">
      <c r="A2" s="2" t="s">
        <v>598</v>
      </c>
    </row>
    <row r="4" spans="1:6" ht="15.75" x14ac:dyDescent="0.25">
      <c r="A4" s="4" t="s">
        <v>599</v>
      </c>
      <c r="B4" s="5"/>
      <c r="C4" s="5"/>
      <c r="D4" s="5"/>
      <c r="E4" s="5"/>
      <c r="F4" s="5"/>
    </row>
    <row r="5" spans="1:6" x14ac:dyDescent="0.25">
      <c r="A5" s="13" t="s">
        <v>600</v>
      </c>
      <c r="B5" s="10">
        <f>COUNTA(Donnees!$A$2:$A$401)</f>
        <v>400</v>
      </c>
    </row>
    <row r="6" spans="1:6" x14ac:dyDescent="0.25">
      <c r="A6" s="13" t="s">
        <v>601</v>
      </c>
      <c r="B6" s="10">
        <f>COUNTA(Donnees!$A$1:$V$1)</f>
        <v>22</v>
      </c>
    </row>
    <row r="8" spans="1:6" ht="15.75" x14ac:dyDescent="0.25">
      <c r="A8" s="4" t="s">
        <v>602</v>
      </c>
      <c r="B8" s="5"/>
      <c r="C8" s="5"/>
      <c r="D8" s="5"/>
      <c r="E8" s="5"/>
      <c r="F8" s="5"/>
    </row>
    <row r="9" spans="1:6" x14ac:dyDescent="0.25">
      <c r="A9" s="6" t="s">
        <v>511</v>
      </c>
      <c r="B9" s="7" t="s">
        <v>603</v>
      </c>
      <c r="C9" s="7" t="s">
        <v>604</v>
      </c>
      <c r="D9" s="7" t="s">
        <v>605</v>
      </c>
      <c r="E9" s="7" t="s">
        <v>606</v>
      </c>
    </row>
    <row r="10" spans="1:6" x14ac:dyDescent="0.25">
      <c r="A10" s="15" t="s">
        <v>49</v>
      </c>
      <c r="B10" s="16" t="s">
        <v>520</v>
      </c>
      <c r="C10" s="14">
        <f>COUNTA(Donnees!$A$2:$A$401)</f>
        <v>400</v>
      </c>
      <c r="D10" s="14">
        <f>COUNTBLANK(Donnees!$A$2:$A$401)</f>
        <v>0</v>
      </c>
      <c r="E10" s="17">
        <f t="shared" ref="E10:E31" si="0">D10/$B$5*100</f>
        <v>0</v>
      </c>
    </row>
    <row r="11" spans="1:6" x14ac:dyDescent="0.25">
      <c r="A11" s="15" t="s">
        <v>50</v>
      </c>
      <c r="B11" s="16" t="s">
        <v>525</v>
      </c>
      <c r="C11" s="14">
        <f>COUNTA(Donnees!$B$2:$B$401)</f>
        <v>400</v>
      </c>
      <c r="D11" s="14">
        <f>COUNTBLANK(Donnees!$B$2:$B$401)</f>
        <v>0</v>
      </c>
      <c r="E11" s="17">
        <f t="shared" si="0"/>
        <v>0</v>
      </c>
    </row>
    <row r="12" spans="1:6" x14ac:dyDescent="0.25">
      <c r="A12" s="15" t="s">
        <v>51</v>
      </c>
      <c r="B12" s="16" t="s">
        <v>530</v>
      </c>
      <c r="C12" s="14">
        <f>COUNTA(Donnees!$C$2:$C$401)</f>
        <v>400</v>
      </c>
      <c r="D12" s="14">
        <f>COUNTBLANK(Donnees!$C$2:$C$401)</f>
        <v>0</v>
      </c>
      <c r="E12" s="17">
        <f t="shared" si="0"/>
        <v>0</v>
      </c>
    </row>
    <row r="13" spans="1:6" x14ac:dyDescent="0.25">
      <c r="A13" s="15" t="s">
        <v>52</v>
      </c>
      <c r="B13" s="16" t="s">
        <v>534</v>
      </c>
      <c r="C13" s="14">
        <f>COUNTA(Donnees!$D$2:$D$401)</f>
        <v>394</v>
      </c>
      <c r="D13" s="14">
        <f>COUNTBLANK(Donnees!$D$2:$D$401)</f>
        <v>6</v>
      </c>
      <c r="E13" s="17">
        <f t="shared" si="0"/>
        <v>1.5</v>
      </c>
    </row>
    <row r="14" spans="1:6" x14ac:dyDescent="0.25">
      <c r="A14" s="15" t="s">
        <v>53</v>
      </c>
      <c r="B14" s="16" t="s">
        <v>530</v>
      </c>
      <c r="C14" s="14">
        <f>COUNTA(Donnees!$E$2:$E$401)</f>
        <v>392</v>
      </c>
      <c r="D14" s="14">
        <f>COUNTBLANK(Donnees!$E$2:$E$401)</f>
        <v>8</v>
      </c>
      <c r="E14" s="17">
        <f t="shared" si="0"/>
        <v>2</v>
      </c>
    </row>
    <row r="15" spans="1:6" x14ac:dyDescent="0.25">
      <c r="A15" s="15" t="s">
        <v>54</v>
      </c>
      <c r="B15" s="16" t="s">
        <v>543</v>
      </c>
      <c r="C15" s="14">
        <f>COUNTA(Donnees!$F$2:$F$401)</f>
        <v>400</v>
      </c>
      <c r="D15" s="14">
        <f>COUNTBLANK(Donnees!$F$2:$F$401)</f>
        <v>0</v>
      </c>
      <c r="E15" s="17">
        <f t="shared" si="0"/>
        <v>0</v>
      </c>
    </row>
    <row r="16" spans="1:6" x14ac:dyDescent="0.25">
      <c r="A16" s="15" t="s">
        <v>55</v>
      </c>
      <c r="B16" s="16" t="s">
        <v>525</v>
      </c>
      <c r="C16" s="14">
        <f>COUNTA(Donnees!$G$2:$G$401)</f>
        <v>400</v>
      </c>
      <c r="D16" s="14">
        <f>COUNTBLANK(Donnees!$G$2:$G$401)</f>
        <v>0</v>
      </c>
      <c r="E16" s="17">
        <f t="shared" si="0"/>
        <v>0</v>
      </c>
    </row>
    <row r="17" spans="1:5" x14ac:dyDescent="0.25">
      <c r="A17" s="15" t="s">
        <v>56</v>
      </c>
      <c r="B17" s="16" t="s">
        <v>525</v>
      </c>
      <c r="C17" s="14">
        <f>COUNTA(Donnees!$H$2:$H$401)</f>
        <v>400</v>
      </c>
      <c r="D17" s="14">
        <f>COUNTBLANK(Donnees!$H$2:$H$401)</f>
        <v>0</v>
      </c>
      <c r="E17" s="17">
        <f t="shared" si="0"/>
        <v>0</v>
      </c>
    </row>
    <row r="18" spans="1:5" x14ac:dyDescent="0.25">
      <c r="A18" s="15" t="s">
        <v>57</v>
      </c>
      <c r="B18" s="16" t="s">
        <v>530</v>
      </c>
      <c r="C18" s="14">
        <f>COUNTA(Donnees!$I$2:$I$401)</f>
        <v>394</v>
      </c>
      <c r="D18" s="14">
        <f>COUNTBLANK(Donnees!$I$2:$I$401)</f>
        <v>6</v>
      </c>
      <c r="E18" s="17">
        <f t="shared" si="0"/>
        <v>1.5</v>
      </c>
    </row>
    <row r="19" spans="1:5" x14ac:dyDescent="0.25">
      <c r="A19" s="15" t="s">
        <v>58</v>
      </c>
      <c r="B19" s="16" t="s">
        <v>543</v>
      </c>
      <c r="C19" s="14">
        <f>COUNTA(Donnees!$J$2:$J$401)</f>
        <v>400</v>
      </c>
      <c r="D19" s="14">
        <f>COUNTBLANK(Donnees!$J$2:$J$401)</f>
        <v>0</v>
      </c>
      <c r="E19" s="17">
        <f t="shared" si="0"/>
        <v>0</v>
      </c>
    </row>
    <row r="20" spans="1:5" x14ac:dyDescent="0.25">
      <c r="A20" s="15" t="s">
        <v>59</v>
      </c>
      <c r="B20" s="16" t="s">
        <v>543</v>
      </c>
      <c r="C20" s="14">
        <f>COUNTA(Donnees!$K$2:$K$401)</f>
        <v>388</v>
      </c>
      <c r="D20" s="14">
        <f>COUNTBLANK(Donnees!$K$2:$K$401)</f>
        <v>12</v>
      </c>
      <c r="E20" s="17">
        <f t="shared" si="0"/>
        <v>3</v>
      </c>
    </row>
    <row r="21" spans="1:5" x14ac:dyDescent="0.25">
      <c r="A21" s="15" t="s">
        <v>60</v>
      </c>
      <c r="B21" s="16" t="s">
        <v>543</v>
      </c>
      <c r="C21" s="14">
        <f>COUNTA(Donnees!$L$2:$L$401)</f>
        <v>395</v>
      </c>
      <c r="D21" s="14">
        <f>COUNTBLANK(Donnees!$L$2:$L$401)</f>
        <v>5</v>
      </c>
      <c r="E21" s="17">
        <f t="shared" si="0"/>
        <v>1.25</v>
      </c>
    </row>
    <row r="22" spans="1:5" x14ac:dyDescent="0.25">
      <c r="A22" s="15" t="s">
        <v>61</v>
      </c>
      <c r="B22" s="16" t="s">
        <v>525</v>
      </c>
      <c r="C22" s="14">
        <f>COUNTA(Donnees!$M$2:$M$401)</f>
        <v>400</v>
      </c>
      <c r="D22" s="14">
        <f>COUNTBLANK(Donnees!$M$2:$M$401)</f>
        <v>0</v>
      </c>
      <c r="E22" s="17">
        <f t="shared" si="0"/>
        <v>0</v>
      </c>
    </row>
    <row r="23" spans="1:5" x14ac:dyDescent="0.25">
      <c r="A23" s="15" t="s">
        <v>62</v>
      </c>
      <c r="B23" s="16" t="s">
        <v>525</v>
      </c>
      <c r="C23" s="14">
        <f>COUNTA(Donnees!$N$2:$N$401)</f>
        <v>390</v>
      </c>
      <c r="D23" s="14">
        <f>COUNTBLANK(Donnees!$N$2:$N$401)</f>
        <v>10</v>
      </c>
      <c r="E23" s="17">
        <f t="shared" si="0"/>
        <v>2.5</v>
      </c>
    </row>
    <row r="24" spans="1:5" x14ac:dyDescent="0.25">
      <c r="A24" s="15" t="s">
        <v>63</v>
      </c>
      <c r="B24" s="16" t="s">
        <v>543</v>
      </c>
      <c r="C24" s="14">
        <f>COUNTA(Donnees!$O$2:$O$401)</f>
        <v>400</v>
      </c>
      <c r="D24" s="14">
        <f>COUNTBLANK(Donnees!$O$2:$O$401)</f>
        <v>0</v>
      </c>
      <c r="E24" s="17">
        <f t="shared" si="0"/>
        <v>0</v>
      </c>
    </row>
    <row r="25" spans="1:5" x14ac:dyDescent="0.25">
      <c r="A25" s="15" t="s">
        <v>64</v>
      </c>
      <c r="B25" s="16" t="s">
        <v>575</v>
      </c>
      <c r="C25" s="14">
        <f>COUNTA(Donnees!$P$2:$P$401)</f>
        <v>370</v>
      </c>
      <c r="D25" s="14">
        <f>COUNTBLANK(Donnees!$P$2:$P$401)</f>
        <v>30</v>
      </c>
      <c r="E25" s="17">
        <f t="shared" si="0"/>
        <v>7.5</v>
      </c>
    </row>
    <row r="26" spans="1:5" x14ac:dyDescent="0.25">
      <c r="A26" s="15" t="s">
        <v>65</v>
      </c>
      <c r="B26" s="16" t="s">
        <v>525</v>
      </c>
      <c r="C26" s="14">
        <f>COUNTA(Donnees!$Q$2:$Q$401)</f>
        <v>400</v>
      </c>
      <c r="D26" s="14">
        <f>COUNTBLANK(Donnees!$Q$2:$Q$401)</f>
        <v>0</v>
      </c>
      <c r="E26" s="17">
        <f t="shared" si="0"/>
        <v>0</v>
      </c>
    </row>
    <row r="27" spans="1:5" x14ac:dyDescent="0.25">
      <c r="A27" s="15" t="s">
        <v>66</v>
      </c>
      <c r="B27" s="16" t="s">
        <v>525</v>
      </c>
      <c r="C27" s="14">
        <f>COUNTA(Donnees!$R$2:$R$401)</f>
        <v>400</v>
      </c>
      <c r="D27" s="14">
        <f>COUNTBLANK(Donnees!$R$2:$R$401)</f>
        <v>0</v>
      </c>
      <c r="E27" s="17">
        <f t="shared" si="0"/>
        <v>0</v>
      </c>
    </row>
    <row r="28" spans="1:5" x14ac:dyDescent="0.25">
      <c r="A28" s="15" t="s">
        <v>67</v>
      </c>
      <c r="B28" s="16" t="s">
        <v>534</v>
      </c>
      <c r="C28" s="14">
        <f>COUNTA(Donnees!$S$2:$S$401)</f>
        <v>400</v>
      </c>
      <c r="D28" s="14">
        <f>COUNTBLANK(Donnees!$S$2:$S$401)</f>
        <v>0</v>
      </c>
      <c r="E28" s="17">
        <f t="shared" si="0"/>
        <v>0</v>
      </c>
    </row>
    <row r="29" spans="1:5" x14ac:dyDescent="0.25">
      <c r="A29" s="15" t="s">
        <v>68</v>
      </c>
      <c r="B29" s="16" t="s">
        <v>530</v>
      </c>
      <c r="C29" s="14">
        <f>COUNTA(Donnees!$T$2:$T$401)</f>
        <v>400</v>
      </c>
      <c r="D29" s="14">
        <f>COUNTBLANK(Donnees!$T$2:$T$401)</f>
        <v>0</v>
      </c>
      <c r="E29" s="17">
        <f t="shared" si="0"/>
        <v>0</v>
      </c>
    </row>
    <row r="30" spans="1:5" x14ac:dyDescent="0.25">
      <c r="A30" s="15" t="s">
        <v>69</v>
      </c>
      <c r="B30" s="16" t="s">
        <v>530</v>
      </c>
      <c r="C30" s="14">
        <f>COUNTA(Donnees!$U$2:$U$401)</f>
        <v>400</v>
      </c>
      <c r="D30" s="14">
        <f>COUNTBLANK(Donnees!$U$2:$U$401)</f>
        <v>0</v>
      </c>
      <c r="E30" s="17">
        <f t="shared" si="0"/>
        <v>0</v>
      </c>
    </row>
    <row r="31" spans="1:5" x14ac:dyDescent="0.25">
      <c r="A31" s="15" t="s">
        <v>70</v>
      </c>
      <c r="B31" s="16" t="s">
        <v>543</v>
      </c>
      <c r="C31" s="14">
        <f>COUNTA(Donnees!$V$2:$V$401)</f>
        <v>400</v>
      </c>
      <c r="D31" s="14">
        <f>COUNTBLANK(Donnees!$V$2:$V$401)</f>
        <v>0</v>
      </c>
      <c r="E31" s="17">
        <f t="shared" si="0"/>
        <v>0</v>
      </c>
    </row>
    <row r="33" spans="1:8" ht="15.75" x14ac:dyDescent="0.25">
      <c r="A33" s="4" t="s">
        <v>607</v>
      </c>
      <c r="B33" s="5"/>
      <c r="C33" s="5"/>
      <c r="D33" s="5"/>
      <c r="E33" s="5"/>
      <c r="F33" s="5"/>
      <c r="G33" s="5"/>
      <c r="H33" s="5"/>
    </row>
    <row r="34" spans="1:8" x14ac:dyDescent="0.25">
      <c r="A34" s="6" t="s">
        <v>511</v>
      </c>
      <c r="B34" s="7" t="s">
        <v>608</v>
      </c>
      <c r="C34" s="7" t="s">
        <v>609</v>
      </c>
      <c r="D34" s="7" t="s">
        <v>610</v>
      </c>
      <c r="E34" s="7" t="s">
        <v>611</v>
      </c>
      <c r="F34" s="7" t="s">
        <v>612</v>
      </c>
      <c r="G34" s="7" t="s">
        <v>613</v>
      </c>
      <c r="H34" s="7" t="s">
        <v>614</v>
      </c>
    </row>
    <row r="35" spans="1:8" x14ac:dyDescent="0.25">
      <c r="A35" s="15" t="s">
        <v>50</v>
      </c>
      <c r="B35" s="14">
        <f>COUNT(Donnees!$B$2:$B$401)</f>
        <v>400</v>
      </c>
      <c r="C35" s="14">
        <f>MIN(Donnees!$B$2:$B$401)</f>
        <v>17</v>
      </c>
      <c r="D35" s="17">
        <f>QUARTILE(Donnees!$B$2:$B$401,1)</f>
        <v>23</v>
      </c>
      <c r="E35" s="17">
        <f>MEDIAN(Donnees!$B$2:$B$401)</f>
        <v>26</v>
      </c>
      <c r="F35" s="17">
        <f>AVERAGE(Donnees!$B$2:$B$401)</f>
        <v>26.405000000000001</v>
      </c>
      <c r="G35" s="17">
        <f>QUARTILE(Donnees!$B$2:$B$401,3)</f>
        <v>29</v>
      </c>
      <c r="H35" s="17">
        <f>MAX(Donnees!$B$2:$B$401)</f>
        <v>45</v>
      </c>
    </row>
    <row r="36" spans="1:8" x14ac:dyDescent="0.25">
      <c r="A36" s="15" t="s">
        <v>55</v>
      </c>
      <c r="B36" s="14">
        <f>COUNT(Donnees!$G$2:$G$401)</f>
        <v>400</v>
      </c>
      <c r="C36" s="14">
        <f>MIN(Donnees!$G$2:$G$401)</f>
        <v>1</v>
      </c>
      <c r="D36" s="17">
        <f>QUARTILE(Donnees!$G$2:$G$401,1)</f>
        <v>2</v>
      </c>
      <c r="E36" s="17">
        <f>MEDIAN(Donnees!$G$2:$G$401)</f>
        <v>2</v>
      </c>
      <c r="F36" s="17">
        <f>AVERAGE(Donnees!$G$2:$G$401)</f>
        <v>2.7475000000000001</v>
      </c>
      <c r="G36" s="17">
        <f>QUARTILE(Donnees!$G$2:$G$401,3)</f>
        <v>4</v>
      </c>
      <c r="H36" s="17">
        <f>MAX(Donnees!$G$2:$G$401)</f>
        <v>10</v>
      </c>
    </row>
    <row r="37" spans="1:8" x14ac:dyDescent="0.25">
      <c r="A37" s="15" t="s">
        <v>56</v>
      </c>
      <c r="B37" s="14">
        <f>COUNT(Donnees!$H$2:$H$401)</f>
        <v>400</v>
      </c>
      <c r="C37" s="14">
        <f>MIN(Donnees!$H$2:$H$401)</f>
        <v>0</v>
      </c>
      <c r="D37" s="17">
        <f>QUARTILE(Donnees!$H$2:$H$401,1)</f>
        <v>0</v>
      </c>
      <c r="E37" s="17">
        <f>MEDIAN(Donnees!$H$2:$H$401)</f>
        <v>1</v>
      </c>
      <c r="F37" s="17">
        <f>AVERAGE(Donnees!$H$2:$H$401)</f>
        <v>1.5725</v>
      </c>
      <c r="G37" s="17">
        <f>QUARTILE(Donnees!$H$2:$H$401,3)</f>
        <v>2</v>
      </c>
      <c r="H37" s="17">
        <f>MAX(Donnees!$H$2:$H$401)</f>
        <v>8</v>
      </c>
    </row>
    <row r="38" spans="1:8" x14ac:dyDescent="0.25">
      <c r="A38" s="15" t="s">
        <v>61</v>
      </c>
      <c r="B38" s="14">
        <f>COUNT(Donnees!$M$2:$M$401)</f>
        <v>400</v>
      </c>
      <c r="C38" s="14">
        <f>MIN(Donnees!$M$2:$M$401)</f>
        <v>21</v>
      </c>
      <c r="D38" s="17">
        <f>QUARTILE(Donnees!$M$2:$M$401,1)</f>
        <v>32</v>
      </c>
      <c r="E38" s="17">
        <f>MEDIAN(Donnees!$M$2:$M$401)</f>
        <v>35</v>
      </c>
      <c r="F38" s="17">
        <f>AVERAGE(Donnees!$M$2:$M$401)</f>
        <v>34.3675</v>
      </c>
      <c r="G38" s="17">
        <f>QUARTILE(Donnees!$M$2:$M$401,3)</f>
        <v>38</v>
      </c>
      <c r="H38" s="17">
        <f>MAX(Donnees!$M$2:$M$401)</f>
        <v>41</v>
      </c>
    </row>
    <row r="39" spans="1:8" x14ac:dyDescent="0.25">
      <c r="A39" s="15" t="s">
        <v>62</v>
      </c>
      <c r="B39" s="14">
        <f>COUNT(Donnees!$N$2:$N$401)</f>
        <v>390</v>
      </c>
      <c r="C39" s="14">
        <f>MIN(Donnees!$N$2:$N$401)</f>
        <v>0</v>
      </c>
      <c r="D39" s="17">
        <f>QUARTILE(Donnees!$N$2:$N$401,1)</f>
        <v>2</v>
      </c>
      <c r="E39" s="17">
        <f>MEDIAN(Donnees!$N$2:$N$401)</f>
        <v>3</v>
      </c>
      <c r="F39" s="17">
        <f>AVERAGE(Donnees!$N$2:$N$401)</f>
        <v>3.594871794871795</v>
      </c>
      <c r="G39" s="17">
        <f>QUARTILE(Donnees!$N$2:$N$401,3)</f>
        <v>5</v>
      </c>
      <c r="H39" s="17">
        <f>MAX(Donnees!$N$2:$N$401)</f>
        <v>10</v>
      </c>
    </row>
    <row r="40" spans="1:8" x14ac:dyDescent="0.25">
      <c r="A40" s="15" t="s">
        <v>64</v>
      </c>
      <c r="B40" s="14">
        <f>COUNT(Donnees!$P$2:$P$401)</f>
        <v>370</v>
      </c>
      <c r="C40" s="14">
        <f>MIN(Donnees!$P$2:$P$401)</f>
        <v>16</v>
      </c>
      <c r="D40" s="17">
        <f>QUARTILE(Donnees!$P$2:$P$401,1)</f>
        <v>21.4</v>
      </c>
      <c r="E40" s="17">
        <f>MEDIAN(Donnees!$P$2:$P$401)</f>
        <v>23.85</v>
      </c>
      <c r="F40" s="17">
        <f>AVERAGE(Donnees!$P$2:$P$401)</f>
        <v>24.169459459459475</v>
      </c>
      <c r="G40" s="17">
        <f>QUARTILE(Donnees!$P$2:$P$401,3)</f>
        <v>26.5</v>
      </c>
      <c r="H40" s="17">
        <f>MAX(Donnees!$P$2:$P$401)</f>
        <v>36.200000000000003</v>
      </c>
    </row>
    <row r="41" spans="1:8" x14ac:dyDescent="0.25">
      <c r="A41" s="15" t="s">
        <v>65</v>
      </c>
      <c r="B41" s="14">
        <f>COUNT(Donnees!$Q$2:$Q$401)</f>
        <v>400</v>
      </c>
      <c r="C41" s="14">
        <f>MIN(Donnees!$Q$2:$Q$401)</f>
        <v>90</v>
      </c>
      <c r="D41" s="17">
        <f>QUARTILE(Donnees!$Q$2:$Q$401,1)</f>
        <v>106</v>
      </c>
      <c r="E41" s="17">
        <f>MEDIAN(Donnees!$Q$2:$Q$401)</f>
        <v>112</v>
      </c>
      <c r="F41" s="17">
        <f>AVERAGE(Donnees!$Q$2:$Q$401)</f>
        <v>117.51</v>
      </c>
      <c r="G41" s="17">
        <f>QUARTILE(Donnees!$Q$2:$Q$401,3)</f>
        <v>121</v>
      </c>
      <c r="H41" s="17">
        <f>MAX(Donnees!$Q$2:$Q$401)</f>
        <v>180</v>
      </c>
    </row>
    <row r="42" spans="1:8" x14ac:dyDescent="0.25">
      <c r="A42" s="15" t="s">
        <v>66</v>
      </c>
      <c r="B42" s="14">
        <f>COUNT(Donnees!$R$2:$R$401)</f>
        <v>400</v>
      </c>
      <c r="C42" s="14">
        <f>MIN(Donnees!$R$2:$R$401)</f>
        <v>52</v>
      </c>
      <c r="D42" s="17">
        <f>QUARTILE(Donnees!$R$2:$R$401,1)</f>
        <v>66</v>
      </c>
      <c r="E42" s="17">
        <f>MEDIAN(Donnees!$R$2:$R$401)</f>
        <v>70</v>
      </c>
      <c r="F42" s="17">
        <f>AVERAGE(Donnees!$R$2:$R$401)</f>
        <v>73.412499999999994</v>
      </c>
      <c r="G42" s="17">
        <f>QUARTILE(Donnees!$R$2:$R$401,3)</f>
        <v>76</v>
      </c>
      <c r="H42" s="17">
        <f>MAX(Donnees!$R$2:$R$401)</f>
        <v>110</v>
      </c>
    </row>
    <row r="44" spans="1:8" ht="15.75" x14ac:dyDescent="0.25">
      <c r="A44" s="4" t="s">
        <v>615</v>
      </c>
      <c r="B44" s="5"/>
      <c r="C44" s="5"/>
      <c r="D44" s="5"/>
      <c r="E44" s="5"/>
      <c r="F44" s="5"/>
      <c r="G44" s="5"/>
      <c r="H44" s="5"/>
    </row>
    <row r="45" spans="1:8" ht="25.5" x14ac:dyDescent="0.25">
      <c r="A45" s="6" t="s">
        <v>49</v>
      </c>
      <c r="B45" s="7" t="s">
        <v>50</v>
      </c>
      <c r="C45" s="7" t="s">
        <v>52</v>
      </c>
      <c r="D45" s="7" t="s">
        <v>54</v>
      </c>
      <c r="E45" s="7" t="s">
        <v>56</v>
      </c>
      <c r="F45" s="7" t="s">
        <v>58</v>
      </c>
      <c r="G45" s="7" t="s">
        <v>61</v>
      </c>
      <c r="H45" s="7" t="s">
        <v>70</v>
      </c>
    </row>
    <row r="46" spans="1:8" x14ac:dyDescent="0.25">
      <c r="A46" s="14" t="str">
        <f>IF(Donnees!A2="","",Donnees!A2)</f>
        <v>F001</v>
      </c>
      <c r="B46" s="14">
        <f>IF(Donnees!B2="","",Donnees!B2)</f>
        <v>24</v>
      </c>
      <c r="C46" s="14" t="str">
        <f>IF(Donnees!D2="","",Donnees!D2)</f>
        <v>Secondaire</v>
      </c>
      <c r="D46" s="14" t="str">
        <f>IF(Donnees!F2="","",Donnees!F2)</f>
        <v>Urbain</v>
      </c>
      <c r="E46" s="14">
        <f>IF(Donnees!H2="","",Donnees!H2)</f>
        <v>2</v>
      </c>
      <c r="F46" s="14" t="str">
        <f>IF(Donnees!J2="","",Donnees!J2)</f>
        <v>Non</v>
      </c>
      <c r="G46" s="14">
        <f>IF(Donnees!M2="","",Donnees!M2)</f>
        <v>36</v>
      </c>
      <c r="H46" s="14" t="str">
        <f>IF(Donnees!V2="","",Donnees!V2)</f>
        <v>Non</v>
      </c>
    </row>
    <row r="47" spans="1:8" x14ac:dyDescent="0.25">
      <c r="A47" s="14" t="str">
        <f>IF(Donnees!A3="","",Donnees!A3)</f>
        <v>F002</v>
      </c>
      <c r="B47" s="14">
        <f>IF(Donnees!B3="","",Donnees!B3)</f>
        <v>24</v>
      </c>
      <c r="C47" s="14" t="str">
        <f>IF(Donnees!D3="","",Donnees!D3)</f>
        <v>Secondaire</v>
      </c>
      <c r="D47" s="14" t="str">
        <f>IF(Donnees!F3="","",Donnees!F3)</f>
        <v>Urbain</v>
      </c>
      <c r="E47" s="14">
        <f>IF(Donnees!H3="","",Donnees!H3)</f>
        <v>1</v>
      </c>
      <c r="F47" s="14" t="str">
        <f>IF(Donnees!J3="","",Donnees!J3)</f>
        <v>Non</v>
      </c>
      <c r="G47" s="14">
        <f>IF(Donnees!M3="","",Donnees!M3)</f>
        <v>40</v>
      </c>
      <c r="H47" s="14" t="str">
        <f>IF(Donnees!V3="","",Donnees!V3)</f>
        <v>Non</v>
      </c>
    </row>
    <row r="48" spans="1:8" x14ac:dyDescent="0.25">
      <c r="A48" s="14" t="str">
        <f>IF(Donnees!A4="","",Donnees!A4)</f>
        <v>F003</v>
      </c>
      <c r="B48" s="14">
        <f>IF(Donnees!B4="","",Donnees!B4)</f>
        <v>34</v>
      </c>
      <c r="C48" s="14" t="str">
        <f>IF(Donnees!D4="","",Donnees!D4)</f>
        <v>Primaire</v>
      </c>
      <c r="D48" s="14" t="str">
        <f>IF(Donnees!F4="","",Donnees!F4)</f>
        <v>Rural</v>
      </c>
      <c r="E48" s="14">
        <f>IF(Donnees!H4="","",Donnees!H4)</f>
        <v>0</v>
      </c>
      <c r="F48" s="14" t="str">
        <f>IF(Donnees!J4="","",Donnees!J4)</f>
        <v>Non</v>
      </c>
      <c r="G48" s="14">
        <f>IF(Donnees!M4="","",Donnees!M4)</f>
        <v>33</v>
      </c>
      <c r="H48" s="14" t="str">
        <f>IF(Donnees!V4="","",Donnees!V4)</f>
        <v>Non</v>
      </c>
    </row>
    <row r="49" spans="1:8" x14ac:dyDescent="0.25">
      <c r="A49" s="14" t="str">
        <f>IF(Donnees!A5="","",Donnees!A5)</f>
        <v>F004</v>
      </c>
      <c r="B49" s="14">
        <f>IF(Donnees!B5="","",Donnees!B5)</f>
        <v>20</v>
      </c>
      <c r="C49" s="14" t="str">
        <f>IF(Donnees!D5="","",Donnees!D5)</f>
        <v>Secondaire</v>
      </c>
      <c r="D49" s="14" t="str">
        <f>IF(Donnees!F5="","",Donnees!F5)</f>
        <v>Rural</v>
      </c>
      <c r="E49" s="14">
        <f>IF(Donnees!H5="","",Donnees!H5)</f>
        <v>0</v>
      </c>
      <c r="F49" s="14" t="str">
        <f>IF(Donnees!J5="","",Donnees!J5)</f>
        <v>Non</v>
      </c>
      <c r="G49" s="14">
        <f>IF(Donnees!M5="","",Donnees!M5)</f>
        <v>34</v>
      </c>
      <c r="H49" s="14" t="str">
        <f>IF(Donnees!V5="","",Donnees!V5)</f>
        <v>Non</v>
      </c>
    </row>
    <row r="50" spans="1:8" x14ac:dyDescent="0.25">
      <c r="A50" s="14" t="str">
        <f>IF(Donnees!A6="","",Donnees!A6)</f>
        <v>F005</v>
      </c>
      <c r="B50" s="14">
        <f>IF(Donnees!B6="","",Donnees!B6)</f>
        <v>20</v>
      </c>
      <c r="C50" s="14" t="str">
        <f>IF(Donnees!D6="","",Donnees!D6)</f>
        <v>Secondaire</v>
      </c>
      <c r="D50" s="14" t="str">
        <f>IF(Donnees!F6="","",Donnees!F6)</f>
        <v>Urbain</v>
      </c>
      <c r="E50" s="14">
        <f>IF(Donnees!H6="","",Donnees!H6)</f>
        <v>0</v>
      </c>
      <c r="F50" s="14" t="str">
        <f>IF(Donnees!J6="","",Donnees!J6)</f>
        <v>Non</v>
      </c>
      <c r="G50" s="14">
        <f>IF(Donnees!M6="","",Donnees!M6)</f>
        <v>33</v>
      </c>
      <c r="H50" s="14" t="str">
        <f>IF(Donnees!V6="","",Donnees!V6)</f>
        <v>Non</v>
      </c>
    </row>
    <row r="51" spans="1:8" x14ac:dyDescent="0.25">
      <c r="A51" s="14" t="str">
        <f>IF(Donnees!A7="","",Donnees!A7)</f>
        <v>F006</v>
      </c>
      <c r="B51" s="14">
        <f>IF(Donnees!B7="","",Donnees!B7)</f>
        <v>24</v>
      </c>
      <c r="C51" s="14" t="str">
        <f>IF(Donnees!D7="","",Donnees!D7)</f>
        <v>Secondaire</v>
      </c>
      <c r="D51" s="14" t="str">
        <f>IF(Donnees!F7="","",Donnees!F7)</f>
        <v>Rural</v>
      </c>
      <c r="E51" s="14">
        <f>IF(Donnees!H7="","",Donnees!H7)</f>
        <v>0</v>
      </c>
      <c r="F51" s="14" t="str">
        <f>IF(Donnees!J7="","",Donnees!J7)</f>
        <v>Non</v>
      </c>
      <c r="G51" s="14">
        <f>IF(Donnees!M7="","",Donnees!M7)</f>
        <v>35</v>
      </c>
      <c r="H51" s="14" t="str">
        <f>IF(Donnees!V7="","",Donnees!V7)</f>
        <v>Non</v>
      </c>
    </row>
  </sheetData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66"/>
  <sheetViews>
    <sheetView showGridLines="0" tabSelected="1" topLeftCell="A22" zoomScale="190" zoomScaleNormal="190" workbookViewId="0">
      <selection activeCell="I8" sqref="I8"/>
    </sheetView>
  </sheetViews>
  <sheetFormatPr baseColWidth="10" defaultColWidth="9.140625" defaultRowHeight="15" x14ac:dyDescent="0.25"/>
  <cols>
    <col min="1" max="1" width="26" customWidth="1"/>
    <col min="2" max="2" width="22" customWidth="1"/>
    <col min="3" max="3" width="16" customWidth="1"/>
    <col min="4" max="6" width="20" customWidth="1"/>
    <col min="7" max="7" width="12" customWidth="1"/>
  </cols>
  <sheetData>
    <row r="1" spans="1:8" ht="26.1" customHeight="1" x14ac:dyDescent="0.35">
      <c r="A1" s="1" t="s">
        <v>616</v>
      </c>
    </row>
    <row r="2" spans="1:8" x14ac:dyDescent="0.25">
      <c r="A2" s="2" t="s">
        <v>617</v>
      </c>
    </row>
    <row r="4" spans="1:8" ht="15.75" x14ac:dyDescent="0.25">
      <c r="A4" s="4" t="s">
        <v>618</v>
      </c>
      <c r="B4" s="5"/>
      <c r="C4" s="5"/>
      <c r="D4" s="5"/>
      <c r="E4" s="5"/>
      <c r="F4" s="5"/>
      <c r="G4" s="5"/>
      <c r="H4" s="5"/>
    </row>
    <row r="5" spans="1:8" x14ac:dyDescent="0.25">
      <c r="A5" s="6" t="s">
        <v>619</v>
      </c>
      <c r="B5" s="7" t="s">
        <v>620</v>
      </c>
      <c r="D5" s="10" t="s">
        <v>621</v>
      </c>
    </row>
    <row r="6" spans="1:8" x14ac:dyDescent="0.25">
      <c r="A6" s="16" t="s">
        <v>622</v>
      </c>
      <c r="B6" s="18">
        <f>COUNT(Donnees!$B$2:$B$401)</f>
        <v>400</v>
      </c>
      <c r="D6" s="6" t="s">
        <v>623</v>
      </c>
      <c r="E6" s="7" t="s">
        <v>624</v>
      </c>
      <c r="F6" s="7" t="s">
        <v>625</v>
      </c>
      <c r="G6" s="7" t="s">
        <v>626</v>
      </c>
    </row>
    <row r="7" spans="1:8" x14ac:dyDescent="0.25">
      <c r="A7" s="16" t="s">
        <v>612</v>
      </c>
      <c r="B7" s="19">
        <f>AVERAGE(Donnees!$B$2:$B$401)</f>
        <v>26.405000000000001</v>
      </c>
      <c r="D7" s="14" t="str">
        <f t="shared" ref="D7:D22" si="0">(E7+1)&amp;"-"&amp;F7</f>
        <v>15-16</v>
      </c>
      <c r="E7" s="14">
        <v>14</v>
      </c>
      <c r="F7" s="14">
        <f t="shared" ref="F7:F22" si="1">E7+2</f>
        <v>16</v>
      </c>
      <c r="G7" s="20">
        <f>COUNTIFS(Donnees!$B$2:$B$401,"&gt;"&amp;E7,Donnees!$B$2:$B$401,"&lt;="&amp;F7)</f>
        <v>0</v>
      </c>
    </row>
    <row r="8" spans="1:8" x14ac:dyDescent="0.25">
      <c r="A8" s="16" t="s">
        <v>627</v>
      </c>
      <c r="B8" s="19">
        <f>STDEV(Donnees!$B$2:$B$401)</f>
        <v>4.9413578643789489</v>
      </c>
      <c r="D8" s="14" t="str">
        <f t="shared" si="0"/>
        <v>17-18</v>
      </c>
      <c r="E8" s="14">
        <v>16</v>
      </c>
      <c r="F8" s="14">
        <f t="shared" si="1"/>
        <v>18</v>
      </c>
      <c r="G8" s="20">
        <f>COUNTIFS(Donnees!$B$2:$B$401,"&gt;"&amp;E8,Donnees!$B$2:$B$401,"&lt;="&amp;F8)</f>
        <v>7</v>
      </c>
    </row>
    <row r="9" spans="1:8" x14ac:dyDescent="0.25">
      <c r="A9" s="16" t="s">
        <v>611</v>
      </c>
      <c r="B9" s="19">
        <f>MEDIAN(Donnees!$B$2:$B$401)</f>
        <v>26</v>
      </c>
      <c r="D9" s="14" t="str">
        <f t="shared" si="0"/>
        <v>19-20</v>
      </c>
      <c r="E9" s="14">
        <v>18</v>
      </c>
      <c r="F9" s="14">
        <f t="shared" si="1"/>
        <v>20</v>
      </c>
      <c r="G9" s="20">
        <f>COUNTIFS(Donnees!$B$2:$B$401,"&gt;"&amp;E9,Donnees!$B$2:$B$401,"&lt;="&amp;F9)</f>
        <v>32</v>
      </c>
    </row>
    <row r="10" spans="1:8" x14ac:dyDescent="0.25">
      <c r="A10" s="16" t="s">
        <v>609</v>
      </c>
      <c r="B10" s="18">
        <f>MIN(Donnees!$B$2:$B$401)</f>
        <v>17</v>
      </c>
      <c r="D10" s="14" t="str">
        <f t="shared" si="0"/>
        <v>21-22</v>
      </c>
      <c r="E10" s="14">
        <v>20</v>
      </c>
      <c r="F10" s="14">
        <f t="shared" si="1"/>
        <v>22</v>
      </c>
      <c r="G10" s="20">
        <f>COUNTIFS(Donnees!$B$2:$B$401,"&gt;"&amp;E10,Donnees!$B$2:$B$401,"&lt;="&amp;F10)</f>
        <v>44</v>
      </c>
    </row>
    <row r="11" spans="1:8" x14ac:dyDescent="0.25">
      <c r="A11" s="16" t="s">
        <v>614</v>
      </c>
      <c r="B11" s="18">
        <f>MAX(Donnees!$B$2:$B$401)</f>
        <v>45</v>
      </c>
      <c r="D11" s="14" t="str">
        <f t="shared" si="0"/>
        <v>23-24</v>
      </c>
      <c r="E11" s="14">
        <v>22</v>
      </c>
      <c r="F11" s="14">
        <f t="shared" si="1"/>
        <v>24</v>
      </c>
      <c r="G11" s="20">
        <f>COUNTIFS(Donnees!$B$2:$B$401,"&gt;"&amp;E11,Donnees!$B$2:$B$401,"&lt;="&amp;F11)</f>
        <v>72</v>
      </c>
    </row>
    <row r="12" spans="1:8" x14ac:dyDescent="0.25">
      <c r="A12" s="48" t="str">
        <f>"Âge moyen : "&amp;FIXED(B7,1)&amp;" ans (écart-type : "&amp;FIXED(B8,1)&amp;"). Médiane : "&amp;B9&amp;" ans ; minimum : "&amp;B10&amp;" ; maximum : "&amp;B11&amp;"."</f>
        <v>Âge moyen : 26,4 ans (écart-type : 4,9). Médiane : 26 ans ; minimum : 17 ; maximum : 45.</v>
      </c>
      <c r="D12" s="14" t="str">
        <f t="shared" si="0"/>
        <v>25-26</v>
      </c>
      <c r="E12" s="14">
        <v>24</v>
      </c>
      <c r="F12" s="14">
        <f t="shared" si="1"/>
        <v>26</v>
      </c>
      <c r="G12" s="20">
        <f>COUNTIFS(Donnees!$B$2:$B$401,"&gt;"&amp;E12,Donnees!$B$2:$B$401,"&lt;="&amp;F12)</f>
        <v>66</v>
      </c>
    </row>
    <row r="13" spans="1:8" x14ac:dyDescent="0.25">
      <c r="D13" s="14" t="str">
        <f t="shared" si="0"/>
        <v>27-28</v>
      </c>
      <c r="E13" s="14">
        <v>26</v>
      </c>
      <c r="F13" s="14">
        <f t="shared" si="1"/>
        <v>28</v>
      </c>
      <c r="G13" s="20">
        <f>COUNTIFS(Donnees!$B$2:$B$401,"&gt;"&amp;E13,Donnees!$B$2:$B$401,"&lt;="&amp;F13)</f>
        <v>66</v>
      </c>
    </row>
    <row r="14" spans="1:8" x14ac:dyDescent="0.25">
      <c r="D14" s="14" t="str">
        <f t="shared" si="0"/>
        <v>29-30</v>
      </c>
      <c r="E14" s="14">
        <v>28</v>
      </c>
      <c r="F14" s="14">
        <f t="shared" si="1"/>
        <v>30</v>
      </c>
      <c r="G14" s="20">
        <f>COUNTIFS(Donnees!$B$2:$B$401,"&gt;"&amp;E14,Donnees!$B$2:$B$401,"&lt;="&amp;F14)</f>
        <v>41</v>
      </c>
    </row>
    <row r="15" spans="1:8" x14ac:dyDescent="0.25">
      <c r="D15" s="14" t="str">
        <f t="shared" si="0"/>
        <v>31-32</v>
      </c>
      <c r="E15" s="14">
        <v>30</v>
      </c>
      <c r="F15" s="14">
        <f t="shared" si="1"/>
        <v>32</v>
      </c>
      <c r="G15" s="20">
        <f>COUNTIFS(Donnees!$B$2:$B$401,"&gt;"&amp;E15,Donnees!$B$2:$B$401,"&lt;="&amp;F15)</f>
        <v>26</v>
      </c>
    </row>
    <row r="16" spans="1:8" x14ac:dyDescent="0.25">
      <c r="D16" s="14" t="str">
        <f t="shared" si="0"/>
        <v>33-34</v>
      </c>
      <c r="E16" s="14">
        <v>32</v>
      </c>
      <c r="F16" s="14">
        <f t="shared" si="1"/>
        <v>34</v>
      </c>
      <c r="G16" s="20">
        <f>COUNTIFS(Donnees!$B$2:$B$401,"&gt;"&amp;E16,Donnees!$B$2:$B$401,"&lt;="&amp;F16)</f>
        <v>21</v>
      </c>
    </row>
    <row r="17" spans="1:8" x14ac:dyDescent="0.25">
      <c r="D17" s="14" t="str">
        <f t="shared" si="0"/>
        <v>35-36</v>
      </c>
      <c r="E17" s="14">
        <v>34</v>
      </c>
      <c r="F17" s="14">
        <f t="shared" si="1"/>
        <v>36</v>
      </c>
      <c r="G17" s="20">
        <f>COUNTIFS(Donnees!$B$2:$B$401,"&gt;"&amp;E17,Donnees!$B$2:$B$401,"&lt;="&amp;F17)</f>
        <v>10</v>
      </c>
    </row>
    <row r="18" spans="1:8" x14ac:dyDescent="0.25">
      <c r="D18" s="14" t="str">
        <f t="shared" si="0"/>
        <v>37-38</v>
      </c>
      <c r="E18" s="14">
        <v>36</v>
      </c>
      <c r="F18" s="14">
        <f t="shared" si="1"/>
        <v>38</v>
      </c>
      <c r="G18" s="20">
        <f>COUNTIFS(Donnees!$B$2:$B$401,"&gt;"&amp;E18,Donnees!$B$2:$B$401,"&lt;="&amp;F18)</f>
        <v>5</v>
      </c>
    </row>
    <row r="19" spans="1:8" x14ac:dyDescent="0.25">
      <c r="D19" s="14" t="str">
        <f t="shared" si="0"/>
        <v>39-40</v>
      </c>
      <c r="E19" s="14">
        <v>38</v>
      </c>
      <c r="F19" s="14">
        <f t="shared" si="1"/>
        <v>40</v>
      </c>
      <c r="G19" s="20">
        <f>COUNTIFS(Donnees!$B$2:$B$401,"&gt;"&amp;E19,Donnees!$B$2:$B$401,"&lt;="&amp;F19)</f>
        <v>4</v>
      </c>
    </row>
    <row r="20" spans="1:8" x14ac:dyDescent="0.25">
      <c r="D20" s="14" t="str">
        <f t="shared" si="0"/>
        <v>41-42</v>
      </c>
      <c r="E20" s="14">
        <v>40</v>
      </c>
      <c r="F20" s="14">
        <f t="shared" si="1"/>
        <v>42</v>
      </c>
      <c r="G20" s="20">
        <f>COUNTIFS(Donnees!$B$2:$B$401,"&gt;"&amp;E20,Donnees!$B$2:$B$401,"&lt;="&amp;F20)</f>
        <v>3</v>
      </c>
    </row>
    <row r="21" spans="1:8" x14ac:dyDescent="0.25">
      <c r="D21" s="14" t="str">
        <f t="shared" si="0"/>
        <v>43-44</v>
      </c>
      <c r="E21" s="14">
        <v>42</v>
      </c>
      <c r="F21" s="14">
        <f t="shared" si="1"/>
        <v>44</v>
      </c>
      <c r="G21" s="20">
        <f>COUNTIFS(Donnees!$B$2:$B$401,"&gt;"&amp;E21,Donnees!$B$2:$B$401,"&lt;="&amp;F21)</f>
        <v>1</v>
      </c>
    </row>
    <row r="22" spans="1:8" x14ac:dyDescent="0.25">
      <c r="D22" s="14" t="str">
        <f t="shared" si="0"/>
        <v>45-46</v>
      </c>
      <c r="E22" s="14">
        <v>44</v>
      </c>
      <c r="F22" s="14">
        <f t="shared" si="1"/>
        <v>46</v>
      </c>
      <c r="G22" s="20">
        <f>COUNTIFS(Donnees!$B$2:$B$401,"&gt;"&amp;E22,Donnees!$B$2:$B$401,"&lt;="&amp;F22)</f>
        <v>2</v>
      </c>
    </row>
    <row r="23" spans="1:8" x14ac:dyDescent="0.25">
      <c r="D23" s="13" t="s">
        <v>628</v>
      </c>
      <c r="G23" s="22">
        <f>SUM(G7:G22)</f>
        <v>400</v>
      </c>
    </row>
    <row r="24" spans="1:8" ht="15.75" x14ac:dyDescent="0.25">
      <c r="A24" s="4" t="s">
        <v>629</v>
      </c>
      <c r="B24" s="5"/>
      <c r="C24" s="5"/>
      <c r="D24" s="5"/>
      <c r="E24" s="5"/>
      <c r="F24" s="5"/>
      <c r="G24" s="5"/>
      <c r="H24" s="5"/>
    </row>
    <row r="25" spans="1:8" x14ac:dyDescent="0.25">
      <c r="A25" s="6" t="s">
        <v>511</v>
      </c>
      <c r="B25" s="7" t="s">
        <v>630</v>
      </c>
      <c r="C25" s="7" t="s">
        <v>626</v>
      </c>
      <c r="D25" s="7" t="s">
        <v>631</v>
      </c>
    </row>
    <row r="26" spans="1:8" x14ac:dyDescent="0.25">
      <c r="A26" s="15" t="s">
        <v>632</v>
      </c>
      <c r="B26" s="16" t="s">
        <v>633</v>
      </c>
      <c r="C26" s="14">
        <f>COUNTIF(Donnees!$W$2:$W$401,B26)</f>
        <v>21</v>
      </c>
      <c r="D26" s="17">
        <f>C26/SUM($C$26:$C$29)*100</f>
        <v>5.25</v>
      </c>
    </row>
    <row r="27" spans="1:8" x14ac:dyDescent="0.25">
      <c r="A27" s="15"/>
      <c r="B27" s="16" t="s">
        <v>634</v>
      </c>
      <c r="C27" s="14">
        <f>COUNTIF(Donnees!$W$2:$W$401,B27)</f>
        <v>289</v>
      </c>
      <c r="D27" s="17">
        <f>C27/SUM($C$26:$C$29)*100</f>
        <v>72.25</v>
      </c>
    </row>
    <row r="28" spans="1:8" x14ac:dyDescent="0.25">
      <c r="A28" s="15"/>
      <c r="B28" s="16" t="s">
        <v>635</v>
      </c>
      <c r="C28" s="14">
        <f>COUNTIF(Donnees!$W$2:$W$401,B28)</f>
        <v>65</v>
      </c>
      <c r="D28" s="17">
        <f>C28/SUM($C$26:$C$29)*100</f>
        <v>16.25</v>
      </c>
    </row>
    <row r="29" spans="1:8" x14ac:dyDescent="0.25">
      <c r="A29" s="15"/>
      <c r="B29" s="16" t="s">
        <v>636</v>
      </c>
      <c r="C29" s="14">
        <f>COUNTIF(Donnees!$W$2:$W$401,B29)</f>
        <v>25</v>
      </c>
      <c r="D29" s="17">
        <f>C29/SUM($C$26:$C$29)*100</f>
        <v>6.25</v>
      </c>
    </row>
    <row r="30" spans="1:8" x14ac:dyDescent="0.25">
      <c r="A30" s="15" t="s">
        <v>529</v>
      </c>
      <c r="B30" s="16" t="s">
        <v>98</v>
      </c>
      <c r="C30" s="14">
        <f>COUNTIF(Donnees!$C$2:$C$401,B30)</f>
        <v>68</v>
      </c>
      <c r="D30" s="17">
        <f>C30/SUM($C$30:$C$33)*100</f>
        <v>17</v>
      </c>
    </row>
    <row r="31" spans="1:8" x14ac:dyDescent="0.25">
      <c r="A31" s="15"/>
      <c r="B31" s="16" t="s">
        <v>79</v>
      </c>
      <c r="C31" s="14">
        <f>COUNTIF(Donnees!$C$2:$C$401,B31)</f>
        <v>255</v>
      </c>
      <c r="D31" s="17">
        <f>C31/SUM($C$30:$C$33)*100</f>
        <v>63.749999999999993</v>
      </c>
    </row>
    <row r="32" spans="1:8" x14ac:dyDescent="0.25">
      <c r="A32" s="15"/>
      <c r="B32" s="16" t="s">
        <v>89</v>
      </c>
      <c r="C32" s="14">
        <f>COUNTIF(Donnees!$C$2:$C$401,B32)</f>
        <v>69</v>
      </c>
      <c r="D32" s="17">
        <f>C32/SUM($C$30:$C$33)*100</f>
        <v>17.25</v>
      </c>
    </row>
    <row r="33" spans="1:4" x14ac:dyDescent="0.25">
      <c r="A33" s="15"/>
      <c r="B33" s="16" t="s">
        <v>173</v>
      </c>
      <c r="C33" s="14">
        <f>COUNTIF(Donnees!$C$2:$C$401,B33)</f>
        <v>8</v>
      </c>
      <c r="D33" s="17">
        <f>C33/SUM($C$30:$C$33)*100</f>
        <v>2</v>
      </c>
    </row>
    <row r="34" spans="1:4" x14ac:dyDescent="0.25">
      <c r="A34" s="15" t="s">
        <v>637</v>
      </c>
      <c r="B34" s="16" t="s">
        <v>124</v>
      </c>
      <c r="C34" s="14">
        <f>COUNTIF(Donnees!$D$2:$D$401,B34)</f>
        <v>53</v>
      </c>
      <c r="D34" s="17">
        <f>C34/SUM($C$34:$C$37)*100</f>
        <v>13.451776649746192</v>
      </c>
    </row>
    <row r="35" spans="1:4" x14ac:dyDescent="0.25">
      <c r="A35" s="15"/>
      <c r="B35" s="16" t="s">
        <v>93</v>
      </c>
      <c r="C35" s="14">
        <f>COUNTIF(Donnees!$D$2:$D$401,B35)</f>
        <v>121</v>
      </c>
      <c r="D35" s="17">
        <f>C35/SUM($C$34:$C$37)*100</f>
        <v>30.710659898477154</v>
      </c>
    </row>
    <row r="36" spans="1:4" x14ac:dyDescent="0.25">
      <c r="A36" s="15"/>
      <c r="B36" s="16" t="s">
        <v>80</v>
      </c>
      <c r="C36" s="14">
        <f>COUNTIF(Donnees!$D$2:$D$401,B36)</f>
        <v>177</v>
      </c>
      <c r="D36" s="17">
        <f>C36/SUM($C$34:$C$37)*100</f>
        <v>44.923857868020306</v>
      </c>
    </row>
    <row r="37" spans="1:4" x14ac:dyDescent="0.25">
      <c r="A37" s="15"/>
      <c r="B37" s="16" t="s">
        <v>109</v>
      </c>
      <c r="C37" s="14">
        <f>COUNTIF(Donnees!$D$2:$D$401,B37)</f>
        <v>43</v>
      </c>
      <c r="D37" s="17">
        <f>C37/SUM($C$34:$C$37)*100</f>
        <v>10.913705583756345</v>
      </c>
    </row>
    <row r="38" spans="1:4" x14ac:dyDescent="0.25">
      <c r="A38" s="23"/>
      <c r="B38" s="24" t="s">
        <v>638</v>
      </c>
      <c r="C38" s="25">
        <f>COUNTBLANK(Donnees!$D$2:$D$401)</f>
        <v>6</v>
      </c>
      <c r="D38" s="23"/>
    </row>
    <row r="39" spans="1:4" x14ac:dyDescent="0.25">
      <c r="A39" s="15" t="s">
        <v>639</v>
      </c>
      <c r="B39" s="16" t="s">
        <v>101</v>
      </c>
      <c r="C39" s="14">
        <f>COUNTIF(Donnees!$E$2:$E$401,B39)</f>
        <v>51</v>
      </c>
      <c r="D39" s="17">
        <f t="shared" ref="D39:D44" si="2">C39/SUM($C$39:$C$44)*100</f>
        <v>13.010204081632654</v>
      </c>
    </row>
    <row r="40" spans="1:4" x14ac:dyDescent="0.25">
      <c r="A40" s="15"/>
      <c r="B40" s="16" t="s">
        <v>112</v>
      </c>
      <c r="C40" s="14">
        <f>COUNTIF(Donnees!$E$2:$E$401,B40)</f>
        <v>42</v>
      </c>
      <c r="D40" s="17">
        <f t="shared" si="2"/>
        <v>10.714285714285714</v>
      </c>
    </row>
    <row r="41" spans="1:4" x14ac:dyDescent="0.25">
      <c r="A41" s="15"/>
      <c r="B41" s="16" t="s">
        <v>96</v>
      </c>
      <c r="C41" s="14">
        <f>COUNTIF(Donnees!$E$2:$E$401,B41)</f>
        <v>125</v>
      </c>
      <c r="D41" s="17">
        <f t="shared" si="2"/>
        <v>31.887755102040817</v>
      </c>
    </row>
    <row r="42" spans="1:4" x14ac:dyDescent="0.25">
      <c r="A42" s="15"/>
      <c r="B42" s="16" t="s">
        <v>90</v>
      </c>
      <c r="C42" s="14">
        <f>COUNTIF(Donnees!$E$2:$E$401,B42)</f>
        <v>35</v>
      </c>
      <c r="D42" s="17">
        <f t="shared" si="2"/>
        <v>8.9285714285714288</v>
      </c>
    </row>
    <row r="43" spans="1:4" x14ac:dyDescent="0.25">
      <c r="A43" s="15"/>
      <c r="B43" s="16" t="s">
        <v>81</v>
      </c>
      <c r="C43" s="14">
        <f>COUNTIF(Donnees!$E$2:$E$401,B43)</f>
        <v>122</v>
      </c>
      <c r="D43" s="17">
        <f t="shared" si="2"/>
        <v>31.122448979591837</v>
      </c>
    </row>
    <row r="44" spans="1:4" x14ac:dyDescent="0.25">
      <c r="A44" s="15"/>
      <c r="B44" s="16" t="s">
        <v>99</v>
      </c>
      <c r="C44" s="14">
        <f>COUNTIF(Donnees!$E$2:$E$401,B44)</f>
        <v>17</v>
      </c>
      <c r="D44" s="17">
        <f t="shared" si="2"/>
        <v>4.3367346938775508</v>
      </c>
    </row>
    <row r="45" spans="1:4" x14ac:dyDescent="0.25">
      <c r="A45" s="23"/>
      <c r="B45" s="24" t="s">
        <v>638</v>
      </c>
      <c r="C45" s="25">
        <f>COUNTBLANK(Donnees!$E$2:$E$401)</f>
        <v>8</v>
      </c>
      <c r="D45" s="23"/>
    </row>
    <row r="46" spans="1:4" x14ac:dyDescent="0.25">
      <c r="A46" s="15" t="s">
        <v>542</v>
      </c>
      <c r="B46" s="16" t="s">
        <v>82</v>
      </c>
      <c r="C46" s="14">
        <f>COUNTIF(Donnees!$F$2:$F$401,B46)</f>
        <v>238</v>
      </c>
      <c r="D46" s="17">
        <f>C46/SUM($C$46:$C$47)*100</f>
        <v>59.5</v>
      </c>
    </row>
    <row r="47" spans="1:4" x14ac:dyDescent="0.25">
      <c r="A47" s="15"/>
      <c r="B47" s="16" t="s">
        <v>94</v>
      </c>
      <c r="C47" s="14">
        <f>COUNTIF(Donnees!$F$2:$F$401,B47)</f>
        <v>162</v>
      </c>
      <c r="D47" s="17">
        <f>C47/SUM($C$46:$C$47)*100</f>
        <v>40.5</v>
      </c>
    </row>
    <row r="49" spans="1:8" ht="15.75" x14ac:dyDescent="0.25">
      <c r="A49" s="4" t="s">
        <v>640</v>
      </c>
      <c r="B49" s="5"/>
      <c r="C49" s="5"/>
      <c r="D49" s="5"/>
      <c r="E49" s="5"/>
      <c r="F49" s="5"/>
      <c r="G49" s="5"/>
      <c r="H49" s="5"/>
    </row>
    <row r="50" spans="1:8" x14ac:dyDescent="0.25">
      <c r="A50" s="6" t="s">
        <v>511</v>
      </c>
      <c r="B50" s="7" t="s">
        <v>608</v>
      </c>
      <c r="C50" s="7" t="s">
        <v>612</v>
      </c>
      <c r="D50" s="7" t="s">
        <v>627</v>
      </c>
      <c r="E50" s="7" t="s">
        <v>611</v>
      </c>
      <c r="F50" s="7" t="s">
        <v>609</v>
      </c>
      <c r="G50" s="7" t="s">
        <v>614</v>
      </c>
    </row>
    <row r="51" spans="1:8" x14ac:dyDescent="0.25">
      <c r="A51" s="15" t="s">
        <v>641</v>
      </c>
      <c r="B51" s="14">
        <f>COUNT(Donnees!$G$2:$G$401)</f>
        <v>400</v>
      </c>
      <c r="C51" s="17">
        <f>AVERAGE(Donnees!$G$2:$G$401)</f>
        <v>2.7475000000000001</v>
      </c>
      <c r="D51" s="17">
        <f>STDEV(Donnees!$G$2:$G$401)</f>
        <v>1.5474917048052641</v>
      </c>
      <c r="E51" s="17">
        <f>MEDIAN(Donnees!$G$2:$G$401)</f>
        <v>2</v>
      </c>
      <c r="F51" s="14">
        <f>MIN(Donnees!$G$2:$G$401)</f>
        <v>1</v>
      </c>
      <c r="G51" s="14">
        <f>MAX(Donnees!$G$2:$G$401)</f>
        <v>10</v>
      </c>
    </row>
    <row r="52" spans="1:8" x14ac:dyDescent="0.25">
      <c r="A52" s="15" t="s">
        <v>642</v>
      </c>
      <c r="B52" s="14">
        <f>COUNT(Donnees!$H$2:$H$401)</f>
        <v>400</v>
      </c>
      <c r="C52" s="17">
        <f>AVERAGE(Donnees!$H$2:$H$401)</f>
        <v>1.5725</v>
      </c>
      <c r="D52" s="17">
        <f>STDEV(Donnees!$H$2:$H$401)</f>
        <v>1.516738272566718</v>
      </c>
      <c r="E52" s="17">
        <f>MEDIAN(Donnees!$H$2:$H$401)</f>
        <v>1</v>
      </c>
      <c r="F52" s="14">
        <f>MIN(Donnees!$H$2:$H$401)</f>
        <v>0</v>
      </c>
      <c r="G52" s="14">
        <f>MAX(Donnees!$H$2:$H$401)</f>
        <v>8</v>
      </c>
    </row>
    <row r="53" spans="1:8" x14ac:dyDescent="0.25">
      <c r="A53" s="15" t="s">
        <v>643</v>
      </c>
      <c r="B53" s="14">
        <f>COUNT(Donnees!$N$2:$N$401)</f>
        <v>390</v>
      </c>
      <c r="C53" s="17">
        <f>AVERAGE(Donnees!$N$2:$N$401)</f>
        <v>3.594871794871795</v>
      </c>
      <c r="D53" s="17">
        <f>STDEV(Donnees!$N$2:$N$401)</f>
        <v>1.9870983247335106</v>
      </c>
      <c r="E53" s="17">
        <f>MEDIAN(Donnees!$N$2:$N$401)</f>
        <v>3</v>
      </c>
      <c r="F53" s="14">
        <f>MIN(Donnees!$N$2:$N$401)</f>
        <v>0</v>
      </c>
      <c r="G53" s="14">
        <f>MAX(Donnees!$N$2:$N$401)</f>
        <v>10</v>
      </c>
    </row>
    <row r="54" spans="1:8" x14ac:dyDescent="0.25">
      <c r="A54" s="15" t="s">
        <v>644</v>
      </c>
      <c r="B54" s="14">
        <f>COUNT(Donnees!$M$2:$M$401)</f>
        <v>400</v>
      </c>
      <c r="C54" s="17">
        <f>AVERAGE(Donnees!$M$2:$M$401)</f>
        <v>34.3675</v>
      </c>
      <c r="D54" s="17">
        <f>STDEV(Donnees!$M$2:$M$401)</f>
        <v>4.2928446323613825</v>
      </c>
      <c r="E54" s="17">
        <f>MEDIAN(Donnees!$M$2:$M$401)</f>
        <v>35</v>
      </c>
      <c r="F54" s="14">
        <f>MIN(Donnees!$M$2:$M$401)</f>
        <v>21</v>
      </c>
      <c r="G54" s="14">
        <f>MAX(Donnees!$M$2:$M$401)</f>
        <v>41</v>
      </c>
    </row>
    <row r="56" spans="1:8" x14ac:dyDescent="0.25">
      <c r="A56" s="6" t="s">
        <v>511</v>
      </c>
      <c r="B56" s="7" t="s">
        <v>630</v>
      </c>
      <c r="C56" s="7" t="s">
        <v>626</v>
      </c>
      <c r="D56" s="7" t="s">
        <v>631</v>
      </c>
    </row>
    <row r="57" spans="1:8" x14ac:dyDescent="0.25">
      <c r="A57" s="15" t="s">
        <v>642</v>
      </c>
      <c r="B57" s="16" t="s">
        <v>645</v>
      </c>
      <c r="C57" s="14">
        <f>COUNTIF(Donnees!$X$2:$X$401,B57)</f>
        <v>108</v>
      </c>
      <c r="D57" s="17">
        <f>C57/SUM($C$57:$C$59)*100</f>
        <v>27</v>
      </c>
    </row>
    <row r="58" spans="1:8" x14ac:dyDescent="0.25">
      <c r="A58" s="15"/>
      <c r="B58" s="16" t="s">
        <v>646</v>
      </c>
      <c r="C58" s="14">
        <f>COUNTIF(Donnees!$X$2:$X$401,B58)</f>
        <v>203</v>
      </c>
      <c r="D58" s="17">
        <f>C58/SUM($C$57:$C$59)*100</f>
        <v>50.749999999999993</v>
      </c>
    </row>
    <row r="59" spans="1:8" x14ac:dyDescent="0.25">
      <c r="A59" s="15"/>
      <c r="B59" s="16" t="s">
        <v>647</v>
      </c>
      <c r="C59" s="14">
        <f>COUNTIF(Donnees!$X$2:$X$401,B59)</f>
        <v>89</v>
      </c>
      <c r="D59" s="17">
        <f>C59/SUM($C$57:$C$59)*100</f>
        <v>22.25</v>
      </c>
    </row>
    <row r="60" spans="1:8" x14ac:dyDescent="0.25">
      <c r="A60" s="15" t="s">
        <v>643</v>
      </c>
      <c r="B60" s="16" t="s">
        <v>648</v>
      </c>
      <c r="C60" s="14">
        <f>COUNTIF(Donnees!$Y$2:$Y$401,B60)</f>
        <v>203</v>
      </c>
      <c r="D60" s="17">
        <f>C60/SUM($C$60:$C$62)*100</f>
        <v>52.051282051282058</v>
      </c>
    </row>
    <row r="61" spans="1:8" x14ac:dyDescent="0.25">
      <c r="A61" s="15"/>
      <c r="B61" s="16" t="s">
        <v>649</v>
      </c>
      <c r="C61" s="14">
        <f>COUNTIF(Donnees!$Y$2:$Y$401,B61)</f>
        <v>169</v>
      </c>
      <c r="D61" s="17">
        <f>C61/SUM($C$60:$C$62)*100</f>
        <v>43.333333333333336</v>
      </c>
    </row>
    <row r="62" spans="1:8" x14ac:dyDescent="0.25">
      <c r="A62" s="15"/>
      <c r="B62" s="16" t="s">
        <v>650</v>
      </c>
      <c r="C62" s="14">
        <f>COUNTIF(Donnees!$Y$2:$Y$401,B62)</f>
        <v>18</v>
      </c>
      <c r="D62" s="17">
        <f>C62/SUM($C$60:$C$62)*100</f>
        <v>4.6153846153846159</v>
      </c>
    </row>
    <row r="63" spans="1:8" x14ac:dyDescent="0.25">
      <c r="A63" s="23"/>
      <c r="B63" s="24" t="s">
        <v>638</v>
      </c>
      <c r="C63" s="25">
        <f>COUNTBLANK(Donnees!$Y$2:$Y$401)</f>
        <v>10</v>
      </c>
      <c r="D63" s="23"/>
    </row>
    <row r="64" spans="1:8" x14ac:dyDescent="0.25">
      <c r="A64" s="15" t="s">
        <v>651</v>
      </c>
      <c r="B64" s="16" t="s">
        <v>652</v>
      </c>
      <c r="C64" s="14">
        <f>COUNTIF(Donnees!$Z$2:$Z$401,B64)</f>
        <v>27</v>
      </c>
      <c r="D64" s="17">
        <f>C64/SUM($C$64:$C$66)*100</f>
        <v>6.75</v>
      </c>
    </row>
    <row r="65" spans="1:4" x14ac:dyDescent="0.25">
      <c r="A65" s="15"/>
      <c r="B65" s="16" t="s">
        <v>653</v>
      </c>
      <c r="C65" s="14">
        <f>COUNTIF(Donnees!$Z$2:$Z$401,B65)</f>
        <v>226</v>
      </c>
      <c r="D65" s="17">
        <f>C65/SUM($C$64:$C$66)*100</f>
        <v>56.499999999999993</v>
      </c>
    </row>
    <row r="66" spans="1:4" x14ac:dyDescent="0.25">
      <c r="A66" s="15"/>
      <c r="B66" s="16" t="s">
        <v>654</v>
      </c>
      <c r="C66" s="14">
        <f>COUNTIF(Donnees!$Z$2:$Z$401,B66)</f>
        <v>147</v>
      </c>
      <c r="D66" s="17">
        <f>C66/SUM($C$64:$C$66)*100</f>
        <v>36.75</v>
      </c>
    </row>
  </sheetData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4"/>
  <sheetViews>
    <sheetView showGridLines="0" workbookViewId="0"/>
  </sheetViews>
  <sheetFormatPr baseColWidth="10" defaultColWidth="9.140625" defaultRowHeight="15" x14ac:dyDescent="0.25"/>
  <cols>
    <col min="1" max="1" width="30" customWidth="1"/>
    <col min="2" max="2" width="26" customWidth="1"/>
    <col min="3" max="3" width="12" customWidth="1"/>
    <col min="4" max="4" width="16" customWidth="1"/>
    <col min="7" max="7" width="26" customWidth="1"/>
    <col min="8" max="8" width="12" customWidth="1"/>
  </cols>
  <sheetData>
    <row r="1" spans="1:8" ht="26.1" customHeight="1" x14ac:dyDescent="0.35">
      <c r="A1" s="1" t="s">
        <v>655</v>
      </c>
    </row>
    <row r="3" spans="1:8" ht="15.75" x14ac:dyDescent="0.25">
      <c r="A3" s="4" t="s">
        <v>656</v>
      </c>
      <c r="B3" s="5"/>
      <c r="C3" s="5"/>
      <c r="D3" s="5"/>
      <c r="E3" s="5"/>
      <c r="F3" s="5"/>
    </row>
    <row r="4" spans="1:8" x14ac:dyDescent="0.25">
      <c r="A4" s="6" t="s">
        <v>511</v>
      </c>
      <c r="B4" s="7" t="s">
        <v>630</v>
      </c>
      <c r="C4" s="7" t="s">
        <v>626</v>
      </c>
      <c r="D4" s="7" t="s">
        <v>631</v>
      </c>
      <c r="G4" s="10" t="s">
        <v>657</v>
      </c>
    </row>
    <row r="5" spans="1:8" x14ac:dyDescent="0.25">
      <c r="A5" s="15" t="s">
        <v>658</v>
      </c>
      <c r="B5" s="16" t="s">
        <v>83</v>
      </c>
      <c r="C5" s="14">
        <f>COUNTIF(Donnees!$V$2:$V$401,B5)</f>
        <v>352</v>
      </c>
      <c r="D5" s="17">
        <f>C5/SUM($C$5:$C$6)*100</f>
        <v>88</v>
      </c>
      <c r="G5" s="6" t="s">
        <v>659</v>
      </c>
      <c r="H5" s="7" t="s">
        <v>626</v>
      </c>
    </row>
    <row r="6" spans="1:8" x14ac:dyDescent="0.25">
      <c r="A6" s="15"/>
      <c r="B6" s="16" t="s">
        <v>91</v>
      </c>
      <c r="C6" s="14">
        <f>COUNTIF(Donnees!$V$2:$V$401,B6)</f>
        <v>48</v>
      </c>
      <c r="D6" s="17">
        <f>C6/SUM($C$5:$C$6)*100</f>
        <v>12</v>
      </c>
      <c r="G6" s="13" t="s">
        <v>114</v>
      </c>
      <c r="H6" s="26">
        <f>C6</f>
        <v>48</v>
      </c>
    </row>
    <row r="7" spans="1:8" x14ac:dyDescent="0.25">
      <c r="A7" s="15" t="s">
        <v>660</v>
      </c>
      <c r="B7" s="16" t="s">
        <v>87</v>
      </c>
      <c r="C7" s="14">
        <f>COUNTIF(Donnees!$U$2:$U$401,B7)</f>
        <v>327</v>
      </c>
      <c r="D7" s="17">
        <f>C7/SUM($C$7:$C$11)*100</f>
        <v>81.75</v>
      </c>
      <c r="G7" s="13" t="s">
        <v>661</v>
      </c>
      <c r="H7" s="26">
        <f>C5</f>
        <v>352</v>
      </c>
    </row>
    <row r="8" spans="1:8" x14ac:dyDescent="0.25">
      <c r="A8" s="15"/>
      <c r="B8" s="16" t="s">
        <v>110</v>
      </c>
      <c r="C8" s="14">
        <f>COUNTIF(Donnees!$U$2:$U$401,B8)</f>
        <v>10</v>
      </c>
      <c r="D8" s="17">
        <f>C8/SUM($C$7:$C$11)*100</f>
        <v>2.5</v>
      </c>
    </row>
    <row r="9" spans="1:8" x14ac:dyDescent="0.25">
      <c r="A9" s="15"/>
      <c r="B9" s="16" t="s">
        <v>132</v>
      </c>
      <c r="C9" s="14">
        <f>COUNTIF(Donnees!$U$2:$U$401,B9)</f>
        <v>15</v>
      </c>
      <c r="D9" s="17">
        <f>C9/SUM($C$7:$C$11)*100</f>
        <v>3.75</v>
      </c>
    </row>
    <row r="10" spans="1:8" x14ac:dyDescent="0.25">
      <c r="A10" s="15"/>
      <c r="B10" s="16" t="s">
        <v>114</v>
      </c>
      <c r="C10" s="14">
        <f>COUNTIF(Donnees!$U$2:$U$401,B10)</f>
        <v>40</v>
      </c>
      <c r="D10" s="17">
        <f>C10/SUM($C$7:$C$11)*100</f>
        <v>10</v>
      </c>
    </row>
    <row r="11" spans="1:8" x14ac:dyDescent="0.25">
      <c r="A11" s="15"/>
      <c r="B11" s="16" t="s">
        <v>107</v>
      </c>
      <c r="C11" s="14">
        <f>COUNTIF(Donnees!$U$2:$U$401,B11)</f>
        <v>8</v>
      </c>
      <c r="D11" s="17">
        <f>C11/SUM($C$7:$C$11)*100</f>
        <v>2</v>
      </c>
    </row>
    <row r="13" spans="1:8" x14ac:dyDescent="0.25">
      <c r="A13" s="21" t="str">
        <f>"Prééclampsie : "&amp;C6&amp;" cas sur "&amp;SUM(C5:C6)&amp;" femmes, soit "&amp;FIXED(D6,1)&amp;" %"</f>
        <v>Prééclampsie : 48 cas sur 400 femmes, soit 12,0 %</v>
      </c>
    </row>
    <row r="14" spans="1:8" x14ac:dyDescent="0.25">
      <c r="A14" s="3" t="s">
        <v>662</v>
      </c>
    </row>
  </sheetData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94"/>
  <sheetViews>
    <sheetView showGridLines="0" workbookViewId="0"/>
  </sheetViews>
  <sheetFormatPr baseColWidth="10" defaultColWidth="9.140625" defaultRowHeight="15" x14ac:dyDescent="0.25"/>
  <cols>
    <col min="1" max="1" width="34" customWidth="1"/>
    <col min="2" max="2" width="20" customWidth="1"/>
    <col min="3" max="3" width="14" customWidth="1"/>
    <col min="4" max="4" width="12" customWidth="1"/>
    <col min="5" max="6" width="18" customWidth="1"/>
    <col min="7" max="8" width="12" customWidth="1"/>
  </cols>
  <sheetData>
    <row r="1" spans="1:9" ht="26.1" customHeight="1" x14ac:dyDescent="0.35">
      <c r="A1" s="1" t="s">
        <v>663</v>
      </c>
    </row>
    <row r="2" spans="1:9" x14ac:dyDescent="0.25">
      <c r="A2" s="2" t="s">
        <v>664</v>
      </c>
    </row>
    <row r="4" spans="1:9" ht="15.75" x14ac:dyDescent="0.25">
      <c r="A4" s="4" t="s">
        <v>665</v>
      </c>
      <c r="B4" s="5"/>
      <c r="C4" s="5"/>
      <c r="D4" s="5"/>
      <c r="E4" s="5"/>
      <c r="F4" s="5"/>
      <c r="G4" s="5"/>
      <c r="H4" s="5"/>
      <c r="I4" s="5"/>
    </row>
    <row r="5" spans="1:9" x14ac:dyDescent="0.25">
      <c r="A5" s="2" t="s">
        <v>666</v>
      </c>
    </row>
    <row r="6" spans="1:9" x14ac:dyDescent="0.25">
      <c r="B6" s="47" t="s">
        <v>114</v>
      </c>
      <c r="C6" s="46"/>
      <c r="G6" s="47" t="s">
        <v>667</v>
      </c>
      <c r="H6" s="46"/>
    </row>
    <row r="7" spans="1:9" x14ac:dyDescent="0.25">
      <c r="A7" s="6" t="s">
        <v>630</v>
      </c>
      <c r="B7" s="7" t="s">
        <v>83</v>
      </c>
      <c r="C7" s="7" t="s">
        <v>91</v>
      </c>
      <c r="D7" s="7" t="s">
        <v>628</v>
      </c>
      <c r="E7" s="7" t="s">
        <v>668</v>
      </c>
      <c r="F7" s="7" t="s">
        <v>669</v>
      </c>
      <c r="G7" s="7" t="s">
        <v>83</v>
      </c>
      <c r="H7" s="7" t="s">
        <v>91</v>
      </c>
    </row>
    <row r="8" spans="1:9" x14ac:dyDescent="0.25">
      <c r="A8" s="15" t="s">
        <v>633</v>
      </c>
      <c r="B8" s="14">
        <f>COUNTIFS(Donnees!$W$2:$W$401,$A8,Donnees!$V$2:$V$401,B$7)</f>
        <v>16</v>
      </c>
      <c r="C8" s="14">
        <f>COUNTIFS(Donnees!$W$2:$W$401,$A8,Donnees!$V$2:$V$401,C$7)</f>
        <v>5</v>
      </c>
      <c r="D8" s="14">
        <f>B8+C8</f>
        <v>21</v>
      </c>
      <c r="E8" s="17">
        <f>B8/D8*100</f>
        <v>76.19047619047619</v>
      </c>
      <c r="F8" s="17">
        <f>C8/D8*100</f>
        <v>23.809523809523807</v>
      </c>
      <c r="G8" s="17">
        <f t="shared" ref="G8:H11" si="0">$D8*B$12/$D$12</f>
        <v>18.48</v>
      </c>
      <c r="H8" s="17">
        <f t="shared" si="0"/>
        <v>2.52</v>
      </c>
    </row>
    <row r="9" spans="1:9" x14ac:dyDescent="0.25">
      <c r="A9" s="15" t="s">
        <v>634</v>
      </c>
      <c r="B9" s="14">
        <f>COUNTIFS(Donnees!$W$2:$W$401,$A9,Donnees!$V$2:$V$401,B$7)</f>
        <v>258</v>
      </c>
      <c r="C9" s="14">
        <f>COUNTIFS(Donnees!$W$2:$W$401,$A9,Donnees!$V$2:$V$401,C$7)</f>
        <v>31</v>
      </c>
      <c r="D9" s="14">
        <f>B9+C9</f>
        <v>289</v>
      </c>
      <c r="E9" s="17">
        <f>B9/D9*100</f>
        <v>89.273356401384092</v>
      </c>
      <c r="F9" s="17">
        <f>C9/D9*100</f>
        <v>10.726643598615917</v>
      </c>
      <c r="G9" s="17">
        <f t="shared" si="0"/>
        <v>254.32</v>
      </c>
      <c r="H9" s="17">
        <f t="shared" si="0"/>
        <v>34.68</v>
      </c>
    </row>
    <row r="10" spans="1:9" x14ac:dyDescent="0.25">
      <c r="A10" s="15" t="s">
        <v>635</v>
      </c>
      <c r="B10" s="14">
        <f>COUNTIFS(Donnees!$W$2:$W$401,$A10,Donnees!$V$2:$V$401,B$7)</f>
        <v>58</v>
      </c>
      <c r="C10" s="14">
        <f>COUNTIFS(Donnees!$W$2:$W$401,$A10,Donnees!$V$2:$V$401,C$7)</f>
        <v>7</v>
      </c>
      <c r="D10" s="14">
        <f>B10+C10</f>
        <v>65</v>
      </c>
      <c r="E10" s="17">
        <f>B10/D10*100</f>
        <v>89.230769230769241</v>
      </c>
      <c r="F10" s="17">
        <f>C10/D10*100</f>
        <v>10.76923076923077</v>
      </c>
      <c r="G10" s="17">
        <f t="shared" si="0"/>
        <v>57.2</v>
      </c>
      <c r="H10" s="17">
        <f t="shared" si="0"/>
        <v>7.8</v>
      </c>
    </row>
    <row r="11" spans="1:9" x14ac:dyDescent="0.25">
      <c r="A11" s="15" t="s">
        <v>636</v>
      </c>
      <c r="B11" s="14">
        <f>COUNTIFS(Donnees!$W$2:$W$401,$A11,Donnees!$V$2:$V$401,B$7)</f>
        <v>20</v>
      </c>
      <c r="C11" s="14">
        <f>COUNTIFS(Donnees!$W$2:$W$401,$A11,Donnees!$V$2:$V$401,C$7)</f>
        <v>5</v>
      </c>
      <c r="D11" s="14">
        <f>B11+C11</f>
        <v>25</v>
      </c>
      <c r="E11" s="17">
        <f>B11/D11*100</f>
        <v>80</v>
      </c>
      <c r="F11" s="17">
        <f>C11/D11*100</f>
        <v>20</v>
      </c>
      <c r="G11" s="17">
        <f t="shared" si="0"/>
        <v>22</v>
      </c>
      <c r="H11" s="17">
        <f t="shared" si="0"/>
        <v>3</v>
      </c>
    </row>
    <row r="12" spans="1:9" x14ac:dyDescent="0.25">
      <c r="A12" s="27" t="s">
        <v>628</v>
      </c>
      <c r="B12" s="28">
        <f>SUM(B8:B11)</f>
        <v>352</v>
      </c>
      <c r="C12" s="28">
        <f>SUM(C8:C11)</f>
        <v>48</v>
      </c>
      <c r="D12" s="28">
        <f>SUM(D8:D11)</f>
        <v>400</v>
      </c>
      <c r="E12" s="29"/>
      <c r="F12" s="30">
        <f>C12/D12*100</f>
        <v>12</v>
      </c>
      <c r="G12" s="29"/>
      <c r="H12" s="29"/>
    </row>
    <row r="14" spans="1:9" x14ac:dyDescent="0.25">
      <c r="A14" s="16" t="s">
        <v>670</v>
      </c>
      <c r="B14" s="31">
        <f>MIN(G8:H11)</f>
        <v>2.52</v>
      </c>
      <c r="C14" s="23"/>
    </row>
    <row r="15" spans="1:9" x14ac:dyDescent="0.25">
      <c r="A15" s="16" t="s">
        <v>671</v>
      </c>
      <c r="B15" s="20" t="str">
        <f>IF(B14&gt;=5,"Chi-deux","Fisher")</f>
        <v>Fisher</v>
      </c>
      <c r="C15" s="23"/>
    </row>
    <row r="16" spans="1:9" x14ac:dyDescent="0.25">
      <c r="A16" s="16" t="s">
        <v>672</v>
      </c>
      <c r="B16" s="32">
        <f>IFERROR(CHITEST(B8:C11,G8:H11),"n/a")</f>
        <v>0.18502326884654011</v>
      </c>
      <c r="C16" s="23"/>
    </row>
    <row r="17" spans="1:9" x14ac:dyDescent="0.25">
      <c r="A17" s="16" t="s">
        <v>673</v>
      </c>
      <c r="B17" s="32">
        <f>Fisher_Q5!E10</f>
        <v>0.16489470447412202</v>
      </c>
      <c r="C17" s="23"/>
    </row>
    <row r="18" spans="1:9" x14ac:dyDescent="0.25">
      <c r="A18" s="15" t="s">
        <v>674</v>
      </c>
      <c r="B18" s="33">
        <f>IFERROR(IF(B15="Chi-deux",B16,B17),"n/a")</f>
        <v>0.16489470447412202</v>
      </c>
      <c r="C18" s="23"/>
    </row>
    <row r="19" spans="1:9" x14ac:dyDescent="0.25">
      <c r="A19" s="15" t="s">
        <v>675</v>
      </c>
      <c r="B19" s="20" t="str">
        <f>IF(ISNUMBER(B18),IF(B18&lt;0.001,"&lt;0,001",FIXED(B18,3)),"n/a")</f>
        <v>0,165</v>
      </c>
      <c r="C19" s="23"/>
    </row>
    <row r="20" spans="1:9" x14ac:dyDescent="0.25">
      <c r="A20" s="15" t="s">
        <v>676</v>
      </c>
      <c r="B20" s="8" t="str">
        <f>IF(ISNUMBER(B18),IF(B18&lt;0.05,"Association statistiquement significative (p &lt; 0,05).","Association non démontrée ici (p &gt;= 0,05). Cela ne prouve pas l'absence d'association."),"n/a")</f>
        <v>Association non démontrée ici (p &gt;= 0,05). Cela ne prouve pas l'absence d'association.</v>
      </c>
      <c r="C20" s="23"/>
    </row>
    <row r="22" spans="1:9" ht="15.75" x14ac:dyDescent="0.25">
      <c r="A22" s="4" t="s">
        <v>677</v>
      </c>
      <c r="B22" s="5"/>
      <c r="C22" s="5"/>
      <c r="D22" s="5"/>
      <c r="E22" s="5"/>
      <c r="F22" s="5"/>
      <c r="G22" s="5"/>
      <c r="H22" s="5"/>
      <c r="I22" s="5"/>
    </row>
    <row r="23" spans="1:9" x14ac:dyDescent="0.25">
      <c r="A23" s="2" t="s">
        <v>678</v>
      </c>
    </row>
    <row r="24" spans="1:9" x14ac:dyDescent="0.25">
      <c r="B24" s="47" t="s">
        <v>114</v>
      </c>
      <c r="C24" s="46"/>
      <c r="G24" s="47" t="s">
        <v>667</v>
      </c>
      <c r="H24" s="46"/>
    </row>
    <row r="25" spans="1:9" x14ac:dyDescent="0.25">
      <c r="A25" s="6" t="s">
        <v>630</v>
      </c>
      <c r="B25" s="7" t="s">
        <v>83</v>
      </c>
      <c r="C25" s="7" t="s">
        <v>91</v>
      </c>
      <c r="D25" s="7" t="s">
        <v>628</v>
      </c>
      <c r="E25" s="7" t="s">
        <v>668</v>
      </c>
      <c r="F25" s="7" t="s">
        <v>669</v>
      </c>
      <c r="G25" s="7" t="s">
        <v>83</v>
      </c>
      <c r="H25" s="7" t="s">
        <v>91</v>
      </c>
    </row>
    <row r="26" spans="1:9" x14ac:dyDescent="0.25">
      <c r="A26" s="15" t="s">
        <v>83</v>
      </c>
      <c r="B26" s="14">
        <f>COUNTIFS(Donnees!$I$2:$I$401,$A26,Donnees!$V$2:$V$401,B$25,Donnees!$AB$2:$AB$401,1)</f>
        <v>238</v>
      </c>
      <c r="C26" s="14">
        <f>COUNTIFS(Donnees!$I$2:$I$401,$A26,Donnees!$V$2:$V$401,C$25,Donnees!$AB$2:$AB$401,1)</f>
        <v>20</v>
      </c>
      <c r="D26" s="14">
        <f>B26+C26</f>
        <v>258</v>
      </c>
      <c r="E26" s="17">
        <f>B26/D26*100</f>
        <v>92.248062015503876</v>
      </c>
      <c r="F26" s="17">
        <f>C26/D26*100</f>
        <v>7.7519379844961236</v>
      </c>
      <c r="G26" s="17">
        <f>$D26*B$28/$D$28</f>
        <v>233.64335664335664</v>
      </c>
      <c r="H26" s="17">
        <f>$D26*C$28/$D$28</f>
        <v>24.356643356643357</v>
      </c>
    </row>
    <row r="27" spans="1:9" x14ac:dyDescent="0.25">
      <c r="A27" s="15" t="s">
        <v>91</v>
      </c>
      <c r="B27" s="14">
        <f>COUNTIFS(Donnees!$I$2:$I$401,$A27,Donnees!$V$2:$V$401,B$25,Donnees!$AB$2:$AB$401,1)</f>
        <v>21</v>
      </c>
      <c r="C27" s="14">
        <f>COUNTIFS(Donnees!$I$2:$I$401,$A27,Donnees!$V$2:$V$401,C$25,Donnees!$AB$2:$AB$401,1)</f>
        <v>7</v>
      </c>
      <c r="D27" s="14">
        <f>B27+C27</f>
        <v>28</v>
      </c>
      <c r="E27" s="17">
        <f>B27/D27*100</f>
        <v>75</v>
      </c>
      <c r="F27" s="17">
        <f>C27/D27*100</f>
        <v>25</v>
      </c>
      <c r="G27" s="17">
        <f>$D27*B$28/$D$28</f>
        <v>25.356643356643357</v>
      </c>
      <c r="H27" s="17">
        <f>$D27*C$28/$D$28</f>
        <v>2.6433566433566433</v>
      </c>
    </row>
    <row r="28" spans="1:9" x14ac:dyDescent="0.25">
      <c r="A28" s="27" t="s">
        <v>628</v>
      </c>
      <c r="B28" s="28">
        <f>SUM(B26:B27)</f>
        <v>259</v>
      </c>
      <c r="C28" s="28">
        <f>SUM(C26:C27)</f>
        <v>27</v>
      </c>
      <c r="D28" s="28">
        <f>SUM(D26:D27)</f>
        <v>286</v>
      </c>
      <c r="E28" s="29"/>
      <c r="F28" s="30">
        <f>C28/D28*100</f>
        <v>9.44055944055944</v>
      </c>
      <c r="G28" s="29"/>
      <c r="H28" s="29"/>
    </row>
    <row r="29" spans="1:9" x14ac:dyDescent="0.25">
      <c r="A29" s="2" t="s">
        <v>679</v>
      </c>
      <c r="D29" s="22">
        <f>D28</f>
        <v>286</v>
      </c>
    </row>
    <row r="30" spans="1:9" x14ac:dyDescent="0.25">
      <c r="A30" s="16" t="s">
        <v>670</v>
      </c>
      <c r="B30" s="31">
        <f>MIN(G26:H27)</f>
        <v>2.6433566433566433</v>
      </c>
      <c r="C30" s="23"/>
    </row>
    <row r="31" spans="1:9" x14ac:dyDescent="0.25">
      <c r="A31" s="16" t="s">
        <v>671</v>
      </c>
      <c r="B31" s="20" t="str">
        <f>IF(B30&gt;=5,"Chi-deux","Fisher")</f>
        <v>Fisher</v>
      </c>
      <c r="C31" s="23"/>
    </row>
    <row r="32" spans="1:9" x14ac:dyDescent="0.25">
      <c r="A32" s="16" t="s">
        <v>672</v>
      </c>
      <c r="B32" s="32">
        <f>IFERROR(CHITEST(B26:C27,G26:H27),"n/a")</f>
        <v>3.0298043008315147E-3</v>
      </c>
      <c r="C32" s="23"/>
    </row>
    <row r="33" spans="1:9" x14ac:dyDescent="0.25">
      <c r="A33" s="16" t="s">
        <v>673</v>
      </c>
      <c r="B33" s="32">
        <f>Fisher_2x2!B10</f>
        <v>9.0931023412243461E-3</v>
      </c>
      <c r="C33" s="23"/>
    </row>
    <row r="34" spans="1:9" x14ac:dyDescent="0.25">
      <c r="A34" s="15" t="s">
        <v>674</v>
      </c>
      <c r="B34" s="33">
        <f>IFERROR(IF(B31="Chi-deux",B32,B33),"n/a")</f>
        <v>9.0931023412243461E-3</v>
      </c>
      <c r="C34" s="23"/>
    </row>
    <row r="35" spans="1:9" x14ac:dyDescent="0.25">
      <c r="A35" s="15" t="s">
        <v>675</v>
      </c>
      <c r="B35" s="20" t="str">
        <f>IF(ISNUMBER(B34),IF(B34&lt;0.001,"&lt;0,001",FIXED(B34,3)),"n/a")</f>
        <v>0,009</v>
      </c>
      <c r="C35" s="23"/>
    </row>
    <row r="36" spans="1:9" x14ac:dyDescent="0.25">
      <c r="A36" s="15" t="s">
        <v>676</v>
      </c>
      <c r="B36" s="8" t="str">
        <f>IF(ISNUMBER(B34),IF(B34&lt;0.05,"Association statistiquement significative (p &lt; 0,05).","Association non démontrée ici (p &gt;= 0,05). Cela ne prouve pas l'absence d'association."),"n/a")</f>
        <v>Association statistiquement significative (p &lt; 0,05).</v>
      </c>
      <c r="C36" s="23"/>
    </row>
    <row r="38" spans="1:9" ht="15.75" x14ac:dyDescent="0.25">
      <c r="A38" s="4" t="s">
        <v>680</v>
      </c>
      <c r="B38" s="5"/>
      <c r="C38" s="5"/>
      <c r="D38" s="5"/>
      <c r="E38" s="5"/>
      <c r="F38" s="5"/>
      <c r="G38" s="5"/>
      <c r="H38" s="5"/>
      <c r="I38" s="5"/>
    </row>
    <row r="39" spans="1:9" x14ac:dyDescent="0.25">
      <c r="A39" s="2" t="s">
        <v>681</v>
      </c>
    </row>
    <row r="40" spans="1:9" ht="25.5" x14ac:dyDescent="0.25">
      <c r="A40" s="6" t="s">
        <v>682</v>
      </c>
      <c r="B40" s="7" t="s">
        <v>683</v>
      </c>
      <c r="C40" s="7" t="s">
        <v>684</v>
      </c>
    </row>
    <row r="41" spans="1:9" x14ac:dyDescent="0.25">
      <c r="A41" s="15" t="s">
        <v>87</v>
      </c>
      <c r="B41" s="14">
        <f>COUNTIFS(Donnees!$U$2:$U$401,$A41,Donnees!$J$2:$J$401,"Non")</f>
        <v>327</v>
      </c>
      <c r="C41" s="14">
        <f>COUNTIFS(Donnees!$U$2:$U$401,$A41,Donnees!$J$2:$J$401,"Oui")</f>
        <v>0</v>
      </c>
    </row>
    <row r="42" spans="1:9" x14ac:dyDescent="0.25">
      <c r="A42" s="15" t="s">
        <v>110</v>
      </c>
      <c r="B42" s="14">
        <f>COUNTIFS(Donnees!$U$2:$U$401,$A42,Donnees!$J$2:$J$401,"Non")</f>
        <v>10</v>
      </c>
      <c r="C42" s="14">
        <f>COUNTIFS(Donnees!$U$2:$U$401,$A42,Donnees!$J$2:$J$401,"Oui")</f>
        <v>0</v>
      </c>
    </row>
    <row r="43" spans="1:9" x14ac:dyDescent="0.25">
      <c r="A43" s="15" t="s">
        <v>132</v>
      </c>
      <c r="B43" s="14">
        <f>COUNTIFS(Donnees!$U$2:$U$401,$A43,Donnees!$J$2:$J$401,"Non")</f>
        <v>0</v>
      </c>
      <c r="C43" s="14">
        <f>COUNTIFS(Donnees!$U$2:$U$401,$A43,Donnees!$J$2:$J$401,"Oui")</f>
        <v>15</v>
      </c>
    </row>
    <row r="44" spans="1:9" x14ac:dyDescent="0.25">
      <c r="A44" s="15" t="s">
        <v>114</v>
      </c>
      <c r="B44" s="14">
        <f>COUNTIFS(Donnees!$U$2:$U$401,$A44,Donnees!$J$2:$J$401,"Non")</f>
        <v>40</v>
      </c>
      <c r="C44" s="14">
        <f>COUNTIFS(Donnees!$U$2:$U$401,$A44,Donnees!$J$2:$J$401,"Oui")</f>
        <v>0</v>
      </c>
    </row>
    <row r="45" spans="1:9" x14ac:dyDescent="0.25">
      <c r="A45" s="15" t="s">
        <v>107</v>
      </c>
      <c r="B45" s="14">
        <f>COUNTIFS(Donnees!$U$2:$U$401,$A45,Donnees!$J$2:$J$401,"Non")</f>
        <v>0</v>
      </c>
      <c r="C45" s="14">
        <f>COUNTIFS(Donnees!$U$2:$U$401,$A45,Donnees!$J$2:$J$401,"Oui")</f>
        <v>8</v>
      </c>
    </row>
    <row r="47" spans="1:9" ht="15.75" x14ac:dyDescent="0.25">
      <c r="A47" s="4" t="s">
        <v>685</v>
      </c>
      <c r="B47" s="5"/>
      <c r="C47" s="5"/>
      <c r="D47" s="5"/>
      <c r="E47" s="5"/>
      <c r="F47" s="5"/>
      <c r="G47" s="5"/>
      <c r="H47" s="5"/>
      <c r="I47" s="5"/>
    </row>
    <row r="48" spans="1:9" x14ac:dyDescent="0.25">
      <c r="A48" s="2" t="s">
        <v>686</v>
      </c>
    </row>
    <row r="49" spans="1:9" x14ac:dyDescent="0.25">
      <c r="B49" s="47" t="s">
        <v>114</v>
      </c>
      <c r="C49" s="46"/>
      <c r="G49" s="47" t="s">
        <v>667</v>
      </c>
      <c r="H49" s="46"/>
    </row>
    <row r="50" spans="1:9" x14ac:dyDescent="0.25">
      <c r="A50" s="6" t="s">
        <v>630</v>
      </c>
      <c r="B50" s="7" t="s">
        <v>83</v>
      </c>
      <c r="C50" s="7" t="s">
        <v>91</v>
      </c>
      <c r="D50" s="7" t="s">
        <v>628</v>
      </c>
      <c r="E50" s="7" t="s">
        <v>668</v>
      </c>
      <c r="F50" s="7" t="s">
        <v>669</v>
      </c>
      <c r="G50" s="7" t="s">
        <v>83</v>
      </c>
      <c r="H50" s="7" t="s">
        <v>91</v>
      </c>
    </row>
    <row r="51" spans="1:9" x14ac:dyDescent="0.25">
      <c r="A51" s="15" t="s">
        <v>83</v>
      </c>
      <c r="B51" s="14">
        <f>COUNTIFS(Donnees!$J$2:$J$401,$A51,Donnees!$V$2:$V$401,B$50)</f>
        <v>337</v>
      </c>
      <c r="C51" s="14">
        <f>COUNTIFS(Donnees!$J$2:$J$401,$A51,Donnees!$V$2:$V$401,C$50)</f>
        <v>40</v>
      </c>
      <c r="D51" s="14">
        <f>B51+C51</f>
        <v>377</v>
      </c>
      <c r="E51" s="17">
        <f>B51/D51*100</f>
        <v>89.389920424403186</v>
      </c>
      <c r="F51" s="17">
        <f>C51/D51*100</f>
        <v>10.610079575596817</v>
      </c>
      <c r="G51" s="17">
        <f>$D51*B$53/$D$53</f>
        <v>331.76</v>
      </c>
      <c r="H51" s="17">
        <f>$D51*C$53/$D$53</f>
        <v>45.24</v>
      </c>
    </row>
    <row r="52" spans="1:9" x14ac:dyDescent="0.25">
      <c r="A52" s="15" t="s">
        <v>91</v>
      </c>
      <c r="B52" s="14">
        <f>COUNTIFS(Donnees!$J$2:$J$401,$A52,Donnees!$V$2:$V$401,B$50)</f>
        <v>15</v>
      </c>
      <c r="C52" s="14">
        <f>COUNTIFS(Donnees!$J$2:$J$401,$A52,Donnees!$V$2:$V$401,C$50)</f>
        <v>8</v>
      </c>
      <c r="D52" s="14">
        <f>B52+C52</f>
        <v>23</v>
      </c>
      <c r="E52" s="17">
        <f>B52/D52*100</f>
        <v>65.217391304347828</v>
      </c>
      <c r="F52" s="17">
        <f>C52/D52*100</f>
        <v>34.782608695652172</v>
      </c>
      <c r="G52" s="17">
        <f>$D52*B$53/$D$53</f>
        <v>20.239999999999998</v>
      </c>
      <c r="H52" s="17">
        <f>$D52*C$53/$D$53</f>
        <v>2.76</v>
      </c>
    </row>
    <row r="53" spans="1:9" x14ac:dyDescent="0.25">
      <c r="A53" s="27" t="s">
        <v>628</v>
      </c>
      <c r="B53" s="28">
        <f>SUM(B51:B52)</f>
        <v>352</v>
      </c>
      <c r="C53" s="28">
        <f>SUM(C51:C52)</f>
        <v>48</v>
      </c>
      <c r="D53" s="28">
        <f>SUM(D51:D52)</f>
        <v>400</v>
      </c>
      <c r="E53" s="29"/>
      <c r="F53" s="30">
        <f>C53/D53*100</f>
        <v>12</v>
      </c>
      <c r="G53" s="29"/>
      <c r="H53" s="29"/>
    </row>
    <row r="55" spans="1:9" x14ac:dyDescent="0.25">
      <c r="A55" s="16" t="s">
        <v>670</v>
      </c>
      <c r="B55" s="31">
        <f>MIN(G51:H52)</f>
        <v>2.76</v>
      </c>
      <c r="C55" s="23"/>
    </row>
    <row r="56" spans="1:9" x14ac:dyDescent="0.25">
      <c r="A56" s="16" t="s">
        <v>671</v>
      </c>
      <c r="B56" s="20" t="str">
        <f>IF(B55&gt;=5,"Chi-deux","Fisher")</f>
        <v>Fisher</v>
      </c>
      <c r="C56" s="23"/>
    </row>
    <row r="57" spans="1:9" x14ac:dyDescent="0.25">
      <c r="A57" s="16" t="s">
        <v>672</v>
      </c>
      <c r="B57" s="32">
        <f>IFERROR(CHITEST(B51:C52,G51:H52),"n/a")</f>
        <v>5.3352008419482754E-4</v>
      </c>
      <c r="C57" s="23"/>
    </row>
    <row r="58" spans="1:9" x14ac:dyDescent="0.25">
      <c r="A58" s="16" t="s">
        <v>673</v>
      </c>
      <c r="B58" s="32">
        <f>Fisher_2x2!C10</f>
        <v>2.9062659458040175E-3</v>
      </c>
      <c r="C58" s="23"/>
    </row>
    <row r="59" spans="1:9" x14ac:dyDescent="0.25">
      <c r="A59" s="15" t="s">
        <v>674</v>
      </c>
      <c r="B59" s="33">
        <f>IFERROR(IF(B56="Chi-deux",B57,B58),"n/a")</f>
        <v>2.9062659458040175E-3</v>
      </c>
      <c r="C59" s="23"/>
    </row>
    <row r="60" spans="1:9" x14ac:dyDescent="0.25">
      <c r="A60" s="15" t="s">
        <v>675</v>
      </c>
      <c r="B60" s="20" t="str">
        <f>IF(ISNUMBER(B59),IF(B59&lt;0.001,"&lt;0,001",FIXED(B59,3)),"n/a")</f>
        <v>0,003</v>
      </c>
      <c r="C60" s="23"/>
    </row>
    <row r="61" spans="1:9" x14ac:dyDescent="0.25">
      <c r="A61" s="15" t="s">
        <v>676</v>
      </c>
      <c r="B61" s="8" t="str">
        <f>IF(ISNUMBER(B59),IF(B59&lt;0.05,"Association statistiquement significative (p &lt; 0,05).","Association non démontrée ici (p &gt;= 0,05). Cela ne prouve pas l'absence d'association."),"n/a")</f>
        <v>Association statistiquement significative (p &lt; 0,05).</v>
      </c>
      <c r="C61" s="23"/>
    </row>
    <row r="63" spans="1:9" ht="15.75" x14ac:dyDescent="0.25">
      <c r="A63" s="4" t="s">
        <v>687</v>
      </c>
      <c r="B63" s="5"/>
      <c r="C63" s="5"/>
      <c r="D63" s="5"/>
      <c r="E63" s="5"/>
      <c r="F63" s="5"/>
      <c r="G63" s="5"/>
      <c r="H63" s="5"/>
      <c r="I63" s="5"/>
    </row>
    <row r="64" spans="1:9" x14ac:dyDescent="0.25">
      <c r="A64" s="2" t="s">
        <v>688</v>
      </c>
    </row>
    <row r="65" spans="1:9" x14ac:dyDescent="0.25">
      <c r="B65" s="47" t="s">
        <v>114</v>
      </c>
      <c r="C65" s="46"/>
      <c r="G65" s="47" t="s">
        <v>667</v>
      </c>
      <c r="H65" s="46"/>
    </row>
    <row r="66" spans="1:9" x14ac:dyDescent="0.25">
      <c r="A66" s="6" t="s">
        <v>630</v>
      </c>
      <c r="B66" s="7" t="s">
        <v>83</v>
      </c>
      <c r="C66" s="7" t="s">
        <v>91</v>
      </c>
      <c r="D66" s="7" t="s">
        <v>628</v>
      </c>
      <c r="E66" s="7" t="s">
        <v>668</v>
      </c>
      <c r="F66" s="7" t="s">
        <v>669</v>
      </c>
      <c r="G66" s="7" t="s">
        <v>83</v>
      </c>
      <c r="H66" s="7" t="s">
        <v>91</v>
      </c>
    </row>
    <row r="67" spans="1:9" x14ac:dyDescent="0.25">
      <c r="A67" s="15" t="s">
        <v>645</v>
      </c>
      <c r="B67" s="14">
        <f>COUNTIFS(Donnees!$X$2:$X$401,$A67,Donnees!$V$2:$V$401,B$66)</f>
        <v>87</v>
      </c>
      <c r="C67" s="14">
        <f>COUNTIFS(Donnees!$X$2:$X$401,$A67,Donnees!$V$2:$V$401,C$66)</f>
        <v>21</v>
      </c>
      <c r="D67" s="14">
        <f>B67+C67</f>
        <v>108</v>
      </c>
      <c r="E67" s="17">
        <f>B67/D67*100</f>
        <v>80.555555555555557</v>
      </c>
      <c r="F67" s="17">
        <f>C67/D67*100</f>
        <v>19.444444444444446</v>
      </c>
      <c r="G67" s="17">
        <f t="shared" ref="G67:H69" si="1">$D67*B$70/$D$70</f>
        <v>95.04</v>
      </c>
      <c r="H67" s="17">
        <f t="shared" si="1"/>
        <v>12.96</v>
      </c>
    </row>
    <row r="68" spans="1:9" x14ac:dyDescent="0.25">
      <c r="A68" s="15" t="s">
        <v>646</v>
      </c>
      <c r="B68" s="14">
        <f>COUNTIFS(Donnees!$X$2:$X$401,$A68,Donnees!$V$2:$V$401,B$66)</f>
        <v>190</v>
      </c>
      <c r="C68" s="14">
        <f>COUNTIFS(Donnees!$X$2:$X$401,$A68,Donnees!$V$2:$V$401,C$66)</f>
        <v>13</v>
      </c>
      <c r="D68" s="14">
        <f>B68+C68</f>
        <v>203</v>
      </c>
      <c r="E68" s="17">
        <f>B68/D68*100</f>
        <v>93.596059113300484</v>
      </c>
      <c r="F68" s="17">
        <f>C68/D68*100</f>
        <v>6.403940886699508</v>
      </c>
      <c r="G68" s="17">
        <f t="shared" si="1"/>
        <v>178.64</v>
      </c>
      <c r="H68" s="17">
        <f t="shared" si="1"/>
        <v>24.36</v>
      </c>
    </row>
    <row r="69" spans="1:9" x14ac:dyDescent="0.25">
      <c r="A69" s="15" t="s">
        <v>647</v>
      </c>
      <c r="B69" s="14">
        <f>COUNTIFS(Donnees!$X$2:$X$401,$A69,Donnees!$V$2:$V$401,B$66)</f>
        <v>75</v>
      </c>
      <c r="C69" s="14">
        <f>COUNTIFS(Donnees!$X$2:$X$401,$A69,Donnees!$V$2:$V$401,C$66)</f>
        <v>14</v>
      </c>
      <c r="D69" s="14">
        <f>B69+C69</f>
        <v>89</v>
      </c>
      <c r="E69" s="17">
        <f>B69/D69*100</f>
        <v>84.269662921348313</v>
      </c>
      <c r="F69" s="17">
        <f>C69/D69*100</f>
        <v>15.730337078651685</v>
      </c>
      <c r="G69" s="17">
        <f t="shared" si="1"/>
        <v>78.319999999999993</v>
      </c>
      <c r="H69" s="17">
        <f t="shared" si="1"/>
        <v>10.68</v>
      </c>
    </row>
    <row r="70" spans="1:9" x14ac:dyDescent="0.25">
      <c r="A70" s="27" t="s">
        <v>628</v>
      </c>
      <c r="B70" s="28">
        <f>SUM(B67:B69)</f>
        <v>352</v>
      </c>
      <c r="C70" s="28">
        <f>SUM(C67:C69)</f>
        <v>48</v>
      </c>
      <c r="D70" s="28">
        <f>SUM(D67:D69)</f>
        <v>400</v>
      </c>
      <c r="E70" s="29"/>
      <c r="F70" s="30">
        <f>C70/D70*100</f>
        <v>12</v>
      </c>
      <c r="G70" s="29"/>
      <c r="H70" s="29"/>
    </row>
    <row r="72" spans="1:9" x14ac:dyDescent="0.25">
      <c r="A72" s="16" t="s">
        <v>670</v>
      </c>
      <c r="B72" s="31">
        <f>MIN(G67:H69)</f>
        <v>10.68</v>
      </c>
      <c r="C72" s="23"/>
    </row>
    <row r="73" spans="1:9" x14ac:dyDescent="0.25">
      <c r="A73" s="16" t="s">
        <v>671</v>
      </c>
      <c r="B73" s="20" t="str">
        <f>IF(B72&gt;=5,"Chi-deux","Fisher")</f>
        <v>Chi-deux</v>
      </c>
      <c r="C73" s="23"/>
    </row>
    <row r="74" spans="1:9" x14ac:dyDescent="0.25">
      <c r="A74" s="16" t="s">
        <v>672</v>
      </c>
      <c r="B74" s="32">
        <f>IFERROR(CHITEST(B67:C69,G67:H69),"n/a")</f>
        <v>1.6118642929811677E-3</v>
      </c>
      <c r="C74" s="23"/>
    </row>
    <row r="75" spans="1:9" x14ac:dyDescent="0.25">
      <c r="A75" s="16" t="s">
        <v>673</v>
      </c>
      <c r="B75" s="32">
        <f>Fisher_Q8!D10</f>
        <v>1.2564907884960775E-3</v>
      </c>
      <c r="C75" s="23"/>
    </row>
    <row r="76" spans="1:9" x14ac:dyDescent="0.25">
      <c r="A76" s="15" t="s">
        <v>674</v>
      </c>
      <c r="B76" s="33">
        <f>IFERROR(IF(B73="Chi-deux",B74,B75),"n/a")</f>
        <v>1.6118642929811677E-3</v>
      </c>
      <c r="C76" s="23"/>
    </row>
    <row r="77" spans="1:9" x14ac:dyDescent="0.25">
      <c r="A77" s="15" t="s">
        <v>675</v>
      </c>
      <c r="B77" s="20" t="str">
        <f>IF(ISNUMBER(B76),IF(B76&lt;0.001,"&lt;0,001",FIXED(B76,3)),"n/a")</f>
        <v>0,002</v>
      </c>
      <c r="C77" s="23"/>
    </row>
    <row r="78" spans="1:9" x14ac:dyDescent="0.25">
      <c r="A78" s="15" t="s">
        <v>676</v>
      </c>
      <c r="B78" s="8" t="str">
        <f>IF(ISNUMBER(B76),IF(B76&lt;0.05,"Association statistiquement significative (p &lt; 0,05).","Association non démontrée ici (p &gt;= 0,05). Cela ne prouve pas l'absence d'association."),"n/a")</f>
        <v>Association statistiquement significative (p &lt; 0,05).</v>
      </c>
      <c r="C78" s="23"/>
    </row>
    <row r="80" spans="1:9" ht="15.75" x14ac:dyDescent="0.25">
      <c r="A80" s="4" t="s">
        <v>689</v>
      </c>
      <c r="B80" s="5"/>
      <c r="C80" s="5"/>
      <c r="D80" s="5"/>
      <c r="E80" s="5"/>
      <c r="F80" s="5"/>
      <c r="G80" s="5"/>
      <c r="H80" s="5"/>
      <c r="I80" s="5"/>
    </row>
    <row r="81" spans="1:8" x14ac:dyDescent="0.25">
      <c r="A81" s="2" t="s">
        <v>690</v>
      </c>
    </row>
    <row r="82" spans="1:8" x14ac:dyDescent="0.25">
      <c r="B82" s="47" t="s">
        <v>114</v>
      </c>
      <c r="C82" s="46"/>
      <c r="G82" s="47" t="s">
        <v>667</v>
      </c>
      <c r="H82" s="46"/>
    </row>
    <row r="83" spans="1:8" x14ac:dyDescent="0.25">
      <c r="A83" s="6" t="s">
        <v>630</v>
      </c>
      <c r="B83" s="7" t="s">
        <v>83</v>
      </c>
      <c r="C83" s="7" t="s">
        <v>91</v>
      </c>
      <c r="D83" s="7" t="s">
        <v>628</v>
      </c>
      <c r="E83" s="7" t="s">
        <v>668</v>
      </c>
      <c r="F83" s="7" t="s">
        <v>669</v>
      </c>
      <c r="G83" s="7" t="s">
        <v>83</v>
      </c>
      <c r="H83" s="7" t="s">
        <v>91</v>
      </c>
    </row>
    <row r="84" spans="1:8" x14ac:dyDescent="0.25">
      <c r="A84" s="15" t="s">
        <v>84</v>
      </c>
      <c r="B84" s="14">
        <f>COUNTIFS(Donnees!$O$2:$O$401,$A84,Donnees!$V$2:$V$401,B$83)</f>
        <v>340</v>
      </c>
      <c r="C84" s="14">
        <f>COUNTIFS(Donnees!$O$2:$O$401,$A84,Donnees!$V$2:$V$401,C$83)</f>
        <v>46</v>
      </c>
      <c r="D84" s="14">
        <f>B84+C84</f>
        <v>386</v>
      </c>
      <c r="E84" s="17">
        <f>B84/D84*100</f>
        <v>88.082901554404145</v>
      </c>
      <c r="F84" s="17">
        <f>C84/D84*100</f>
        <v>11.917098445595855</v>
      </c>
      <c r="G84" s="17">
        <f>$D84*B$86/$D$86</f>
        <v>339.68</v>
      </c>
      <c r="H84" s="17">
        <f>$D84*C$86/$D$86</f>
        <v>46.32</v>
      </c>
    </row>
    <row r="85" spans="1:8" x14ac:dyDescent="0.25">
      <c r="A85" s="15" t="s">
        <v>146</v>
      </c>
      <c r="B85" s="14">
        <f>COUNTIFS(Donnees!$O$2:$O$401,$A85,Donnees!$V$2:$V$401,B$83)</f>
        <v>12</v>
      </c>
      <c r="C85" s="14">
        <f>COUNTIFS(Donnees!$O$2:$O$401,$A85,Donnees!$V$2:$V$401,C$83)</f>
        <v>2</v>
      </c>
      <c r="D85" s="14">
        <f>B85+C85</f>
        <v>14</v>
      </c>
      <c r="E85" s="17">
        <f>B85/D85*100</f>
        <v>85.714285714285708</v>
      </c>
      <c r="F85" s="17">
        <f>C85/D85*100</f>
        <v>14.285714285714285</v>
      </c>
      <c r="G85" s="17">
        <f>$D85*B$86/$D$86</f>
        <v>12.32</v>
      </c>
      <c r="H85" s="17">
        <f>$D85*C$86/$D$86</f>
        <v>1.68</v>
      </c>
    </row>
    <row r="86" spans="1:8" x14ac:dyDescent="0.25">
      <c r="A86" s="27" t="s">
        <v>628</v>
      </c>
      <c r="B86" s="28">
        <f>SUM(B84:B85)</f>
        <v>352</v>
      </c>
      <c r="C86" s="28">
        <f>SUM(C84:C85)</f>
        <v>48</v>
      </c>
      <c r="D86" s="28">
        <f>SUM(D84:D85)</f>
        <v>400</v>
      </c>
      <c r="E86" s="29"/>
      <c r="F86" s="30">
        <f>C86/D86*100</f>
        <v>12</v>
      </c>
      <c r="G86" s="29"/>
      <c r="H86" s="29"/>
    </row>
    <row r="88" spans="1:8" x14ac:dyDescent="0.25">
      <c r="A88" s="16" t="s">
        <v>670</v>
      </c>
      <c r="B88" s="31">
        <f>MIN(G84:H85)</f>
        <v>1.68</v>
      </c>
      <c r="C88" s="23"/>
    </row>
    <row r="89" spans="1:8" x14ac:dyDescent="0.25">
      <c r="A89" s="16" t="s">
        <v>671</v>
      </c>
      <c r="B89" s="20" t="str">
        <f>IF(B88&gt;=5,"Chi-deux","Fisher")</f>
        <v>Fisher</v>
      </c>
      <c r="C89" s="23"/>
    </row>
    <row r="90" spans="1:8" x14ac:dyDescent="0.25">
      <c r="A90" s="16" t="s">
        <v>672</v>
      </c>
      <c r="B90" s="32">
        <f>IFERROR(CHITEST(B84:C85,G84:H85),"n/a")</f>
        <v>0.7887679216567054</v>
      </c>
      <c r="C90" s="23"/>
    </row>
    <row r="91" spans="1:8" x14ac:dyDescent="0.25">
      <c r="A91" s="16" t="s">
        <v>673</v>
      </c>
      <c r="B91" s="32">
        <f>Fisher_2x2!D10</f>
        <v>0.67928360719334657</v>
      </c>
      <c r="C91" s="23"/>
    </row>
    <row r="92" spans="1:8" x14ac:dyDescent="0.25">
      <c r="A92" s="15" t="s">
        <v>674</v>
      </c>
      <c r="B92" s="33">
        <f>IFERROR(IF(B89="Chi-deux",B90,B91),"n/a")</f>
        <v>0.67928360719334657</v>
      </c>
      <c r="C92" s="23"/>
    </row>
    <row r="93" spans="1:8" x14ac:dyDescent="0.25">
      <c r="A93" s="15" t="s">
        <v>675</v>
      </c>
      <c r="B93" s="20" t="str">
        <f>IF(ISNUMBER(B92),IF(B92&lt;0.001,"&lt;0,001",FIXED(B92,3)),"n/a")</f>
        <v>0,679</v>
      </c>
      <c r="C93" s="23"/>
    </row>
    <row r="94" spans="1:8" x14ac:dyDescent="0.25">
      <c r="A94" s="15" t="s">
        <v>676</v>
      </c>
      <c r="B94" s="8" t="str">
        <f>IF(ISNUMBER(B92),IF(B92&lt;0.05,"Association statistiquement significative (p &lt; 0,05).","Association non démontrée ici (p &gt;= 0,05). Cela ne prouve pas l'absence d'association."),"n/a")</f>
        <v>Association non démontrée ici (p &gt;= 0,05). Cela ne prouve pas l'absence d'association.</v>
      </c>
      <c r="C94" s="23"/>
    </row>
  </sheetData>
  <mergeCells count="10">
    <mergeCell ref="G49:H49"/>
    <mergeCell ref="G82:H82"/>
    <mergeCell ref="B6:C6"/>
    <mergeCell ref="B24:C24"/>
    <mergeCell ref="G24:H24"/>
    <mergeCell ref="G65:H65"/>
    <mergeCell ref="G6:H6"/>
    <mergeCell ref="B82:C82"/>
    <mergeCell ref="B49:C49"/>
    <mergeCell ref="B65:C65"/>
  </mergeCells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49"/>
  <sheetViews>
    <sheetView showGridLines="0" workbookViewId="0"/>
  </sheetViews>
  <sheetFormatPr baseColWidth="10" defaultColWidth="9.140625" defaultRowHeight="15" x14ac:dyDescent="0.25"/>
  <cols>
    <col min="1" max="1" width="52" customWidth="1"/>
    <col min="2" max="2" width="26" customWidth="1"/>
    <col min="3" max="3" width="22" customWidth="1"/>
    <col min="4" max="5" width="14" customWidth="1"/>
    <col min="9" max="9" width="8" customWidth="1"/>
    <col min="10" max="10" width="18" customWidth="1"/>
    <col min="12" max="12" width="26" customWidth="1"/>
    <col min="13" max="13" width="12" customWidth="1"/>
    <col min="14" max="15" width="14" customWidth="1"/>
    <col min="16" max="17" width="16" customWidth="1"/>
    <col min="18" max="18" width="10" customWidth="1"/>
  </cols>
  <sheetData>
    <row r="1" spans="1:10" ht="26.1" customHeight="1" x14ac:dyDescent="0.35">
      <c r="A1" s="1" t="s">
        <v>691</v>
      </c>
    </row>
    <row r="3" spans="1:10" ht="15.75" x14ac:dyDescent="0.25">
      <c r="A3" s="4" t="s">
        <v>692</v>
      </c>
      <c r="B3" s="5"/>
      <c r="C3" s="5"/>
      <c r="D3" s="5"/>
      <c r="E3" s="5"/>
      <c r="F3" s="5"/>
      <c r="G3" s="5"/>
      <c r="H3" s="5"/>
    </row>
    <row r="4" spans="1:10" x14ac:dyDescent="0.25">
      <c r="A4" s="2" t="s">
        <v>693</v>
      </c>
    </row>
    <row r="6" spans="1:10" x14ac:dyDescent="0.25">
      <c r="A6" s="6" t="s">
        <v>694</v>
      </c>
      <c r="B6" s="7" t="s">
        <v>626</v>
      </c>
      <c r="C6" s="7" t="s">
        <v>612</v>
      </c>
      <c r="D6" s="7" t="s">
        <v>627</v>
      </c>
      <c r="E6" s="7" t="s">
        <v>611</v>
      </c>
      <c r="I6" s="22" t="s">
        <v>695</v>
      </c>
      <c r="J6" s="22" t="s">
        <v>696</v>
      </c>
    </row>
    <row r="7" spans="1:10" x14ac:dyDescent="0.25">
      <c r="A7" s="15" t="s">
        <v>661</v>
      </c>
      <c r="B7" s="14">
        <f>COUNTIFS(Donnees!$V$2:$V$401,"Non")</f>
        <v>352</v>
      </c>
      <c r="C7" s="17">
        <f>AVERAGEIFS(Donnees!$B$2:$B$401,Donnees!$V$2:$V$401,"Non")</f>
        <v>26.389204545454547</v>
      </c>
      <c r="D7" s="17">
        <f>SQRT(SUMPRODUCT((Donnees!$V$2:$V$401="Non")*(Donnees!$B$2:$B$401-C7)^2)/(B7-1))</f>
        <v>4.7650433483745038</v>
      </c>
      <c r="E7" s="17">
        <f t="array" ref="E7">MEDIAN(IF(Donnees!$V$2:$V$401="Non",Donnees!$B$2:$B$401))</f>
        <v>26</v>
      </c>
      <c r="I7" s="26">
        <v>15</v>
      </c>
      <c r="J7" s="26">
        <f>COUNTIF(Donnees!$B$2:$B$401,I7)</f>
        <v>0</v>
      </c>
    </row>
    <row r="8" spans="1:10" x14ac:dyDescent="0.25">
      <c r="A8" s="15" t="s">
        <v>114</v>
      </c>
      <c r="B8" s="14">
        <f>COUNTIFS(Donnees!$V$2:$V$401,"Oui")</f>
        <v>48</v>
      </c>
      <c r="C8" s="17">
        <f>AVERAGEIFS(Donnees!$B$2:$B$401,Donnees!$V$2:$V$401,"Oui")</f>
        <v>26.520833333333332</v>
      </c>
      <c r="D8" s="17">
        <f>SQRT(SUMPRODUCT((Donnees!$V$2:$V$401="Oui")*(Donnees!$B$2:$B$401-C8)^2)/(B8-1))</f>
        <v>6.1401697368365236</v>
      </c>
      <c r="E8" s="17">
        <f t="array" ref="E8">MEDIAN(IF(Donnees!$V$2:$V$401="Oui",Donnees!$B$2:$B$401))</f>
        <v>25</v>
      </c>
      <c r="I8" s="26">
        <v>16</v>
      </c>
      <c r="J8" s="26">
        <f>COUNTIF(Donnees!$B$2:$B$401,I8)</f>
        <v>0</v>
      </c>
    </row>
    <row r="9" spans="1:10" x14ac:dyDescent="0.25">
      <c r="I9" s="26">
        <v>17</v>
      </c>
      <c r="J9" s="26">
        <f>COUNTIF(Donnees!$B$2:$B$401,I9)</f>
        <v>1</v>
      </c>
    </row>
    <row r="10" spans="1:10" x14ac:dyDescent="0.25">
      <c r="A10" s="2" t="s">
        <v>697</v>
      </c>
      <c r="I10" s="26">
        <v>18</v>
      </c>
      <c r="J10" s="26">
        <f>COUNTIF(Donnees!$B$2:$B$401,I10)</f>
        <v>6</v>
      </c>
    </row>
    <row r="11" spans="1:10" x14ac:dyDescent="0.25">
      <c r="A11" s="10" t="s">
        <v>671</v>
      </c>
      <c r="B11" s="10" t="str">
        <f>IF(MIN(B7:B8)&gt;=30,"Test t de Student (Welch)","Wilcoxon")</f>
        <v>Test t de Student (Welch)</v>
      </c>
      <c r="I11" s="26">
        <v>19</v>
      </c>
      <c r="J11" s="26">
        <f>COUNTIF(Donnees!$B$2:$B$401,I11)</f>
        <v>14</v>
      </c>
    </row>
    <row r="12" spans="1:10" x14ac:dyDescent="0.25">
      <c r="I12" s="26">
        <v>20</v>
      </c>
      <c r="J12" s="26">
        <f>COUNTIF(Donnees!$B$2:$B$401,I12)</f>
        <v>18</v>
      </c>
    </row>
    <row r="13" spans="1:10" ht="15.75" x14ac:dyDescent="0.25">
      <c r="A13" s="4" t="s">
        <v>698</v>
      </c>
      <c r="B13" s="5"/>
      <c r="C13" s="5"/>
      <c r="D13" s="5"/>
      <c r="E13" s="5"/>
      <c r="F13" s="5"/>
      <c r="G13" s="5"/>
      <c r="H13" s="5"/>
      <c r="I13" s="26">
        <v>21</v>
      </c>
      <c r="J13" s="26">
        <f>COUNTIF(Donnees!$B$2:$B$401,I13)</f>
        <v>17</v>
      </c>
    </row>
    <row r="14" spans="1:10" x14ac:dyDescent="0.25">
      <c r="A14" s="13" t="s">
        <v>699</v>
      </c>
      <c r="B14" s="34">
        <f>D7^2/B7</f>
        <v>6.4504653726954839E-2</v>
      </c>
      <c r="I14" s="26">
        <v>22</v>
      </c>
      <c r="J14" s="26">
        <f>COUNTIF(Donnees!$B$2:$B$401,I14)</f>
        <v>27</v>
      </c>
    </row>
    <row r="15" spans="1:10" x14ac:dyDescent="0.25">
      <c r="A15" s="13" t="s">
        <v>700</v>
      </c>
      <c r="B15" s="34">
        <f>D8^2/B8</f>
        <v>0.78545175827423142</v>
      </c>
      <c r="I15" s="26">
        <v>23</v>
      </c>
      <c r="J15" s="26">
        <f>COUNTIF(Donnees!$B$2:$B$401,I15)</f>
        <v>40</v>
      </c>
    </row>
    <row r="16" spans="1:10" x14ac:dyDescent="0.25">
      <c r="A16" s="13" t="s">
        <v>701</v>
      </c>
      <c r="B16" s="34">
        <f>(C7-C8)/SQRT(B14+B15)</f>
        <v>-0.14277512688438426</v>
      </c>
      <c r="I16" s="26">
        <v>24</v>
      </c>
      <c r="J16" s="26">
        <f>COUNTIF(Donnees!$B$2:$B$401,I16)</f>
        <v>32</v>
      </c>
    </row>
    <row r="17" spans="1:10" x14ac:dyDescent="0.25">
      <c r="A17" s="13" t="s">
        <v>702</v>
      </c>
      <c r="B17" s="34">
        <f>(B14+B15)^2/(B14^2/(B7-1)+B15^2/(B8-1))</f>
        <v>54.987009632362906</v>
      </c>
      <c r="I17" s="26">
        <v>25</v>
      </c>
      <c r="J17" s="26">
        <f>COUNTIF(Donnees!$B$2:$B$401,I17)</f>
        <v>35</v>
      </c>
    </row>
    <row r="18" spans="1:10" x14ac:dyDescent="0.25">
      <c r="A18" s="10" t="s">
        <v>703</v>
      </c>
      <c r="B18" s="35">
        <f>BETADIST(B17/(B17+B16^2),B17/2,0.5)</f>
        <v>0.88698967947769825</v>
      </c>
      <c r="I18" s="26">
        <v>26</v>
      </c>
      <c r="J18" s="26">
        <f>COUNTIF(Donnees!$B$2:$B$401,I18)</f>
        <v>31</v>
      </c>
    </row>
    <row r="19" spans="1:10" x14ac:dyDescent="0.25">
      <c r="I19" s="26">
        <v>27</v>
      </c>
      <c r="J19" s="26">
        <f>COUNTIF(Donnees!$B$2:$B$401,I19)</f>
        <v>43</v>
      </c>
    </row>
    <row r="20" spans="1:10" ht="15.75" x14ac:dyDescent="0.25">
      <c r="A20" s="4" t="s">
        <v>704</v>
      </c>
      <c r="B20" s="5"/>
      <c r="C20" s="5"/>
      <c r="D20" s="5"/>
      <c r="E20" s="5"/>
      <c r="F20" s="5"/>
      <c r="G20" s="5"/>
      <c r="H20" s="5"/>
      <c r="I20" s="26">
        <v>28</v>
      </c>
      <c r="J20" s="26">
        <f>COUNTIF(Donnees!$B$2:$B$401,I20)</f>
        <v>23</v>
      </c>
    </row>
    <row r="21" spans="1:10" x14ac:dyDescent="0.25">
      <c r="A21" s="13" t="s">
        <v>705</v>
      </c>
      <c r="B21" s="26">
        <f>SUMIF(Donnees!$V$2:$V$401,"Non",Donnees!$AA$2:$AA$401)</f>
        <v>70886</v>
      </c>
      <c r="I21" s="26">
        <v>29</v>
      </c>
      <c r="J21" s="26">
        <f>COUNTIF(Donnees!$B$2:$B$401,I21)</f>
        <v>23</v>
      </c>
    </row>
    <row r="22" spans="1:10" x14ac:dyDescent="0.25">
      <c r="A22" s="13" t="s">
        <v>706</v>
      </c>
      <c r="B22" s="26">
        <f>B21-B7*(B7+1)/2</f>
        <v>8758</v>
      </c>
      <c r="I22" s="26">
        <v>30</v>
      </c>
      <c r="J22" s="26">
        <f>COUNTIF(Donnees!$B$2:$B$401,I22)</f>
        <v>18</v>
      </c>
    </row>
    <row r="23" spans="1:10" x14ac:dyDescent="0.25">
      <c r="A23" s="13" t="s">
        <v>707</v>
      </c>
      <c r="B23" s="26">
        <f>SUMPRODUCT(J7:J37^3-J7:J37)</f>
        <v>319974</v>
      </c>
      <c r="I23" s="26">
        <v>31</v>
      </c>
      <c r="J23" s="26">
        <f>COUNTIF(Donnees!$B$2:$B$401,I23)</f>
        <v>12</v>
      </c>
    </row>
    <row r="24" spans="1:10" x14ac:dyDescent="0.25">
      <c r="A24" s="13" t="s">
        <v>708</v>
      </c>
      <c r="B24" s="34">
        <f>SQRT((B7*B8/12)*((B7+B8+1)-B23/((B7+B8)*(B7+B8-1))))</f>
        <v>749.52329632195108</v>
      </c>
      <c r="I24" s="26">
        <v>32</v>
      </c>
      <c r="J24" s="26">
        <f>COUNTIF(Donnees!$B$2:$B$401,I24)</f>
        <v>14</v>
      </c>
    </row>
    <row r="25" spans="1:10" x14ac:dyDescent="0.25">
      <c r="A25" s="13" t="s">
        <v>709</v>
      </c>
      <c r="B25" s="34">
        <f>(B22-B7*B8/2-SIGN(B22-B7*B8/2)*0.5)/B24</f>
        <v>0.41292912644446617</v>
      </c>
      <c r="I25" s="26">
        <v>33</v>
      </c>
      <c r="J25" s="26">
        <f>COUNTIF(Donnees!$B$2:$B$401,I25)</f>
        <v>14</v>
      </c>
    </row>
    <row r="26" spans="1:10" x14ac:dyDescent="0.25">
      <c r="A26" s="10" t="s">
        <v>703</v>
      </c>
      <c r="B26" s="35">
        <f>2*MIN(NORMSDIST(B25),1-NORMSDIST(B25))</f>
        <v>0.6796585405962221</v>
      </c>
      <c r="I26" s="26">
        <v>34</v>
      </c>
      <c r="J26" s="26">
        <f>COUNTIF(Donnees!$B$2:$B$401,I26)</f>
        <v>7</v>
      </c>
    </row>
    <row r="27" spans="1:10" x14ac:dyDescent="0.25">
      <c r="I27" s="26">
        <v>35</v>
      </c>
      <c r="J27" s="26">
        <f>COUNTIF(Donnees!$B$2:$B$401,I27)</f>
        <v>5</v>
      </c>
    </row>
    <row r="28" spans="1:10" ht="15.75" x14ac:dyDescent="0.25">
      <c r="A28" s="4" t="s">
        <v>710</v>
      </c>
      <c r="B28" s="5"/>
      <c r="C28" s="5"/>
      <c r="D28" s="5"/>
      <c r="E28" s="5"/>
      <c r="F28" s="5"/>
      <c r="G28" s="5"/>
      <c r="H28" s="5"/>
      <c r="I28" s="26">
        <v>36</v>
      </c>
      <c r="J28" s="26">
        <f>COUNTIF(Donnees!$B$2:$B$401,I28)</f>
        <v>5</v>
      </c>
    </row>
    <row r="29" spans="1:10" x14ac:dyDescent="0.25">
      <c r="A29" s="10" t="s">
        <v>674</v>
      </c>
      <c r="B29" s="35">
        <f>IF(B11="Wilcoxon",B26,B18)</f>
        <v>0.88698967947769825</v>
      </c>
      <c r="I29" s="26">
        <v>37</v>
      </c>
      <c r="J29" s="26">
        <f>COUNTIF(Donnees!$B$2:$B$401,I29)</f>
        <v>2</v>
      </c>
    </row>
    <row r="30" spans="1:10" x14ac:dyDescent="0.25">
      <c r="A30" s="10" t="s">
        <v>675</v>
      </c>
      <c r="B30" s="22" t="str">
        <f>IF(B29&lt;0.001,"&lt;0,001",FIXED(B29,3))</f>
        <v>0,887</v>
      </c>
      <c r="I30" s="26">
        <v>38</v>
      </c>
      <c r="J30" s="26">
        <f>COUNTIF(Donnees!$B$2:$B$401,I30)</f>
        <v>3</v>
      </c>
    </row>
    <row r="31" spans="1:10" x14ac:dyDescent="0.25">
      <c r="A31" s="10" t="s">
        <v>676</v>
      </c>
      <c r="B31" s="21" t="str">
        <f>IF(B29&lt;0.05,"Différence statistiquement significative (p &lt; 0,05).","Différence non démontrée ici (p &gt;= 0,05). Cela ne prouve pas l'absence de différence.")</f>
        <v>Différence non démontrée ici (p &gt;= 0,05). Cela ne prouve pas l'absence de différence.</v>
      </c>
      <c r="I31" s="26">
        <v>39</v>
      </c>
      <c r="J31" s="26">
        <f>COUNTIF(Donnees!$B$2:$B$401,I31)</f>
        <v>2</v>
      </c>
    </row>
    <row r="32" spans="1:10" x14ac:dyDescent="0.25">
      <c r="A32" s="13" t="s">
        <v>711</v>
      </c>
      <c r="B32" s="36">
        <f>C8-C7</f>
        <v>0.1316287878787854</v>
      </c>
      <c r="I32" s="26">
        <v>40</v>
      </c>
      <c r="J32" s="26">
        <f>COUNTIF(Donnees!$B$2:$B$401,I32)</f>
        <v>2</v>
      </c>
    </row>
    <row r="33" spans="1:18" x14ac:dyDescent="0.25">
      <c r="I33" s="26">
        <v>41</v>
      </c>
      <c r="J33" s="26">
        <f>COUNTIF(Donnees!$B$2:$B$401,I33)</f>
        <v>2</v>
      </c>
    </row>
    <row r="34" spans="1:18" ht="15.75" x14ac:dyDescent="0.25">
      <c r="A34" s="4" t="s">
        <v>712</v>
      </c>
      <c r="B34" s="5"/>
      <c r="C34" s="5"/>
      <c r="D34" s="5"/>
      <c r="E34" s="5"/>
      <c r="F34" s="5"/>
      <c r="G34" s="5"/>
      <c r="H34" s="5"/>
      <c r="I34" s="26">
        <v>42</v>
      </c>
      <c r="J34" s="26">
        <f>COUNTIF(Donnees!$B$2:$B$401,I34)</f>
        <v>1</v>
      </c>
      <c r="L34" s="10" t="s">
        <v>713</v>
      </c>
    </row>
    <row r="35" spans="1:18" x14ac:dyDescent="0.25">
      <c r="A35" s="6" t="s">
        <v>619</v>
      </c>
      <c r="B35" s="7" t="s">
        <v>661</v>
      </c>
      <c r="C35" s="7" t="s">
        <v>114</v>
      </c>
      <c r="I35" s="26">
        <v>43</v>
      </c>
      <c r="J35" s="26">
        <f>COUNTIF(Donnees!$B$2:$B$401,I35)</f>
        <v>0</v>
      </c>
      <c r="L35" s="22" t="s">
        <v>694</v>
      </c>
      <c r="M35" s="22" t="s">
        <v>714</v>
      </c>
      <c r="N35" s="22" t="s">
        <v>715</v>
      </c>
      <c r="O35" s="22" t="s">
        <v>716</v>
      </c>
      <c r="P35" s="22" t="s">
        <v>717</v>
      </c>
      <c r="Q35" s="22" t="s">
        <v>718</v>
      </c>
      <c r="R35" s="22" t="s">
        <v>612</v>
      </c>
    </row>
    <row r="36" spans="1:18" x14ac:dyDescent="0.25">
      <c r="A36" s="15" t="s">
        <v>609</v>
      </c>
      <c r="B36" s="26">
        <f t="array" ref="B36">MIN(IF(Donnees!$V$2:$V$401="Non",Donnees!$B$2:$B$401))</f>
        <v>18</v>
      </c>
      <c r="C36" s="26">
        <f t="array" ref="C36">MIN(IF(Donnees!$V$2:$V$401="Oui",Donnees!$B$2:$B$401))</f>
        <v>17</v>
      </c>
      <c r="I36" s="26">
        <v>44</v>
      </c>
      <c r="J36" s="26">
        <f>COUNTIF(Donnees!$B$2:$B$401,I36)</f>
        <v>1</v>
      </c>
      <c r="L36" s="13" t="s">
        <v>661</v>
      </c>
      <c r="M36" s="37">
        <f>B45</f>
        <v>23</v>
      </c>
      <c r="N36" s="37">
        <f>B46</f>
        <v>3</v>
      </c>
      <c r="O36" s="37">
        <f>B47</f>
        <v>3</v>
      </c>
      <c r="P36" s="37">
        <f>B48</f>
        <v>5</v>
      </c>
      <c r="Q36" s="37">
        <f>B49</f>
        <v>9</v>
      </c>
      <c r="R36" s="37">
        <f>B41</f>
        <v>26.389204545454547</v>
      </c>
    </row>
    <row r="37" spans="1:18" x14ac:dyDescent="0.25">
      <c r="A37" s="15" t="s">
        <v>610</v>
      </c>
      <c r="B37" s="38">
        <f t="array" ref="B37">QUARTILE(IF(Donnees!$V$2:$V$401="Non",Donnees!$B$2:$B$401),1)</f>
        <v>23</v>
      </c>
      <c r="C37" s="38">
        <f t="array" ref="C37">QUARTILE(IF(Donnees!$V$2:$V$401="Oui",Donnees!$B$2:$B$401),1)</f>
        <v>22</v>
      </c>
      <c r="I37" s="26">
        <v>45</v>
      </c>
      <c r="J37" s="26">
        <f>COUNTIF(Donnees!$B$2:$B$401,I37)</f>
        <v>2</v>
      </c>
      <c r="L37" s="13" t="s">
        <v>114</v>
      </c>
      <c r="M37" s="37">
        <f>C45</f>
        <v>22</v>
      </c>
      <c r="N37" s="37">
        <f>C46</f>
        <v>3</v>
      </c>
      <c r="O37" s="37">
        <f>C47</f>
        <v>4.25</v>
      </c>
      <c r="P37" s="37">
        <f>C48</f>
        <v>5</v>
      </c>
      <c r="Q37" s="37">
        <f>C49</f>
        <v>9.75</v>
      </c>
      <c r="R37" s="37">
        <f>C41</f>
        <v>26.520833333333332</v>
      </c>
    </row>
    <row r="38" spans="1:18" x14ac:dyDescent="0.25">
      <c r="A38" s="15" t="s">
        <v>611</v>
      </c>
      <c r="B38" s="38">
        <f t="array" ref="B38">MEDIAN(IF(Donnees!$V$2:$V$401="Non",Donnees!$B$2:$B$401))</f>
        <v>26</v>
      </c>
      <c r="C38" s="38">
        <f t="array" ref="C38">MEDIAN(IF(Donnees!$V$2:$V$401="Oui",Donnees!$B$2:$B$401))</f>
        <v>25</v>
      </c>
    </row>
    <row r="39" spans="1:18" x14ac:dyDescent="0.25">
      <c r="A39" s="15" t="s">
        <v>613</v>
      </c>
      <c r="B39" s="38">
        <f t="array" ref="B39">QUARTILE(IF(Donnees!$V$2:$V$401="Non",Donnees!$B$2:$B$401),3)</f>
        <v>29</v>
      </c>
      <c r="C39" s="38">
        <f t="array" ref="C39">QUARTILE(IF(Donnees!$V$2:$V$401="Oui",Donnees!$B$2:$B$401),3)</f>
        <v>29.25</v>
      </c>
    </row>
    <row r="40" spans="1:18" x14ac:dyDescent="0.25">
      <c r="A40" s="15" t="s">
        <v>614</v>
      </c>
      <c r="B40" s="26">
        <f t="array" ref="B40">MAX(IF(Donnees!$V$2:$V$401="Non",Donnees!$B$2:$B$401))</f>
        <v>45</v>
      </c>
      <c r="C40" s="26">
        <f t="array" ref="C40">MAX(IF(Donnees!$V$2:$V$401="Oui",Donnees!$B$2:$B$401))</f>
        <v>45</v>
      </c>
    </row>
    <row r="41" spans="1:18" x14ac:dyDescent="0.25">
      <c r="A41" s="15" t="s">
        <v>612</v>
      </c>
      <c r="B41" s="38">
        <f>AVERAGEIFS(Donnees!$B$2:$B$401,Donnees!$V$2:$V$401,"Non")</f>
        <v>26.389204545454547</v>
      </c>
      <c r="C41" s="38">
        <f>AVERAGEIFS(Donnees!$B$2:$B$401,Donnees!$V$2:$V$401,"Oui")</f>
        <v>26.520833333333332</v>
      </c>
    </row>
    <row r="42" spans="1:18" x14ac:dyDescent="0.25">
      <c r="A42" s="15" t="s">
        <v>719</v>
      </c>
      <c r="B42" s="38">
        <f>B39-B37</f>
        <v>6</v>
      </c>
      <c r="C42" s="38">
        <f>C39-C37</f>
        <v>7.25</v>
      </c>
    </row>
    <row r="43" spans="1:18" x14ac:dyDescent="0.25">
      <c r="A43" s="15" t="s">
        <v>717</v>
      </c>
      <c r="B43" s="26">
        <f t="array" ref="B43">MIN(IF((Donnees!$V$2:$V$401="Non")*(Donnees!$B$2:$B$401&gt;=B37-1.5*B42),Donnees!$B$2:$B$401))</f>
        <v>18</v>
      </c>
      <c r="C43" s="26">
        <f t="array" ref="C43">MIN(IF((Donnees!$V$2:$V$401="Oui")*(Donnees!$B$2:$B$401&gt;=C37-1.5*C42),Donnees!$B$2:$B$401))</f>
        <v>17</v>
      </c>
    </row>
    <row r="44" spans="1:18" x14ac:dyDescent="0.25">
      <c r="A44" s="15" t="s">
        <v>718</v>
      </c>
      <c r="B44" s="26">
        <f t="array" ref="B44">MAX(IF((Donnees!$V$2:$V$401="Non")*(Donnees!$B$2:$B$401&lt;=B39+1.5*B42),Donnees!$B$2:$B$401))</f>
        <v>38</v>
      </c>
      <c r="C44" s="26">
        <f t="array" ref="C44">MAX(IF((Donnees!$V$2:$V$401="Oui")*(Donnees!$B$2:$B$401&lt;=C39+1.5*C42),Donnees!$B$2:$B$401))</f>
        <v>39</v>
      </c>
    </row>
    <row r="45" spans="1:18" x14ac:dyDescent="0.25">
      <c r="A45" s="24" t="s">
        <v>720</v>
      </c>
      <c r="B45" s="39">
        <f>B37</f>
        <v>23</v>
      </c>
      <c r="C45" s="39">
        <f>C37</f>
        <v>22</v>
      </c>
    </row>
    <row r="46" spans="1:18" x14ac:dyDescent="0.25">
      <c r="A46" s="24" t="s">
        <v>721</v>
      </c>
      <c r="B46" s="39">
        <f>B38-B37</f>
        <v>3</v>
      </c>
      <c r="C46" s="39">
        <f>C38-C37</f>
        <v>3</v>
      </c>
    </row>
    <row r="47" spans="1:18" x14ac:dyDescent="0.25">
      <c r="A47" s="24" t="s">
        <v>722</v>
      </c>
      <c r="B47" s="39">
        <f>B39-B38</f>
        <v>3</v>
      </c>
      <c r="C47" s="39">
        <f>C39-C38</f>
        <v>4.25</v>
      </c>
    </row>
    <row r="48" spans="1:18" x14ac:dyDescent="0.25">
      <c r="A48" s="24" t="s">
        <v>723</v>
      </c>
      <c r="B48" s="39">
        <f>B37-B43</f>
        <v>5</v>
      </c>
      <c r="C48" s="39">
        <f>C37-C43</f>
        <v>5</v>
      </c>
    </row>
    <row r="49" spans="1:3" x14ac:dyDescent="0.25">
      <c r="A49" s="24" t="s">
        <v>724</v>
      </c>
      <c r="B49" s="39">
        <f>B44-B39</f>
        <v>9</v>
      </c>
      <c r="C49" s="39">
        <f>C44-C39</f>
        <v>9.75</v>
      </c>
    </row>
  </sheetData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87"/>
  <sheetViews>
    <sheetView showGridLines="0" workbookViewId="0"/>
  </sheetViews>
  <sheetFormatPr baseColWidth="10" defaultColWidth="9.140625" defaultRowHeight="15" x14ac:dyDescent="0.25"/>
  <cols>
    <col min="1" max="1" width="46" customWidth="1"/>
    <col min="2" max="3" width="26" customWidth="1"/>
    <col min="4" max="4" width="20" customWidth="1"/>
    <col min="5" max="7" width="12" customWidth="1"/>
  </cols>
  <sheetData>
    <row r="1" spans="1:7" ht="26.1" customHeight="1" x14ac:dyDescent="0.35">
      <c r="A1" s="1" t="s">
        <v>725</v>
      </c>
    </row>
    <row r="2" spans="1:7" x14ac:dyDescent="0.25">
      <c r="A2" s="2" t="s">
        <v>726</v>
      </c>
    </row>
    <row r="4" spans="1:7" ht="15.75" x14ac:dyDescent="0.25">
      <c r="A4" s="4" t="s">
        <v>727</v>
      </c>
      <c r="B4" s="5"/>
      <c r="C4" s="5"/>
      <c r="D4" s="5"/>
      <c r="E4" s="5"/>
      <c r="F4" s="5"/>
      <c r="G4" s="5"/>
    </row>
    <row r="5" spans="1:7" x14ac:dyDescent="0.25">
      <c r="A5" s="6" t="s">
        <v>511</v>
      </c>
      <c r="B5" s="7" t="s">
        <v>630</v>
      </c>
      <c r="C5" s="7" t="s">
        <v>626</v>
      </c>
      <c r="D5" s="7" t="s">
        <v>631</v>
      </c>
    </row>
    <row r="6" spans="1:7" x14ac:dyDescent="0.25">
      <c r="A6" s="15" t="str">
        <f>IF('2_Description'!A26="","",'2_Description'!A26)</f>
        <v>Tranche d'âge</v>
      </c>
      <c r="B6" s="16" t="str">
        <f>IF('2_Description'!B26="","",'2_Description'!B26)</f>
        <v>Moins de 20 ans</v>
      </c>
      <c r="C6" s="40">
        <f>IF('2_Description'!C26="","",'2_Description'!C26)</f>
        <v>21</v>
      </c>
      <c r="D6" s="17">
        <f>IF('2_Description'!D26="","",'2_Description'!D26)</f>
        <v>5.25</v>
      </c>
    </row>
    <row r="7" spans="1:7" x14ac:dyDescent="0.25">
      <c r="A7" s="15" t="str">
        <f>IF('2_Description'!A27="","",'2_Description'!A27)</f>
        <v/>
      </c>
      <c r="B7" s="16" t="str">
        <f>IF('2_Description'!B27="","",'2_Description'!B27)</f>
        <v>20-29 ans</v>
      </c>
      <c r="C7" s="40">
        <f>IF('2_Description'!C27="","",'2_Description'!C27)</f>
        <v>289</v>
      </c>
      <c r="D7" s="17">
        <f>IF('2_Description'!D27="","",'2_Description'!D27)</f>
        <v>72.25</v>
      </c>
    </row>
    <row r="8" spans="1:7" x14ac:dyDescent="0.25">
      <c r="A8" s="15" t="str">
        <f>IF('2_Description'!A28="","",'2_Description'!A28)</f>
        <v/>
      </c>
      <c r="B8" s="16" t="str">
        <f>IF('2_Description'!B28="","",'2_Description'!B28)</f>
        <v>30-34 ans</v>
      </c>
      <c r="C8" s="40">
        <f>IF('2_Description'!C28="","",'2_Description'!C28)</f>
        <v>65</v>
      </c>
      <c r="D8" s="17">
        <f>IF('2_Description'!D28="","",'2_Description'!D28)</f>
        <v>16.25</v>
      </c>
    </row>
    <row r="9" spans="1:7" x14ac:dyDescent="0.25">
      <c r="A9" s="15" t="str">
        <f>IF('2_Description'!A29="","",'2_Description'!A29)</f>
        <v/>
      </c>
      <c r="B9" s="16" t="str">
        <f>IF('2_Description'!B29="","",'2_Description'!B29)</f>
        <v>35 ans et plus</v>
      </c>
      <c r="C9" s="40">
        <f>IF('2_Description'!C29="","",'2_Description'!C29)</f>
        <v>25</v>
      </c>
      <c r="D9" s="17">
        <f>IF('2_Description'!D29="","",'2_Description'!D29)</f>
        <v>6.25</v>
      </c>
    </row>
    <row r="10" spans="1:7" x14ac:dyDescent="0.25">
      <c r="A10" s="15" t="str">
        <f>IF('2_Description'!A30="","",'2_Description'!A30)</f>
        <v>Situation matrimoniale</v>
      </c>
      <c r="B10" s="16" t="str">
        <f>IF('2_Description'!B30="","",'2_Description'!B30)</f>
        <v>Célibataire</v>
      </c>
      <c r="C10" s="40">
        <f>IF('2_Description'!C30="","",'2_Description'!C30)</f>
        <v>68</v>
      </c>
      <c r="D10" s="17">
        <f>IF('2_Description'!D30="","",'2_Description'!D30)</f>
        <v>17</v>
      </c>
    </row>
    <row r="11" spans="1:7" x14ac:dyDescent="0.25">
      <c r="A11" s="15" t="str">
        <f>IF('2_Description'!A31="","",'2_Description'!A31)</f>
        <v/>
      </c>
      <c r="B11" s="16" t="str">
        <f>IF('2_Description'!B31="","",'2_Description'!B31)</f>
        <v>Mariée</v>
      </c>
      <c r="C11" s="40">
        <f>IF('2_Description'!C31="","",'2_Description'!C31)</f>
        <v>255</v>
      </c>
      <c r="D11" s="17">
        <f>IF('2_Description'!D31="","",'2_Description'!D31)</f>
        <v>63.749999999999993</v>
      </c>
    </row>
    <row r="12" spans="1:7" x14ac:dyDescent="0.25">
      <c r="A12" s="15" t="str">
        <f>IF('2_Description'!A32="","",'2_Description'!A32)</f>
        <v/>
      </c>
      <c r="B12" s="16" t="str">
        <f>IF('2_Description'!B32="","",'2_Description'!B32)</f>
        <v>Union libre</v>
      </c>
      <c r="C12" s="40">
        <f>IF('2_Description'!C32="","",'2_Description'!C32)</f>
        <v>69</v>
      </c>
      <c r="D12" s="17">
        <f>IF('2_Description'!D32="","",'2_Description'!D32)</f>
        <v>17.25</v>
      </c>
    </row>
    <row r="13" spans="1:7" x14ac:dyDescent="0.25">
      <c r="A13" s="15" t="str">
        <f>IF('2_Description'!A33="","",'2_Description'!A33)</f>
        <v/>
      </c>
      <c r="B13" s="16" t="str">
        <f>IF('2_Description'!B33="","",'2_Description'!B33)</f>
        <v>Veuve/divorcée</v>
      </c>
      <c r="C13" s="40">
        <f>IF('2_Description'!C33="","",'2_Description'!C33)</f>
        <v>8</v>
      </c>
      <c r="D13" s="17">
        <f>IF('2_Description'!D33="","",'2_Description'!D33)</f>
        <v>2</v>
      </c>
    </row>
    <row r="14" spans="1:7" x14ac:dyDescent="0.25">
      <c r="A14" s="15" t="str">
        <f>IF('2_Description'!A34="","",'2_Description'!A34)</f>
        <v>Niveau d'instruction</v>
      </c>
      <c r="B14" s="16" t="str">
        <f>IF('2_Description'!B34="","",'2_Description'!B34)</f>
        <v>Aucun</v>
      </c>
      <c r="C14" s="40">
        <f>IF('2_Description'!C34="","",'2_Description'!C34)</f>
        <v>53</v>
      </c>
      <c r="D14" s="17">
        <f>IF('2_Description'!D34="","",'2_Description'!D34)</f>
        <v>13.451776649746192</v>
      </c>
    </row>
    <row r="15" spans="1:7" x14ac:dyDescent="0.25">
      <c r="A15" s="15" t="str">
        <f>IF('2_Description'!A35="","",'2_Description'!A35)</f>
        <v/>
      </c>
      <c r="B15" s="16" t="str">
        <f>IF('2_Description'!B35="","",'2_Description'!B35)</f>
        <v>Primaire</v>
      </c>
      <c r="C15" s="40">
        <f>IF('2_Description'!C35="","",'2_Description'!C35)</f>
        <v>121</v>
      </c>
      <c r="D15" s="17">
        <f>IF('2_Description'!D35="","",'2_Description'!D35)</f>
        <v>30.710659898477154</v>
      </c>
    </row>
    <row r="16" spans="1:7" x14ac:dyDescent="0.25">
      <c r="A16" s="15" t="str">
        <f>IF('2_Description'!A36="","",'2_Description'!A36)</f>
        <v/>
      </c>
      <c r="B16" s="16" t="str">
        <f>IF('2_Description'!B36="","",'2_Description'!B36)</f>
        <v>Secondaire</v>
      </c>
      <c r="C16" s="40">
        <f>IF('2_Description'!C36="","",'2_Description'!C36)</f>
        <v>177</v>
      </c>
      <c r="D16" s="17">
        <f>IF('2_Description'!D36="","",'2_Description'!D36)</f>
        <v>44.923857868020306</v>
      </c>
    </row>
    <row r="17" spans="1:7" x14ac:dyDescent="0.25">
      <c r="A17" s="15" t="str">
        <f>IF('2_Description'!A37="","",'2_Description'!A37)</f>
        <v/>
      </c>
      <c r="B17" s="16" t="str">
        <f>IF('2_Description'!B37="","",'2_Description'!B37)</f>
        <v>Supérieur</v>
      </c>
      <c r="C17" s="40">
        <f>IF('2_Description'!C37="","",'2_Description'!C37)</f>
        <v>43</v>
      </c>
      <c r="D17" s="17">
        <f>IF('2_Description'!D37="","",'2_Description'!D37)</f>
        <v>10.913705583756345</v>
      </c>
    </row>
    <row r="18" spans="1:7" x14ac:dyDescent="0.25">
      <c r="A18" s="15" t="str">
        <f>IF('2_Description'!A38="","",'2_Description'!A38)</f>
        <v/>
      </c>
      <c r="B18" s="16" t="str">
        <f>IF('2_Description'!B38="","",'2_Description'!B38)</f>
        <v>Données manquantes</v>
      </c>
      <c r="C18" s="40">
        <f>IF('2_Description'!C38="","",'2_Description'!C38)</f>
        <v>6</v>
      </c>
      <c r="D18" s="17" t="str">
        <f>IF('2_Description'!D38="","",'2_Description'!D38)</f>
        <v/>
      </c>
    </row>
    <row r="19" spans="1:7" x14ac:dyDescent="0.25">
      <c r="A19" s="15" t="str">
        <f>IF('2_Description'!A39="","",'2_Description'!A39)</f>
        <v>Profession</v>
      </c>
      <c r="B19" s="16" t="str">
        <f>IF('2_Description'!B39="","",'2_Description'!B39)</f>
        <v>Agricultrice</v>
      </c>
      <c r="C19" s="40">
        <f>IF('2_Description'!C39="","",'2_Description'!C39)</f>
        <v>51</v>
      </c>
      <c r="D19" s="17">
        <f>IF('2_Description'!D39="","",'2_Description'!D39)</f>
        <v>13.010204081632654</v>
      </c>
    </row>
    <row r="20" spans="1:7" x14ac:dyDescent="0.25">
      <c r="A20" s="15" t="str">
        <f>IF('2_Description'!A40="","",'2_Description'!A40)</f>
        <v/>
      </c>
      <c r="B20" s="16" t="str">
        <f>IF('2_Description'!B40="","",'2_Description'!B40)</f>
        <v>Artisane</v>
      </c>
      <c r="C20" s="40">
        <f>IF('2_Description'!C40="","",'2_Description'!C40)</f>
        <v>42</v>
      </c>
      <c r="D20" s="17">
        <f>IF('2_Description'!D40="","",'2_Description'!D40)</f>
        <v>10.714285714285714</v>
      </c>
    </row>
    <row r="21" spans="1:7" x14ac:dyDescent="0.25">
      <c r="A21" s="15" t="str">
        <f>IF('2_Description'!A41="","",'2_Description'!A41)</f>
        <v/>
      </c>
      <c r="B21" s="16" t="str">
        <f>IF('2_Description'!B41="","",'2_Description'!B41)</f>
        <v>Commerçante</v>
      </c>
      <c r="C21" s="40">
        <f>IF('2_Description'!C41="","",'2_Description'!C41)</f>
        <v>125</v>
      </c>
      <c r="D21" s="17">
        <f>IF('2_Description'!D41="","",'2_Description'!D41)</f>
        <v>31.887755102040817</v>
      </c>
    </row>
    <row r="22" spans="1:7" x14ac:dyDescent="0.25">
      <c r="A22" s="15" t="str">
        <f>IF('2_Description'!A42="","",'2_Description'!A42)</f>
        <v/>
      </c>
      <c r="B22" s="16" t="str">
        <f>IF('2_Description'!B42="","",'2_Description'!B42)</f>
        <v>Élève/Étudiante</v>
      </c>
      <c r="C22" s="40">
        <f>IF('2_Description'!C42="","",'2_Description'!C42)</f>
        <v>35</v>
      </c>
      <c r="D22" s="17">
        <f>IF('2_Description'!D42="","",'2_Description'!D42)</f>
        <v>8.9285714285714288</v>
      </c>
    </row>
    <row r="23" spans="1:7" x14ac:dyDescent="0.25">
      <c r="A23" s="15" t="str">
        <f>IF('2_Description'!A43="","",'2_Description'!A43)</f>
        <v/>
      </c>
      <c r="B23" s="16" t="str">
        <f>IF('2_Description'!B43="","",'2_Description'!B43)</f>
        <v>Ménagère</v>
      </c>
      <c r="C23" s="40">
        <f>IF('2_Description'!C43="","",'2_Description'!C43)</f>
        <v>122</v>
      </c>
      <c r="D23" s="17">
        <f>IF('2_Description'!D43="","",'2_Description'!D43)</f>
        <v>31.122448979591837</v>
      </c>
    </row>
    <row r="24" spans="1:7" x14ac:dyDescent="0.25">
      <c r="A24" s="15" t="str">
        <f>IF('2_Description'!A44="","",'2_Description'!A44)</f>
        <v/>
      </c>
      <c r="B24" s="16" t="str">
        <f>IF('2_Description'!B44="","",'2_Description'!B44)</f>
        <v>Salariée</v>
      </c>
      <c r="C24" s="40">
        <f>IF('2_Description'!C44="","",'2_Description'!C44)</f>
        <v>17</v>
      </c>
      <c r="D24" s="17">
        <f>IF('2_Description'!D44="","",'2_Description'!D44)</f>
        <v>4.3367346938775508</v>
      </c>
    </row>
    <row r="25" spans="1:7" x14ac:dyDescent="0.25">
      <c r="A25" s="15" t="str">
        <f>IF('2_Description'!A45="","",'2_Description'!A45)</f>
        <v/>
      </c>
      <c r="B25" s="16" t="str">
        <f>IF('2_Description'!B45="","",'2_Description'!B45)</f>
        <v>Données manquantes</v>
      </c>
      <c r="C25" s="40">
        <f>IF('2_Description'!C45="","",'2_Description'!C45)</f>
        <v>8</v>
      </c>
      <c r="D25" s="17" t="str">
        <f>IF('2_Description'!D45="","",'2_Description'!D45)</f>
        <v/>
      </c>
    </row>
    <row r="26" spans="1:7" x14ac:dyDescent="0.25">
      <c r="A26" s="15" t="str">
        <f>IF('2_Description'!A46="","",'2_Description'!A46)</f>
        <v>Milieu de résidence</v>
      </c>
      <c r="B26" s="16" t="str">
        <f>IF('2_Description'!B46="","",'2_Description'!B46)</f>
        <v>Urbain</v>
      </c>
      <c r="C26" s="40">
        <f>IF('2_Description'!C46="","",'2_Description'!C46)</f>
        <v>238</v>
      </c>
      <c r="D26" s="17">
        <f>IF('2_Description'!D46="","",'2_Description'!D46)</f>
        <v>59.5</v>
      </c>
    </row>
    <row r="27" spans="1:7" x14ac:dyDescent="0.25">
      <c r="A27" s="15" t="str">
        <f>IF('2_Description'!A47="","",'2_Description'!A47)</f>
        <v/>
      </c>
      <c r="B27" s="16" t="str">
        <f>IF('2_Description'!B47="","",'2_Description'!B47)</f>
        <v>Rural</v>
      </c>
      <c r="C27" s="40">
        <f>IF('2_Description'!C47="","",'2_Description'!C47)</f>
        <v>162</v>
      </c>
      <c r="D27" s="17">
        <f>IF('2_Description'!D47="","",'2_Description'!D47)</f>
        <v>40.5</v>
      </c>
    </row>
    <row r="29" spans="1:7" ht="15.75" x14ac:dyDescent="0.25">
      <c r="A29" s="4" t="s">
        <v>728</v>
      </c>
      <c r="B29" s="5"/>
      <c r="C29" s="5"/>
      <c r="D29" s="5"/>
      <c r="E29" s="5"/>
      <c r="F29" s="5"/>
      <c r="G29" s="5"/>
    </row>
    <row r="30" spans="1:7" x14ac:dyDescent="0.25">
      <c r="A30" s="6" t="s">
        <v>511</v>
      </c>
      <c r="B30" s="7" t="s">
        <v>608</v>
      </c>
      <c r="C30" s="7" t="s">
        <v>612</v>
      </c>
      <c r="D30" s="7" t="s">
        <v>627</v>
      </c>
      <c r="E30" s="7" t="s">
        <v>611</v>
      </c>
      <c r="F30" s="7" t="s">
        <v>609</v>
      </c>
      <c r="G30" s="7" t="s">
        <v>614</v>
      </c>
    </row>
    <row r="31" spans="1:7" x14ac:dyDescent="0.25">
      <c r="A31" s="15" t="str">
        <f>IF('2_Description'!A51="","",'2_Description'!A51)</f>
        <v>Gestité</v>
      </c>
      <c r="B31" s="41">
        <f>IF('2_Description'!B51="","",'2_Description'!B51)</f>
        <v>400</v>
      </c>
      <c r="C31" s="17">
        <f>IF('2_Description'!C51="","",'2_Description'!C51)</f>
        <v>2.7475000000000001</v>
      </c>
      <c r="D31" s="17">
        <f>IF('2_Description'!D51="","",'2_Description'!D51)</f>
        <v>1.5474917048052641</v>
      </c>
      <c r="E31" s="17">
        <f>IF('2_Description'!E51="","",'2_Description'!E51)</f>
        <v>2</v>
      </c>
      <c r="F31" s="40">
        <f>IF('2_Description'!F51="","",'2_Description'!F51)</f>
        <v>1</v>
      </c>
      <c r="G31" s="40">
        <f>IF('2_Description'!G51="","",'2_Description'!G51)</f>
        <v>10</v>
      </c>
    </row>
    <row r="32" spans="1:7" x14ac:dyDescent="0.25">
      <c r="A32" s="15" t="str">
        <f>IF('2_Description'!A52="","",'2_Description'!A52)</f>
        <v>Parité</v>
      </c>
      <c r="B32" s="41">
        <f>IF('2_Description'!B52="","",'2_Description'!B52)</f>
        <v>400</v>
      </c>
      <c r="C32" s="17">
        <f>IF('2_Description'!C52="","",'2_Description'!C52)</f>
        <v>1.5725</v>
      </c>
      <c r="D32" s="17">
        <f>IF('2_Description'!D52="","",'2_Description'!D52)</f>
        <v>1.516738272566718</v>
      </c>
      <c r="E32" s="17">
        <f>IF('2_Description'!E52="","",'2_Description'!E52)</f>
        <v>1</v>
      </c>
      <c r="F32" s="40">
        <f>IF('2_Description'!F52="","",'2_Description'!F52)</f>
        <v>0</v>
      </c>
      <c r="G32" s="40">
        <f>IF('2_Description'!G52="","",'2_Description'!G52)</f>
        <v>8</v>
      </c>
    </row>
    <row r="33" spans="1:7" x14ac:dyDescent="0.25">
      <c r="A33" s="15" t="str">
        <f>IF('2_Description'!A53="","",'2_Description'!A53)</f>
        <v>Nombre de CPN</v>
      </c>
      <c r="B33" s="41">
        <f>IF('2_Description'!B53="","",'2_Description'!B53)</f>
        <v>390</v>
      </c>
      <c r="C33" s="17">
        <f>IF('2_Description'!C53="","",'2_Description'!C53)</f>
        <v>3.594871794871795</v>
      </c>
      <c r="D33" s="17">
        <f>IF('2_Description'!D53="","",'2_Description'!D53)</f>
        <v>1.9870983247335106</v>
      </c>
      <c r="E33" s="17">
        <f>IF('2_Description'!E53="","",'2_Description'!E53)</f>
        <v>3</v>
      </c>
      <c r="F33" s="40">
        <f>IF('2_Description'!F53="","",'2_Description'!F53)</f>
        <v>0</v>
      </c>
      <c r="G33" s="40">
        <f>IF('2_Description'!G53="","",'2_Description'!G53)</f>
        <v>10</v>
      </c>
    </row>
    <row r="34" spans="1:7" x14ac:dyDescent="0.25">
      <c r="A34" s="15" t="str">
        <f>IF('2_Description'!A54="","",'2_Description'!A54)</f>
        <v>Âge gestationnel (SA)</v>
      </c>
      <c r="B34" s="41">
        <f>IF('2_Description'!B54="","",'2_Description'!B54)</f>
        <v>400</v>
      </c>
      <c r="C34" s="17">
        <f>IF('2_Description'!C54="","",'2_Description'!C54)</f>
        <v>34.3675</v>
      </c>
      <c r="D34" s="17">
        <f>IF('2_Description'!D54="","",'2_Description'!D54)</f>
        <v>4.2928446323613825</v>
      </c>
      <c r="E34" s="17">
        <f>IF('2_Description'!E54="","",'2_Description'!E54)</f>
        <v>35</v>
      </c>
      <c r="F34" s="40">
        <f>IF('2_Description'!F54="","",'2_Description'!F54)</f>
        <v>21</v>
      </c>
      <c r="G34" s="40">
        <f>IF('2_Description'!G54="","",'2_Description'!G54)</f>
        <v>41</v>
      </c>
    </row>
    <row r="36" spans="1:7" ht="15.75" x14ac:dyDescent="0.25">
      <c r="A36" s="4" t="s">
        <v>729</v>
      </c>
      <c r="B36" s="5"/>
      <c r="C36" s="5"/>
      <c r="D36" s="5"/>
      <c r="E36" s="5"/>
      <c r="F36" s="5"/>
      <c r="G36" s="5"/>
    </row>
    <row r="37" spans="1:7" x14ac:dyDescent="0.25">
      <c r="A37" s="6" t="s">
        <v>511</v>
      </c>
      <c r="B37" s="7" t="s">
        <v>630</v>
      </c>
      <c r="C37" s="7" t="s">
        <v>626</v>
      </c>
      <c r="D37" s="7" t="s">
        <v>631</v>
      </c>
    </row>
    <row r="38" spans="1:7" x14ac:dyDescent="0.25">
      <c r="A38" s="15" t="str">
        <f>IF('2_Description'!A57="","",'2_Description'!A57)</f>
        <v>Parité</v>
      </c>
      <c r="B38" s="16" t="str">
        <f>IF('2_Description'!B57="","",'2_Description'!B57)</f>
        <v>Nullipare (0)</v>
      </c>
      <c r="C38" s="40">
        <f>IF('2_Description'!C57="","",'2_Description'!C57)</f>
        <v>108</v>
      </c>
      <c r="D38" s="17">
        <f>IF('2_Description'!D57="","",'2_Description'!D57)</f>
        <v>27</v>
      </c>
    </row>
    <row r="39" spans="1:7" x14ac:dyDescent="0.25">
      <c r="A39" s="15" t="str">
        <f>IF('2_Description'!A58="","",'2_Description'!A58)</f>
        <v/>
      </c>
      <c r="B39" s="16" t="str">
        <f>IF('2_Description'!B58="","",'2_Description'!B58)</f>
        <v>1-2 accouchements</v>
      </c>
      <c r="C39" s="40">
        <f>IF('2_Description'!C58="","",'2_Description'!C58)</f>
        <v>203</v>
      </c>
      <c r="D39" s="17">
        <f>IF('2_Description'!D58="","",'2_Description'!D58)</f>
        <v>50.749999999999993</v>
      </c>
    </row>
    <row r="40" spans="1:7" x14ac:dyDescent="0.25">
      <c r="A40" s="15" t="str">
        <f>IF('2_Description'!A59="","",'2_Description'!A59)</f>
        <v/>
      </c>
      <c r="B40" s="16" t="str">
        <f>IF('2_Description'!B59="","",'2_Description'!B59)</f>
        <v>3 accouchements et plus</v>
      </c>
      <c r="C40" s="40">
        <f>IF('2_Description'!C59="","",'2_Description'!C59)</f>
        <v>89</v>
      </c>
      <c r="D40" s="17">
        <f>IF('2_Description'!D59="","",'2_Description'!D59)</f>
        <v>22.25</v>
      </c>
    </row>
    <row r="41" spans="1:7" x14ac:dyDescent="0.25">
      <c r="A41" s="15" t="str">
        <f>IF('2_Description'!A60="","",'2_Description'!A60)</f>
        <v>Nombre de CPN</v>
      </c>
      <c r="B41" s="16" t="str">
        <f>IF('2_Description'!B60="","",'2_Description'!B60)</f>
        <v>Moins de 4 CPN</v>
      </c>
      <c r="C41" s="40">
        <f>IF('2_Description'!C60="","",'2_Description'!C60)</f>
        <v>203</v>
      </c>
      <c r="D41" s="17">
        <f>IF('2_Description'!D60="","",'2_Description'!D60)</f>
        <v>52.051282051282058</v>
      </c>
    </row>
    <row r="42" spans="1:7" x14ac:dyDescent="0.25">
      <c r="A42" s="15" t="str">
        <f>IF('2_Description'!A61="","",'2_Description'!A61)</f>
        <v/>
      </c>
      <c r="B42" s="16" t="str">
        <f>IF('2_Description'!B61="","",'2_Description'!B61)</f>
        <v>4 à 7 CPN</v>
      </c>
      <c r="C42" s="40">
        <f>IF('2_Description'!C61="","",'2_Description'!C61)</f>
        <v>169</v>
      </c>
      <c r="D42" s="17">
        <f>IF('2_Description'!D61="","",'2_Description'!D61)</f>
        <v>43.333333333333336</v>
      </c>
    </row>
    <row r="43" spans="1:7" x14ac:dyDescent="0.25">
      <c r="A43" s="15" t="str">
        <f>IF('2_Description'!A62="","",'2_Description'!A62)</f>
        <v/>
      </c>
      <c r="B43" s="16" t="str">
        <f>IF('2_Description'!B62="","",'2_Description'!B62)</f>
        <v>8 CPN et plus</v>
      </c>
      <c r="C43" s="40">
        <f>IF('2_Description'!C62="","",'2_Description'!C62)</f>
        <v>18</v>
      </c>
      <c r="D43" s="17">
        <f>IF('2_Description'!D62="","",'2_Description'!D62)</f>
        <v>4.6153846153846159</v>
      </c>
    </row>
    <row r="44" spans="1:7" x14ac:dyDescent="0.25">
      <c r="A44" s="15" t="str">
        <f>IF('2_Description'!A63="","",'2_Description'!A63)</f>
        <v/>
      </c>
      <c r="B44" s="16" t="str">
        <f>IF('2_Description'!B63="","",'2_Description'!B63)</f>
        <v>Données manquantes</v>
      </c>
      <c r="C44" s="40">
        <f>IF('2_Description'!C63="","",'2_Description'!C63)</f>
        <v>10</v>
      </c>
      <c r="D44" s="17" t="str">
        <f>IF('2_Description'!D63="","",'2_Description'!D63)</f>
        <v/>
      </c>
    </row>
    <row r="45" spans="1:7" x14ac:dyDescent="0.25">
      <c r="A45" s="15" t="str">
        <f>IF('2_Description'!A64="","",'2_Description'!A64)</f>
        <v>Âge gestationnel</v>
      </c>
      <c r="B45" s="16" t="str">
        <f>IF('2_Description'!B64="","",'2_Description'!B64)</f>
        <v>20-27 SA</v>
      </c>
      <c r="C45" s="40">
        <f>IF('2_Description'!C64="","",'2_Description'!C64)</f>
        <v>27</v>
      </c>
      <c r="D45" s="17">
        <f>IF('2_Description'!D64="","",'2_Description'!D64)</f>
        <v>6.75</v>
      </c>
    </row>
    <row r="46" spans="1:7" x14ac:dyDescent="0.25">
      <c r="A46" s="15" t="str">
        <f>IF('2_Description'!A65="","",'2_Description'!A65)</f>
        <v/>
      </c>
      <c r="B46" s="16" t="str">
        <f>IF('2_Description'!B65="","",'2_Description'!B65)</f>
        <v>28-36 SA</v>
      </c>
      <c r="C46" s="40">
        <f>IF('2_Description'!C65="","",'2_Description'!C65)</f>
        <v>226</v>
      </c>
      <c r="D46" s="17">
        <f>IF('2_Description'!D65="","",'2_Description'!D65)</f>
        <v>56.499999999999993</v>
      </c>
    </row>
    <row r="47" spans="1:7" x14ac:dyDescent="0.25">
      <c r="A47" s="15" t="str">
        <f>IF('2_Description'!A66="","",'2_Description'!A66)</f>
        <v/>
      </c>
      <c r="B47" s="16" t="str">
        <f>IF('2_Description'!B66="","",'2_Description'!B66)</f>
        <v>37 SA et plus</v>
      </c>
      <c r="C47" s="40">
        <f>IF('2_Description'!C66="","",'2_Description'!C66)</f>
        <v>147</v>
      </c>
      <c r="D47" s="17">
        <f>IF('2_Description'!D66="","",'2_Description'!D66)</f>
        <v>36.75</v>
      </c>
    </row>
    <row r="49" spans="1:7" ht="15.75" x14ac:dyDescent="0.25">
      <c r="A49" s="4" t="s">
        <v>730</v>
      </c>
      <c r="B49" s="5"/>
      <c r="C49" s="5"/>
      <c r="D49" s="5"/>
      <c r="E49" s="5"/>
      <c r="F49" s="5"/>
      <c r="G49" s="5"/>
    </row>
    <row r="50" spans="1:7" x14ac:dyDescent="0.25">
      <c r="A50" s="6" t="s">
        <v>511</v>
      </c>
      <c r="B50" s="7" t="s">
        <v>630</v>
      </c>
      <c r="C50" s="7" t="s">
        <v>626</v>
      </c>
      <c r="D50" s="7" t="s">
        <v>631</v>
      </c>
    </row>
    <row r="51" spans="1:7" x14ac:dyDescent="0.25">
      <c r="A51" s="15" t="str">
        <f>IF('3_Frequence'!A5="","",'3_Frequence'!A5)</f>
        <v>Prééclampsie (toutes formes)</v>
      </c>
      <c r="B51" s="16" t="str">
        <f>IF('3_Frequence'!B5="","",'3_Frequence'!B5)</f>
        <v>Non</v>
      </c>
      <c r="C51" s="40">
        <f>IF('3_Frequence'!C5="","",'3_Frequence'!C5)</f>
        <v>352</v>
      </c>
      <c r="D51" s="17">
        <f>IF('3_Frequence'!D5="","",'3_Frequence'!D5)</f>
        <v>88</v>
      </c>
    </row>
    <row r="52" spans="1:7" x14ac:dyDescent="0.25">
      <c r="A52" s="15" t="str">
        <f>IF('3_Frequence'!A6="","",'3_Frequence'!A6)</f>
        <v/>
      </c>
      <c r="B52" s="16" t="str">
        <f>IF('3_Frequence'!B6="","",'3_Frequence'!B6)</f>
        <v>Oui</v>
      </c>
      <c r="C52" s="40">
        <f>IF('3_Frequence'!C6="","",'3_Frequence'!C6)</f>
        <v>48</v>
      </c>
      <c r="D52" s="17">
        <f>IF('3_Frequence'!D6="","",'3_Frequence'!D6)</f>
        <v>12</v>
      </c>
    </row>
    <row r="53" spans="1:7" x14ac:dyDescent="0.25">
      <c r="A53" s="15" t="str">
        <f>IF('3_Frequence'!A7="","",'3_Frequence'!A7)</f>
        <v>Type de diagnostic</v>
      </c>
      <c r="B53" s="16" t="str">
        <f>IF('3_Frequence'!B7="","",'3_Frequence'!B7)</f>
        <v>Normotendue</v>
      </c>
      <c r="C53" s="40">
        <f>IF('3_Frequence'!C7="","",'3_Frequence'!C7)</f>
        <v>327</v>
      </c>
      <c r="D53" s="17">
        <f>IF('3_Frequence'!D7="","",'3_Frequence'!D7)</f>
        <v>81.75</v>
      </c>
    </row>
    <row r="54" spans="1:7" x14ac:dyDescent="0.25">
      <c r="A54" s="15" t="str">
        <f>IF('3_Frequence'!A8="","",'3_Frequence'!A8)</f>
        <v/>
      </c>
      <c r="B54" s="16" t="str">
        <f>IF('3_Frequence'!B8="","",'3_Frequence'!B8)</f>
        <v>HTA gestationnelle</v>
      </c>
      <c r="C54" s="40">
        <f>IF('3_Frequence'!C8="","",'3_Frequence'!C8)</f>
        <v>10</v>
      </c>
      <c r="D54" s="17">
        <f>IF('3_Frequence'!D8="","",'3_Frequence'!D8)</f>
        <v>2.5</v>
      </c>
    </row>
    <row r="55" spans="1:7" x14ac:dyDescent="0.25">
      <c r="A55" s="15" t="str">
        <f>IF('3_Frequence'!A9="","",'3_Frequence'!A9)</f>
        <v/>
      </c>
      <c r="B55" s="16" t="str">
        <f>IF('3_Frequence'!B9="","",'3_Frequence'!B9)</f>
        <v>HTA chronique seule</v>
      </c>
      <c r="C55" s="40">
        <f>IF('3_Frequence'!C9="","",'3_Frequence'!C9)</f>
        <v>15</v>
      </c>
      <c r="D55" s="17">
        <f>IF('3_Frequence'!D9="","",'3_Frequence'!D9)</f>
        <v>3.75</v>
      </c>
    </row>
    <row r="56" spans="1:7" x14ac:dyDescent="0.25">
      <c r="A56" s="15" t="str">
        <f>IF('3_Frequence'!A10="","",'3_Frequence'!A10)</f>
        <v/>
      </c>
      <c r="B56" s="16" t="str">
        <f>IF('3_Frequence'!B10="","",'3_Frequence'!B10)</f>
        <v>Prééclampsie</v>
      </c>
      <c r="C56" s="40">
        <f>IF('3_Frequence'!C10="","",'3_Frequence'!C10)</f>
        <v>40</v>
      </c>
      <c r="D56" s="17">
        <f>IF('3_Frequence'!D10="","",'3_Frequence'!D10)</f>
        <v>10</v>
      </c>
    </row>
    <row r="57" spans="1:7" x14ac:dyDescent="0.25">
      <c r="A57" s="15" t="str">
        <f>IF('3_Frequence'!A11="","",'3_Frequence'!A11)</f>
        <v/>
      </c>
      <c r="B57" s="16" t="str">
        <f>IF('3_Frequence'!B11="","",'3_Frequence'!B11)</f>
        <v>Prééclampsie surajoutée</v>
      </c>
      <c r="C57" s="40">
        <f>IF('3_Frequence'!C11="","",'3_Frequence'!C11)</f>
        <v>8</v>
      </c>
      <c r="D57" s="17">
        <f>IF('3_Frequence'!D11="","",'3_Frequence'!D11)</f>
        <v>2</v>
      </c>
    </row>
    <row r="59" spans="1:7" ht="15.75" x14ac:dyDescent="0.25">
      <c r="A59" s="4" t="s">
        <v>731</v>
      </c>
      <c r="B59" s="5"/>
      <c r="C59" s="5"/>
      <c r="D59" s="5"/>
      <c r="E59" s="5"/>
      <c r="F59" s="5"/>
      <c r="G59" s="5"/>
    </row>
    <row r="60" spans="1:7" x14ac:dyDescent="0.25">
      <c r="A60" s="6" t="s">
        <v>732</v>
      </c>
      <c r="B60" s="7" t="s">
        <v>630</v>
      </c>
      <c r="C60" s="7" t="s">
        <v>733</v>
      </c>
      <c r="D60" s="7" t="s">
        <v>734</v>
      </c>
      <c r="E60" s="7" t="s">
        <v>735</v>
      </c>
      <c r="F60" s="7" t="s">
        <v>736</v>
      </c>
      <c r="G60" s="7" t="s">
        <v>737</v>
      </c>
    </row>
    <row r="61" spans="1:7" x14ac:dyDescent="0.25">
      <c r="A61" s="15" t="s">
        <v>738</v>
      </c>
      <c r="B61" s="16" t="str">
        <f>'4_Facteurs'!A8</f>
        <v>Moins de 20 ans</v>
      </c>
      <c r="C61" s="14">
        <f>'4_Facteurs'!D8</f>
        <v>21</v>
      </c>
      <c r="D61" s="14">
        <f>'4_Facteurs'!C8</f>
        <v>5</v>
      </c>
      <c r="E61" s="17">
        <f>'4_Facteurs'!F8</f>
        <v>23.809523809523807</v>
      </c>
      <c r="F61" s="14" t="str">
        <f>'4_Facteurs'!B15</f>
        <v>Fisher</v>
      </c>
      <c r="G61" s="20" t="str">
        <f>'4_Facteurs'!B19</f>
        <v>0,165</v>
      </c>
    </row>
    <row r="62" spans="1:7" x14ac:dyDescent="0.25">
      <c r="A62" s="15"/>
      <c r="B62" s="16" t="str">
        <f>'4_Facteurs'!A9</f>
        <v>20-29 ans</v>
      </c>
      <c r="C62" s="14">
        <f>'4_Facteurs'!D9</f>
        <v>289</v>
      </c>
      <c r="D62" s="14">
        <f>'4_Facteurs'!C9</f>
        <v>31</v>
      </c>
      <c r="E62" s="17">
        <f>'4_Facteurs'!F9</f>
        <v>10.726643598615917</v>
      </c>
      <c r="F62" s="23"/>
      <c r="G62" s="23"/>
    </row>
    <row r="63" spans="1:7" x14ac:dyDescent="0.25">
      <c r="A63" s="15"/>
      <c r="B63" s="16" t="str">
        <f>'4_Facteurs'!A10</f>
        <v>30-34 ans</v>
      </c>
      <c r="C63" s="14">
        <f>'4_Facteurs'!D10</f>
        <v>65</v>
      </c>
      <c r="D63" s="14">
        <f>'4_Facteurs'!C10</f>
        <v>7</v>
      </c>
      <c r="E63" s="17">
        <f>'4_Facteurs'!F10</f>
        <v>10.76923076923077</v>
      </c>
      <c r="F63" s="23"/>
      <c r="G63" s="23"/>
    </row>
    <row r="64" spans="1:7" x14ac:dyDescent="0.25">
      <c r="A64" s="15"/>
      <c r="B64" s="16" t="str">
        <f>'4_Facteurs'!A11</f>
        <v>35 ans et plus</v>
      </c>
      <c r="C64" s="14">
        <f>'4_Facteurs'!D11</f>
        <v>25</v>
      </c>
      <c r="D64" s="14">
        <f>'4_Facteurs'!C11</f>
        <v>5</v>
      </c>
      <c r="E64" s="17">
        <f>'4_Facteurs'!F11</f>
        <v>20</v>
      </c>
      <c r="F64" s="23"/>
      <c r="G64" s="23"/>
    </row>
    <row r="65" spans="1:7" x14ac:dyDescent="0.25">
      <c r="A65" s="15" t="s">
        <v>739</v>
      </c>
      <c r="B65" s="16" t="str">
        <f>'4_Facteurs'!A26</f>
        <v>Non</v>
      </c>
      <c r="C65" s="14">
        <f>'4_Facteurs'!D26</f>
        <v>258</v>
      </c>
      <c r="D65" s="14">
        <f>'4_Facteurs'!C26</f>
        <v>20</v>
      </c>
      <c r="E65" s="17">
        <f>'4_Facteurs'!F26</f>
        <v>7.7519379844961236</v>
      </c>
      <c r="F65" s="14" t="str">
        <f>'4_Facteurs'!B31</f>
        <v>Fisher</v>
      </c>
      <c r="G65" s="20" t="str">
        <f>'4_Facteurs'!B35</f>
        <v>0,009</v>
      </c>
    </row>
    <row r="66" spans="1:7" x14ac:dyDescent="0.25">
      <c r="A66" s="15"/>
      <c r="B66" s="16" t="str">
        <f>'4_Facteurs'!A27</f>
        <v>Oui</v>
      </c>
      <c r="C66" s="14">
        <f>'4_Facteurs'!D27</f>
        <v>28</v>
      </c>
      <c r="D66" s="14">
        <f>'4_Facteurs'!C27</f>
        <v>7</v>
      </c>
      <c r="E66" s="17">
        <f>'4_Facteurs'!F27</f>
        <v>25</v>
      </c>
      <c r="F66" s="23"/>
      <c r="G66" s="23"/>
    </row>
    <row r="67" spans="1:7" x14ac:dyDescent="0.25">
      <c r="A67" s="15" t="s">
        <v>740</v>
      </c>
      <c r="B67" s="16" t="str">
        <f>'4_Facteurs'!A51</f>
        <v>Non</v>
      </c>
      <c r="C67" s="14">
        <f>'4_Facteurs'!D51</f>
        <v>377</v>
      </c>
      <c r="D67" s="14">
        <f>'4_Facteurs'!C51</f>
        <v>40</v>
      </c>
      <c r="E67" s="17">
        <f>'4_Facteurs'!F51</f>
        <v>10.610079575596817</v>
      </c>
      <c r="F67" s="14" t="str">
        <f>'4_Facteurs'!B56</f>
        <v>Fisher</v>
      </c>
      <c r="G67" s="20" t="str">
        <f>'4_Facteurs'!B60</f>
        <v>0,003</v>
      </c>
    </row>
    <row r="68" spans="1:7" x14ac:dyDescent="0.25">
      <c r="A68" s="15"/>
      <c r="B68" s="16" t="str">
        <f>'4_Facteurs'!A52</f>
        <v>Oui</v>
      </c>
      <c r="C68" s="14">
        <f>'4_Facteurs'!D52</f>
        <v>23</v>
      </c>
      <c r="D68" s="14">
        <f>'4_Facteurs'!C52</f>
        <v>8</v>
      </c>
      <c r="E68" s="17">
        <f>'4_Facteurs'!F52</f>
        <v>34.782608695652172</v>
      </c>
      <c r="F68" s="23"/>
      <c r="G68" s="23"/>
    </row>
    <row r="69" spans="1:7" x14ac:dyDescent="0.25">
      <c r="A69" s="15" t="s">
        <v>642</v>
      </c>
      <c r="B69" s="16" t="str">
        <f>'4_Facteurs'!A67</f>
        <v>Nullipare (0)</v>
      </c>
      <c r="C69" s="14">
        <f>'4_Facteurs'!D67</f>
        <v>108</v>
      </c>
      <c r="D69" s="14">
        <f>'4_Facteurs'!C67</f>
        <v>21</v>
      </c>
      <c r="E69" s="17">
        <f>'4_Facteurs'!F67</f>
        <v>19.444444444444446</v>
      </c>
      <c r="F69" s="14" t="str">
        <f>'4_Facteurs'!B73</f>
        <v>Chi-deux</v>
      </c>
      <c r="G69" s="20" t="str">
        <f>'4_Facteurs'!B77</f>
        <v>0,002</v>
      </c>
    </row>
    <row r="70" spans="1:7" x14ac:dyDescent="0.25">
      <c r="A70" s="15"/>
      <c r="B70" s="16" t="str">
        <f>'4_Facteurs'!A68</f>
        <v>1-2 accouchements</v>
      </c>
      <c r="C70" s="14">
        <f>'4_Facteurs'!D68</f>
        <v>203</v>
      </c>
      <c r="D70" s="14">
        <f>'4_Facteurs'!C68</f>
        <v>13</v>
      </c>
      <c r="E70" s="17">
        <f>'4_Facteurs'!F68</f>
        <v>6.403940886699508</v>
      </c>
      <c r="F70" s="23"/>
      <c r="G70" s="23"/>
    </row>
    <row r="71" spans="1:7" x14ac:dyDescent="0.25">
      <c r="A71" s="15"/>
      <c r="B71" s="16" t="str">
        <f>'4_Facteurs'!A69</f>
        <v>3 accouchements et plus</v>
      </c>
      <c r="C71" s="14">
        <f>'4_Facteurs'!D69</f>
        <v>89</v>
      </c>
      <c r="D71" s="14">
        <f>'4_Facteurs'!C69</f>
        <v>14</v>
      </c>
      <c r="E71" s="17">
        <f>'4_Facteurs'!F69</f>
        <v>15.730337078651685</v>
      </c>
      <c r="F71" s="23"/>
      <c r="G71" s="23"/>
    </row>
    <row r="72" spans="1:7" x14ac:dyDescent="0.25">
      <c r="A72" s="15" t="s">
        <v>571</v>
      </c>
      <c r="B72" s="16" t="str">
        <f>'4_Facteurs'!A84</f>
        <v>Unique</v>
      </c>
      <c r="C72" s="14">
        <f>'4_Facteurs'!D84</f>
        <v>386</v>
      </c>
      <c r="D72" s="14">
        <f>'4_Facteurs'!C84</f>
        <v>46</v>
      </c>
      <c r="E72" s="17">
        <f>'4_Facteurs'!F84</f>
        <v>11.917098445595855</v>
      </c>
      <c r="F72" s="14" t="str">
        <f>'4_Facteurs'!B89</f>
        <v>Fisher</v>
      </c>
      <c r="G72" s="20" t="str">
        <f>'4_Facteurs'!B93</f>
        <v>0,679</v>
      </c>
    </row>
    <row r="73" spans="1:7" x14ac:dyDescent="0.25">
      <c r="A73" s="15"/>
      <c r="B73" s="16" t="str">
        <f>'4_Facteurs'!A85</f>
        <v>Multiple</v>
      </c>
      <c r="C73" s="14">
        <f>'4_Facteurs'!D85</f>
        <v>14</v>
      </c>
      <c r="D73" s="14">
        <f>'4_Facteurs'!C85</f>
        <v>2</v>
      </c>
      <c r="E73" s="17">
        <f>'4_Facteurs'!F85</f>
        <v>14.285714285714285</v>
      </c>
      <c r="F73" s="23"/>
      <c r="G73" s="23"/>
    </row>
    <row r="75" spans="1:7" ht="15.75" x14ac:dyDescent="0.25">
      <c r="A75" s="4" t="s">
        <v>741</v>
      </c>
      <c r="B75" s="5"/>
      <c r="C75" s="5"/>
      <c r="D75" s="5"/>
      <c r="E75" s="5"/>
      <c r="F75" s="5"/>
      <c r="G75" s="5"/>
    </row>
    <row r="76" spans="1:7" x14ac:dyDescent="0.25">
      <c r="A76" s="27" t="s">
        <v>742</v>
      </c>
      <c r="B76" s="28" t="str">
        <f>"Prééclampsie (n = "&amp;'5_Comparaison'!B8&amp;")"</f>
        <v>Prééclampsie (n = 48)</v>
      </c>
      <c r="C76" s="28" t="str">
        <f>"Absence de prééclampsie (n = "&amp;'5_Comparaison'!B7&amp;")"</f>
        <v>Absence de prééclampsie (n = 352)</v>
      </c>
    </row>
    <row r="77" spans="1:7" x14ac:dyDescent="0.25">
      <c r="A77" s="15" t="s">
        <v>743</v>
      </c>
      <c r="B77" s="14" t="str">
        <f>FIXED(AVERAGEIFS(Donnees!$B$2:$B$401,Donnees!$V$2:$V$401,"Oui"),1)&amp;" ("&amp;FIXED(SQRT(SUMPRODUCT((Donnees!$V$2:$V$401="Oui")*ISNUMBER(Donnees!$B$2:$B$401)*(Donnees!$B$2:$B$401-AVERAGEIFS(Donnees!$B$2:$B$401,Donnees!$V$2:$V$401,"Oui"))^2)/(COUNTIFS(Donnees!$V$2:$V$401,"Oui",Donnees!$B$2:$B$401,"&lt;&gt;")-1)),1)&amp;")"</f>
        <v>26,5 (6,1)</v>
      </c>
      <c r="C77" s="14" t="str">
        <f>FIXED(AVERAGEIFS(Donnees!$B$2:$B$401,Donnees!$V$2:$V$401,"Non"),1)&amp;" ("&amp;FIXED(SQRT(SUMPRODUCT((Donnees!$V$2:$V$401="Non")*ISNUMBER(Donnees!$B$2:$B$401)*(Donnees!$B$2:$B$401-AVERAGEIFS(Donnees!$B$2:$B$401,Donnees!$V$2:$V$401,"Non"))^2)/(COUNTIFS(Donnees!$V$2:$V$401,"Non",Donnees!$B$2:$B$401,"&lt;&gt;")-1)),1)&amp;")"</f>
        <v>26,4 (4,8)</v>
      </c>
    </row>
    <row r="78" spans="1:7" x14ac:dyDescent="0.25">
      <c r="A78" s="15" t="s">
        <v>744</v>
      </c>
      <c r="B78" s="14" t="str">
        <f>FIXED(AVERAGEIFS(Donnees!$P$2:$P$401,Donnees!$V$2:$V$401,"Oui"),1)&amp;" ("&amp;FIXED(SQRT(SUMPRODUCT((Donnees!$V$2:$V$401="Oui")*ISNUMBER(Donnees!$P$2:$P$401)*(Donnees!$P$2:$P$401-AVERAGEIFS(Donnees!$P$2:$P$401,Donnees!$V$2:$V$401,"Oui"))^2)/(COUNTIFS(Donnees!$V$2:$V$401,"Oui",Donnees!$P$2:$P$401,"&lt;&gt;")-1)),1)&amp;")"</f>
        <v>25,6 (4,5)</v>
      </c>
      <c r="C78" s="14" t="str">
        <f>FIXED(AVERAGEIFS(Donnees!$P$2:$P$401,Donnees!$V$2:$V$401,"Non"),1)&amp;" ("&amp;FIXED(SQRT(SUMPRODUCT((Donnees!$V$2:$V$401="Non")*ISNUMBER(Donnees!$P$2:$P$401)*(Donnees!$P$2:$P$401-AVERAGEIFS(Donnees!$P$2:$P$401,Donnees!$V$2:$V$401,"Non"))^2)/(COUNTIFS(Donnees!$V$2:$V$401,"Non",Donnees!$P$2:$P$401,"&lt;&gt;")-1)),1)&amp;")"</f>
        <v>24,0 (3,7)</v>
      </c>
    </row>
    <row r="79" spans="1:7" x14ac:dyDescent="0.25">
      <c r="A79" s="15" t="s">
        <v>745</v>
      </c>
      <c r="B79" s="14" t="str">
        <f>FIXED(AVERAGEIFS(Donnees!$N$2:$N$401,Donnees!$V$2:$V$401,"Oui"),1)&amp;" ("&amp;FIXED(SQRT(SUMPRODUCT((Donnees!$V$2:$V$401="Oui")*ISNUMBER(Donnees!$N$2:$N$401)*(Donnees!$N$2:$N$401-AVERAGEIFS(Donnees!$N$2:$N$401,Donnees!$V$2:$V$401,"Oui"))^2)/(COUNTIFS(Donnees!$V$2:$V$401,"Oui",Donnees!$N$2:$N$401,"&lt;&gt;")-1)),1)&amp;")"</f>
        <v>3,6 (1,6)</v>
      </c>
      <c r="C79" s="14" t="str">
        <f>FIXED(AVERAGEIFS(Donnees!$N$2:$N$401,Donnees!$V$2:$V$401,"Non"),1)&amp;" ("&amp;FIXED(SQRT(SUMPRODUCT((Donnees!$V$2:$V$401="Non")*ISNUMBER(Donnees!$N$2:$N$401)*(Donnees!$N$2:$N$401-AVERAGEIFS(Donnees!$N$2:$N$401,Donnees!$V$2:$V$401,"Non"))^2)/(COUNTIFS(Donnees!$V$2:$V$401,"Non",Donnees!$N$2:$N$401,"&lt;&gt;")-1)),1)&amp;")"</f>
        <v>3,6 (2,0)</v>
      </c>
    </row>
    <row r="80" spans="1:7" x14ac:dyDescent="0.25">
      <c r="A80" s="15" t="s">
        <v>746</v>
      </c>
      <c r="B80" s="14" t="str">
        <f>FIXED(AVERAGEIFS(Donnees!$M$2:$M$401,Donnees!$V$2:$V$401,"Oui"),1)&amp;" ("&amp;FIXED(SQRT(SUMPRODUCT((Donnees!$V$2:$V$401="Oui")*ISNUMBER(Donnees!$M$2:$M$401)*(Donnees!$M$2:$M$401-AVERAGEIFS(Donnees!$M$2:$M$401,Donnees!$V$2:$V$401,"Oui"))^2)/(COUNTIFS(Donnees!$V$2:$V$401,"Oui",Donnees!$M$2:$M$401,"&lt;&gt;")-1)),1)&amp;")"</f>
        <v>35,3 (3,6)</v>
      </c>
      <c r="C80" s="14" t="str">
        <f>FIXED(AVERAGEIFS(Donnees!$M$2:$M$401,Donnees!$V$2:$V$401,"Non"),1)&amp;" ("&amp;FIXED(SQRT(SUMPRODUCT((Donnees!$V$2:$V$401="Non")*ISNUMBER(Donnees!$M$2:$M$401)*(Donnees!$M$2:$M$401-AVERAGEIFS(Donnees!$M$2:$M$401,Donnees!$V$2:$V$401,"Non"))^2)/(COUNTIFS(Donnees!$V$2:$V$401,"Non",Donnees!$M$2:$M$401,"&lt;&gt;")-1)),1)&amp;")"</f>
        <v>34,2 (4,4)</v>
      </c>
    </row>
    <row r="81" spans="1:3" x14ac:dyDescent="0.25">
      <c r="A81" s="15" t="s">
        <v>747</v>
      </c>
      <c r="B81" s="14" t="str">
        <f>COUNTIFS(Donnees!$W$2:$W$401,"Moins de 20 ans",Donnees!$V$2:$V$401,"Oui")&amp;" ("&amp;FIXED(COUNTIFS(Donnees!$W$2:$W$401,"Moins de 20 ans",Donnees!$V$2:$V$401,"Oui")/COUNTIFS(Donnees!$V$2:$V$401,"Oui",Donnees!$W$2:$W$401,"&lt;&gt;")*100,1)&amp;" %)"</f>
        <v>5 (10,4 %)</v>
      </c>
      <c r="C81" s="14" t="str">
        <f>COUNTIFS(Donnees!$W$2:$W$401,"Moins de 20 ans",Donnees!$V$2:$V$401,"Non")&amp;" ("&amp;FIXED(COUNTIFS(Donnees!$W$2:$W$401,"Moins de 20 ans",Donnees!$V$2:$V$401,"Non")/COUNTIFS(Donnees!$V$2:$V$401,"Non",Donnees!$W$2:$W$401,"&lt;&gt;")*100,1)&amp;" %)"</f>
        <v>16 (4,5 %)</v>
      </c>
    </row>
    <row r="82" spans="1:3" x14ac:dyDescent="0.25">
      <c r="A82" s="15" t="s">
        <v>748</v>
      </c>
      <c r="B82" s="14" t="str">
        <f>COUNTIFS(Donnees!$W$2:$W$401,"35 ans et plus",Donnees!$V$2:$V$401,"Oui")&amp;" ("&amp;FIXED(COUNTIFS(Donnees!$W$2:$W$401,"35 ans et plus",Donnees!$V$2:$V$401,"Oui")/COUNTIFS(Donnees!$V$2:$V$401,"Oui",Donnees!$W$2:$W$401,"&lt;&gt;")*100,1)&amp;" %)"</f>
        <v>5 (10,4 %)</v>
      </c>
      <c r="C82" s="14" t="str">
        <f>COUNTIFS(Donnees!$W$2:$W$401,"35 ans et plus",Donnees!$V$2:$V$401,"Non")&amp;" ("&amp;FIXED(COUNTIFS(Donnees!$W$2:$W$401,"35 ans et plus",Donnees!$V$2:$V$401,"Non")/COUNTIFS(Donnees!$V$2:$V$401,"Non",Donnees!$W$2:$W$401,"&lt;&gt;")*100,1)&amp;" %)"</f>
        <v>20 (5,7 %)</v>
      </c>
    </row>
    <row r="83" spans="1:3" x14ac:dyDescent="0.25">
      <c r="A83" s="15" t="s">
        <v>749</v>
      </c>
      <c r="B83" s="14" t="str">
        <f>COUNTIFS(Donnees!$X$2:$X$401,"Nullipare (0)",Donnees!$V$2:$V$401,"Oui")&amp;" ("&amp;FIXED(COUNTIFS(Donnees!$X$2:$X$401,"Nullipare (0)",Donnees!$V$2:$V$401,"Oui")/COUNTIFS(Donnees!$V$2:$V$401,"Oui",Donnees!$X$2:$X$401,"&lt;&gt;")*100,1)&amp;" %)"</f>
        <v>21 (43,8 %)</v>
      </c>
      <c r="C83" s="14" t="str">
        <f>COUNTIFS(Donnees!$X$2:$X$401,"Nullipare (0)",Donnees!$V$2:$V$401,"Non")&amp;" ("&amp;FIXED(COUNTIFS(Donnees!$X$2:$X$401,"Nullipare (0)",Donnees!$V$2:$V$401,"Non")/COUNTIFS(Donnees!$V$2:$V$401,"Non",Donnees!$X$2:$X$401,"&lt;&gt;")*100,1)&amp;" %)"</f>
        <v>87 (24,7 %)</v>
      </c>
    </row>
    <row r="84" spans="1:3" x14ac:dyDescent="0.25">
      <c r="A84" s="15" t="s">
        <v>750</v>
      </c>
      <c r="B84" s="14" t="str">
        <f>COUNTIFS(Donnees!$J$2:$J$401,"Oui",Donnees!$V$2:$V$401,"Oui")&amp;" ("&amp;FIXED(COUNTIFS(Donnees!$J$2:$J$401,"Oui",Donnees!$V$2:$V$401,"Oui")/COUNTIFS(Donnees!$V$2:$V$401,"Oui",Donnees!$J$2:$J$401,"&lt;&gt;")*100,1)&amp;" %)"</f>
        <v>8 (16,7 %)</v>
      </c>
      <c r="C84" s="14" t="str">
        <f>COUNTIFS(Donnees!$J$2:$J$401,"Oui",Donnees!$V$2:$V$401,"Non")&amp;" ("&amp;FIXED(COUNTIFS(Donnees!$J$2:$J$401,"Oui",Donnees!$V$2:$V$401,"Non")/COUNTIFS(Donnees!$V$2:$V$401,"Non",Donnees!$J$2:$J$401,"&lt;&gt;")*100,1)&amp;" %)"</f>
        <v>15 (4,3 %)</v>
      </c>
    </row>
    <row r="85" spans="1:3" x14ac:dyDescent="0.25">
      <c r="A85" s="15" t="s">
        <v>751</v>
      </c>
      <c r="B85" s="14" t="str">
        <f>COUNTIFS(Donnees!$K$2:$K$401,"Oui",Donnees!$V$2:$V$401,"Oui")&amp;" ("&amp;FIXED(COUNTIFS(Donnees!$K$2:$K$401,"Oui",Donnees!$V$2:$V$401,"Oui")/COUNTIFS(Donnees!$V$2:$V$401,"Oui",Donnees!$K$2:$K$401,"&lt;&gt;")*100,1)&amp;" %)"</f>
        <v>9 (18,8 %)</v>
      </c>
      <c r="C85" s="14" t="str">
        <f>COUNTIFS(Donnees!$K$2:$K$401,"Oui",Donnees!$V$2:$V$401,"Non")&amp;" ("&amp;FIXED(COUNTIFS(Donnees!$K$2:$K$401,"Oui",Donnees!$V$2:$V$401,"Non")/COUNTIFS(Donnees!$V$2:$V$401,"Non",Donnees!$K$2:$K$401,"&lt;&gt;")*100,1)&amp;" %)"</f>
        <v>75 (22,1 %)</v>
      </c>
    </row>
    <row r="86" spans="1:3" x14ac:dyDescent="0.25">
      <c r="A86" s="15" t="s">
        <v>752</v>
      </c>
      <c r="B86" s="14" t="str">
        <f>COUNTIFS(Donnees!$L$2:$L$401,"Oui",Donnees!$V$2:$V$401,"Oui")&amp;" ("&amp;FIXED(COUNTIFS(Donnees!$L$2:$L$401,"Oui",Donnees!$V$2:$V$401,"Oui")/COUNTIFS(Donnees!$V$2:$V$401,"Oui",Donnees!$L$2:$L$401,"&lt;&gt;")*100,1)&amp;" %)"</f>
        <v>1 (2,1 %)</v>
      </c>
      <c r="C86" s="14" t="str">
        <f>COUNTIFS(Donnees!$L$2:$L$401,"Oui",Donnees!$V$2:$V$401,"Non")&amp;" ("&amp;FIXED(COUNTIFS(Donnees!$L$2:$L$401,"Oui",Donnees!$V$2:$V$401,"Non")/COUNTIFS(Donnees!$V$2:$V$401,"Non",Donnees!$L$2:$L$401,"&lt;&gt;")*100,1)&amp;" %)"</f>
        <v>11 (3,2 %)</v>
      </c>
    </row>
    <row r="87" spans="1:3" x14ac:dyDescent="0.25">
      <c r="A87" s="15" t="s">
        <v>753</v>
      </c>
      <c r="B87" s="14" t="str">
        <f>COUNTIFS(Donnees!$O$2:$O$401,"Multiple",Donnees!$V$2:$V$401,"Oui")&amp;" ("&amp;FIXED(COUNTIFS(Donnees!$O$2:$O$401,"Multiple",Donnees!$V$2:$V$401,"Oui")/COUNTIFS(Donnees!$V$2:$V$401,"Oui",Donnees!$O$2:$O$401,"&lt;&gt;")*100,1)&amp;" %)"</f>
        <v>2 (4,2 %)</v>
      </c>
      <c r="C87" s="14" t="str">
        <f>COUNTIFS(Donnees!$O$2:$O$401,"Multiple",Donnees!$V$2:$V$401,"Non")&amp;" ("&amp;FIXED(COUNTIFS(Donnees!$O$2:$O$401,"Multiple",Donnees!$V$2:$V$401,"Non")/COUNTIFS(Donnees!$V$2:$V$401,"Non",Donnees!$O$2:$O$401,"&lt;&gt;")*100,1)&amp;" %)"</f>
        <v>12 (3,4 %)</v>
      </c>
    </row>
  </sheetData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44"/>
  <sheetViews>
    <sheetView showGridLines="0" workbookViewId="0"/>
  </sheetViews>
  <sheetFormatPr baseColWidth="10" defaultColWidth="9.140625" defaultRowHeight="15" x14ac:dyDescent="0.25"/>
  <sheetData>
    <row r="1" spans="1:1" ht="26.1" customHeight="1" x14ac:dyDescent="0.35">
      <c r="A1" s="1" t="s">
        <v>754</v>
      </c>
    </row>
    <row r="2" spans="1:1" x14ac:dyDescent="0.25">
      <c r="A2" s="2" t="s">
        <v>755</v>
      </c>
    </row>
    <row r="44" spans="1:1" x14ac:dyDescent="0.25">
      <c r="A44" s="2" t="s">
        <v>756</v>
      </c>
    </row>
  </sheetData>
  <pageMargins left="0.75" right="0.75" top="1" bottom="1" header="0.5" footer="0.5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25"/>
  <sheetViews>
    <sheetView showGridLines="0" topLeftCell="A4" zoomScale="160" zoomScaleNormal="160" workbookViewId="0"/>
  </sheetViews>
  <sheetFormatPr baseColWidth="10" defaultColWidth="9.140625" defaultRowHeight="15" x14ac:dyDescent="0.25"/>
  <cols>
    <col min="1" max="1" width="44" customWidth="1"/>
    <col min="2" max="2" width="26" customWidth="1"/>
    <col min="3" max="3" width="20" customWidth="1"/>
    <col min="4" max="4" width="14" customWidth="1"/>
    <col min="5" max="5" width="16" customWidth="1"/>
    <col min="6" max="6" width="52" customWidth="1"/>
  </cols>
  <sheetData>
    <row r="1" spans="1:6" ht="26.1" customHeight="1" x14ac:dyDescent="0.35">
      <c r="A1" s="1" t="s">
        <v>757</v>
      </c>
    </row>
    <row r="4" spans="1:6" x14ac:dyDescent="0.25">
      <c r="A4" s="6" t="s">
        <v>758</v>
      </c>
      <c r="B4" s="7" t="s">
        <v>671</v>
      </c>
      <c r="C4" s="7" t="s">
        <v>759</v>
      </c>
      <c r="D4" s="7" t="s">
        <v>737</v>
      </c>
      <c r="E4" s="7" t="s">
        <v>675</v>
      </c>
      <c r="F4" s="7" t="s">
        <v>676</v>
      </c>
    </row>
    <row r="5" spans="1:6" x14ac:dyDescent="0.25">
      <c r="A5" s="15" t="s">
        <v>760</v>
      </c>
      <c r="B5" s="14" t="str">
        <f>'4_Facteurs'!B15</f>
        <v>Fisher</v>
      </c>
      <c r="C5" s="17">
        <f>'4_Facteurs'!B14</f>
        <v>2.52</v>
      </c>
      <c r="D5" s="32">
        <f>'4_Facteurs'!B18</f>
        <v>0.16489470447412202</v>
      </c>
      <c r="E5" s="20" t="str">
        <f>'4_Facteurs'!B19</f>
        <v>0,165</v>
      </c>
      <c r="F5" s="16" t="str">
        <f>IF(D5&lt;0.05,"Association statistiquement significative","Non significatif : absence d'association non prouvée")</f>
        <v>Non significatif : absence d'association non prouvée</v>
      </c>
    </row>
    <row r="6" spans="1:6" x14ac:dyDescent="0.25">
      <c r="A6" s="15" t="s">
        <v>761</v>
      </c>
      <c r="B6" s="14" t="str">
        <f>'4_Facteurs'!B31</f>
        <v>Fisher</v>
      </c>
      <c r="C6" s="17">
        <f>'4_Facteurs'!B30</f>
        <v>2.6433566433566433</v>
      </c>
      <c r="D6" s="32">
        <f>'4_Facteurs'!B34</f>
        <v>9.0931023412243461E-3</v>
      </c>
      <c r="E6" s="20" t="str">
        <f>'4_Facteurs'!B35</f>
        <v>0,009</v>
      </c>
      <c r="F6" s="16" t="str">
        <f>IF(D6&lt;0.05,"Association statistiquement significative","Non significatif : absence d'association non prouvée")</f>
        <v>Association statistiquement significative</v>
      </c>
    </row>
    <row r="7" spans="1:6" x14ac:dyDescent="0.25">
      <c r="A7" s="15" t="s">
        <v>762</v>
      </c>
      <c r="B7" s="14" t="str">
        <f>'4_Facteurs'!B56</f>
        <v>Fisher</v>
      </c>
      <c r="C7" s="17">
        <f>'4_Facteurs'!B55</f>
        <v>2.76</v>
      </c>
      <c r="D7" s="32">
        <f>'4_Facteurs'!B59</f>
        <v>2.9062659458040175E-3</v>
      </c>
      <c r="E7" s="20" t="str">
        <f>'4_Facteurs'!B60</f>
        <v>0,003</v>
      </c>
      <c r="F7" s="16" t="str">
        <f>IF(D7&lt;0.05,"Association statistiquement significative","Non significatif : absence d'association non prouvée")</f>
        <v>Association statistiquement significative</v>
      </c>
    </row>
    <row r="8" spans="1:6" x14ac:dyDescent="0.25">
      <c r="A8" s="15" t="s">
        <v>763</v>
      </c>
      <c r="B8" s="14" t="str">
        <f>'4_Facteurs'!B73</f>
        <v>Chi-deux</v>
      </c>
      <c r="C8" s="17">
        <f>'4_Facteurs'!B72</f>
        <v>10.68</v>
      </c>
      <c r="D8" s="32">
        <f>'4_Facteurs'!B76</f>
        <v>1.6118642929811677E-3</v>
      </c>
      <c r="E8" s="20" t="str">
        <f>'4_Facteurs'!B77</f>
        <v>0,002</v>
      </c>
      <c r="F8" s="16" t="str">
        <f>IF(D8&lt;0.05,"Association statistiquement significative","Non significatif : absence d'association non prouvée")</f>
        <v>Association statistiquement significative</v>
      </c>
    </row>
    <row r="9" spans="1:6" x14ac:dyDescent="0.25">
      <c r="A9" s="15" t="s">
        <v>764</v>
      </c>
      <c r="B9" s="14" t="str">
        <f>'4_Facteurs'!B89</f>
        <v>Fisher</v>
      </c>
      <c r="C9" s="17">
        <f>'4_Facteurs'!B88</f>
        <v>1.68</v>
      </c>
      <c r="D9" s="32">
        <f>'4_Facteurs'!B92</f>
        <v>0.67928360719334657</v>
      </c>
      <c r="E9" s="20" t="str">
        <f>'4_Facteurs'!B93</f>
        <v>0,679</v>
      </c>
      <c r="F9" s="16" t="str">
        <f>IF(D9&lt;0.05,"Association statistiquement significative","Non significatif : absence d'association non prouvée")</f>
        <v>Non significatif : absence d'association non prouvée</v>
      </c>
    </row>
    <row r="10" spans="1:6" x14ac:dyDescent="0.25">
      <c r="A10" s="15" t="s">
        <v>765</v>
      </c>
      <c r="B10" s="14" t="str">
        <f>'5_Comparaison'!B11</f>
        <v>Test t de Student (Welch)</v>
      </c>
      <c r="C10" s="14" t="s">
        <v>521</v>
      </c>
      <c r="D10" s="32">
        <f>'5_Comparaison'!B29</f>
        <v>0.88698967947769825</v>
      </c>
      <c r="E10" s="20" t="str">
        <f>'5_Comparaison'!B30</f>
        <v>0,887</v>
      </c>
      <c r="F10" s="16" t="str">
        <f>IF(D10&lt;0.05,"Différence statistiquement significative","Non significatif : absence de différence non prouvée")</f>
        <v>Non significatif : absence de différence non prouvée</v>
      </c>
    </row>
    <row r="12" spans="1:6" ht="15.75" x14ac:dyDescent="0.25">
      <c r="A12" s="4" t="s">
        <v>766</v>
      </c>
      <c r="B12" s="5"/>
      <c r="C12" s="5"/>
      <c r="D12" s="5"/>
      <c r="E12" s="5"/>
      <c r="F12" s="5"/>
    </row>
    <row r="13" spans="1:6" x14ac:dyDescent="0.25">
      <c r="A13" s="6" t="s">
        <v>758</v>
      </c>
      <c r="B13" s="7" t="s">
        <v>767</v>
      </c>
    </row>
    <row r="14" spans="1:6" x14ac:dyDescent="0.25">
      <c r="A14" s="15" t="s">
        <v>768</v>
      </c>
      <c r="B14" s="16" t="str">
        <f>"Âge moyen "&amp;FIXED('2_Description'!B7,1)&amp;" ans (écart-type "&amp;FIXED('2_Description'!B8,1)&amp;") ; médiane "&amp;'2_Description'!B9&amp;" ; min "&amp;'2_Description'!B10&amp;" ; max "&amp;'2_Description'!B11</f>
        <v>Âge moyen 26,4 ans (écart-type 4,9) ; médiane 26 ; min 17 ; max 45</v>
      </c>
      <c r="C14" s="23"/>
      <c r="D14" s="23"/>
      <c r="E14" s="23"/>
      <c r="F14" s="23"/>
    </row>
    <row r="15" spans="1:6" x14ac:dyDescent="0.25">
      <c r="A15" s="15" t="s">
        <v>769</v>
      </c>
      <c r="B15" s="16" t="str">
        <f>"Niveau secondaire : "&amp;FIXED('2_Description'!D36,1)&amp;" % ; milieu urbain : "&amp;FIXED('2_Description'!D46,1)&amp;" %"</f>
        <v>Niveau secondaire : 44,9 % ; milieu urbain : 59,5 %</v>
      </c>
      <c r="C15" s="23"/>
      <c r="D15" s="23"/>
      <c r="E15" s="23"/>
      <c r="F15" s="23"/>
    </row>
    <row r="16" spans="1:6" x14ac:dyDescent="0.25">
      <c r="A16" s="15" t="s">
        <v>770</v>
      </c>
      <c r="B16" s="16" t="str">
        <f>"Parité moyenne "&amp;FIXED('2_Description'!C52,1)&amp;" ; CPN moyen "&amp;FIXED('2_Description'!C53,1)&amp;" ; âge gestationnel moyen "&amp;FIXED('2_Description'!C54,1)&amp;" SA"</f>
        <v>Parité moyenne 1,6 ; CPN moyen 3,6 ; âge gestationnel moyen 34,4 SA</v>
      </c>
      <c r="C16" s="23"/>
      <c r="D16" s="23"/>
      <c r="E16" s="23"/>
      <c r="F16" s="23"/>
    </row>
    <row r="17" spans="1:6" x14ac:dyDescent="0.25">
      <c r="A17" s="15" t="s">
        <v>771</v>
      </c>
      <c r="B17" s="16" t="str">
        <f>'3_Frequence'!C6&amp;" cas sur "&amp;SUM('3_Frequence'!C5:C6)&amp;" femmes ("&amp;FIXED('3_Frequence'!D6,1)&amp;" %)"</f>
        <v>48 cas sur 400 femmes (12,0 %)</v>
      </c>
      <c r="C17" s="23"/>
      <c r="D17" s="23"/>
      <c r="E17" s="23"/>
      <c r="F17" s="23"/>
    </row>
    <row r="18" spans="1:6" x14ac:dyDescent="0.25">
      <c r="A18" s="15" t="s">
        <v>772</v>
      </c>
      <c r="B18" s="16" t="str">
        <f>'4_Facteurs'!B15&amp;", p = "&amp;'4_Facteurs'!B19&amp;" ; % de prééclampsie - "&amp;'4_Facteurs'!A8&amp;" : "&amp;FIXED('4_Facteurs'!F8,1)&amp;" % ; "&amp;'4_Facteurs'!A9&amp;" : "&amp;FIXED('4_Facteurs'!F9,1)&amp;" % ; "&amp;'4_Facteurs'!A10&amp;" : "&amp;FIXED('4_Facteurs'!F10,1)&amp;" % ; "&amp;'4_Facteurs'!A11&amp;" : "&amp;FIXED('4_Facteurs'!F11,1)&amp;" %"</f>
        <v>Fisher, p = 0,165 ; % de prééclampsie - Moins de 20 ans : 23,8 % ; 20-29 ans : 10,7 % ; 30-34 ans : 10,8 % ; 35 ans et plus : 20,0 %</v>
      </c>
      <c r="C18" s="23"/>
      <c r="D18" s="23"/>
      <c r="E18" s="23"/>
      <c r="F18" s="23"/>
    </row>
    <row r="19" spans="1:6" x14ac:dyDescent="0.25">
      <c r="A19" s="15" t="s">
        <v>773</v>
      </c>
      <c r="B19" s="16" t="str">
        <f>'4_Facteurs'!B31&amp;", p = "&amp;'4_Facteurs'!B35&amp;" ; avec antécédent : "&amp;FIXED('4_Facteurs'!F27,1)&amp;" % ; sans antécédent : "&amp;FIXED('4_Facteurs'!F26,1)&amp;" %"</f>
        <v>Fisher, p = 0,009 ; avec antécédent : 25,0 % ; sans antécédent : 7,8 %</v>
      </c>
      <c r="C19" s="23"/>
      <c r="D19" s="23"/>
      <c r="E19" s="23"/>
      <c r="F19" s="23"/>
    </row>
    <row r="20" spans="1:6" x14ac:dyDescent="0.25">
      <c r="A20" s="15" t="s">
        <v>774</v>
      </c>
      <c r="B20" s="16" t="str">
        <f>'4_Facteurs'!B56&amp;", p = "&amp;'4_Facteurs'!B60&amp;" ; avec HTA chronique : "&amp;FIXED('4_Facteurs'!F52,1)&amp;" % ; sans : "&amp;FIXED('4_Facteurs'!F51,1)&amp;" %"</f>
        <v>Fisher, p = 0,003 ; avec HTA chronique : 34,8 % ; sans : 10,6 %</v>
      </c>
      <c r="C20" s="23"/>
      <c r="D20" s="23"/>
      <c r="E20" s="23"/>
      <c r="F20" s="23"/>
    </row>
    <row r="21" spans="1:6" x14ac:dyDescent="0.25">
      <c r="A21" s="15" t="s">
        <v>775</v>
      </c>
      <c r="B21" s="16" t="str">
        <f>'4_Facteurs'!B73&amp;", p = "&amp;'4_Facteurs'!B77&amp;" ; nullipares : "&amp;FIXED('4_Facteurs'!F67,1)&amp;" %"</f>
        <v>Chi-deux, p = 0,002 ; nullipares : 19,4 %</v>
      </c>
      <c r="C21" s="23"/>
      <c r="D21" s="23"/>
      <c r="E21" s="23"/>
      <c r="F21" s="23"/>
    </row>
    <row r="22" spans="1:6" x14ac:dyDescent="0.25">
      <c r="A22" s="15" t="s">
        <v>776</v>
      </c>
      <c r="B22" s="16" t="str">
        <f>'4_Facteurs'!B89&amp;", p = "&amp;'4_Facteurs'!B93&amp;" ; grossesse multiple : "&amp;FIXED('4_Facteurs'!F85,1)&amp;" % ; unique : "&amp;FIXED('4_Facteurs'!F84,1)&amp;" %"</f>
        <v>Fisher, p = 0,679 ; grossesse multiple : 14,3 % ; unique : 11,9 %</v>
      </c>
      <c r="C22" s="23"/>
      <c r="D22" s="23"/>
      <c r="E22" s="23"/>
      <c r="F22" s="23"/>
    </row>
    <row r="23" spans="1:6" x14ac:dyDescent="0.25">
      <c r="A23" s="15" t="s">
        <v>777</v>
      </c>
      <c r="B23" s="16" t="str">
        <f>'5_Comparaison'!B11&amp;", p = "&amp;'5_Comparaison'!B30&amp;" ; âge moyen "&amp;FIXED('5_Comparaison'!C8,1)&amp;" ans (prééclampsie) contre "&amp;FIXED('5_Comparaison'!C7,1)&amp;" ans (sans)"</f>
        <v>Test t de Student (Welch), p = 0,887 ; âge moyen 26,5 ans (prééclampsie) contre 26,4 ans (sans)</v>
      </c>
      <c r="C23" s="23"/>
      <c r="D23" s="23"/>
      <c r="E23" s="23"/>
      <c r="F23" s="23"/>
    </row>
    <row r="25" spans="1:6" x14ac:dyDescent="0.25">
      <c r="A25" s="3" t="s">
        <v>778</v>
      </c>
    </row>
  </sheetData>
  <pageMargins left="0.75" right="0.75" top="1" bottom="1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94"/>
  <sheetViews>
    <sheetView showGridLines="0" workbookViewId="0"/>
  </sheetViews>
  <sheetFormatPr baseColWidth="10" defaultColWidth="9.140625" defaultRowHeight="15" x14ac:dyDescent="0.25"/>
  <cols>
    <col min="1" max="1" width="36" customWidth="1"/>
    <col min="2" max="3" width="20" customWidth="1"/>
    <col min="4" max="4" width="22" customWidth="1"/>
  </cols>
  <sheetData>
    <row r="1" spans="1:4" ht="26.1" customHeight="1" x14ac:dyDescent="0.35">
      <c r="A1" s="1" t="s">
        <v>779</v>
      </c>
    </row>
    <row r="2" spans="1:4" x14ac:dyDescent="0.25">
      <c r="A2" s="2" t="s">
        <v>780</v>
      </c>
    </row>
    <row r="4" spans="1:4" x14ac:dyDescent="0.25">
      <c r="A4" s="6"/>
      <c r="B4" s="7" t="s">
        <v>781</v>
      </c>
      <c r="C4" s="7" t="s">
        <v>782</v>
      </c>
      <c r="D4" s="7" t="s">
        <v>783</v>
      </c>
    </row>
    <row r="5" spans="1:4" x14ac:dyDescent="0.25">
      <c r="A5" s="13" t="s">
        <v>784</v>
      </c>
      <c r="B5" s="26">
        <f>'4_Facteurs'!C26</f>
        <v>20</v>
      </c>
      <c r="C5" s="26">
        <f>'4_Facteurs'!C51</f>
        <v>40</v>
      </c>
      <c r="D5" s="26">
        <f>'4_Facteurs'!C84</f>
        <v>46</v>
      </c>
    </row>
    <row r="6" spans="1:4" x14ac:dyDescent="0.25">
      <c r="A6" s="13" t="s">
        <v>785</v>
      </c>
      <c r="B6" s="26">
        <f>'4_Facteurs'!D26</f>
        <v>258</v>
      </c>
      <c r="C6" s="26">
        <f>'4_Facteurs'!D51</f>
        <v>377</v>
      </c>
      <c r="D6" s="26">
        <f>'4_Facteurs'!D84</f>
        <v>386</v>
      </c>
    </row>
    <row r="7" spans="1:4" x14ac:dyDescent="0.25">
      <c r="A7" s="13" t="s">
        <v>786</v>
      </c>
      <c r="B7" s="26">
        <f>'4_Facteurs'!C28</f>
        <v>27</v>
      </c>
      <c r="C7" s="26">
        <f>'4_Facteurs'!C53</f>
        <v>48</v>
      </c>
      <c r="D7" s="26">
        <f>'4_Facteurs'!C86</f>
        <v>48</v>
      </c>
    </row>
    <row r="8" spans="1:4" x14ac:dyDescent="0.25">
      <c r="A8" s="13" t="s">
        <v>787</v>
      </c>
      <c r="B8" s="26">
        <f>'4_Facteurs'!D28</f>
        <v>286</v>
      </c>
      <c r="C8" s="26">
        <f>'4_Facteurs'!D53</f>
        <v>400</v>
      </c>
      <c r="D8" s="26">
        <f>'4_Facteurs'!D86</f>
        <v>400</v>
      </c>
    </row>
    <row r="9" spans="1:4" x14ac:dyDescent="0.25">
      <c r="A9" s="10" t="s">
        <v>788</v>
      </c>
      <c r="B9" s="42">
        <f>HYPGEOMDIST(B5,B6,B7,B8)</f>
        <v>7.1911334221962751E-3</v>
      </c>
      <c r="C9" s="42">
        <f>HYPGEOMDIST(C5,C6,C7,C8)</f>
        <v>2.3557289569140238E-3</v>
      </c>
      <c r="D9" s="42">
        <f>HYPGEOMDIST(D5,D6,D7,D8)</f>
        <v>0.28817311177185689</v>
      </c>
    </row>
    <row r="10" spans="1:4" x14ac:dyDescent="0.25">
      <c r="A10" s="10" t="s">
        <v>789</v>
      </c>
      <c r="B10" s="35">
        <f>SUMIF(B14:B94,"&lt;="&amp;B9*(1+0.0000001))</f>
        <v>9.0931023412243461E-3</v>
      </c>
      <c r="C10" s="35">
        <f>SUMIF(C14:C94,"&lt;="&amp;C9*(1+0.0000001))</f>
        <v>2.9062659458040175E-3</v>
      </c>
      <c r="D10" s="35">
        <f>SUMIF(D14:D94,"&lt;="&amp;D9*(1+0.0000001))</f>
        <v>0.67928360719334657</v>
      </c>
    </row>
    <row r="13" spans="1:4" x14ac:dyDescent="0.25">
      <c r="A13" s="6" t="s">
        <v>790</v>
      </c>
      <c r="B13" s="7" t="s">
        <v>791</v>
      </c>
      <c r="C13" s="7" t="s">
        <v>792</v>
      </c>
      <c r="D13" s="7" t="s">
        <v>793</v>
      </c>
    </row>
    <row r="14" spans="1:4" x14ac:dyDescent="0.25">
      <c r="A14" s="26">
        <v>0</v>
      </c>
      <c r="B14" s="43">
        <f t="shared" ref="B14:D33" si="0">IFERROR(HYPGEOMDIST($A14,B$6,B$7,B$8),0)</f>
        <v>5.1585223081591728E-37</v>
      </c>
      <c r="C14" s="43">
        <f t="shared" si="0"/>
        <v>0</v>
      </c>
      <c r="D14" s="43">
        <f t="shared" si="0"/>
        <v>0</v>
      </c>
    </row>
    <row r="15" spans="1:4" x14ac:dyDescent="0.25">
      <c r="A15" s="26">
        <v>1</v>
      </c>
      <c r="B15" s="43">
        <f t="shared" si="0"/>
        <v>1.7967133199318437E-33</v>
      </c>
      <c r="C15" s="43">
        <f t="shared" si="0"/>
        <v>0</v>
      </c>
      <c r="D15" s="43">
        <f t="shared" si="0"/>
        <v>0</v>
      </c>
    </row>
    <row r="16" spans="1:4" x14ac:dyDescent="0.25">
      <c r="A16" s="26">
        <v>2</v>
      </c>
      <c r="B16" s="43">
        <f t="shared" si="0"/>
        <v>2.0009397339640857E-30</v>
      </c>
      <c r="C16" s="43">
        <f t="shared" si="0"/>
        <v>0</v>
      </c>
      <c r="D16" s="43">
        <f t="shared" si="0"/>
        <v>0</v>
      </c>
    </row>
    <row r="17" spans="1:4" x14ac:dyDescent="0.25">
      <c r="A17" s="26">
        <v>3</v>
      </c>
      <c r="B17" s="43">
        <f t="shared" si="0"/>
        <v>1.0671678581141791E-27</v>
      </c>
      <c r="C17" s="43">
        <f t="shared" si="0"/>
        <v>0</v>
      </c>
      <c r="D17" s="43">
        <f t="shared" si="0"/>
        <v>0</v>
      </c>
    </row>
    <row r="18" spans="1:4" x14ac:dyDescent="0.25">
      <c r="A18" s="26">
        <v>4</v>
      </c>
      <c r="B18" s="43">
        <f t="shared" si="0"/>
        <v>3.2655336458293919E-25</v>
      </c>
      <c r="C18" s="43">
        <f t="shared" si="0"/>
        <v>0</v>
      </c>
      <c r="D18" s="43">
        <f t="shared" si="0"/>
        <v>0</v>
      </c>
    </row>
    <row r="19" spans="1:4" x14ac:dyDescent="0.25">
      <c r="A19" s="26">
        <v>5</v>
      </c>
      <c r="B19" s="43">
        <f t="shared" si="0"/>
        <v>6.3590825196450771E-23</v>
      </c>
      <c r="C19" s="43">
        <f t="shared" si="0"/>
        <v>0</v>
      </c>
      <c r="D19" s="43">
        <f t="shared" si="0"/>
        <v>0</v>
      </c>
    </row>
    <row r="20" spans="1:4" x14ac:dyDescent="0.25">
      <c r="A20" s="26">
        <v>6</v>
      </c>
      <c r="B20" s="43">
        <f t="shared" si="0"/>
        <v>8.4272984057963523E-21</v>
      </c>
      <c r="C20" s="43">
        <f t="shared" si="0"/>
        <v>0</v>
      </c>
      <c r="D20" s="43">
        <f t="shared" si="0"/>
        <v>0</v>
      </c>
    </row>
    <row r="21" spans="1:4" x14ac:dyDescent="0.25">
      <c r="A21" s="26">
        <v>7</v>
      </c>
      <c r="B21" s="43">
        <f t="shared" si="0"/>
        <v>7.9637969934775022E-19</v>
      </c>
      <c r="C21" s="43">
        <f t="shared" si="0"/>
        <v>0</v>
      </c>
      <c r="D21" s="43">
        <f t="shared" si="0"/>
        <v>0</v>
      </c>
    </row>
    <row r="22" spans="1:4" x14ac:dyDescent="0.25">
      <c r="A22" s="26">
        <v>8</v>
      </c>
      <c r="B22" s="43">
        <f t="shared" si="0"/>
        <v>5.5525362371190868E-17</v>
      </c>
      <c r="C22" s="43">
        <f t="shared" si="0"/>
        <v>0</v>
      </c>
      <c r="D22" s="43">
        <f t="shared" si="0"/>
        <v>0</v>
      </c>
    </row>
    <row r="23" spans="1:4" x14ac:dyDescent="0.25">
      <c r="A23" s="26">
        <v>9</v>
      </c>
      <c r="B23" s="43">
        <f t="shared" si="0"/>
        <v>2.9305052362573039E-15</v>
      </c>
      <c r="C23" s="43">
        <f t="shared" si="0"/>
        <v>0</v>
      </c>
      <c r="D23" s="43">
        <f t="shared" si="0"/>
        <v>0</v>
      </c>
    </row>
    <row r="24" spans="1:4" x14ac:dyDescent="0.25">
      <c r="A24" s="26">
        <v>10</v>
      </c>
      <c r="B24" s="43">
        <f t="shared" si="0"/>
        <v>1.1940476789913895E-13</v>
      </c>
      <c r="C24" s="43">
        <f t="shared" si="0"/>
        <v>0</v>
      </c>
      <c r="D24" s="43">
        <f t="shared" si="0"/>
        <v>0</v>
      </c>
    </row>
    <row r="25" spans="1:4" x14ac:dyDescent="0.25">
      <c r="A25" s="26">
        <v>11</v>
      </c>
      <c r="B25" s="43">
        <f t="shared" si="0"/>
        <v>3.8137159201724597E-12</v>
      </c>
      <c r="C25" s="43">
        <f t="shared" si="0"/>
        <v>0</v>
      </c>
      <c r="D25" s="43">
        <f t="shared" si="0"/>
        <v>0</v>
      </c>
    </row>
    <row r="26" spans="1:4" x14ac:dyDescent="0.25">
      <c r="A26" s="26">
        <v>12</v>
      </c>
      <c r="B26" s="43">
        <f t="shared" si="0"/>
        <v>9.6614136644368811E-11</v>
      </c>
      <c r="C26" s="43">
        <f t="shared" si="0"/>
        <v>0</v>
      </c>
      <c r="D26" s="43">
        <f t="shared" si="0"/>
        <v>0</v>
      </c>
    </row>
    <row r="27" spans="1:4" x14ac:dyDescent="0.25">
      <c r="A27" s="26">
        <v>13</v>
      </c>
      <c r="B27" s="43">
        <f t="shared" si="0"/>
        <v>1.9588250781193523E-9</v>
      </c>
      <c r="C27" s="43">
        <f t="shared" si="0"/>
        <v>0</v>
      </c>
      <c r="D27" s="43">
        <f t="shared" si="0"/>
        <v>0</v>
      </c>
    </row>
    <row r="28" spans="1:4" x14ac:dyDescent="0.25">
      <c r="A28" s="26">
        <v>14</v>
      </c>
      <c r="B28" s="43">
        <f t="shared" si="0"/>
        <v>3.1994142942615944E-8</v>
      </c>
      <c r="C28" s="43">
        <f t="shared" si="0"/>
        <v>0</v>
      </c>
      <c r="D28" s="43">
        <f t="shared" si="0"/>
        <v>0</v>
      </c>
    </row>
    <row r="29" spans="1:4" x14ac:dyDescent="0.25">
      <c r="A29" s="26">
        <v>15</v>
      </c>
      <c r="B29" s="43">
        <f t="shared" si="0"/>
        <v>4.228559225582415E-7</v>
      </c>
      <c r="C29" s="43">
        <f t="shared" si="0"/>
        <v>0</v>
      </c>
      <c r="D29" s="43">
        <f t="shared" si="0"/>
        <v>0</v>
      </c>
    </row>
    <row r="30" spans="1:4" x14ac:dyDescent="0.25">
      <c r="A30" s="26">
        <v>16</v>
      </c>
      <c r="B30" s="43">
        <f t="shared" si="0"/>
        <v>4.5332642286023155E-6</v>
      </c>
      <c r="C30" s="43">
        <f t="shared" si="0"/>
        <v>0</v>
      </c>
      <c r="D30" s="43">
        <f t="shared" si="0"/>
        <v>0</v>
      </c>
    </row>
    <row r="31" spans="1:4" x14ac:dyDescent="0.25">
      <c r="A31" s="26">
        <v>17</v>
      </c>
      <c r="B31" s="43">
        <f t="shared" si="0"/>
        <v>3.9436435871043732E-5</v>
      </c>
      <c r="C31" s="43">
        <f t="shared" si="0"/>
        <v>0</v>
      </c>
      <c r="D31" s="43">
        <f t="shared" si="0"/>
        <v>0</v>
      </c>
    </row>
    <row r="32" spans="1:4" x14ac:dyDescent="0.25">
      <c r="A32" s="26">
        <v>18</v>
      </c>
      <c r="B32" s="43">
        <f t="shared" si="0"/>
        <v>2.7790003055326389E-4</v>
      </c>
      <c r="C32" s="43">
        <f t="shared" si="0"/>
        <v>0</v>
      </c>
      <c r="D32" s="43">
        <f t="shared" si="0"/>
        <v>0</v>
      </c>
    </row>
    <row r="33" spans="1:4" x14ac:dyDescent="0.25">
      <c r="A33" s="26">
        <v>19</v>
      </c>
      <c r="B33" s="43">
        <f t="shared" si="0"/>
        <v>1.5796422789343377E-3</v>
      </c>
      <c r="C33" s="43">
        <f t="shared" si="0"/>
        <v>0</v>
      </c>
      <c r="D33" s="43">
        <f t="shared" si="0"/>
        <v>0</v>
      </c>
    </row>
    <row r="34" spans="1:4" x14ac:dyDescent="0.25">
      <c r="A34" s="26">
        <v>20</v>
      </c>
      <c r="B34" s="43">
        <f t="shared" ref="B34:D53" si="1">IFERROR(HYPGEOMDIST($A34,B$6,B$7,B$8),0)</f>
        <v>7.1911334221962751E-3</v>
      </c>
      <c r="C34" s="43">
        <f t="shared" si="1"/>
        <v>0</v>
      </c>
      <c r="D34" s="43">
        <f t="shared" si="1"/>
        <v>0</v>
      </c>
    </row>
    <row r="35" spans="1:4" x14ac:dyDescent="0.25">
      <c r="A35" s="26">
        <v>21</v>
      </c>
      <c r="B35" s="43">
        <f t="shared" si="1"/>
        <v>2.5931662946707963E-2</v>
      </c>
      <c r="C35" s="43">
        <f t="shared" si="1"/>
        <v>0</v>
      </c>
      <c r="D35" s="43">
        <f t="shared" si="1"/>
        <v>0</v>
      </c>
    </row>
    <row r="36" spans="1:4" x14ac:dyDescent="0.25">
      <c r="A36" s="26">
        <v>22</v>
      </c>
      <c r="B36" s="43">
        <f t="shared" si="1"/>
        <v>7.2875147648653146E-2</v>
      </c>
      <c r="C36" s="43">
        <f t="shared" si="1"/>
        <v>0</v>
      </c>
      <c r="D36" s="43">
        <f t="shared" si="1"/>
        <v>0</v>
      </c>
    </row>
    <row r="37" spans="1:4" x14ac:dyDescent="0.25">
      <c r="A37" s="26">
        <v>23</v>
      </c>
      <c r="B37" s="43">
        <f t="shared" si="1"/>
        <v>0.15578383011849792</v>
      </c>
      <c r="C37" s="43">
        <f t="shared" si="1"/>
        <v>0</v>
      </c>
      <c r="D37" s="43">
        <f t="shared" si="1"/>
        <v>0</v>
      </c>
    </row>
    <row r="38" spans="1:4" x14ac:dyDescent="0.25">
      <c r="A38" s="26">
        <v>24</v>
      </c>
      <c r="B38" s="43">
        <f t="shared" si="1"/>
        <v>0.24406133385231321</v>
      </c>
      <c r="C38" s="43">
        <f t="shared" si="1"/>
        <v>0</v>
      </c>
      <c r="D38" s="43">
        <f t="shared" si="1"/>
        <v>0</v>
      </c>
    </row>
    <row r="39" spans="1:4" x14ac:dyDescent="0.25">
      <c r="A39" s="26">
        <v>25</v>
      </c>
      <c r="B39" s="43">
        <f t="shared" si="1"/>
        <v>0.26358624056049851</v>
      </c>
      <c r="C39" s="43">
        <f t="shared" si="1"/>
        <v>2.16707972413229E-24</v>
      </c>
      <c r="D39" s="43">
        <f t="shared" si="1"/>
        <v>0</v>
      </c>
    </row>
    <row r="40" spans="1:4" x14ac:dyDescent="0.25">
      <c r="A40" s="26">
        <v>26</v>
      </c>
      <c r="B40" s="43">
        <f t="shared" si="1"/>
        <v>0.17497320242334938</v>
      </c>
      <c r="C40" s="43">
        <f t="shared" si="1"/>
        <v>6.7479528640673235E-22</v>
      </c>
      <c r="D40" s="43">
        <f t="shared" si="1"/>
        <v>0</v>
      </c>
    </row>
    <row r="41" spans="1:4" x14ac:dyDescent="0.25">
      <c r="A41" s="26">
        <v>27</v>
      </c>
      <c r="B41" s="43">
        <f t="shared" si="1"/>
        <v>5.369548010875283E-2</v>
      </c>
      <c r="C41" s="43">
        <f t="shared" si="1"/>
        <v>9.6495725956162478E-20</v>
      </c>
      <c r="D41" s="43">
        <f t="shared" si="1"/>
        <v>0</v>
      </c>
    </row>
    <row r="42" spans="1:4" x14ac:dyDescent="0.25">
      <c r="A42" s="26">
        <v>28</v>
      </c>
      <c r="B42" s="43">
        <f t="shared" si="1"/>
        <v>0</v>
      </c>
      <c r="C42" s="43">
        <f t="shared" si="1"/>
        <v>8.4433760211642755E-18</v>
      </c>
      <c r="D42" s="43">
        <f t="shared" si="1"/>
        <v>0</v>
      </c>
    </row>
    <row r="43" spans="1:4" x14ac:dyDescent="0.25">
      <c r="A43" s="26">
        <v>29</v>
      </c>
      <c r="B43" s="43">
        <f t="shared" si="1"/>
        <v>0</v>
      </c>
      <c r="C43" s="43">
        <f t="shared" si="1"/>
        <v>5.0805831575625741E-16</v>
      </c>
      <c r="D43" s="43">
        <f t="shared" si="1"/>
        <v>0</v>
      </c>
    </row>
    <row r="44" spans="1:4" x14ac:dyDescent="0.25">
      <c r="A44" s="26">
        <v>30</v>
      </c>
      <c r="B44" s="43">
        <f t="shared" si="1"/>
        <v>0</v>
      </c>
      <c r="C44" s="43">
        <f t="shared" si="1"/>
        <v>2.2395210558536009E-14</v>
      </c>
      <c r="D44" s="43">
        <f t="shared" si="1"/>
        <v>0</v>
      </c>
    </row>
    <row r="45" spans="1:4" x14ac:dyDescent="0.25">
      <c r="A45" s="26">
        <v>31</v>
      </c>
      <c r="B45" s="43">
        <f t="shared" si="1"/>
        <v>0</v>
      </c>
      <c r="C45" s="43">
        <f t="shared" si="1"/>
        <v>7.5204561907858044E-13</v>
      </c>
      <c r="D45" s="43">
        <f t="shared" si="1"/>
        <v>0</v>
      </c>
    </row>
    <row r="46" spans="1:4" x14ac:dyDescent="0.25">
      <c r="A46" s="26">
        <v>32</v>
      </c>
      <c r="B46" s="43">
        <f t="shared" si="1"/>
        <v>0</v>
      </c>
      <c r="C46" s="43">
        <f t="shared" si="1"/>
        <v>1.974791219384026E-11</v>
      </c>
      <c r="D46" s="43">
        <f t="shared" si="1"/>
        <v>0</v>
      </c>
    </row>
    <row r="47" spans="1:4" x14ac:dyDescent="0.25">
      <c r="A47" s="26">
        <v>33</v>
      </c>
      <c r="B47" s="43">
        <f t="shared" si="1"/>
        <v>0</v>
      </c>
      <c r="C47" s="43">
        <f t="shared" si="1"/>
        <v>4.1291089132574936E-10</v>
      </c>
      <c r="D47" s="43">
        <f t="shared" si="1"/>
        <v>0</v>
      </c>
    </row>
    <row r="48" spans="1:4" x14ac:dyDescent="0.25">
      <c r="A48" s="26">
        <v>34</v>
      </c>
      <c r="B48" s="43">
        <f t="shared" si="1"/>
        <v>0</v>
      </c>
      <c r="C48" s="43">
        <f t="shared" si="1"/>
        <v>6.9628111086303097E-9</v>
      </c>
      <c r="D48" s="43">
        <f t="shared" si="1"/>
        <v>1.9716823153101952E-14</v>
      </c>
    </row>
    <row r="49" spans="1:4" x14ac:dyDescent="0.25">
      <c r="A49" s="26">
        <v>35</v>
      </c>
      <c r="B49" s="43">
        <f t="shared" si="1"/>
        <v>0</v>
      </c>
      <c r="C49" s="43">
        <f t="shared" si="1"/>
        <v>9.5529768410407594E-8</v>
      </c>
      <c r="D49" s="43">
        <f t="shared" si="1"/>
        <v>2.776128699956726E-12</v>
      </c>
    </row>
    <row r="50" spans="1:4" x14ac:dyDescent="0.25">
      <c r="A50" s="26">
        <v>36</v>
      </c>
      <c r="B50" s="43">
        <f t="shared" si="1"/>
        <v>0</v>
      </c>
      <c r="C50" s="43">
        <f t="shared" si="1"/>
        <v>1.0725387635168527E-6</v>
      </c>
      <c r="D50" s="43">
        <f t="shared" si="1"/>
        <v>1.7593715635975975E-10</v>
      </c>
    </row>
    <row r="51" spans="1:4" x14ac:dyDescent="0.25">
      <c r="A51" s="26">
        <v>37</v>
      </c>
      <c r="B51" s="43">
        <f t="shared" si="1"/>
        <v>0</v>
      </c>
      <c r="C51" s="43">
        <f t="shared" si="1"/>
        <v>9.884749144844441E-6</v>
      </c>
      <c r="D51" s="43">
        <f t="shared" si="1"/>
        <v>6.657081591990861E-9</v>
      </c>
    </row>
    <row r="52" spans="1:4" x14ac:dyDescent="0.25">
      <c r="A52" s="26">
        <v>38</v>
      </c>
      <c r="B52" s="43">
        <f t="shared" si="1"/>
        <v>0</v>
      </c>
      <c r="C52" s="43">
        <f t="shared" si="1"/>
        <v>7.4835955064207242E-5</v>
      </c>
      <c r="D52" s="43">
        <f t="shared" si="1"/>
        <v>1.6813510678719013E-7</v>
      </c>
    </row>
    <row r="53" spans="1:4" x14ac:dyDescent="0.25">
      <c r="A53" s="26">
        <v>39</v>
      </c>
      <c r="B53" s="43">
        <f t="shared" si="1"/>
        <v>0</v>
      </c>
      <c r="C53" s="43">
        <f t="shared" si="1"/>
        <v>4.6464081990414512E-4</v>
      </c>
      <c r="D53" s="43">
        <f t="shared" si="1"/>
        <v>3.0005649826636985E-6</v>
      </c>
    </row>
    <row r="54" spans="1:4" x14ac:dyDescent="0.25">
      <c r="A54" s="26">
        <v>40</v>
      </c>
      <c r="B54" s="43">
        <f t="shared" ref="B54:D73" si="2">IFERROR(HYPGEOMDIST($A54,B$6,B$7,B$8),0)</f>
        <v>0</v>
      </c>
      <c r="C54" s="43">
        <f t="shared" si="2"/>
        <v>2.3557289569140238E-3</v>
      </c>
      <c r="D54" s="43">
        <f t="shared" si="2"/>
        <v>3.9044851836911502E-5</v>
      </c>
    </row>
    <row r="55" spans="1:4" x14ac:dyDescent="0.25">
      <c r="A55" s="26">
        <v>41</v>
      </c>
      <c r="B55" s="43">
        <f t="shared" si="2"/>
        <v>0</v>
      </c>
      <c r="C55" s="43">
        <f t="shared" si="2"/>
        <v>9.6814714448783985E-3</v>
      </c>
      <c r="D55" s="43">
        <f t="shared" si="2"/>
        <v>3.7657195081732621E-4</v>
      </c>
    </row>
    <row r="56" spans="1:4" x14ac:dyDescent="0.25">
      <c r="A56" s="26">
        <v>42</v>
      </c>
      <c r="B56" s="43">
        <f t="shared" si="2"/>
        <v>0</v>
      </c>
      <c r="C56" s="43">
        <f t="shared" si="2"/>
        <v>3.1891905936069699E-2</v>
      </c>
      <c r="D56" s="43">
        <f t="shared" si="2"/>
        <v>2.706610896499493E-3</v>
      </c>
    </row>
    <row r="57" spans="1:4" x14ac:dyDescent="0.25">
      <c r="A57" s="26">
        <v>43</v>
      </c>
      <c r="B57" s="43">
        <f t="shared" si="2"/>
        <v>0</v>
      </c>
      <c r="C57" s="43">
        <f t="shared" si="2"/>
        <v>8.2820065802971146E-2</v>
      </c>
      <c r="D57" s="43">
        <f t="shared" si="2"/>
        <v>1.4435258114663951E-2</v>
      </c>
    </row>
    <row r="58" spans="1:4" x14ac:dyDescent="0.25">
      <c r="A58" s="26">
        <v>44</v>
      </c>
      <c r="B58" s="43">
        <f t="shared" si="2"/>
        <v>0</v>
      </c>
      <c r="C58" s="43">
        <f t="shared" si="2"/>
        <v>0.16544199747722824</v>
      </c>
      <c r="D58" s="43">
        <f t="shared" si="2"/>
        <v>5.6264699242383996E-2</v>
      </c>
    </row>
    <row r="59" spans="1:4" x14ac:dyDescent="0.25">
      <c r="A59" s="26">
        <v>45</v>
      </c>
      <c r="B59" s="43">
        <f t="shared" si="2"/>
        <v>0</v>
      </c>
      <c r="C59" s="43">
        <f t="shared" si="2"/>
        <v>0.24485415626629212</v>
      </c>
      <c r="D59" s="43">
        <f t="shared" si="2"/>
        <v>0.15549516881531483</v>
      </c>
    </row>
    <row r="60" spans="1:4" x14ac:dyDescent="0.25">
      <c r="A60" s="26">
        <v>46</v>
      </c>
      <c r="B60" s="43">
        <f t="shared" si="2"/>
        <v>0</v>
      </c>
      <c r="C60" s="43">
        <f t="shared" si="2"/>
        <v>0.25245832260997181</v>
      </c>
      <c r="D60" s="43">
        <f t="shared" si="2"/>
        <v>0.28817311177185689</v>
      </c>
    </row>
    <row r="61" spans="1:4" x14ac:dyDescent="0.25">
      <c r="A61" s="26">
        <v>47</v>
      </c>
      <c r="B61" s="43">
        <f t="shared" si="2"/>
        <v>0</v>
      </c>
      <c r="C61" s="43">
        <f t="shared" si="2"/>
        <v>0.16163192414680969</v>
      </c>
      <c r="D61" s="43">
        <f t="shared" si="2"/>
        <v>0.32071639280665309</v>
      </c>
    </row>
    <row r="62" spans="1:4" x14ac:dyDescent="0.25">
      <c r="A62" s="26">
        <v>48</v>
      </c>
      <c r="B62" s="43">
        <f t="shared" si="2"/>
        <v>0</v>
      </c>
      <c r="C62" s="43">
        <f t="shared" si="2"/>
        <v>4.8313890369969935E-2</v>
      </c>
      <c r="D62" s="43">
        <f t="shared" si="2"/>
        <v>0.1617899660140692</v>
      </c>
    </row>
    <row r="63" spans="1:4" x14ac:dyDescent="0.25">
      <c r="A63" s="26">
        <v>49</v>
      </c>
      <c r="B63" s="43">
        <f t="shared" si="2"/>
        <v>0</v>
      </c>
      <c r="C63" s="43">
        <f t="shared" si="2"/>
        <v>0</v>
      </c>
      <c r="D63" s="43">
        <f t="shared" si="2"/>
        <v>0</v>
      </c>
    </row>
    <row r="64" spans="1:4" x14ac:dyDescent="0.25">
      <c r="A64" s="26">
        <v>50</v>
      </c>
      <c r="B64" s="43">
        <f t="shared" si="2"/>
        <v>0</v>
      </c>
      <c r="C64" s="43">
        <f t="shared" si="2"/>
        <v>0</v>
      </c>
      <c r="D64" s="43">
        <f t="shared" si="2"/>
        <v>0</v>
      </c>
    </row>
    <row r="65" spans="1:4" x14ac:dyDescent="0.25">
      <c r="A65" s="26">
        <v>51</v>
      </c>
      <c r="B65" s="43">
        <f t="shared" si="2"/>
        <v>0</v>
      </c>
      <c r="C65" s="43">
        <f t="shared" si="2"/>
        <v>0</v>
      </c>
      <c r="D65" s="43">
        <f t="shared" si="2"/>
        <v>0</v>
      </c>
    </row>
    <row r="66" spans="1:4" x14ac:dyDescent="0.25">
      <c r="A66" s="26">
        <v>52</v>
      </c>
      <c r="B66" s="43">
        <f t="shared" si="2"/>
        <v>0</v>
      </c>
      <c r="C66" s="43">
        <f t="shared" si="2"/>
        <v>0</v>
      </c>
      <c r="D66" s="43">
        <f t="shared" si="2"/>
        <v>0</v>
      </c>
    </row>
    <row r="67" spans="1:4" x14ac:dyDescent="0.25">
      <c r="A67" s="26">
        <v>53</v>
      </c>
      <c r="B67" s="43">
        <f t="shared" si="2"/>
        <v>0</v>
      </c>
      <c r="C67" s="43">
        <f t="shared" si="2"/>
        <v>0</v>
      </c>
      <c r="D67" s="43">
        <f t="shared" si="2"/>
        <v>0</v>
      </c>
    </row>
    <row r="68" spans="1:4" x14ac:dyDescent="0.25">
      <c r="A68" s="26">
        <v>54</v>
      </c>
      <c r="B68" s="43">
        <f t="shared" si="2"/>
        <v>0</v>
      </c>
      <c r="C68" s="43">
        <f t="shared" si="2"/>
        <v>0</v>
      </c>
      <c r="D68" s="43">
        <f t="shared" si="2"/>
        <v>0</v>
      </c>
    </row>
    <row r="69" spans="1:4" x14ac:dyDescent="0.25">
      <c r="A69" s="26">
        <v>55</v>
      </c>
      <c r="B69" s="43">
        <f t="shared" si="2"/>
        <v>0</v>
      </c>
      <c r="C69" s="43">
        <f t="shared" si="2"/>
        <v>0</v>
      </c>
      <c r="D69" s="43">
        <f t="shared" si="2"/>
        <v>0</v>
      </c>
    </row>
    <row r="70" spans="1:4" x14ac:dyDescent="0.25">
      <c r="A70" s="26">
        <v>56</v>
      </c>
      <c r="B70" s="43">
        <f t="shared" si="2"/>
        <v>0</v>
      </c>
      <c r="C70" s="43">
        <f t="shared" si="2"/>
        <v>0</v>
      </c>
      <c r="D70" s="43">
        <f t="shared" si="2"/>
        <v>0</v>
      </c>
    </row>
    <row r="71" spans="1:4" x14ac:dyDescent="0.25">
      <c r="A71" s="26">
        <v>57</v>
      </c>
      <c r="B71" s="43">
        <f t="shared" si="2"/>
        <v>0</v>
      </c>
      <c r="C71" s="43">
        <f t="shared" si="2"/>
        <v>0</v>
      </c>
      <c r="D71" s="43">
        <f t="shared" si="2"/>
        <v>0</v>
      </c>
    </row>
    <row r="72" spans="1:4" x14ac:dyDescent="0.25">
      <c r="A72" s="26">
        <v>58</v>
      </c>
      <c r="B72" s="43">
        <f t="shared" si="2"/>
        <v>0</v>
      </c>
      <c r="C72" s="43">
        <f t="shared" si="2"/>
        <v>0</v>
      </c>
      <c r="D72" s="43">
        <f t="shared" si="2"/>
        <v>0</v>
      </c>
    </row>
    <row r="73" spans="1:4" x14ac:dyDescent="0.25">
      <c r="A73" s="26">
        <v>59</v>
      </c>
      <c r="B73" s="43">
        <f t="shared" si="2"/>
        <v>0</v>
      </c>
      <c r="C73" s="43">
        <f t="shared" si="2"/>
        <v>0</v>
      </c>
      <c r="D73" s="43">
        <f t="shared" si="2"/>
        <v>0</v>
      </c>
    </row>
    <row r="74" spans="1:4" x14ac:dyDescent="0.25">
      <c r="A74" s="26">
        <v>60</v>
      </c>
      <c r="B74" s="43">
        <f t="shared" ref="B74:D94" si="3">IFERROR(HYPGEOMDIST($A74,B$6,B$7,B$8),0)</f>
        <v>0</v>
      </c>
      <c r="C74" s="43">
        <f t="shared" si="3"/>
        <v>0</v>
      </c>
      <c r="D74" s="43">
        <f t="shared" si="3"/>
        <v>0</v>
      </c>
    </row>
    <row r="75" spans="1:4" x14ac:dyDescent="0.25">
      <c r="A75" s="26">
        <v>61</v>
      </c>
      <c r="B75" s="43">
        <f t="shared" si="3"/>
        <v>0</v>
      </c>
      <c r="C75" s="43">
        <f t="shared" si="3"/>
        <v>0</v>
      </c>
      <c r="D75" s="43">
        <f t="shared" si="3"/>
        <v>0</v>
      </c>
    </row>
    <row r="76" spans="1:4" x14ac:dyDescent="0.25">
      <c r="A76" s="26">
        <v>62</v>
      </c>
      <c r="B76" s="43">
        <f t="shared" si="3"/>
        <v>0</v>
      </c>
      <c r="C76" s="43">
        <f t="shared" si="3"/>
        <v>0</v>
      </c>
      <c r="D76" s="43">
        <f t="shared" si="3"/>
        <v>0</v>
      </c>
    </row>
    <row r="77" spans="1:4" x14ac:dyDescent="0.25">
      <c r="A77" s="26">
        <v>63</v>
      </c>
      <c r="B77" s="43">
        <f t="shared" si="3"/>
        <v>0</v>
      </c>
      <c r="C77" s="43">
        <f t="shared" si="3"/>
        <v>0</v>
      </c>
      <c r="D77" s="43">
        <f t="shared" si="3"/>
        <v>0</v>
      </c>
    </row>
    <row r="78" spans="1:4" x14ac:dyDescent="0.25">
      <c r="A78" s="26">
        <v>64</v>
      </c>
      <c r="B78" s="43">
        <f t="shared" si="3"/>
        <v>0</v>
      </c>
      <c r="C78" s="43">
        <f t="shared" si="3"/>
        <v>0</v>
      </c>
      <c r="D78" s="43">
        <f t="shared" si="3"/>
        <v>0</v>
      </c>
    </row>
    <row r="79" spans="1:4" x14ac:dyDescent="0.25">
      <c r="A79" s="26">
        <v>65</v>
      </c>
      <c r="B79" s="43">
        <f t="shared" si="3"/>
        <v>0</v>
      </c>
      <c r="C79" s="43">
        <f t="shared" si="3"/>
        <v>0</v>
      </c>
      <c r="D79" s="43">
        <f t="shared" si="3"/>
        <v>0</v>
      </c>
    </row>
    <row r="80" spans="1:4" x14ac:dyDescent="0.25">
      <c r="A80" s="26">
        <v>66</v>
      </c>
      <c r="B80" s="43">
        <f t="shared" si="3"/>
        <v>0</v>
      </c>
      <c r="C80" s="43">
        <f t="shared" si="3"/>
        <v>0</v>
      </c>
      <c r="D80" s="43">
        <f t="shared" si="3"/>
        <v>0</v>
      </c>
    </row>
    <row r="81" spans="1:4" x14ac:dyDescent="0.25">
      <c r="A81" s="26">
        <v>67</v>
      </c>
      <c r="B81" s="43">
        <f t="shared" si="3"/>
        <v>0</v>
      </c>
      <c r="C81" s="43">
        <f t="shared" si="3"/>
        <v>0</v>
      </c>
      <c r="D81" s="43">
        <f t="shared" si="3"/>
        <v>0</v>
      </c>
    </row>
    <row r="82" spans="1:4" x14ac:dyDescent="0.25">
      <c r="A82" s="26">
        <v>68</v>
      </c>
      <c r="B82" s="43">
        <f t="shared" si="3"/>
        <v>0</v>
      </c>
      <c r="C82" s="43">
        <f t="shared" si="3"/>
        <v>0</v>
      </c>
      <c r="D82" s="43">
        <f t="shared" si="3"/>
        <v>0</v>
      </c>
    </row>
    <row r="83" spans="1:4" x14ac:dyDescent="0.25">
      <c r="A83" s="26">
        <v>69</v>
      </c>
      <c r="B83" s="43">
        <f t="shared" si="3"/>
        <v>0</v>
      </c>
      <c r="C83" s="43">
        <f t="shared" si="3"/>
        <v>0</v>
      </c>
      <c r="D83" s="43">
        <f t="shared" si="3"/>
        <v>0</v>
      </c>
    </row>
    <row r="84" spans="1:4" x14ac:dyDescent="0.25">
      <c r="A84" s="26">
        <v>70</v>
      </c>
      <c r="B84" s="43">
        <f t="shared" si="3"/>
        <v>0</v>
      </c>
      <c r="C84" s="43">
        <f t="shared" si="3"/>
        <v>0</v>
      </c>
      <c r="D84" s="43">
        <f t="shared" si="3"/>
        <v>0</v>
      </c>
    </row>
    <row r="85" spans="1:4" x14ac:dyDescent="0.25">
      <c r="A85" s="26">
        <v>71</v>
      </c>
      <c r="B85" s="43">
        <f t="shared" si="3"/>
        <v>0</v>
      </c>
      <c r="C85" s="43">
        <f t="shared" si="3"/>
        <v>0</v>
      </c>
      <c r="D85" s="43">
        <f t="shared" si="3"/>
        <v>0</v>
      </c>
    </row>
    <row r="86" spans="1:4" x14ac:dyDescent="0.25">
      <c r="A86" s="26">
        <v>72</v>
      </c>
      <c r="B86" s="43">
        <f t="shared" si="3"/>
        <v>0</v>
      </c>
      <c r="C86" s="43">
        <f t="shared" si="3"/>
        <v>0</v>
      </c>
      <c r="D86" s="43">
        <f t="shared" si="3"/>
        <v>0</v>
      </c>
    </row>
    <row r="87" spans="1:4" x14ac:dyDescent="0.25">
      <c r="A87" s="26">
        <v>73</v>
      </c>
      <c r="B87" s="43">
        <f t="shared" si="3"/>
        <v>0</v>
      </c>
      <c r="C87" s="43">
        <f t="shared" si="3"/>
        <v>0</v>
      </c>
      <c r="D87" s="43">
        <f t="shared" si="3"/>
        <v>0</v>
      </c>
    </row>
    <row r="88" spans="1:4" x14ac:dyDescent="0.25">
      <c r="A88" s="26">
        <v>74</v>
      </c>
      <c r="B88" s="43">
        <f t="shared" si="3"/>
        <v>0</v>
      </c>
      <c r="C88" s="43">
        <f t="shared" si="3"/>
        <v>0</v>
      </c>
      <c r="D88" s="43">
        <f t="shared" si="3"/>
        <v>0</v>
      </c>
    </row>
    <row r="89" spans="1:4" x14ac:dyDescent="0.25">
      <c r="A89" s="26">
        <v>75</v>
      </c>
      <c r="B89" s="43">
        <f t="shared" si="3"/>
        <v>0</v>
      </c>
      <c r="C89" s="43">
        <f t="shared" si="3"/>
        <v>0</v>
      </c>
      <c r="D89" s="43">
        <f t="shared" si="3"/>
        <v>0</v>
      </c>
    </row>
    <row r="90" spans="1:4" x14ac:dyDescent="0.25">
      <c r="A90" s="26">
        <v>76</v>
      </c>
      <c r="B90" s="43">
        <f t="shared" si="3"/>
        <v>0</v>
      </c>
      <c r="C90" s="43">
        <f t="shared" si="3"/>
        <v>0</v>
      </c>
      <c r="D90" s="43">
        <f t="shared" si="3"/>
        <v>0</v>
      </c>
    </row>
    <row r="91" spans="1:4" x14ac:dyDescent="0.25">
      <c r="A91" s="26">
        <v>77</v>
      </c>
      <c r="B91" s="43">
        <f t="shared" si="3"/>
        <v>0</v>
      </c>
      <c r="C91" s="43">
        <f t="shared" si="3"/>
        <v>0</v>
      </c>
      <c r="D91" s="43">
        <f t="shared" si="3"/>
        <v>0</v>
      </c>
    </row>
    <row r="92" spans="1:4" x14ac:dyDescent="0.25">
      <c r="A92" s="26">
        <v>78</v>
      </c>
      <c r="B92" s="43">
        <f t="shared" si="3"/>
        <v>0</v>
      </c>
      <c r="C92" s="43">
        <f t="shared" si="3"/>
        <v>0</v>
      </c>
      <c r="D92" s="43">
        <f t="shared" si="3"/>
        <v>0</v>
      </c>
    </row>
    <row r="93" spans="1:4" x14ac:dyDescent="0.25">
      <c r="A93" s="26">
        <v>79</v>
      </c>
      <c r="B93" s="43">
        <f t="shared" si="3"/>
        <v>0</v>
      </c>
      <c r="C93" s="43">
        <f t="shared" si="3"/>
        <v>0</v>
      </c>
      <c r="D93" s="43">
        <f t="shared" si="3"/>
        <v>0</v>
      </c>
    </row>
    <row r="94" spans="1:4" x14ac:dyDescent="0.25">
      <c r="A94" s="26">
        <v>80</v>
      </c>
      <c r="B94" s="43">
        <f t="shared" si="3"/>
        <v>0</v>
      </c>
      <c r="C94" s="43">
        <f t="shared" si="3"/>
        <v>0</v>
      </c>
      <c r="D94" s="43">
        <f t="shared" si="3"/>
        <v>0</v>
      </c>
    </row>
  </sheetData>
  <pageMargins left="0.75" right="0.75" top="1" bottom="1" header="0.5" footer="0.5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G14885"/>
  <sheetViews>
    <sheetView showGridLines="0" topLeftCell="A16" zoomScale="205" zoomScaleNormal="205" workbookViewId="0">
      <selection activeCell="D9" sqref="D9"/>
    </sheetView>
  </sheetViews>
  <sheetFormatPr baseColWidth="10" defaultColWidth="9.140625" defaultRowHeight="15" x14ac:dyDescent="0.25"/>
  <cols>
    <col min="1" max="1" width="34" customWidth="1"/>
    <col min="2" max="6" width="20" customWidth="1"/>
  </cols>
  <sheetData>
    <row r="1" spans="1:7" ht="26.1" customHeight="1" x14ac:dyDescent="0.35">
      <c r="A1" s="1" t="s">
        <v>794</v>
      </c>
    </row>
    <row r="2" spans="1:7" x14ac:dyDescent="0.25">
      <c r="A2" s="2" t="s">
        <v>795</v>
      </c>
    </row>
    <row r="3" spans="1:7" x14ac:dyDescent="0.25">
      <c r="A3" s="10" t="s">
        <v>796</v>
      </c>
      <c r="F3" s="10" t="s">
        <v>797</v>
      </c>
      <c r="G3" s="10" t="s">
        <v>787</v>
      </c>
    </row>
    <row r="4" spans="1:7" x14ac:dyDescent="0.25">
      <c r="A4" s="26">
        <f>'4_Facteurs'!D8</f>
        <v>21</v>
      </c>
      <c r="B4" s="26">
        <f>'4_Facteurs'!D9</f>
        <v>289</v>
      </c>
      <c r="C4" s="26">
        <f>'4_Facteurs'!D10</f>
        <v>65</v>
      </c>
      <c r="D4" s="26">
        <f>'4_Facteurs'!D11</f>
        <v>25</v>
      </c>
      <c r="F4" s="26">
        <f>'4_Facteurs'!C12</f>
        <v>48</v>
      </c>
      <c r="G4" s="26">
        <f>'4_Facteurs'!D12</f>
        <v>400</v>
      </c>
    </row>
    <row r="5" spans="1:7" x14ac:dyDescent="0.25">
      <c r="A5" s="2" t="s">
        <v>798</v>
      </c>
    </row>
    <row r="6" spans="1:7" x14ac:dyDescent="0.25">
      <c r="A6" s="44">
        <v>21</v>
      </c>
      <c r="B6" s="44">
        <v>289</v>
      </c>
      <c r="C6" s="44">
        <v>65</v>
      </c>
      <c r="D6" s="44">
        <v>25</v>
      </c>
      <c r="F6" s="44">
        <v>48</v>
      </c>
      <c r="G6" s="44">
        <v>400</v>
      </c>
    </row>
    <row r="7" spans="1:7" x14ac:dyDescent="0.25">
      <c r="A7" s="3" t="str">
        <f>IF(AND(A4=A6,B4=B6,C4=C6,D4=D6,F4=F6),"Marges identiques : test valide","ATTENTION : les effectifs ont changé, ce test exact n'est plus valide")</f>
        <v>Marges identiques : test valide</v>
      </c>
    </row>
    <row r="9" spans="1:7" x14ac:dyDescent="0.25">
      <c r="A9" s="10" t="s">
        <v>788</v>
      </c>
      <c r="E9" s="42">
        <f>COMBIN(A4,'4_Facteurs'!C8)*COMBIN(B4,'4_Facteurs'!C9)*COMBIN(C4,'4_Facteurs'!C10)*COMBIN(D4,'4_Facteurs'!C11)/COMBIN($G$4,$F$4)</f>
        <v>9.9082135046791361E-4</v>
      </c>
    </row>
    <row r="10" spans="1:7" x14ac:dyDescent="0.25">
      <c r="A10" s="10" t="s">
        <v>789</v>
      </c>
      <c r="E10" s="35">
        <f>SUMIF(E14:E14885,"&lt;="&amp;E9*(1+0.0000001))</f>
        <v>0.16489470447412202</v>
      </c>
    </row>
    <row r="13" spans="1:7" x14ac:dyDescent="0.25">
      <c r="A13" s="6" t="s">
        <v>799</v>
      </c>
      <c r="B13" s="7" t="s">
        <v>800</v>
      </c>
      <c r="C13" s="7" t="s">
        <v>801</v>
      </c>
      <c r="D13" s="7" t="s">
        <v>802</v>
      </c>
      <c r="E13" s="7" t="s">
        <v>803</v>
      </c>
    </row>
    <row r="14" spans="1:7" x14ac:dyDescent="0.25">
      <c r="A14">
        <v>0</v>
      </c>
      <c r="B14">
        <v>0</v>
      </c>
      <c r="C14">
        <v>23</v>
      </c>
      <c r="D14">
        <v>25</v>
      </c>
      <c r="E14">
        <f t="shared" ref="E14:E77" si="0">COMBIN(A$4,A14)*COMBIN(B$4,B14)*COMBIN(C$4,C14)*COMBIN(D$4,D14)/COMBIN($G$4,$F$4)</f>
        <v>6.721654984309852E-46</v>
      </c>
    </row>
    <row r="15" spans="1:7" x14ac:dyDescent="0.25">
      <c r="A15">
        <v>0</v>
      </c>
      <c r="B15">
        <v>0</v>
      </c>
      <c r="C15">
        <v>24</v>
      </c>
      <c r="D15">
        <v>24</v>
      </c>
      <c r="E15">
        <f t="shared" si="0"/>
        <v>2.9407240556355599E-44</v>
      </c>
    </row>
    <row r="16" spans="1:7" x14ac:dyDescent="0.25">
      <c r="A16">
        <v>0</v>
      </c>
      <c r="B16">
        <v>0</v>
      </c>
      <c r="C16">
        <v>25</v>
      </c>
      <c r="D16">
        <v>23</v>
      </c>
      <c r="E16">
        <f t="shared" si="0"/>
        <v>5.787344941490785E-43</v>
      </c>
    </row>
    <row r="17" spans="1:5" x14ac:dyDescent="0.25">
      <c r="A17">
        <v>0</v>
      </c>
      <c r="B17">
        <v>0</v>
      </c>
      <c r="C17">
        <v>26</v>
      </c>
      <c r="D17">
        <v>22</v>
      </c>
      <c r="E17">
        <f t="shared" si="0"/>
        <v>6.8260991617583574E-42</v>
      </c>
    </row>
    <row r="18" spans="1:5" x14ac:dyDescent="0.25">
      <c r="A18">
        <v>0</v>
      </c>
      <c r="B18">
        <v>0</v>
      </c>
      <c r="C18">
        <v>27</v>
      </c>
      <c r="D18">
        <v>21</v>
      </c>
      <c r="E18">
        <f t="shared" si="0"/>
        <v>5.4229565562858071E-41</v>
      </c>
    </row>
    <row r="19" spans="1:5" x14ac:dyDescent="0.25">
      <c r="A19">
        <v>0</v>
      </c>
      <c r="B19">
        <v>0</v>
      </c>
      <c r="C19">
        <v>28</v>
      </c>
      <c r="D19">
        <v>20</v>
      </c>
      <c r="E19">
        <f t="shared" si="0"/>
        <v>3.0910852370829094E-40</v>
      </c>
    </row>
    <row r="20" spans="1:5" x14ac:dyDescent="0.25">
      <c r="A20">
        <v>0</v>
      </c>
      <c r="B20">
        <v>0</v>
      </c>
      <c r="C20">
        <v>29</v>
      </c>
      <c r="D20">
        <v>19</v>
      </c>
      <c r="E20">
        <f t="shared" si="0"/>
        <v>1.3145994686444559E-39</v>
      </c>
    </row>
    <row r="21" spans="1:5" x14ac:dyDescent="0.25">
      <c r="A21">
        <v>0</v>
      </c>
      <c r="B21">
        <v>0</v>
      </c>
      <c r="C21">
        <v>30</v>
      </c>
      <c r="D21">
        <v>18</v>
      </c>
      <c r="E21">
        <f t="shared" si="0"/>
        <v>4.2818382692990858E-39</v>
      </c>
    </row>
    <row r="22" spans="1:5" x14ac:dyDescent="0.25">
      <c r="A22">
        <v>0</v>
      </c>
      <c r="B22">
        <v>0</v>
      </c>
      <c r="C22">
        <v>31</v>
      </c>
      <c r="D22">
        <v>17</v>
      </c>
      <c r="E22">
        <f t="shared" si="0"/>
        <v>1.0877250442171064E-38</v>
      </c>
    </row>
    <row r="23" spans="1:5" x14ac:dyDescent="0.25">
      <c r="A23">
        <v>0</v>
      </c>
      <c r="B23">
        <v>0</v>
      </c>
      <c r="C23">
        <v>32</v>
      </c>
      <c r="D23">
        <v>16</v>
      </c>
      <c r="E23">
        <f t="shared" si="0"/>
        <v>2.1830037345746088E-38</v>
      </c>
    </row>
    <row r="24" spans="1:5" x14ac:dyDescent="0.25">
      <c r="A24">
        <v>0</v>
      </c>
      <c r="B24">
        <v>0</v>
      </c>
      <c r="C24">
        <v>33</v>
      </c>
      <c r="D24">
        <v>15</v>
      </c>
      <c r="E24">
        <f t="shared" si="0"/>
        <v>3.4928059753193737E-38</v>
      </c>
    </row>
    <row r="25" spans="1:5" x14ac:dyDescent="0.25">
      <c r="A25">
        <v>0</v>
      </c>
      <c r="B25">
        <v>0</v>
      </c>
      <c r="C25">
        <v>34</v>
      </c>
      <c r="D25">
        <v>14</v>
      </c>
      <c r="E25">
        <f t="shared" si="0"/>
        <v>4.4827456367735291E-38</v>
      </c>
    </row>
    <row r="26" spans="1:5" x14ac:dyDescent="0.25">
      <c r="A26">
        <v>0</v>
      </c>
      <c r="B26">
        <v>0</v>
      </c>
      <c r="C26">
        <v>35</v>
      </c>
      <c r="D26">
        <v>13</v>
      </c>
      <c r="E26">
        <f t="shared" si="0"/>
        <v>4.6321704913326471E-38</v>
      </c>
    </row>
    <row r="27" spans="1:5" x14ac:dyDescent="0.25">
      <c r="A27">
        <v>0</v>
      </c>
      <c r="B27">
        <v>0</v>
      </c>
      <c r="C27">
        <v>36</v>
      </c>
      <c r="D27">
        <v>12</v>
      </c>
      <c r="E27">
        <f t="shared" si="0"/>
        <v>3.8601420761105398E-38</v>
      </c>
    </row>
    <row r="28" spans="1:5" x14ac:dyDescent="0.25">
      <c r="A28">
        <v>0</v>
      </c>
      <c r="B28">
        <v>0</v>
      </c>
      <c r="C28">
        <v>37</v>
      </c>
      <c r="D28">
        <v>11</v>
      </c>
      <c r="E28">
        <f t="shared" si="0"/>
        <v>2.5933000820202076E-38</v>
      </c>
    </row>
    <row r="29" spans="1:5" x14ac:dyDescent="0.25">
      <c r="A29">
        <v>0</v>
      </c>
      <c r="B29">
        <v>0</v>
      </c>
      <c r="C29">
        <v>38</v>
      </c>
      <c r="D29">
        <v>10</v>
      </c>
      <c r="E29">
        <f t="shared" si="0"/>
        <v>1.4012919741442519E-38</v>
      </c>
    </row>
    <row r="30" spans="1:5" x14ac:dyDescent="0.25">
      <c r="A30">
        <v>0</v>
      </c>
      <c r="B30">
        <v>0</v>
      </c>
      <c r="C30">
        <v>39</v>
      </c>
      <c r="D30">
        <v>9</v>
      </c>
      <c r="E30">
        <f t="shared" si="0"/>
        <v>6.0632825804318603E-39</v>
      </c>
    </row>
    <row r="31" spans="1:5" x14ac:dyDescent="0.25">
      <c r="A31">
        <v>0</v>
      </c>
      <c r="B31">
        <v>0</v>
      </c>
      <c r="C31">
        <v>40</v>
      </c>
      <c r="D31">
        <v>8</v>
      </c>
      <c r="E31">
        <f t="shared" si="0"/>
        <v>2.0864825350309653E-39</v>
      </c>
    </row>
    <row r="32" spans="1:5" x14ac:dyDescent="0.25">
      <c r="A32">
        <v>0</v>
      </c>
      <c r="B32">
        <v>0</v>
      </c>
      <c r="C32">
        <v>41</v>
      </c>
      <c r="D32">
        <v>7</v>
      </c>
      <c r="E32">
        <f t="shared" si="0"/>
        <v>5.654424214176057E-40</v>
      </c>
    </row>
    <row r="33" spans="1:5" x14ac:dyDescent="0.25">
      <c r="A33">
        <v>0</v>
      </c>
      <c r="B33">
        <v>0</v>
      </c>
      <c r="C33">
        <v>42</v>
      </c>
      <c r="D33">
        <v>6</v>
      </c>
      <c r="E33">
        <f t="shared" si="0"/>
        <v>1.1904050977212746E-40</v>
      </c>
    </row>
    <row r="34" spans="1:5" x14ac:dyDescent="0.25">
      <c r="A34">
        <v>0</v>
      </c>
      <c r="B34">
        <v>0</v>
      </c>
      <c r="C34">
        <v>43</v>
      </c>
      <c r="D34">
        <v>5</v>
      </c>
      <c r="E34">
        <f t="shared" si="0"/>
        <v>1.9101849242504178E-41</v>
      </c>
    </row>
    <row r="35" spans="1:5" x14ac:dyDescent="0.25">
      <c r="A35">
        <v>0</v>
      </c>
      <c r="B35">
        <v>0</v>
      </c>
      <c r="C35">
        <v>44</v>
      </c>
      <c r="D35">
        <v>4</v>
      </c>
      <c r="E35">
        <f t="shared" si="0"/>
        <v>2.2740296717266872E-42</v>
      </c>
    </row>
    <row r="36" spans="1:5" x14ac:dyDescent="0.25">
      <c r="A36">
        <v>0</v>
      </c>
      <c r="B36">
        <v>0</v>
      </c>
      <c r="C36">
        <v>45</v>
      </c>
      <c r="D36">
        <v>3</v>
      </c>
      <c r="E36">
        <f t="shared" si="0"/>
        <v>1.9294797214650699E-43</v>
      </c>
    </row>
    <row r="37" spans="1:5" x14ac:dyDescent="0.25">
      <c r="A37">
        <v>0</v>
      </c>
      <c r="B37">
        <v>0</v>
      </c>
      <c r="C37">
        <v>46</v>
      </c>
      <c r="D37">
        <v>2</v>
      </c>
      <c r="E37">
        <f t="shared" si="0"/>
        <v>1.0942229044225341E-44</v>
      </c>
    </row>
    <row r="38" spans="1:5" x14ac:dyDescent="0.25">
      <c r="A38">
        <v>0</v>
      </c>
      <c r="B38">
        <v>0</v>
      </c>
      <c r="C38">
        <v>47</v>
      </c>
      <c r="D38">
        <v>1</v>
      </c>
      <c r="E38">
        <f t="shared" si="0"/>
        <v>3.6862119120617265E-46</v>
      </c>
    </row>
    <row r="39" spans="1:5" x14ac:dyDescent="0.25">
      <c r="A39">
        <v>0</v>
      </c>
      <c r="B39">
        <v>0</v>
      </c>
      <c r="C39">
        <v>48</v>
      </c>
      <c r="D39">
        <v>0</v>
      </c>
      <c r="E39">
        <f t="shared" si="0"/>
        <v>5.5293178680925948E-48</v>
      </c>
    </row>
    <row r="40" spans="1:5" x14ac:dyDescent="0.25">
      <c r="A40">
        <v>0</v>
      </c>
      <c r="B40">
        <v>1</v>
      </c>
      <c r="C40">
        <v>22</v>
      </c>
      <c r="D40">
        <v>25</v>
      </c>
      <c r="E40">
        <f t="shared" si="0"/>
        <v>1.0390428065280837E-43</v>
      </c>
    </row>
    <row r="41" spans="1:5" x14ac:dyDescent="0.25">
      <c r="A41">
        <v>0</v>
      </c>
      <c r="B41">
        <v>1</v>
      </c>
      <c r="C41">
        <v>23</v>
      </c>
      <c r="D41">
        <v>24</v>
      </c>
      <c r="E41">
        <f t="shared" si="0"/>
        <v>4.8563957261638674E-42</v>
      </c>
    </row>
    <row r="42" spans="1:5" x14ac:dyDescent="0.25">
      <c r="A42">
        <v>0</v>
      </c>
      <c r="B42">
        <v>1</v>
      </c>
      <c r="C42">
        <v>24</v>
      </c>
      <c r="D42">
        <v>23</v>
      </c>
      <c r="E42">
        <f t="shared" si="0"/>
        <v>1.0198431024944124E-40</v>
      </c>
    </row>
    <row r="43" spans="1:5" x14ac:dyDescent="0.25">
      <c r="A43">
        <v>0</v>
      </c>
      <c r="B43">
        <v>1</v>
      </c>
      <c r="C43">
        <v>25</v>
      </c>
      <c r="D43">
        <v>22</v>
      </c>
      <c r="E43">
        <f t="shared" si="0"/>
        <v>1.2822827275363081E-39</v>
      </c>
    </row>
    <row r="44" spans="1:5" x14ac:dyDescent="0.25">
      <c r="A44">
        <v>0</v>
      </c>
      <c r="B44">
        <v>1</v>
      </c>
      <c r="C44">
        <v>26</v>
      </c>
      <c r="D44">
        <v>21</v>
      </c>
      <c r="E44">
        <f t="shared" si="0"/>
        <v>1.0850084617614911E-38</v>
      </c>
    </row>
    <row r="45" spans="1:5" x14ac:dyDescent="0.25">
      <c r="A45">
        <v>0</v>
      </c>
      <c r="B45">
        <v>1</v>
      </c>
      <c r="C45">
        <v>27</v>
      </c>
      <c r="D45">
        <v>20</v>
      </c>
      <c r="E45">
        <f t="shared" si="0"/>
        <v>6.5823846680197091E-38</v>
      </c>
    </row>
    <row r="46" spans="1:5" x14ac:dyDescent="0.25">
      <c r="A46">
        <v>0</v>
      </c>
      <c r="B46">
        <v>1</v>
      </c>
      <c r="C46">
        <v>28</v>
      </c>
      <c r="D46">
        <v>19</v>
      </c>
      <c r="E46">
        <f t="shared" si="0"/>
        <v>2.9777454450565356E-37</v>
      </c>
    </row>
    <row r="47" spans="1:5" x14ac:dyDescent="0.25">
      <c r="A47">
        <v>0</v>
      </c>
      <c r="B47">
        <v>1</v>
      </c>
      <c r="C47">
        <v>29</v>
      </c>
      <c r="D47">
        <v>18</v>
      </c>
      <c r="E47">
        <f t="shared" si="0"/>
        <v>1.03120938318953E-36</v>
      </c>
    </row>
    <row r="48" spans="1:5" x14ac:dyDescent="0.25">
      <c r="A48">
        <v>0</v>
      </c>
      <c r="B48">
        <v>1</v>
      </c>
      <c r="C48">
        <v>30</v>
      </c>
      <c r="D48">
        <v>17</v>
      </c>
      <c r="E48">
        <f t="shared" si="0"/>
        <v>2.7842653346117297E-36</v>
      </c>
    </row>
    <row r="49" spans="1:5" x14ac:dyDescent="0.25">
      <c r="A49">
        <v>0</v>
      </c>
      <c r="B49">
        <v>1</v>
      </c>
      <c r="C49">
        <v>31</v>
      </c>
      <c r="D49">
        <v>16</v>
      </c>
      <c r="E49">
        <f t="shared" si="0"/>
        <v>5.9377701580429374E-36</v>
      </c>
    </row>
    <row r="50" spans="1:5" x14ac:dyDescent="0.25">
      <c r="A50">
        <v>0</v>
      </c>
      <c r="B50">
        <v>1</v>
      </c>
      <c r="C50">
        <v>32</v>
      </c>
      <c r="D50">
        <v>15</v>
      </c>
      <c r="E50">
        <f t="shared" si="0"/>
        <v>1.009420926867299E-35</v>
      </c>
    </row>
    <row r="51" spans="1:5" x14ac:dyDescent="0.25">
      <c r="A51">
        <v>0</v>
      </c>
      <c r="B51">
        <v>1</v>
      </c>
      <c r="C51">
        <v>33</v>
      </c>
      <c r="D51">
        <v>14</v>
      </c>
      <c r="E51">
        <f t="shared" si="0"/>
        <v>1.3764830820917715E-35</v>
      </c>
    </row>
    <row r="52" spans="1:5" x14ac:dyDescent="0.25">
      <c r="A52">
        <v>0</v>
      </c>
      <c r="B52">
        <v>1</v>
      </c>
      <c r="C52">
        <v>34</v>
      </c>
      <c r="D52">
        <v>13</v>
      </c>
      <c r="E52">
        <f t="shared" si="0"/>
        <v>1.5114324038654753E-35</v>
      </c>
    </row>
    <row r="53" spans="1:5" x14ac:dyDescent="0.25">
      <c r="A53">
        <v>0</v>
      </c>
      <c r="B53">
        <v>1</v>
      </c>
      <c r="C53">
        <v>35</v>
      </c>
      <c r="D53">
        <v>12</v>
      </c>
      <c r="E53">
        <f t="shared" si="0"/>
        <v>1.3386972719951352E-35</v>
      </c>
    </row>
    <row r="54" spans="1:5" x14ac:dyDescent="0.25">
      <c r="A54">
        <v>0</v>
      </c>
      <c r="B54">
        <v>1</v>
      </c>
      <c r="C54">
        <v>36</v>
      </c>
      <c r="D54">
        <v>11</v>
      </c>
      <c r="E54">
        <f t="shared" si="0"/>
        <v>9.5621233713938205E-36</v>
      </c>
    </row>
    <row r="55" spans="1:5" x14ac:dyDescent="0.25">
      <c r="A55">
        <v>0</v>
      </c>
      <c r="B55">
        <v>1</v>
      </c>
      <c r="C55">
        <v>37</v>
      </c>
      <c r="D55">
        <v>10</v>
      </c>
      <c r="E55">
        <f t="shared" si="0"/>
        <v>5.4960673071614921E-36</v>
      </c>
    </row>
    <row r="56" spans="1:5" x14ac:dyDescent="0.25">
      <c r="A56">
        <v>0</v>
      </c>
      <c r="B56">
        <v>1</v>
      </c>
      <c r="C56">
        <v>38</v>
      </c>
      <c r="D56">
        <v>9</v>
      </c>
      <c r="E56">
        <f t="shared" si="0"/>
        <v>2.5310836282980556E-36</v>
      </c>
    </row>
    <row r="57" spans="1:5" x14ac:dyDescent="0.25">
      <c r="A57">
        <v>0</v>
      </c>
      <c r="B57">
        <v>1</v>
      </c>
      <c r="C57">
        <v>39</v>
      </c>
      <c r="D57">
        <v>8</v>
      </c>
      <c r="E57">
        <f t="shared" si="0"/>
        <v>9.2768223480607475E-37</v>
      </c>
    </row>
    <row r="58" spans="1:5" x14ac:dyDescent="0.25">
      <c r="A58">
        <v>0</v>
      </c>
      <c r="B58">
        <v>1</v>
      </c>
      <c r="C58">
        <v>40</v>
      </c>
      <c r="D58">
        <v>7</v>
      </c>
      <c r="E58">
        <f t="shared" si="0"/>
        <v>2.6799709005508849E-37</v>
      </c>
    </row>
    <row r="59" spans="1:5" x14ac:dyDescent="0.25">
      <c r="A59">
        <v>0</v>
      </c>
      <c r="B59">
        <v>1</v>
      </c>
      <c r="C59">
        <v>41</v>
      </c>
      <c r="D59">
        <v>6</v>
      </c>
      <c r="E59">
        <f t="shared" si="0"/>
        <v>6.0204737817253474E-38</v>
      </c>
    </row>
    <row r="60" spans="1:5" x14ac:dyDescent="0.25">
      <c r="A60">
        <v>0</v>
      </c>
      <c r="B60">
        <v>1</v>
      </c>
      <c r="C60">
        <v>42</v>
      </c>
      <c r="D60">
        <v>5</v>
      </c>
      <c r="E60">
        <f t="shared" si="0"/>
        <v>1.032081219724345E-38</v>
      </c>
    </row>
    <row r="61" spans="1:5" x14ac:dyDescent="0.25">
      <c r="A61">
        <v>0</v>
      </c>
      <c r="B61">
        <v>1</v>
      </c>
      <c r="C61">
        <v>43</v>
      </c>
      <c r="D61">
        <v>4</v>
      </c>
      <c r="E61">
        <f t="shared" si="0"/>
        <v>1.3143891502580259E-39</v>
      </c>
    </row>
    <row r="62" spans="1:5" x14ac:dyDescent="0.25">
      <c r="A62">
        <v>0</v>
      </c>
      <c r="B62">
        <v>1</v>
      </c>
      <c r="C62">
        <v>44</v>
      </c>
      <c r="D62">
        <v>3</v>
      </c>
      <c r="E62">
        <f t="shared" si="0"/>
        <v>1.1948992275072955E-40</v>
      </c>
    </row>
    <row r="63" spans="1:5" x14ac:dyDescent="0.25">
      <c r="A63">
        <v>0</v>
      </c>
      <c r="B63">
        <v>1</v>
      </c>
      <c r="C63">
        <v>45</v>
      </c>
      <c r="D63">
        <v>2</v>
      </c>
      <c r="E63">
        <f t="shared" si="0"/>
        <v>7.2732996456965895E-42</v>
      </c>
    </row>
    <row r="64" spans="1:5" x14ac:dyDescent="0.25">
      <c r="A64">
        <v>0</v>
      </c>
      <c r="B64">
        <v>1</v>
      </c>
      <c r="C64">
        <v>46</v>
      </c>
      <c r="D64">
        <v>1</v>
      </c>
      <c r="E64">
        <f t="shared" si="0"/>
        <v>2.6352534948176028E-43</v>
      </c>
    </row>
    <row r="65" spans="1:5" x14ac:dyDescent="0.25">
      <c r="A65">
        <v>0</v>
      </c>
      <c r="B65">
        <v>1</v>
      </c>
      <c r="C65">
        <v>47</v>
      </c>
      <c r="D65">
        <v>0</v>
      </c>
      <c r="E65">
        <f t="shared" si="0"/>
        <v>4.2612609703433556E-45</v>
      </c>
    </row>
    <row r="66" spans="1:5" x14ac:dyDescent="0.25">
      <c r="A66">
        <v>0</v>
      </c>
      <c r="B66">
        <v>2</v>
      </c>
      <c r="C66">
        <v>21</v>
      </c>
      <c r="D66">
        <v>25</v>
      </c>
      <c r="E66">
        <f t="shared" si="0"/>
        <v>7.4811082070021972E-42</v>
      </c>
    </row>
    <row r="67" spans="1:5" x14ac:dyDescent="0.25">
      <c r="A67">
        <v>0</v>
      </c>
      <c r="B67">
        <v>2</v>
      </c>
      <c r="C67">
        <v>22</v>
      </c>
      <c r="D67">
        <v>24</v>
      </c>
      <c r="E67">
        <f t="shared" si="0"/>
        <v>3.7405541035011003E-40</v>
      </c>
    </row>
    <row r="68" spans="1:5" x14ac:dyDescent="0.25">
      <c r="A68">
        <v>0</v>
      </c>
      <c r="B68">
        <v>2</v>
      </c>
      <c r="C68">
        <v>23</v>
      </c>
      <c r="D68">
        <v>23</v>
      </c>
      <c r="E68">
        <f t="shared" si="0"/>
        <v>8.3918518148111655E-39</v>
      </c>
    </row>
    <row r="69" spans="1:5" x14ac:dyDescent="0.25">
      <c r="A69">
        <v>0</v>
      </c>
      <c r="B69">
        <v>2</v>
      </c>
      <c r="C69">
        <v>24</v>
      </c>
      <c r="D69">
        <v>22</v>
      </c>
      <c r="E69">
        <f t="shared" si="0"/>
        <v>1.125906785153831E-37</v>
      </c>
    </row>
    <row r="70" spans="1:5" x14ac:dyDescent="0.25">
      <c r="A70">
        <v>0</v>
      </c>
      <c r="B70">
        <v>2</v>
      </c>
      <c r="C70">
        <v>25</v>
      </c>
      <c r="D70">
        <v>21</v>
      </c>
      <c r="E70">
        <f t="shared" si="0"/>
        <v>1.0155679202087562E-36</v>
      </c>
    </row>
    <row r="71" spans="1:5" x14ac:dyDescent="0.25">
      <c r="A71">
        <v>0</v>
      </c>
      <c r="B71">
        <v>2</v>
      </c>
      <c r="C71">
        <v>26</v>
      </c>
      <c r="D71">
        <v>20</v>
      </c>
      <c r="E71">
        <f t="shared" si="0"/>
        <v>6.5621311767334952E-36</v>
      </c>
    </row>
    <row r="72" spans="1:5" x14ac:dyDescent="0.25">
      <c r="A72">
        <v>0</v>
      </c>
      <c r="B72">
        <v>2</v>
      </c>
      <c r="C72">
        <v>27</v>
      </c>
      <c r="D72">
        <v>19</v>
      </c>
      <c r="E72">
        <f t="shared" si="0"/>
        <v>3.1595446406494609E-35</v>
      </c>
    </row>
    <row r="73" spans="1:5" x14ac:dyDescent="0.25">
      <c r="A73">
        <v>0</v>
      </c>
      <c r="B73">
        <v>2</v>
      </c>
      <c r="C73">
        <v>28</v>
      </c>
      <c r="D73">
        <v>18</v>
      </c>
      <c r="E73">
        <f t="shared" si="0"/>
        <v>1.1638730768106694E-34</v>
      </c>
    </row>
    <row r="74" spans="1:5" x14ac:dyDescent="0.25">
      <c r="A74">
        <v>0</v>
      </c>
      <c r="B74">
        <v>2</v>
      </c>
      <c r="C74">
        <v>29</v>
      </c>
      <c r="D74">
        <v>17</v>
      </c>
      <c r="E74">
        <f t="shared" si="0"/>
        <v>3.341118401534076E-34</v>
      </c>
    </row>
    <row r="75" spans="1:5" x14ac:dyDescent="0.25">
      <c r="A75">
        <v>0</v>
      </c>
      <c r="B75">
        <v>2</v>
      </c>
      <c r="C75">
        <v>30</v>
      </c>
      <c r="D75">
        <v>16</v>
      </c>
      <c r="E75">
        <f t="shared" si="0"/>
        <v>7.5732017101439042E-34</v>
      </c>
    </row>
    <row r="76" spans="1:5" x14ac:dyDescent="0.25">
      <c r="A76">
        <v>0</v>
      </c>
      <c r="B76">
        <v>2</v>
      </c>
      <c r="C76">
        <v>31</v>
      </c>
      <c r="D76">
        <v>15</v>
      </c>
      <c r="E76">
        <f t="shared" si="0"/>
        <v>1.3680622444130926E-33</v>
      </c>
    </row>
    <row r="77" spans="1:5" x14ac:dyDescent="0.25">
      <c r="A77">
        <v>0</v>
      </c>
      <c r="B77">
        <v>2</v>
      </c>
      <c r="C77">
        <v>32</v>
      </c>
      <c r="D77">
        <v>14</v>
      </c>
      <c r="E77">
        <f t="shared" si="0"/>
        <v>1.9821356382121511E-33</v>
      </c>
    </row>
    <row r="78" spans="1:5" x14ac:dyDescent="0.25">
      <c r="A78">
        <v>0</v>
      </c>
      <c r="B78">
        <v>2</v>
      </c>
      <c r="C78">
        <v>33</v>
      </c>
      <c r="D78">
        <v>13</v>
      </c>
      <c r="E78">
        <f t="shared" ref="E78:E141" si="1">COMBIN(A$4,A78)*COMBIN(B$4,B78)*COMBIN(C$4,C78)*COMBIN(D$4,D78)/COMBIN($G$4,$F$4)</f>
        <v>2.3124915779141767E-33</v>
      </c>
    </row>
    <row r="79" spans="1:5" x14ac:dyDescent="0.25">
      <c r="A79">
        <v>0</v>
      </c>
      <c r="B79">
        <v>2</v>
      </c>
      <c r="C79">
        <v>34</v>
      </c>
      <c r="D79">
        <v>12</v>
      </c>
      <c r="E79">
        <f t="shared" si="1"/>
        <v>2.1764626615662848E-33</v>
      </c>
    </row>
    <row r="80" spans="1:5" x14ac:dyDescent="0.25">
      <c r="A80">
        <v>0</v>
      </c>
      <c r="B80">
        <v>2</v>
      </c>
      <c r="C80">
        <v>35</v>
      </c>
      <c r="D80">
        <v>11</v>
      </c>
      <c r="E80">
        <f t="shared" si="1"/>
        <v>1.6523349185768521E-33</v>
      </c>
    </row>
    <row r="81" spans="1:5" x14ac:dyDescent="0.25">
      <c r="A81">
        <v>0</v>
      </c>
      <c r="B81">
        <v>2</v>
      </c>
      <c r="C81">
        <v>36</v>
      </c>
      <c r="D81">
        <v>10</v>
      </c>
      <c r="E81">
        <f t="shared" si="1"/>
        <v>1.0097602280191874E-33</v>
      </c>
    </row>
    <row r="82" spans="1:5" x14ac:dyDescent="0.25">
      <c r="A82">
        <v>0</v>
      </c>
      <c r="B82">
        <v>2</v>
      </c>
      <c r="C82">
        <v>37</v>
      </c>
      <c r="D82">
        <v>9</v>
      </c>
      <c r="E82">
        <f t="shared" si="1"/>
        <v>4.9464605764453442E-34</v>
      </c>
    </row>
    <row r="83" spans="1:5" x14ac:dyDescent="0.25">
      <c r="A83">
        <v>0</v>
      </c>
      <c r="B83">
        <v>2</v>
      </c>
      <c r="C83">
        <v>38</v>
      </c>
      <c r="D83">
        <v>8</v>
      </c>
      <c r="E83">
        <f t="shared" si="1"/>
        <v>1.9295790483966353E-34</v>
      </c>
    </row>
    <row r="84" spans="1:5" x14ac:dyDescent="0.25">
      <c r="A84">
        <v>0</v>
      </c>
      <c r="B84">
        <v>2</v>
      </c>
      <c r="C84">
        <v>39</v>
      </c>
      <c r="D84">
        <v>7</v>
      </c>
      <c r="E84">
        <f t="shared" si="1"/>
        <v>5.9371663027588795E-35</v>
      </c>
    </row>
    <row r="85" spans="1:5" x14ac:dyDescent="0.25">
      <c r="A85">
        <v>0</v>
      </c>
      <c r="B85">
        <v>2</v>
      </c>
      <c r="C85">
        <v>40</v>
      </c>
      <c r="D85">
        <v>6</v>
      </c>
      <c r="E85">
        <f t="shared" si="1"/>
        <v>1.4217950882922582E-35</v>
      </c>
    </row>
    <row r="86" spans="1:5" x14ac:dyDescent="0.25">
      <c r="A86">
        <v>0</v>
      </c>
      <c r="B86">
        <v>2</v>
      </c>
      <c r="C86">
        <v>41</v>
      </c>
      <c r="D86">
        <v>5</v>
      </c>
      <c r="E86">
        <f t="shared" si="1"/>
        <v>2.6008446737053494E-36</v>
      </c>
    </row>
    <row r="87" spans="1:5" x14ac:dyDescent="0.25">
      <c r="A87">
        <v>0</v>
      </c>
      <c r="B87">
        <v>2</v>
      </c>
      <c r="C87">
        <v>42</v>
      </c>
      <c r="D87">
        <v>4</v>
      </c>
      <c r="E87">
        <f t="shared" si="1"/>
        <v>3.5385641819120417E-37</v>
      </c>
    </row>
    <row r="88" spans="1:5" x14ac:dyDescent="0.25">
      <c r="A88">
        <v>0</v>
      </c>
      <c r="B88">
        <v>2</v>
      </c>
      <c r="C88">
        <v>43</v>
      </c>
      <c r="D88">
        <v>3</v>
      </c>
      <c r="E88">
        <f t="shared" si="1"/>
        <v>3.441309775221013E-38</v>
      </c>
    </row>
    <row r="89" spans="1:5" x14ac:dyDescent="0.25">
      <c r="A89">
        <v>0</v>
      </c>
      <c r="B89">
        <v>2</v>
      </c>
      <c r="C89">
        <v>44</v>
      </c>
      <c r="D89">
        <v>2</v>
      </c>
      <c r="E89">
        <f t="shared" si="1"/>
        <v>2.2443324621006591E-39</v>
      </c>
    </row>
    <row r="90" spans="1:5" x14ac:dyDescent="0.25">
      <c r="A90">
        <v>0</v>
      </c>
      <c r="B90">
        <v>2</v>
      </c>
      <c r="C90">
        <v>45</v>
      </c>
      <c r="D90">
        <v>1</v>
      </c>
      <c r="E90">
        <f t="shared" si="1"/>
        <v>8.7279595748359073E-41</v>
      </c>
    </row>
    <row r="91" spans="1:5" x14ac:dyDescent="0.25">
      <c r="A91">
        <v>0</v>
      </c>
      <c r="B91">
        <v>2</v>
      </c>
      <c r="C91">
        <v>46</v>
      </c>
      <c r="D91">
        <v>0</v>
      </c>
      <c r="E91">
        <f t="shared" si="1"/>
        <v>1.5179060130149391E-42</v>
      </c>
    </row>
    <row r="92" spans="1:5" x14ac:dyDescent="0.25">
      <c r="A92">
        <v>0</v>
      </c>
      <c r="B92">
        <v>3</v>
      </c>
      <c r="C92">
        <v>20</v>
      </c>
      <c r="D92">
        <v>25</v>
      </c>
      <c r="E92">
        <f t="shared" si="1"/>
        <v>3.3398991973038742E-40</v>
      </c>
    </row>
    <row r="93" spans="1:5" x14ac:dyDescent="0.25">
      <c r="A93">
        <v>0</v>
      </c>
      <c r="B93">
        <v>3</v>
      </c>
      <c r="C93">
        <v>21</v>
      </c>
      <c r="D93">
        <v>24</v>
      </c>
      <c r="E93">
        <f t="shared" si="1"/>
        <v>1.789231712841359E-38</v>
      </c>
    </row>
    <row r="94" spans="1:5" x14ac:dyDescent="0.25">
      <c r="A94">
        <v>0</v>
      </c>
      <c r="B94">
        <v>3</v>
      </c>
      <c r="C94">
        <v>22</v>
      </c>
      <c r="D94">
        <v>23</v>
      </c>
      <c r="E94">
        <f t="shared" si="1"/>
        <v>4.2941561108192641E-37</v>
      </c>
    </row>
    <row r="95" spans="1:5" x14ac:dyDescent="0.25">
      <c r="A95">
        <v>0</v>
      </c>
      <c r="B95">
        <v>3</v>
      </c>
      <c r="C95">
        <v>23</v>
      </c>
      <c r="D95">
        <v>22</v>
      </c>
      <c r="E95">
        <f t="shared" si="1"/>
        <v>6.1549570921742765E-36</v>
      </c>
    </row>
    <row r="96" spans="1:5" x14ac:dyDescent="0.25">
      <c r="A96">
        <v>0</v>
      </c>
      <c r="B96">
        <v>3</v>
      </c>
      <c r="C96">
        <v>24</v>
      </c>
      <c r="D96">
        <v>21</v>
      </c>
      <c r="E96">
        <f t="shared" si="1"/>
        <v>5.9241462012177427E-35</v>
      </c>
    </row>
    <row r="97" spans="1:5" x14ac:dyDescent="0.25">
      <c r="A97">
        <v>0</v>
      </c>
      <c r="B97">
        <v>3</v>
      </c>
      <c r="C97">
        <v>25</v>
      </c>
      <c r="D97">
        <v>20</v>
      </c>
      <c r="E97">
        <f t="shared" si="1"/>
        <v>4.0805519033987813E-34</v>
      </c>
    </row>
    <row r="98" spans="1:5" x14ac:dyDescent="0.25">
      <c r="A98">
        <v>0</v>
      </c>
      <c r="B98">
        <v>3</v>
      </c>
      <c r="C98">
        <v>26</v>
      </c>
      <c r="D98">
        <v>19</v>
      </c>
      <c r="E98">
        <f t="shared" si="1"/>
        <v>2.0925907196916815E-33</v>
      </c>
    </row>
    <row r="99" spans="1:5" x14ac:dyDescent="0.25">
      <c r="A99">
        <v>0</v>
      </c>
      <c r="B99">
        <v>3</v>
      </c>
      <c r="C99">
        <v>27</v>
      </c>
      <c r="D99">
        <v>18</v>
      </c>
      <c r="E99">
        <f t="shared" si="1"/>
        <v>8.2042842502197693E-33</v>
      </c>
    </row>
    <row r="100" spans="1:5" x14ac:dyDescent="0.25">
      <c r="A100">
        <v>0</v>
      </c>
      <c r="B100">
        <v>3</v>
      </c>
      <c r="C100">
        <v>28</v>
      </c>
      <c r="D100">
        <v>17</v>
      </c>
      <c r="E100">
        <f t="shared" si="1"/>
        <v>2.505236797834965E-32</v>
      </c>
    </row>
    <row r="101" spans="1:5" x14ac:dyDescent="0.25">
      <c r="A101">
        <v>0</v>
      </c>
      <c r="B101">
        <v>3</v>
      </c>
      <c r="C101">
        <v>29</v>
      </c>
      <c r="D101">
        <v>16</v>
      </c>
      <c r="E101">
        <f t="shared" si="1"/>
        <v>6.0375246966980588E-32</v>
      </c>
    </row>
    <row r="102" spans="1:5" x14ac:dyDescent="0.25">
      <c r="A102">
        <v>0</v>
      </c>
      <c r="B102">
        <v>3</v>
      </c>
      <c r="C102">
        <v>30</v>
      </c>
      <c r="D102">
        <v>15</v>
      </c>
      <c r="E102">
        <f t="shared" si="1"/>
        <v>1.1592047417660269E-31</v>
      </c>
    </row>
    <row r="103" spans="1:5" x14ac:dyDescent="0.25">
      <c r="A103">
        <v>0</v>
      </c>
      <c r="B103">
        <v>3</v>
      </c>
      <c r="C103">
        <v>31</v>
      </c>
      <c r="D103">
        <v>14</v>
      </c>
      <c r="E103">
        <f t="shared" si="1"/>
        <v>1.7846993824843527E-31</v>
      </c>
    </row>
    <row r="104" spans="1:5" x14ac:dyDescent="0.25">
      <c r="A104">
        <v>0</v>
      </c>
      <c r="B104">
        <v>3</v>
      </c>
      <c r="C104">
        <v>32</v>
      </c>
      <c r="D104">
        <v>13</v>
      </c>
      <c r="E104">
        <f t="shared" si="1"/>
        <v>2.2122836095378953E-31</v>
      </c>
    </row>
    <row r="105" spans="1:5" x14ac:dyDescent="0.25">
      <c r="A105">
        <v>0</v>
      </c>
      <c r="B105">
        <v>3</v>
      </c>
      <c r="C105">
        <v>33</v>
      </c>
      <c r="D105">
        <v>12</v>
      </c>
      <c r="E105">
        <f t="shared" si="1"/>
        <v>2.2122836095378953E-31</v>
      </c>
    </row>
    <row r="106" spans="1:5" x14ac:dyDescent="0.25">
      <c r="A106">
        <v>0</v>
      </c>
      <c r="B106">
        <v>3</v>
      </c>
      <c r="C106">
        <v>34</v>
      </c>
      <c r="D106">
        <v>11</v>
      </c>
      <c r="E106">
        <f t="shared" si="1"/>
        <v>1.7846993824843527E-31</v>
      </c>
    </row>
    <row r="107" spans="1:5" x14ac:dyDescent="0.25">
      <c r="A107">
        <v>0</v>
      </c>
      <c r="B107">
        <v>3</v>
      </c>
      <c r="C107">
        <v>35</v>
      </c>
      <c r="D107">
        <v>10</v>
      </c>
      <c r="E107">
        <f t="shared" si="1"/>
        <v>1.1592047417660269E-31</v>
      </c>
    </row>
    <row r="108" spans="1:5" x14ac:dyDescent="0.25">
      <c r="A108">
        <v>0</v>
      </c>
      <c r="B108">
        <v>3</v>
      </c>
      <c r="C108">
        <v>36</v>
      </c>
      <c r="D108">
        <v>9</v>
      </c>
      <c r="E108">
        <f t="shared" si="1"/>
        <v>6.0375246966980588E-32</v>
      </c>
    </row>
    <row r="109" spans="1:5" x14ac:dyDescent="0.25">
      <c r="A109">
        <v>0</v>
      </c>
      <c r="B109">
        <v>3</v>
      </c>
      <c r="C109">
        <v>37</v>
      </c>
      <c r="D109">
        <v>8</v>
      </c>
      <c r="E109">
        <f t="shared" si="1"/>
        <v>2.505236797834965E-32</v>
      </c>
    </row>
    <row r="110" spans="1:5" x14ac:dyDescent="0.25">
      <c r="A110">
        <v>0</v>
      </c>
      <c r="B110">
        <v>3</v>
      </c>
      <c r="C110">
        <v>38</v>
      </c>
      <c r="D110">
        <v>7</v>
      </c>
      <c r="E110">
        <f t="shared" si="1"/>
        <v>8.2042842502197693E-33</v>
      </c>
    </row>
    <row r="111" spans="1:5" x14ac:dyDescent="0.25">
      <c r="A111">
        <v>0</v>
      </c>
      <c r="B111">
        <v>3</v>
      </c>
      <c r="C111">
        <v>39</v>
      </c>
      <c r="D111">
        <v>6</v>
      </c>
      <c r="E111">
        <f t="shared" si="1"/>
        <v>2.0925907196916815E-33</v>
      </c>
    </row>
    <row r="112" spans="1:5" x14ac:dyDescent="0.25">
      <c r="A112">
        <v>0</v>
      </c>
      <c r="B112">
        <v>3</v>
      </c>
      <c r="C112">
        <v>40</v>
      </c>
      <c r="D112">
        <v>5</v>
      </c>
      <c r="E112">
        <f t="shared" si="1"/>
        <v>4.0805519033987813E-34</v>
      </c>
    </row>
    <row r="113" spans="1:5" x14ac:dyDescent="0.25">
      <c r="A113">
        <v>0</v>
      </c>
      <c r="B113">
        <v>3</v>
      </c>
      <c r="C113">
        <v>41</v>
      </c>
      <c r="D113">
        <v>4</v>
      </c>
      <c r="E113">
        <f t="shared" si="1"/>
        <v>5.9241462012177427E-35</v>
      </c>
    </row>
    <row r="114" spans="1:5" x14ac:dyDescent="0.25">
      <c r="A114">
        <v>0</v>
      </c>
      <c r="B114">
        <v>3</v>
      </c>
      <c r="C114">
        <v>42</v>
      </c>
      <c r="D114">
        <v>3</v>
      </c>
      <c r="E114">
        <f t="shared" si="1"/>
        <v>6.1549570921742765E-36</v>
      </c>
    </row>
    <row r="115" spans="1:5" x14ac:dyDescent="0.25">
      <c r="A115">
        <v>0</v>
      </c>
      <c r="B115">
        <v>3</v>
      </c>
      <c r="C115">
        <v>43</v>
      </c>
      <c r="D115">
        <v>2</v>
      </c>
      <c r="E115">
        <f t="shared" si="1"/>
        <v>4.2941561108192641E-37</v>
      </c>
    </row>
    <row r="116" spans="1:5" x14ac:dyDescent="0.25">
      <c r="A116">
        <v>0</v>
      </c>
      <c r="B116">
        <v>3</v>
      </c>
      <c r="C116">
        <v>44</v>
      </c>
      <c r="D116">
        <v>1</v>
      </c>
      <c r="E116">
        <f t="shared" si="1"/>
        <v>1.789231712841359E-38</v>
      </c>
    </row>
    <row r="117" spans="1:5" x14ac:dyDescent="0.25">
      <c r="A117">
        <v>0</v>
      </c>
      <c r="B117">
        <v>3</v>
      </c>
      <c r="C117">
        <v>45</v>
      </c>
      <c r="D117">
        <v>0</v>
      </c>
      <c r="E117">
        <f t="shared" si="1"/>
        <v>3.3398991973038742E-40</v>
      </c>
    </row>
    <row r="118" spans="1:5" x14ac:dyDescent="0.25">
      <c r="A118">
        <v>0</v>
      </c>
      <c r="B118">
        <v>4</v>
      </c>
      <c r="C118">
        <v>19</v>
      </c>
      <c r="D118">
        <v>25</v>
      </c>
      <c r="E118">
        <f t="shared" si="1"/>
        <v>1.0382730113357686E-38</v>
      </c>
    </row>
    <row r="119" spans="1:5" x14ac:dyDescent="0.25">
      <c r="A119">
        <v>0</v>
      </c>
      <c r="B119">
        <v>4</v>
      </c>
      <c r="C119">
        <v>20</v>
      </c>
      <c r="D119">
        <v>24</v>
      </c>
      <c r="E119">
        <f t="shared" si="1"/>
        <v>5.970069815180675E-37</v>
      </c>
    </row>
    <row r="120" spans="1:5" x14ac:dyDescent="0.25">
      <c r="A120">
        <v>0</v>
      </c>
      <c r="B120">
        <v>4</v>
      </c>
      <c r="C120">
        <v>21</v>
      </c>
      <c r="D120">
        <v>23</v>
      </c>
      <c r="E120">
        <f t="shared" si="1"/>
        <v>1.5351608096178858E-35</v>
      </c>
    </row>
    <row r="121" spans="1:5" x14ac:dyDescent="0.25">
      <c r="A121">
        <v>0</v>
      </c>
      <c r="B121">
        <v>4</v>
      </c>
      <c r="C121">
        <v>22</v>
      </c>
      <c r="D121">
        <v>22</v>
      </c>
      <c r="E121">
        <f t="shared" si="1"/>
        <v>2.3539132414140935E-34</v>
      </c>
    </row>
    <row r="122" spans="1:5" x14ac:dyDescent="0.25">
      <c r="A122">
        <v>0</v>
      </c>
      <c r="B122">
        <v>4</v>
      </c>
      <c r="C122">
        <v>23</v>
      </c>
      <c r="D122">
        <v>21</v>
      </c>
      <c r="E122">
        <f t="shared" si="1"/>
        <v>2.4204368764975351E-33</v>
      </c>
    </row>
    <row r="123" spans="1:5" x14ac:dyDescent="0.25">
      <c r="A123">
        <v>0</v>
      </c>
      <c r="B123">
        <v>4</v>
      </c>
      <c r="C123">
        <v>24</v>
      </c>
      <c r="D123">
        <v>20</v>
      </c>
      <c r="E123">
        <f t="shared" si="1"/>
        <v>1.7790211042256875E-32</v>
      </c>
    </row>
    <row r="124" spans="1:5" x14ac:dyDescent="0.25">
      <c r="A124">
        <v>0</v>
      </c>
      <c r="B124">
        <v>4</v>
      </c>
      <c r="C124">
        <v>25</v>
      </c>
      <c r="D124">
        <v>19</v>
      </c>
      <c r="E124">
        <f t="shared" si="1"/>
        <v>9.7253153697670949E-32</v>
      </c>
    </row>
    <row r="125" spans="1:5" x14ac:dyDescent="0.25">
      <c r="A125">
        <v>0</v>
      </c>
      <c r="B125">
        <v>4</v>
      </c>
      <c r="C125">
        <v>26</v>
      </c>
      <c r="D125">
        <v>18</v>
      </c>
      <c r="E125">
        <f t="shared" si="1"/>
        <v>4.0611207038587861E-31</v>
      </c>
    </row>
    <row r="126" spans="1:5" x14ac:dyDescent="0.25">
      <c r="A126">
        <v>0</v>
      </c>
      <c r="B126">
        <v>4</v>
      </c>
      <c r="C126">
        <v>27</v>
      </c>
      <c r="D126">
        <v>17</v>
      </c>
      <c r="E126">
        <f t="shared" si="1"/>
        <v>1.3198642287541051E-30</v>
      </c>
    </row>
    <row r="127" spans="1:5" x14ac:dyDescent="0.25">
      <c r="A127">
        <v>0</v>
      </c>
      <c r="B127">
        <v>4</v>
      </c>
      <c r="C127">
        <v>28</v>
      </c>
      <c r="D127">
        <v>16</v>
      </c>
      <c r="E127">
        <f t="shared" si="1"/>
        <v>3.3834614752982224E-30</v>
      </c>
    </row>
    <row r="128" spans="1:5" x14ac:dyDescent="0.25">
      <c r="A128">
        <v>0</v>
      </c>
      <c r="B128">
        <v>4</v>
      </c>
      <c r="C128">
        <v>29</v>
      </c>
      <c r="D128">
        <v>15</v>
      </c>
      <c r="E128">
        <f t="shared" si="1"/>
        <v>6.9069282530225789E-30</v>
      </c>
    </row>
    <row r="129" spans="1:5" x14ac:dyDescent="0.25">
      <c r="A129">
        <v>0</v>
      </c>
      <c r="B129">
        <v>4</v>
      </c>
      <c r="C129">
        <v>30</v>
      </c>
      <c r="D129">
        <v>14</v>
      </c>
      <c r="E129">
        <f t="shared" si="1"/>
        <v>1.1302246232218763E-29</v>
      </c>
    </row>
    <row r="130" spans="1:5" x14ac:dyDescent="0.25">
      <c r="A130">
        <v>0</v>
      </c>
      <c r="B130">
        <v>4</v>
      </c>
      <c r="C130">
        <v>31</v>
      </c>
      <c r="D130">
        <v>13</v>
      </c>
      <c r="E130">
        <f t="shared" si="1"/>
        <v>1.4887367348890312E-29</v>
      </c>
    </row>
    <row r="131" spans="1:5" x14ac:dyDescent="0.25">
      <c r="A131">
        <v>0</v>
      </c>
      <c r="B131">
        <v>4</v>
      </c>
      <c r="C131">
        <v>32</v>
      </c>
      <c r="D131">
        <v>12</v>
      </c>
      <c r="E131">
        <f t="shared" si="1"/>
        <v>1.5817827808195953E-29</v>
      </c>
    </row>
    <row r="132" spans="1:5" x14ac:dyDescent="0.25">
      <c r="A132">
        <v>0</v>
      </c>
      <c r="B132">
        <v>4</v>
      </c>
      <c r="C132">
        <v>33</v>
      </c>
      <c r="D132">
        <v>11</v>
      </c>
      <c r="E132">
        <f t="shared" si="1"/>
        <v>1.3558138121310816E-29</v>
      </c>
    </row>
    <row r="133" spans="1:5" x14ac:dyDescent="0.25">
      <c r="A133">
        <v>0</v>
      </c>
      <c r="B133">
        <v>4</v>
      </c>
      <c r="C133">
        <v>34</v>
      </c>
      <c r="D133">
        <v>10</v>
      </c>
      <c r="E133">
        <f t="shared" si="1"/>
        <v>9.3577737621596218E-30</v>
      </c>
    </row>
    <row r="134" spans="1:5" x14ac:dyDescent="0.25">
      <c r="A134">
        <v>0</v>
      </c>
      <c r="B134">
        <v>4</v>
      </c>
      <c r="C134">
        <v>35</v>
      </c>
      <c r="D134">
        <v>9</v>
      </c>
      <c r="E134">
        <f t="shared" si="1"/>
        <v>5.1801961897669331E-30</v>
      </c>
    </row>
    <row r="135" spans="1:5" x14ac:dyDescent="0.25">
      <c r="A135">
        <v>0</v>
      </c>
      <c r="B135">
        <v>4</v>
      </c>
      <c r="C135">
        <v>36</v>
      </c>
      <c r="D135">
        <v>8</v>
      </c>
      <c r="E135">
        <f t="shared" si="1"/>
        <v>2.2853806719560006E-30</v>
      </c>
    </row>
    <row r="136" spans="1:5" x14ac:dyDescent="0.25">
      <c r="A136">
        <v>0</v>
      </c>
      <c r="B136">
        <v>4</v>
      </c>
      <c r="C136">
        <v>37</v>
      </c>
      <c r="D136">
        <v>7</v>
      </c>
      <c r="E136">
        <f t="shared" si="1"/>
        <v>7.9610858242311141E-31</v>
      </c>
    </row>
    <row r="137" spans="1:5" x14ac:dyDescent="0.25">
      <c r="A137">
        <v>0</v>
      </c>
      <c r="B137">
        <v>4</v>
      </c>
      <c r="C137">
        <v>38</v>
      </c>
      <c r="D137">
        <v>6</v>
      </c>
      <c r="E137">
        <f t="shared" si="1"/>
        <v>2.1611811932815756E-31</v>
      </c>
    </row>
    <row r="138" spans="1:5" x14ac:dyDescent="0.25">
      <c r="A138">
        <v>0</v>
      </c>
      <c r="B138">
        <v>4</v>
      </c>
      <c r="C138">
        <v>39</v>
      </c>
      <c r="D138">
        <v>5</v>
      </c>
      <c r="E138">
        <f t="shared" si="1"/>
        <v>4.488607093738657E-32</v>
      </c>
    </row>
    <row r="139" spans="1:5" x14ac:dyDescent="0.25">
      <c r="A139">
        <v>0</v>
      </c>
      <c r="B139">
        <v>4</v>
      </c>
      <c r="C139">
        <v>40</v>
      </c>
      <c r="D139">
        <v>4</v>
      </c>
      <c r="E139">
        <f t="shared" si="1"/>
        <v>6.9466538355479269E-33</v>
      </c>
    </row>
    <row r="140" spans="1:5" x14ac:dyDescent="0.25">
      <c r="A140">
        <v>0</v>
      </c>
      <c r="B140">
        <v>4</v>
      </c>
      <c r="C140">
        <v>41</v>
      </c>
      <c r="D140">
        <v>3</v>
      </c>
      <c r="E140">
        <f t="shared" si="1"/>
        <v>7.701390061583064E-34</v>
      </c>
    </row>
    <row r="141" spans="1:5" x14ac:dyDescent="0.25">
      <c r="A141">
        <v>0</v>
      </c>
      <c r="B141">
        <v>4</v>
      </c>
      <c r="C141">
        <v>42</v>
      </c>
      <c r="D141">
        <v>2</v>
      </c>
      <c r="E141">
        <f t="shared" si="1"/>
        <v>5.74016650552775E-35</v>
      </c>
    </row>
    <row r="142" spans="1:5" x14ac:dyDescent="0.25">
      <c r="A142">
        <v>0</v>
      </c>
      <c r="B142">
        <v>4</v>
      </c>
      <c r="C142">
        <v>43</v>
      </c>
      <c r="D142">
        <v>1</v>
      </c>
      <c r="E142">
        <f t="shared" ref="E142:E205" si="2">COMBIN(A$4,A142)*COMBIN(B$4,B142)*COMBIN(C$4,C142)*COMBIN(D$4,D142)/COMBIN($G$4,$F$4)</f>
        <v>2.5586013493631446E-36</v>
      </c>
    </row>
    <row r="143" spans="1:5" x14ac:dyDescent="0.25">
      <c r="A143">
        <v>0</v>
      </c>
      <c r="B143">
        <v>4</v>
      </c>
      <c r="C143">
        <v>44</v>
      </c>
      <c r="D143">
        <v>0</v>
      </c>
      <c r="E143">
        <f t="shared" si="2"/>
        <v>5.1172026987262864E-38</v>
      </c>
    </row>
    <row r="144" spans="1:5" x14ac:dyDescent="0.25">
      <c r="A144">
        <v>0</v>
      </c>
      <c r="B144">
        <v>5</v>
      </c>
      <c r="C144">
        <v>18</v>
      </c>
      <c r="D144">
        <v>25</v>
      </c>
      <c r="E144">
        <f t="shared" si="2"/>
        <v>2.3924461090992275E-37</v>
      </c>
    </row>
    <row r="145" spans="1:5" x14ac:dyDescent="0.25">
      <c r="A145">
        <v>0</v>
      </c>
      <c r="B145">
        <v>5</v>
      </c>
      <c r="C145">
        <v>19</v>
      </c>
      <c r="D145">
        <v>24</v>
      </c>
      <c r="E145">
        <f t="shared" si="2"/>
        <v>1.4795390411534706E-35</v>
      </c>
    </row>
    <row r="146" spans="1:5" x14ac:dyDescent="0.25">
      <c r="A146">
        <v>0</v>
      </c>
      <c r="B146">
        <v>5</v>
      </c>
      <c r="C146">
        <v>20</v>
      </c>
      <c r="D146">
        <v>23</v>
      </c>
      <c r="E146">
        <f t="shared" si="2"/>
        <v>4.083527753583581E-34</v>
      </c>
    </row>
    <row r="147" spans="1:5" x14ac:dyDescent="0.25">
      <c r="A147">
        <v>0</v>
      </c>
      <c r="B147">
        <v>5</v>
      </c>
      <c r="C147">
        <v>21</v>
      </c>
      <c r="D147">
        <v>22</v>
      </c>
      <c r="E147">
        <f t="shared" si="2"/>
        <v>6.7086527380301615E-33</v>
      </c>
    </row>
    <row r="148" spans="1:5" x14ac:dyDescent="0.25">
      <c r="A148">
        <v>0</v>
      </c>
      <c r="B148">
        <v>5</v>
      </c>
      <c r="C148">
        <v>22</v>
      </c>
      <c r="D148">
        <v>21</v>
      </c>
      <c r="E148">
        <f t="shared" si="2"/>
        <v>7.3795180118331841E-32</v>
      </c>
    </row>
    <row r="149" spans="1:5" x14ac:dyDescent="0.25">
      <c r="A149">
        <v>0</v>
      </c>
      <c r="B149">
        <v>5</v>
      </c>
      <c r="C149">
        <v>23</v>
      </c>
      <c r="D149">
        <v>20</v>
      </c>
      <c r="E149">
        <f t="shared" si="2"/>
        <v>5.7945258823350963E-31</v>
      </c>
    </row>
    <row r="150" spans="1:5" x14ac:dyDescent="0.25">
      <c r="A150">
        <v>0</v>
      </c>
      <c r="B150">
        <v>5</v>
      </c>
      <c r="C150">
        <v>24</v>
      </c>
      <c r="D150">
        <v>19</v>
      </c>
      <c r="E150">
        <f t="shared" si="2"/>
        <v>3.3801400980288064E-30</v>
      </c>
    </row>
    <row r="151" spans="1:5" x14ac:dyDescent="0.25">
      <c r="A151">
        <v>0</v>
      </c>
      <c r="B151">
        <v>5</v>
      </c>
      <c r="C151">
        <v>25</v>
      </c>
      <c r="D151">
        <v>18</v>
      </c>
      <c r="E151">
        <f t="shared" si="2"/>
        <v>1.5046452207796812E-29</v>
      </c>
    </row>
    <row r="152" spans="1:5" x14ac:dyDescent="0.25">
      <c r="A152">
        <v>0</v>
      </c>
      <c r="B152">
        <v>5</v>
      </c>
      <c r="C152">
        <v>26</v>
      </c>
      <c r="D152">
        <v>17</v>
      </c>
      <c r="E152">
        <f t="shared" si="2"/>
        <v>5.2083873026988918E-29</v>
      </c>
    </row>
    <row r="153" spans="1:5" x14ac:dyDescent="0.25">
      <c r="A153">
        <v>0</v>
      </c>
      <c r="B153">
        <v>5</v>
      </c>
      <c r="C153">
        <v>27</v>
      </c>
      <c r="D153">
        <v>16</v>
      </c>
      <c r="E153">
        <f t="shared" si="2"/>
        <v>1.4210538196252533E-28</v>
      </c>
    </row>
    <row r="154" spans="1:5" x14ac:dyDescent="0.25">
      <c r="A154">
        <v>0</v>
      </c>
      <c r="B154">
        <v>5</v>
      </c>
      <c r="C154">
        <v>28</v>
      </c>
      <c r="D154">
        <v>15</v>
      </c>
      <c r="E154">
        <f t="shared" si="2"/>
        <v>3.0857168654719781E-28</v>
      </c>
    </row>
    <row r="155" spans="1:5" x14ac:dyDescent="0.25">
      <c r="A155">
        <v>0</v>
      </c>
      <c r="B155">
        <v>5</v>
      </c>
      <c r="C155">
        <v>29</v>
      </c>
      <c r="D155">
        <v>14</v>
      </c>
      <c r="E155">
        <f t="shared" si="2"/>
        <v>5.3685669603039134E-28</v>
      </c>
    </row>
    <row r="156" spans="1:5" x14ac:dyDescent="0.25">
      <c r="A156">
        <v>0</v>
      </c>
      <c r="B156">
        <v>5</v>
      </c>
      <c r="C156">
        <v>30</v>
      </c>
      <c r="D156">
        <v>13</v>
      </c>
      <c r="E156">
        <f t="shared" si="2"/>
        <v>7.515993744425479E-28</v>
      </c>
    </row>
    <row r="157" spans="1:5" x14ac:dyDescent="0.25">
      <c r="A157">
        <v>0</v>
      </c>
      <c r="B157">
        <v>5</v>
      </c>
      <c r="C157">
        <v>31</v>
      </c>
      <c r="D157">
        <v>12</v>
      </c>
      <c r="E157">
        <f t="shared" si="2"/>
        <v>8.4857993888674768E-28</v>
      </c>
    </row>
    <row r="158" spans="1:5" x14ac:dyDescent="0.25">
      <c r="A158">
        <v>0</v>
      </c>
      <c r="B158">
        <v>5</v>
      </c>
      <c r="C158">
        <v>32</v>
      </c>
      <c r="D158">
        <v>11</v>
      </c>
      <c r="E158">
        <f t="shared" si="2"/>
        <v>7.7281387291471645E-28</v>
      </c>
    </row>
    <row r="159" spans="1:5" x14ac:dyDescent="0.25">
      <c r="A159">
        <v>0</v>
      </c>
      <c r="B159">
        <v>5</v>
      </c>
      <c r="C159">
        <v>33</v>
      </c>
      <c r="D159">
        <v>10</v>
      </c>
      <c r="E159">
        <f t="shared" si="2"/>
        <v>5.6673017347079192E-28</v>
      </c>
    </row>
    <row r="160" spans="1:5" x14ac:dyDescent="0.25">
      <c r="A160">
        <v>0</v>
      </c>
      <c r="B160">
        <v>5</v>
      </c>
      <c r="C160">
        <v>34</v>
      </c>
      <c r="D160">
        <v>9</v>
      </c>
      <c r="E160">
        <f t="shared" si="2"/>
        <v>3.3337069027693658E-28</v>
      </c>
    </row>
    <row r="161" spans="1:5" x14ac:dyDescent="0.25">
      <c r="A161">
        <v>0</v>
      </c>
      <c r="B161">
        <v>5</v>
      </c>
      <c r="C161">
        <v>35</v>
      </c>
      <c r="D161">
        <v>8</v>
      </c>
      <c r="E161">
        <f t="shared" si="2"/>
        <v>1.563200379617904E-28</v>
      </c>
    </row>
    <row r="162" spans="1:5" x14ac:dyDescent="0.25">
      <c r="A162">
        <v>0</v>
      </c>
      <c r="B162">
        <v>5</v>
      </c>
      <c r="C162">
        <v>36</v>
      </c>
      <c r="D162">
        <v>7</v>
      </c>
      <c r="E162">
        <f t="shared" si="2"/>
        <v>5.789631035621869E-29</v>
      </c>
    </row>
    <row r="163" spans="1:5" x14ac:dyDescent="0.25">
      <c r="A163">
        <v>0</v>
      </c>
      <c r="B163">
        <v>5</v>
      </c>
      <c r="C163">
        <v>37</v>
      </c>
      <c r="D163">
        <v>6</v>
      </c>
      <c r="E163">
        <f t="shared" si="2"/>
        <v>1.6718280230885332E-29</v>
      </c>
    </row>
    <row r="164" spans="1:5" x14ac:dyDescent="0.25">
      <c r="A164">
        <v>0</v>
      </c>
      <c r="B164">
        <v>5</v>
      </c>
      <c r="C164">
        <v>38</v>
      </c>
      <c r="D164">
        <v>5</v>
      </c>
      <c r="E164">
        <f t="shared" si="2"/>
        <v>3.6956198405114938E-30</v>
      </c>
    </row>
    <row r="165" spans="1:5" x14ac:dyDescent="0.25">
      <c r="A165">
        <v>0</v>
      </c>
      <c r="B165">
        <v>5</v>
      </c>
      <c r="C165">
        <v>39</v>
      </c>
      <c r="D165">
        <v>4</v>
      </c>
      <c r="E165">
        <f t="shared" si="2"/>
        <v>6.0916810557881787E-31</v>
      </c>
    </row>
    <row r="166" spans="1:5" x14ac:dyDescent="0.25">
      <c r="A166">
        <v>0</v>
      </c>
      <c r="B166">
        <v>5</v>
      </c>
      <c r="C166">
        <v>40</v>
      </c>
      <c r="D166">
        <v>3</v>
      </c>
      <c r="E166">
        <f t="shared" si="2"/>
        <v>7.1992594295678513E-32</v>
      </c>
    </row>
    <row r="167" spans="1:5" x14ac:dyDescent="0.25">
      <c r="A167">
        <v>0</v>
      </c>
      <c r="B167">
        <v>5</v>
      </c>
      <c r="C167">
        <v>41</v>
      </c>
      <c r="D167">
        <v>2</v>
      </c>
      <c r="E167">
        <f t="shared" si="2"/>
        <v>5.7258160892639299E-33</v>
      </c>
    </row>
    <row r="168" spans="1:5" x14ac:dyDescent="0.25">
      <c r="A168">
        <v>0</v>
      </c>
      <c r="B168">
        <v>5</v>
      </c>
      <c r="C168">
        <v>42</v>
      </c>
      <c r="D168">
        <v>1</v>
      </c>
      <c r="E168">
        <f t="shared" si="2"/>
        <v>2.726579090125681E-34</v>
      </c>
    </row>
    <row r="169" spans="1:5" x14ac:dyDescent="0.25">
      <c r="A169">
        <v>0</v>
      </c>
      <c r="B169">
        <v>5</v>
      </c>
      <c r="C169">
        <v>43</v>
      </c>
      <c r="D169">
        <v>0</v>
      </c>
      <c r="E169">
        <f t="shared" si="2"/>
        <v>5.8336110765479709E-36</v>
      </c>
    </row>
    <row r="170" spans="1:5" x14ac:dyDescent="0.25">
      <c r="A170">
        <v>0</v>
      </c>
      <c r="B170">
        <v>6</v>
      </c>
      <c r="C170">
        <v>17</v>
      </c>
      <c r="D170">
        <v>25</v>
      </c>
      <c r="E170">
        <f t="shared" si="2"/>
        <v>4.2465918436511329E-36</v>
      </c>
    </row>
    <row r="171" spans="1:5" x14ac:dyDescent="0.25">
      <c r="A171">
        <v>0</v>
      </c>
      <c r="B171">
        <v>6</v>
      </c>
      <c r="C171">
        <v>18</v>
      </c>
      <c r="D171">
        <v>24</v>
      </c>
      <c r="E171">
        <f t="shared" si="2"/>
        <v>2.8310612291007528E-34</v>
      </c>
    </row>
    <row r="172" spans="1:5" x14ac:dyDescent="0.25">
      <c r="A172">
        <v>0</v>
      </c>
      <c r="B172">
        <v>6</v>
      </c>
      <c r="C172">
        <v>19</v>
      </c>
      <c r="D172">
        <v>23</v>
      </c>
      <c r="E172">
        <f t="shared" si="2"/>
        <v>8.4037817537517107E-33</v>
      </c>
    </row>
    <row r="173" spans="1:5" x14ac:dyDescent="0.25">
      <c r="A173">
        <v>0</v>
      </c>
      <c r="B173">
        <v>6</v>
      </c>
      <c r="C173">
        <v>20</v>
      </c>
      <c r="D173">
        <v>22</v>
      </c>
      <c r="E173">
        <f t="shared" si="2"/>
        <v>1.4818668492448862E-31</v>
      </c>
    </row>
    <row r="174" spans="1:5" x14ac:dyDescent="0.25">
      <c r="A174">
        <v>0</v>
      </c>
      <c r="B174">
        <v>6</v>
      </c>
      <c r="C174">
        <v>21</v>
      </c>
      <c r="D174">
        <v>21</v>
      </c>
      <c r="E174">
        <f t="shared" si="2"/>
        <v>1.7464859294671856E-30</v>
      </c>
    </row>
    <row r="175" spans="1:5" x14ac:dyDescent="0.25">
      <c r="A175">
        <v>0</v>
      </c>
      <c r="B175">
        <v>6</v>
      </c>
      <c r="C175">
        <v>22</v>
      </c>
      <c r="D175">
        <v>20</v>
      </c>
      <c r="E175">
        <f t="shared" si="2"/>
        <v>1.4670481807524364E-29</v>
      </c>
    </row>
    <row r="176" spans="1:5" x14ac:dyDescent="0.25">
      <c r="A176">
        <v>0</v>
      </c>
      <c r="B176">
        <v>6</v>
      </c>
      <c r="C176">
        <v>23</v>
      </c>
      <c r="D176">
        <v>19</v>
      </c>
      <c r="E176">
        <f t="shared" si="2"/>
        <v>9.1424741699064855E-29</v>
      </c>
    </row>
    <row r="177" spans="1:5" x14ac:dyDescent="0.25">
      <c r="A177">
        <v>0</v>
      </c>
      <c r="B177">
        <v>6</v>
      </c>
      <c r="C177">
        <v>24</v>
      </c>
      <c r="D177">
        <v>18</v>
      </c>
      <c r="E177">
        <f t="shared" si="2"/>
        <v>4.3426752307055823E-28</v>
      </c>
    </row>
    <row r="178" spans="1:5" x14ac:dyDescent="0.25">
      <c r="A178">
        <v>0</v>
      </c>
      <c r="B178">
        <v>6</v>
      </c>
      <c r="C178">
        <v>25</v>
      </c>
      <c r="D178">
        <v>17</v>
      </c>
      <c r="E178">
        <f t="shared" si="2"/>
        <v>1.6024471601303601E-27</v>
      </c>
    </row>
    <row r="179" spans="1:5" x14ac:dyDescent="0.25">
      <c r="A179">
        <v>0</v>
      </c>
      <c r="B179">
        <v>6</v>
      </c>
      <c r="C179">
        <v>26</v>
      </c>
      <c r="D179">
        <v>16</v>
      </c>
      <c r="E179">
        <f t="shared" si="2"/>
        <v>4.6566840550796765E-27</v>
      </c>
    </row>
    <row r="180" spans="1:5" x14ac:dyDescent="0.25">
      <c r="A180">
        <v>0</v>
      </c>
      <c r="B180">
        <v>6</v>
      </c>
      <c r="C180">
        <v>27</v>
      </c>
      <c r="D180">
        <v>15</v>
      </c>
      <c r="E180">
        <f t="shared" si="2"/>
        <v>1.0762114260628583E-26</v>
      </c>
    </row>
    <row r="181" spans="1:5" x14ac:dyDescent="0.25">
      <c r="A181">
        <v>0</v>
      </c>
      <c r="B181">
        <v>6</v>
      </c>
      <c r="C181">
        <v>28</v>
      </c>
      <c r="D181">
        <v>14</v>
      </c>
      <c r="E181">
        <f t="shared" si="2"/>
        <v>1.9916899768046408E-26</v>
      </c>
    </row>
    <row r="182" spans="1:5" x14ac:dyDescent="0.25">
      <c r="A182">
        <v>0</v>
      </c>
      <c r="B182">
        <v>6</v>
      </c>
      <c r="C182">
        <v>29</v>
      </c>
      <c r="D182">
        <v>13</v>
      </c>
      <c r="E182">
        <f t="shared" si="2"/>
        <v>2.9646419769678291E-26</v>
      </c>
    </row>
    <row r="183" spans="1:5" x14ac:dyDescent="0.25">
      <c r="A183">
        <v>0</v>
      </c>
      <c r="B183">
        <v>6</v>
      </c>
      <c r="C183">
        <v>30</v>
      </c>
      <c r="D183">
        <v>12</v>
      </c>
      <c r="E183">
        <f t="shared" si="2"/>
        <v>3.5575703723613937E-26</v>
      </c>
    </row>
    <row r="184" spans="1:5" x14ac:dyDescent="0.25">
      <c r="A184">
        <v>0</v>
      </c>
      <c r="B184">
        <v>6</v>
      </c>
      <c r="C184">
        <v>31</v>
      </c>
      <c r="D184">
        <v>11</v>
      </c>
      <c r="E184">
        <f t="shared" si="2"/>
        <v>3.4428100377690904E-26</v>
      </c>
    </row>
    <row r="185" spans="1:5" x14ac:dyDescent="0.25">
      <c r="A185">
        <v>0</v>
      </c>
      <c r="B185">
        <v>6</v>
      </c>
      <c r="C185">
        <v>32</v>
      </c>
      <c r="D185">
        <v>10</v>
      </c>
      <c r="E185">
        <f t="shared" si="2"/>
        <v>2.6825228210950823E-26</v>
      </c>
    </row>
    <row r="186" spans="1:5" x14ac:dyDescent="0.25">
      <c r="A186">
        <v>0</v>
      </c>
      <c r="B186">
        <v>6</v>
      </c>
      <c r="C186">
        <v>33</v>
      </c>
      <c r="D186">
        <v>9</v>
      </c>
      <c r="E186">
        <f t="shared" si="2"/>
        <v>1.6765767631844262E-26</v>
      </c>
    </row>
    <row r="187" spans="1:5" x14ac:dyDescent="0.25">
      <c r="A187">
        <v>0</v>
      </c>
      <c r="B187">
        <v>6</v>
      </c>
      <c r="C187">
        <v>34</v>
      </c>
      <c r="D187">
        <v>8</v>
      </c>
      <c r="E187">
        <f t="shared" si="2"/>
        <v>8.3538772975279403E-27</v>
      </c>
    </row>
    <row r="188" spans="1:5" x14ac:dyDescent="0.25">
      <c r="A188">
        <v>0</v>
      </c>
      <c r="B188">
        <v>6</v>
      </c>
      <c r="C188">
        <v>35</v>
      </c>
      <c r="D188">
        <v>7</v>
      </c>
      <c r="E188">
        <f t="shared" si="2"/>
        <v>3.2885104282332211E-27</v>
      </c>
    </row>
    <row r="189" spans="1:5" x14ac:dyDescent="0.25">
      <c r="A189">
        <v>0</v>
      </c>
      <c r="B189">
        <v>6</v>
      </c>
      <c r="C189">
        <v>36</v>
      </c>
      <c r="D189">
        <v>6</v>
      </c>
      <c r="E189">
        <f t="shared" si="2"/>
        <v>1.0096303946330064E-27</v>
      </c>
    </row>
    <row r="190" spans="1:5" x14ac:dyDescent="0.25">
      <c r="A190">
        <v>0</v>
      </c>
      <c r="B190">
        <v>6</v>
      </c>
      <c r="C190">
        <v>37</v>
      </c>
      <c r="D190">
        <v>5</v>
      </c>
      <c r="E190">
        <f t="shared" si="2"/>
        <v>2.3739957927857171E-28</v>
      </c>
    </row>
    <row r="191" spans="1:5" x14ac:dyDescent="0.25">
      <c r="A191">
        <v>0</v>
      </c>
      <c r="B191">
        <v>6</v>
      </c>
      <c r="C191">
        <v>38</v>
      </c>
      <c r="D191">
        <v>4</v>
      </c>
      <c r="E191">
        <f t="shared" si="2"/>
        <v>4.1649048996240657E-29</v>
      </c>
    </row>
    <row r="192" spans="1:5" x14ac:dyDescent="0.25">
      <c r="A192">
        <v>0</v>
      </c>
      <c r="B192">
        <v>6</v>
      </c>
      <c r="C192">
        <v>39</v>
      </c>
      <c r="D192">
        <v>3</v>
      </c>
      <c r="E192">
        <f t="shared" si="2"/>
        <v>5.2425376358904322E-30</v>
      </c>
    </row>
    <row r="193" spans="1:5" x14ac:dyDescent="0.25">
      <c r="A193">
        <v>0</v>
      </c>
      <c r="B193">
        <v>6</v>
      </c>
      <c r="C193">
        <v>40</v>
      </c>
      <c r="D193">
        <v>2</v>
      </c>
      <c r="E193">
        <f t="shared" si="2"/>
        <v>4.444760169559282E-31</v>
      </c>
    </row>
    <row r="194" spans="1:5" x14ac:dyDescent="0.25">
      <c r="A194">
        <v>0</v>
      </c>
      <c r="B194">
        <v>6</v>
      </c>
      <c r="C194">
        <v>41</v>
      </c>
      <c r="D194">
        <v>1</v>
      </c>
      <c r="E194">
        <f t="shared" si="2"/>
        <v>2.2585163463207725E-32</v>
      </c>
    </row>
    <row r="195" spans="1:5" x14ac:dyDescent="0.25">
      <c r="A195">
        <v>0</v>
      </c>
      <c r="B195">
        <v>6</v>
      </c>
      <c r="C195">
        <v>42</v>
      </c>
      <c r="D195">
        <v>0</v>
      </c>
      <c r="E195">
        <f t="shared" si="2"/>
        <v>5.1623230773046226E-34</v>
      </c>
    </row>
    <row r="196" spans="1:5" x14ac:dyDescent="0.25">
      <c r="A196">
        <v>0</v>
      </c>
      <c r="B196">
        <v>7</v>
      </c>
      <c r="C196">
        <v>16</v>
      </c>
      <c r="D196">
        <v>25</v>
      </c>
      <c r="E196">
        <f t="shared" si="2"/>
        <v>5.9563712419258293E-35</v>
      </c>
    </row>
    <row r="197" spans="1:5" x14ac:dyDescent="0.25">
      <c r="A197">
        <v>0</v>
      </c>
      <c r="B197">
        <v>7</v>
      </c>
      <c r="C197">
        <v>17</v>
      </c>
      <c r="D197">
        <v>24</v>
      </c>
      <c r="E197">
        <f t="shared" si="2"/>
        <v>4.292091041975967E-33</v>
      </c>
    </row>
    <row r="198" spans="1:5" x14ac:dyDescent="0.25">
      <c r="A198">
        <v>0</v>
      </c>
      <c r="B198">
        <v>7</v>
      </c>
      <c r="C198">
        <v>18</v>
      </c>
      <c r="D198">
        <v>23</v>
      </c>
      <c r="E198">
        <f t="shared" si="2"/>
        <v>1.3734691334323084E-31</v>
      </c>
    </row>
    <row r="199" spans="1:5" x14ac:dyDescent="0.25">
      <c r="A199">
        <v>0</v>
      </c>
      <c r="B199">
        <v>7</v>
      </c>
      <c r="C199">
        <v>19</v>
      </c>
      <c r="D199">
        <v>22</v>
      </c>
      <c r="E199">
        <f t="shared" si="2"/>
        <v>2.6047721635795189E-30</v>
      </c>
    </row>
    <row r="200" spans="1:5" x14ac:dyDescent="0.25">
      <c r="A200">
        <v>0</v>
      </c>
      <c r="B200">
        <v>7</v>
      </c>
      <c r="C200">
        <v>20</v>
      </c>
      <c r="D200">
        <v>21</v>
      </c>
      <c r="E200">
        <f t="shared" si="2"/>
        <v>3.295036786928095E-29</v>
      </c>
    </row>
    <row r="201" spans="1:5" x14ac:dyDescent="0.25">
      <c r="A201">
        <v>0</v>
      </c>
      <c r="B201">
        <v>7</v>
      </c>
      <c r="C201">
        <v>21</v>
      </c>
      <c r="D201">
        <v>20</v>
      </c>
      <c r="E201">
        <f t="shared" si="2"/>
        <v>2.9655331082352802E-28</v>
      </c>
    </row>
    <row r="202" spans="1:5" x14ac:dyDescent="0.25">
      <c r="A202">
        <v>0</v>
      </c>
      <c r="B202">
        <v>7</v>
      </c>
      <c r="C202">
        <v>22</v>
      </c>
      <c r="D202">
        <v>19</v>
      </c>
      <c r="E202">
        <f t="shared" si="2"/>
        <v>1.9770220721568554E-27</v>
      </c>
    </row>
    <row r="203" spans="1:5" x14ac:dyDescent="0.25">
      <c r="A203">
        <v>0</v>
      </c>
      <c r="B203">
        <v>7</v>
      </c>
      <c r="C203">
        <v>23</v>
      </c>
      <c r="D203">
        <v>18</v>
      </c>
      <c r="E203">
        <f t="shared" si="2"/>
        <v>1.003246604318106E-26</v>
      </c>
    </row>
    <row r="204" spans="1:5" x14ac:dyDescent="0.25">
      <c r="A204">
        <v>0</v>
      </c>
      <c r="B204">
        <v>7</v>
      </c>
      <c r="C204">
        <v>24</v>
      </c>
      <c r="D204">
        <v>17</v>
      </c>
      <c r="E204">
        <f t="shared" si="2"/>
        <v>3.9502835045025419E-26</v>
      </c>
    </row>
    <row r="205" spans="1:5" x14ac:dyDescent="0.25">
      <c r="A205">
        <v>0</v>
      </c>
      <c r="B205">
        <v>7</v>
      </c>
      <c r="C205">
        <v>25</v>
      </c>
      <c r="D205">
        <v>16</v>
      </c>
      <c r="E205">
        <f t="shared" si="2"/>
        <v>1.2237100456170101E-25</v>
      </c>
    </row>
    <row r="206" spans="1:5" x14ac:dyDescent="0.25">
      <c r="A206">
        <v>0</v>
      </c>
      <c r="B206">
        <v>7</v>
      </c>
      <c r="C206">
        <v>26</v>
      </c>
      <c r="D206">
        <v>15</v>
      </c>
      <c r="E206">
        <f t="shared" ref="E206:E269" si="3">COMBIN(A$4,A206)*COMBIN(B$4,B206)*COMBIN(C$4,C206)*COMBIN(D$4,D206)/COMBIN($G$4,$F$4)</f>
        <v>3.0122093430572531E-25</v>
      </c>
    </row>
    <row r="207" spans="1:5" x14ac:dyDescent="0.25">
      <c r="A207">
        <v>0</v>
      </c>
      <c r="B207">
        <v>7</v>
      </c>
      <c r="C207">
        <v>27</v>
      </c>
      <c r="D207">
        <v>14</v>
      </c>
      <c r="E207">
        <f t="shared" si="3"/>
        <v>5.9331396151127723E-25</v>
      </c>
    </row>
    <row r="208" spans="1:5" x14ac:dyDescent="0.25">
      <c r="A208">
        <v>0</v>
      </c>
      <c r="B208">
        <v>7</v>
      </c>
      <c r="C208">
        <v>28</v>
      </c>
      <c r="D208">
        <v>13</v>
      </c>
      <c r="E208">
        <f t="shared" si="3"/>
        <v>9.3941377239285586E-25</v>
      </c>
    </row>
    <row r="209" spans="1:5" x14ac:dyDescent="0.25">
      <c r="A209">
        <v>0</v>
      </c>
      <c r="B209">
        <v>7</v>
      </c>
      <c r="C209">
        <v>29</v>
      </c>
      <c r="D209">
        <v>12</v>
      </c>
      <c r="E209">
        <f t="shared" si="3"/>
        <v>1.1985623992598507E-24</v>
      </c>
    </row>
    <row r="210" spans="1:5" x14ac:dyDescent="0.25">
      <c r="A210">
        <v>0</v>
      </c>
      <c r="B210">
        <v>7</v>
      </c>
      <c r="C210">
        <v>30</v>
      </c>
      <c r="D210">
        <v>11</v>
      </c>
      <c r="E210">
        <f t="shared" si="3"/>
        <v>1.2328070392387032E-24</v>
      </c>
    </row>
    <row r="211" spans="1:5" x14ac:dyDescent="0.25">
      <c r="A211">
        <v>0</v>
      </c>
      <c r="B211">
        <v>7</v>
      </c>
      <c r="C211">
        <v>31</v>
      </c>
      <c r="D211">
        <v>10</v>
      </c>
      <c r="E211">
        <f t="shared" si="3"/>
        <v>1.0207112045309693E-24</v>
      </c>
    </row>
    <row r="212" spans="1:5" x14ac:dyDescent="0.25">
      <c r="A212">
        <v>0</v>
      </c>
      <c r="B212">
        <v>7</v>
      </c>
      <c r="C212">
        <v>32</v>
      </c>
      <c r="D212">
        <v>9</v>
      </c>
      <c r="E212">
        <f t="shared" si="3"/>
        <v>6.7781603425884674E-25</v>
      </c>
    </row>
    <row r="213" spans="1:5" x14ac:dyDescent="0.25">
      <c r="A213">
        <v>0</v>
      </c>
      <c r="B213">
        <v>7</v>
      </c>
      <c r="C213">
        <v>33</v>
      </c>
      <c r="D213">
        <v>8</v>
      </c>
      <c r="E213">
        <f t="shared" si="3"/>
        <v>3.5884378284291889E-25</v>
      </c>
    </row>
    <row r="214" spans="1:5" x14ac:dyDescent="0.25">
      <c r="A214">
        <v>0</v>
      </c>
      <c r="B214">
        <v>7</v>
      </c>
      <c r="C214">
        <v>34</v>
      </c>
      <c r="D214">
        <v>7</v>
      </c>
      <c r="E214">
        <f t="shared" si="3"/>
        <v>1.5010458890161319E-25</v>
      </c>
    </row>
    <row r="215" spans="1:5" x14ac:dyDescent="0.25">
      <c r="A215">
        <v>0</v>
      </c>
      <c r="B215">
        <v>7</v>
      </c>
      <c r="C215">
        <v>35</v>
      </c>
      <c r="D215">
        <v>6</v>
      </c>
      <c r="E215">
        <f t="shared" si="3"/>
        <v>4.8981497431052708E-26</v>
      </c>
    </row>
    <row r="216" spans="1:5" x14ac:dyDescent="0.25">
      <c r="A216">
        <v>0</v>
      </c>
      <c r="B216">
        <v>7</v>
      </c>
      <c r="C216">
        <v>36</v>
      </c>
      <c r="D216">
        <v>5</v>
      </c>
      <c r="E216">
        <f t="shared" si="3"/>
        <v>1.2245374357763179E-26</v>
      </c>
    </row>
    <row r="217" spans="1:5" x14ac:dyDescent="0.25">
      <c r="A217">
        <v>0</v>
      </c>
      <c r="B217">
        <v>7</v>
      </c>
      <c r="C217">
        <v>37</v>
      </c>
      <c r="D217">
        <v>4</v>
      </c>
      <c r="E217">
        <f t="shared" si="3"/>
        <v>2.2851728209467965E-27</v>
      </c>
    </row>
    <row r="218" spans="1:5" x14ac:dyDescent="0.25">
      <c r="A218">
        <v>0</v>
      </c>
      <c r="B218">
        <v>7</v>
      </c>
      <c r="C218">
        <v>38</v>
      </c>
      <c r="D218">
        <v>3</v>
      </c>
      <c r="E218">
        <f t="shared" si="3"/>
        <v>3.0614755495937939E-28</v>
      </c>
    </row>
    <row r="219" spans="1:5" x14ac:dyDescent="0.25">
      <c r="A219">
        <v>0</v>
      </c>
      <c r="B219">
        <v>7</v>
      </c>
      <c r="C219">
        <v>39</v>
      </c>
      <c r="D219">
        <v>2</v>
      </c>
      <c r="E219">
        <f t="shared" si="3"/>
        <v>2.7645431384291782E-29</v>
      </c>
    </row>
    <row r="220" spans="1:5" x14ac:dyDescent="0.25">
      <c r="A220">
        <v>0</v>
      </c>
      <c r="B220">
        <v>7</v>
      </c>
      <c r="C220">
        <v>40</v>
      </c>
      <c r="D220">
        <v>1</v>
      </c>
      <c r="E220">
        <f t="shared" si="3"/>
        <v>1.4974608666491392E-30</v>
      </c>
    </row>
    <row r="221" spans="1:5" x14ac:dyDescent="0.25">
      <c r="A221">
        <v>0</v>
      </c>
      <c r="B221">
        <v>7</v>
      </c>
      <c r="C221">
        <v>41</v>
      </c>
      <c r="D221">
        <v>0</v>
      </c>
      <c r="E221">
        <f t="shared" si="3"/>
        <v>3.6523435771930215E-32</v>
      </c>
    </row>
    <row r="222" spans="1:5" x14ac:dyDescent="0.25">
      <c r="A222">
        <v>0</v>
      </c>
      <c r="B222">
        <v>8</v>
      </c>
      <c r="C222">
        <v>15</v>
      </c>
      <c r="D222">
        <v>25</v>
      </c>
      <c r="E222">
        <f t="shared" si="3"/>
        <v>6.7187867608923332E-34</v>
      </c>
    </row>
    <row r="223" spans="1:5" x14ac:dyDescent="0.25">
      <c r="A223">
        <v>0</v>
      </c>
      <c r="B223">
        <v>8</v>
      </c>
      <c r="C223">
        <v>16</v>
      </c>
      <c r="D223">
        <v>24</v>
      </c>
      <c r="E223">
        <f t="shared" si="3"/>
        <v>5.2490521569471351E-32</v>
      </c>
    </row>
    <row r="224" spans="1:5" x14ac:dyDescent="0.25">
      <c r="A224">
        <v>0</v>
      </c>
      <c r="B224">
        <v>8</v>
      </c>
      <c r="C224">
        <v>17</v>
      </c>
      <c r="D224">
        <v>23</v>
      </c>
      <c r="E224">
        <f t="shared" si="3"/>
        <v>1.8155545107558341E-30</v>
      </c>
    </row>
    <row r="225" spans="1:5" x14ac:dyDescent="0.25">
      <c r="A225">
        <v>0</v>
      </c>
      <c r="B225">
        <v>8</v>
      </c>
      <c r="C225">
        <v>18</v>
      </c>
      <c r="D225">
        <v>22</v>
      </c>
      <c r="E225">
        <f t="shared" si="3"/>
        <v>3.711800333100812E-29</v>
      </c>
    </row>
    <row r="226" spans="1:5" x14ac:dyDescent="0.25">
      <c r="A226">
        <v>0</v>
      </c>
      <c r="B226">
        <v>8</v>
      </c>
      <c r="C226">
        <v>19</v>
      </c>
      <c r="D226">
        <v>21</v>
      </c>
      <c r="E226">
        <f t="shared" si="3"/>
        <v>5.0500020321397931E-28</v>
      </c>
    </row>
    <row r="227" spans="1:5" x14ac:dyDescent="0.25">
      <c r="A227">
        <v>0</v>
      </c>
      <c r="B227">
        <v>8</v>
      </c>
      <c r="C227">
        <v>20</v>
      </c>
      <c r="D227">
        <v>20</v>
      </c>
      <c r="E227">
        <f t="shared" si="3"/>
        <v>4.8783019630470422E-27</v>
      </c>
    </row>
    <row r="228" spans="1:5" x14ac:dyDescent="0.25">
      <c r="A228">
        <v>0</v>
      </c>
      <c r="B228">
        <v>8</v>
      </c>
      <c r="C228">
        <v>21</v>
      </c>
      <c r="D228">
        <v>19</v>
      </c>
      <c r="E228">
        <f t="shared" si="3"/>
        <v>3.4845014021764544E-26</v>
      </c>
    </row>
    <row r="229" spans="1:5" x14ac:dyDescent="0.25">
      <c r="A229">
        <v>0</v>
      </c>
      <c r="B229">
        <v>8</v>
      </c>
      <c r="C229">
        <v>22</v>
      </c>
      <c r="D229">
        <v>18</v>
      </c>
      <c r="E229">
        <f t="shared" si="3"/>
        <v>1.89158647546722E-25</v>
      </c>
    </row>
    <row r="230" spans="1:5" x14ac:dyDescent="0.25">
      <c r="A230">
        <v>0</v>
      </c>
      <c r="B230">
        <v>8</v>
      </c>
      <c r="C230">
        <v>23</v>
      </c>
      <c r="D230">
        <v>17</v>
      </c>
      <c r="E230">
        <f t="shared" si="3"/>
        <v>7.9569996304979761E-25</v>
      </c>
    </row>
    <row r="231" spans="1:5" x14ac:dyDescent="0.25">
      <c r="A231">
        <v>0</v>
      </c>
      <c r="B231">
        <v>8</v>
      </c>
      <c r="C231">
        <v>24</v>
      </c>
      <c r="D231">
        <v>16</v>
      </c>
      <c r="E231">
        <f t="shared" si="3"/>
        <v>2.6302304334146087E-24</v>
      </c>
    </row>
    <row r="232" spans="1:5" x14ac:dyDescent="0.25">
      <c r="A232">
        <v>0</v>
      </c>
      <c r="B232">
        <v>8</v>
      </c>
      <c r="C232">
        <v>25</v>
      </c>
      <c r="D232">
        <v>15</v>
      </c>
      <c r="E232">
        <f t="shared" si="3"/>
        <v>6.9017246572799347E-24</v>
      </c>
    </row>
    <row r="233" spans="1:5" x14ac:dyDescent="0.25">
      <c r="A233">
        <v>0</v>
      </c>
      <c r="B233">
        <v>8</v>
      </c>
      <c r="C233">
        <v>26</v>
      </c>
      <c r="D233">
        <v>14</v>
      </c>
      <c r="E233">
        <f t="shared" si="3"/>
        <v>1.4479142637650206E-23</v>
      </c>
    </row>
    <row r="234" spans="1:5" x14ac:dyDescent="0.25">
      <c r="A234">
        <v>0</v>
      </c>
      <c r="B234">
        <v>8</v>
      </c>
      <c r="C234">
        <v>27</v>
      </c>
      <c r="D234">
        <v>13</v>
      </c>
      <c r="E234">
        <f t="shared" si="3"/>
        <v>2.4400036667151276E-23</v>
      </c>
    </row>
    <row r="235" spans="1:5" x14ac:dyDescent="0.25">
      <c r="A235">
        <v>0</v>
      </c>
      <c r="B235">
        <v>8</v>
      </c>
      <c r="C235">
        <v>28</v>
      </c>
      <c r="D235">
        <v>12</v>
      </c>
      <c r="E235">
        <f t="shared" si="3"/>
        <v>3.3114335476848162E-23</v>
      </c>
    </row>
    <row r="236" spans="1:5" x14ac:dyDescent="0.25">
      <c r="A236">
        <v>0</v>
      </c>
      <c r="B236">
        <v>8</v>
      </c>
      <c r="C236">
        <v>29</v>
      </c>
      <c r="D236">
        <v>11</v>
      </c>
      <c r="E236">
        <f t="shared" si="3"/>
        <v>3.6213706777636919E-23</v>
      </c>
    </row>
    <row r="237" spans="1:5" x14ac:dyDescent="0.25">
      <c r="A237">
        <v>0</v>
      </c>
      <c r="B237">
        <v>8</v>
      </c>
      <c r="C237">
        <v>30</v>
      </c>
      <c r="D237">
        <v>10</v>
      </c>
      <c r="E237">
        <f t="shared" si="3"/>
        <v>3.1868061964320467E-23</v>
      </c>
    </row>
    <row r="238" spans="1:5" x14ac:dyDescent="0.25">
      <c r="A238">
        <v>0</v>
      </c>
      <c r="B238">
        <v>8</v>
      </c>
      <c r="C238">
        <v>31</v>
      </c>
      <c r="D238">
        <v>9</v>
      </c>
      <c r="E238">
        <f t="shared" si="3"/>
        <v>2.248754372482292E-23</v>
      </c>
    </row>
    <row r="239" spans="1:5" x14ac:dyDescent="0.25">
      <c r="A239">
        <v>0</v>
      </c>
      <c r="B239">
        <v>8</v>
      </c>
      <c r="C239">
        <v>32</v>
      </c>
      <c r="D239">
        <v>8</v>
      </c>
      <c r="E239">
        <f t="shared" si="3"/>
        <v>1.2649243345212889E-23</v>
      </c>
    </row>
    <row r="240" spans="1:5" x14ac:dyDescent="0.25">
      <c r="A240">
        <v>0</v>
      </c>
      <c r="B240">
        <v>8</v>
      </c>
      <c r="C240">
        <v>33</v>
      </c>
      <c r="D240">
        <v>7</v>
      </c>
      <c r="E240">
        <f t="shared" si="3"/>
        <v>5.6218859312057307E-24</v>
      </c>
    </row>
    <row r="241" spans="1:5" x14ac:dyDescent="0.25">
      <c r="A241">
        <v>0</v>
      </c>
      <c r="B241">
        <v>8</v>
      </c>
      <c r="C241">
        <v>34</v>
      </c>
      <c r="D241">
        <v>6</v>
      </c>
      <c r="E241">
        <f t="shared" si="3"/>
        <v>1.9493845953406861E-24</v>
      </c>
    </row>
    <row r="242" spans="1:5" x14ac:dyDescent="0.25">
      <c r="A242">
        <v>0</v>
      </c>
      <c r="B242">
        <v>8</v>
      </c>
      <c r="C242">
        <v>35</v>
      </c>
      <c r="D242">
        <v>5</v>
      </c>
      <c r="E242">
        <f t="shared" si="3"/>
        <v>5.1797933533338218E-25</v>
      </c>
    </row>
    <row r="243" spans="1:5" x14ac:dyDescent="0.25">
      <c r="A243">
        <v>0</v>
      </c>
      <c r="B243">
        <v>8</v>
      </c>
      <c r="C243">
        <v>36</v>
      </c>
      <c r="D243">
        <v>4</v>
      </c>
      <c r="E243">
        <f t="shared" si="3"/>
        <v>1.0277367764551242E-25</v>
      </c>
    </row>
    <row r="244" spans="1:5" x14ac:dyDescent="0.25">
      <c r="A244">
        <v>0</v>
      </c>
      <c r="B244">
        <v>8</v>
      </c>
      <c r="C244">
        <v>37</v>
      </c>
      <c r="D244">
        <v>3</v>
      </c>
      <c r="E244">
        <f t="shared" si="3"/>
        <v>1.4645880352431737E-26</v>
      </c>
    </row>
    <row r="245" spans="1:5" x14ac:dyDescent="0.25">
      <c r="A245">
        <v>0</v>
      </c>
      <c r="B245">
        <v>8</v>
      </c>
      <c r="C245">
        <v>38</v>
      </c>
      <c r="D245">
        <v>2</v>
      </c>
      <c r="E245">
        <f t="shared" si="3"/>
        <v>1.4076132146501896E-27</v>
      </c>
    </row>
    <row r="246" spans="1:5" x14ac:dyDescent="0.25">
      <c r="A246">
        <v>0</v>
      </c>
      <c r="B246">
        <v>8</v>
      </c>
      <c r="C246">
        <v>39</v>
      </c>
      <c r="D246">
        <v>1</v>
      </c>
      <c r="E246">
        <f t="shared" si="3"/>
        <v>8.12084546913571E-29</v>
      </c>
    </row>
    <row r="247" spans="1:5" x14ac:dyDescent="0.25">
      <c r="A247">
        <v>0</v>
      </c>
      <c r="B247">
        <v>8</v>
      </c>
      <c r="C247">
        <v>40</v>
      </c>
      <c r="D247">
        <v>0</v>
      </c>
      <c r="E247">
        <f t="shared" si="3"/>
        <v>2.111419821975286E-30</v>
      </c>
    </row>
    <row r="248" spans="1:5" x14ac:dyDescent="0.25">
      <c r="A248">
        <v>0</v>
      </c>
      <c r="B248">
        <v>9</v>
      </c>
      <c r="C248">
        <v>14</v>
      </c>
      <c r="D248">
        <v>25</v>
      </c>
      <c r="E248">
        <f t="shared" si="3"/>
        <v>6.1698662738913287E-33</v>
      </c>
    </row>
    <row r="249" spans="1:5" x14ac:dyDescent="0.25">
      <c r="A249">
        <v>0</v>
      </c>
      <c r="B249">
        <v>9</v>
      </c>
      <c r="C249">
        <v>15</v>
      </c>
      <c r="D249">
        <v>24</v>
      </c>
      <c r="E249">
        <f t="shared" si="3"/>
        <v>5.2443863328076273E-31</v>
      </c>
    </row>
    <row r="250" spans="1:5" x14ac:dyDescent="0.25">
      <c r="A250">
        <v>0</v>
      </c>
      <c r="B250">
        <v>9</v>
      </c>
      <c r="C250">
        <v>16</v>
      </c>
      <c r="D250">
        <v>23</v>
      </c>
      <c r="E250">
        <f t="shared" si="3"/>
        <v>1.9666448748028605E-29</v>
      </c>
    </row>
    <row r="251" spans="1:5" x14ac:dyDescent="0.25">
      <c r="A251">
        <v>0</v>
      </c>
      <c r="B251">
        <v>9</v>
      </c>
      <c r="C251">
        <v>17</v>
      </c>
      <c r="D251">
        <v>22</v>
      </c>
      <c r="E251">
        <f t="shared" si="3"/>
        <v>4.345899556672205E-28</v>
      </c>
    </row>
    <row r="252" spans="1:5" x14ac:dyDescent="0.25">
      <c r="A252">
        <v>0</v>
      </c>
      <c r="B252">
        <v>9</v>
      </c>
      <c r="C252">
        <v>18</v>
      </c>
      <c r="D252">
        <v>21</v>
      </c>
      <c r="E252">
        <f t="shared" si="3"/>
        <v>6.3739860164525628E-27</v>
      </c>
    </row>
    <row r="253" spans="1:5" x14ac:dyDescent="0.25">
      <c r="A253">
        <v>0</v>
      </c>
      <c r="B253">
        <v>9</v>
      </c>
      <c r="C253">
        <v>19</v>
      </c>
      <c r="D253">
        <v>20</v>
      </c>
      <c r="E253">
        <f t="shared" si="3"/>
        <v>6.6222359981459785E-26</v>
      </c>
    </row>
    <row r="254" spans="1:5" x14ac:dyDescent="0.25">
      <c r="A254">
        <v>0</v>
      </c>
      <c r="B254">
        <v>9</v>
      </c>
      <c r="C254">
        <v>20</v>
      </c>
      <c r="D254">
        <v>19</v>
      </c>
      <c r="E254">
        <f t="shared" si="3"/>
        <v>5.0770475985785876E-25</v>
      </c>
    </row>
    <row r="255" spans="1:5" x14ac:dyDescent="0.25">
      <c r="A255">
        <v>0</v>
      </c>
      <c r="B255">
        <v>9</v>
      </c>
      <c r="C255">
        <v>21</v>
      </c>
      <c r="D255">
        <v>18</v>
      </c>
      <c r="E255">
        <f t="shared" si="3"/>
        <v>2.9529766644793804E-24</v>
      </c>
    </row>
    <row r="256" spans="1:5" x14ac:dyDescent="0.25">
      <c r="A256">
        <v>0</v>
      </c>
      <c r="B256">
        <v>9</v>
      </c>
      <c r="C256">
        <v>22</v>
      </c>
      <c r="D256">
        <v>17</v>
      </c>
      <c r="E256">
        <f t="shared" si="3"/>
        <v>1.3288394990157218E-23</v>
      </c>
    </row>
    <row r="257" spans="1:5" x14ac:dyDescent="0.25">
      <c r="A257">
        <v>0</v>
      </c>
      <c r="B257">
        <v>9</v>
      </c>
      <c r="C257">
        <v>23</v>
      </c>
      <c r="D257">
        <v>16</v>
      </c>
      <c r="E257">
        <f t="shared" si="3"/>
        <v>4.6926650907270165E-23</v>
      </c>
    </row>
    <row r="258" spans="1:5" x14ac:dyDescent="0.25">
      <c r="A258">
        <v>0</v>
      </c>
      <c r="B258">
        <v>9</v>
      </c>
      <c r="C258">
        <v>24</v>
      </c>
      <c r="D258">
        <v>15</v>
      </c>
      <c r="E258">
        <f t="shared" si="3"/>
        <v>1.3139462254035645E-22</v>
      </c>
    </row>
    <row r="259" spans="1:5" x14ac:dyDescent="0.25">
      <c r="A259">
        <v>0</v>
      </c>
      <c r="B259">
        <v>9</v>
      </c>
      <c r="C259">
        <v>25</v>
      </c>
      <c r="D259">
        <v>14</v>
      </c>
      <c r="E259">
        <f t="shared" si="3"/>
        <v>2.9384615586297913E-22</v>
      </c>
    </row>
    <row r="260" spans="1:5" x14ac:dyDescent="0.25">
      <c r="A260">
        <v>0</v>
      </c>
      <c r="B260">
        <v>9</v>
      </c>
      <c r="C260">
        <v>26</v>
      </c>
      <c r="D260">
        <v>13</v>
      </c>
      <c r="E260">
        <f t="shared" si="3"/>
        <v>5.2741617718996219E-22</v>
      </c>
    </row>
    <row r="261" spans="1:5" x14ac:dyDescent="0.25">
      <c r="A261">
        <v>0</v>
      </c>
      <c r="B261">
        <v>9</v>
      </c>
      <c r="C261">
        <v>27</v>
      </c>
      <c r="D261">
        <v>12</v>
      </c>
      <c r="E261">
        <f t="shared" si="3"/>
        <v>7.6182336705216765E-22</v>
      </c>
    </row>
    <row r="262" spans="1:5" x14ac:dyDescent="0.25">
      <c r="A262">
        <v>0</v>
      </c>
      <c r="B262">
        <v>9</v>
      </c>
      <c r="C262">
        <v>28</v>
      </c>
      <c r="D262">
        <v>11</v>
      </c>
      <c r="E262">
        <f t="shared" si="3"/>
        <v>8.8620269228517467E-22</v>
      </c>
    </row>
    <row r="263" spans="1:5" x14ac:dyDescent="0.25">
      <c r="A263">
        <v>0</v>
      </c>
      <c r="B263">
        <v>9</v>
      </c>
      <c r="C263">
        <v>29</v>
      </c>
      <c r="D263">
        <v>10</v>
      </c>
      <c r="E263">
        <f t="shared" si="3"/>
        <v>8.2915976036796802E-22</v>
      </c>
    </row>
    <row r="264" spans="1:5" x14ac:dyDescent="0.25">
      <c r="A264">
        <v>0</v>
      </c>
      <c r="B264">
        <v>9</v>
      </c>
      <c r="C264">
        <v>30</v>
      </c>
      <c r="D264">
        <v>9</v>
      </c>
      <c r="E264">
        <f t="shared" si="3"/>
        <v>6.2186982027597597E-22</v>
      </c>
    </row>
    <row r="265" spans="1:5" x14ac:dyDescent="0.25">
      <c r="A265">
        <v>0</v>
      </c>
      <c r="B265">
        <v>9</v>
      </c>
      <c r="C265">
        <v>31</v>
      </c>
      <c r="D265">
        <v>8</v>
      </c>
      <c r="E265">
        <f t="shared" si="3"/>
        <v>3.7170586980442591E-22</v>
      </c>
    </row>
    <row r="266" spans="1:5" x14ac:dyDescent="0.25">
      <c r="A266">
        <v>0</v>
      </c>
      <c r="B266">
        <v>9</v>
      </c>
      <c r="C266">
        <v>32</v>
      </c>
      <c r="D266">
        <v>7</v>
      </c>
      <c r="E266">
        <f t="shared" si="3"/>
        <v>1.7552777185209E-22</v>
      </c>
    </row>
    <row r="267" spans="1:5" x14ac:dyDescent="0.25">
      <c r="A267">
        <v>0</v>
      </c>
      <c r="B267">
        <v>9</v>
      </c>
      <c r="C267">
        <v>33</v>
      </c>
      <c r="D267">
        <v>6</v>
      </c>
      <c r="E267">
        <f t="shared" si="3"/>
        <v>6.4668126471822613E-23</v>
      </c>
    </row>
    <row r="268" spans="1:5" x14ac:dyDescent="0.25">
      <c r="A268">
        <v>0</v>
      </c>
      <c r="B268">
        <v>9</v>
      </c>
      <c r="C268">
        <v>34</v>
      </c>
      <c r="D268">
        <v>5</v>
      </c>
      <c r="E268">
        <f t="shared" si="3"/>
        <v>1.8259235709691094E-23</v>
      </c>
    </row>
    <row r="269" spans="1:5" x14ac:dyDescent="0.25">
      <c r="A269">
        <v>0</v>
      </c>
      <c r="B269">
        <v>9</v>
      </c>
      <c r="C269">
        <v>35</v>
      </c>
      <c r="D269">
        <v>4</v>
      </c>
      <c r="E269">
        <f t="shared" si="3"/>
        <v>3.8505871224518639E-24</v>
      </c>
    </row>
    <row r="270" spans="1:5" x14ac:dyDescent="0.25">
      <c r="A270">
        <v>0</v>
      </c>
      <c r="B270">
        <v>9</v>
      </c>
      <c r="C270">
        <v>36</v>
      </c>
      <c r="D270">
        <v>3</v>
      </c>
      <c r="E270">
        <f t="shared" ref="E270:E333" si="4">COMBIN(A$4,A270)*COMBIN(B$4,B270)*COMBIN(C$4,C270)*COMBIN(D$4,D270)/COMBIN($G$4,$F$4)</f>
        <v>5.8342229128058544E-25</v>
      </c>
    </row>
    <row r="271" spans="1:5" x14ac:dyDescent="0.25">
      <c r="A271">
        <v>0</v>
      </c>
      <c r="B271">
        <v>9</v>
      </c>
      <c r="C271">
        <v>37</v>
      </c>
      <c r="D271">
        <v>2</v>
      </c>
      <c r="E271">
        <f t="shared" si="4"/>
        <v>5.9644817087439407E-26</v>
      </c>
    </row>
    <row r="272" spans="1:5" x14ac:dyDescent="0.25">
      <c r="A272">
        <v>0</v>
      </c>
      <c r="B272">
        <v>9</v>
      </c>
      <c r="C272">
        <v>38</v>
      </c>
      <c r="D272">
        <v>1</v>
      </c>
      <c r="E272">
        <f t="shared" si="4"/>
        <v>3.6624010492287344E-27</v>
      </c>
    </row>
    <row r="273" spans="1:5" x14ac:dyDescent="0.25">
      <c r="A273">
        <v>0</v>
      </c>
      <c r="B273">
        <v>9</v>
      </c>
      <c r="C273">
        <v>39</v>
      </c>
      <c r="D273">
        <v>0</v>
      </c>
      <c r="E273">
        <f t="shared" si="4"/>
        <v>1.0142033674787263E-28</v>
      </c>
    </row>
    <row r="274" spans="1:5" x14ac:dyDescent="0.25">
      <c r="A274">
        <v>0</v>
      </c>
      <c r="B274">
        <v>10</v>
      </c>
      <c r="C274">
        <v>13</v>
      </c>
      <c r="D274">
        <v>25</v>
      </c>
      <c r="E274">
        <f t="shared" si="4"/>
        <v>4.6511299603180782E-32</v>
      </c>
    </row>
    <row r="275" spans="1:5" x14ac:dyDescent="0.25">
      <c r="A275">
        <v>0</v>
      </c>
      <c r="B275">
        <v>10</v>
      </c>
      <c r="C275">
        <v>14</v>
      </c>
      <c r="D275">
        <v>24</v>
      </c>
      <c r="E275">
        <f t="shared" si="4"/>
        <v>4.3189063917239303E-30</v>
      </c>
    </row>
    <row r="276" spans="1:5" x14ac:dyDescent="0.25">
      <c r="A276">
        <v>0</v>
      </c>
      <c r="B276">
        <v>10</v>
      </c>
      <c r="C276">
        <v>15</v>
      </c>
      <c r="D276">
        <v>23</v>
      </c>
      <c r="E276">
        <f t="shared" si="4"/>
        <v>1.7621138078233627E-28</v>
      </c>
    </row>
    <row r="277" spans="1:5" x14ac:dyDescent="0.25">
      <c r="A277">
        <v>0</v>
      </c>
      <c r="B277">
        <v>10</v>
      </c>
      <c r="C277">
        <v>16</v>
      </c>
      <c r="D277">
        <v>22</v>
      </c>
      <c r="E277">
        <f t="shared" si="4"/>
        <v>4.2217309979101406E-27</v>
      </c>
    </row>
    <row r="278" spans="1:5" x14ac:dyDescent="0.25">
      <c r="A278">
        <v>0</v>
      </c>
      <c r="B278">
        <v>10</v>
      </c>
      <c r="C278">
        <v>17</v>
      </c>
      <c r="D278">
        <v>21</v>
      </c>
      <c r="E278">
        <f t="shared" si="4"/>
        <v>6.6926853172751992E-26</v>
      </c>
    </row>
    <row r="279" spans="1:5" x14ac:dyDescent="0.25">
      <c r="A279">
        <v>0</v>
      </c>
      <c r="B279">
        <v>10</v>
      </c>
      <c r="C279">
        <v>18</v>
      </c>
      <c r="D279">
        <v>20</v>
      </c>
      <c r="E279">
        <f t="shared" si="4"/>
        <v>7.4958075553482123E-25</v>
      </c>
    </row>
    <row r="280" spans="1:5" x14ac:dyDescent="0.25">
      <c r="A280">
        <v>0</v>
      </c>
      <c r="B280">
        <v>10</v>
      </c>
      <c r="C280">
        <v>19</v>
      </c>
      <c r="D280">
        <v>19</v>
      </c>
      <c r="E280">
        <f t="shared" si="4"/>
        <v>6.180753598269581E-24</v>
      </c>
    </row>
    <row r="281" spans="1:5" x14ac:dyDescent="0.25">
      <c r="A281">
        <v>0</v>
      </c>
      <c r="B281">
        <v>10</v>
      </c>
      <c r="C281">
        <v>20</v>
      </c>
      <c r="D281">
        <v>18</v>
      </c>
      <c r="E281">
        <f t="shared" si="4"/>
        <v>3.8585561749197289E-23</v>
      </c>
    </row>
    <row r="282" spans="1:5" x14ac:dyDescent="0.25">
      <c r="A282">
        <v>0</v>
      </c>
      <c r="B282">
        <v>10</v>
      </c>
      <c r="C282">
        <v>21</v>
      </c>
      <c r="D282">
        <v>17</v>
      </c>
      <c r="E282">
        <f t="shared" si="4"/>
        <v>1.8603752986220096E-22</v>
      </c>
    </row>
    <row r="283" spans="1:5" x14ac:dyDescent="0.25">
      <c r="A283">
        <v>0</v>
      </c>
      <c r="B283">
        <v>10</v>
      </c>
      <c r="C283">
        <v>22</v>
      </c>
      <c r="D283">
        <v>16</v>
      </c>
      <c r="E283">
        <f t="shared" si="4"/>
        <v>7.0280844614609296E-22</v>
      </c>
    </row>
    <row r="284" spans="1:5" x14ac:dyDescent="0.25">
      <c r="A284">
        <v>0</v>
      </c>
      <c r="B284">
        <v>10</v>
      </c>
      <c r="C284">
        <v>23</v>
      </c>
      <c r="D284">
        <v>15</v>
      </c>
      <c r="E284">
        <f t="shared" si="4"/>
        <v>2.1023139606457031E-21</v>
      </c>
    </row>
    <row r="285" spans="1:5" x14ac:dyDescent="0.25">
      <c r="A285">
        <v>0</v>
      </c>
      <c r="B285">
        <v>10</v>
      </c>
      <c r="C285">
        <v>24</v>
      </c>
      <c r="D285">
        <v>14</v>
      </c>
      <c r="E285">
        <f t="shared" si="4"/>
        <v>5.0168855879045196E-21</v>
      </c>
    </row>
    <row r="286" spans="1:5" x14ac:dyDescent="0.25">
      <c r="A286">
        <v>0</v>
      </c>
      <c r="B286">
        <v>10</v>
      </c>
      <c r="C286">
        <v>25</v>
      </c>
      <c r="D286">
        <v>13</v>
      </c>
      <c r="E286">
        <f t="shared" si="4"/>
        <v>9.5989744248573207E-21</v>
      </c>
    </row>
    <row r="287" spans="1:5" x14ac:dyDescent="0.25">
      <c r="A287">
        <v>0</v>
      </c>
      <c r="B287">
        <v>10</v>
      </c>
      <c r="C287">
        <v>26</v>
      </c>
      <c r="D287">
        <v>12</v>
      </c>
      <c r="E287">
        <f t="shared" si="4"/>
        <v>1.4767652961318943E-20</v>
      </c>
    </row>
    <row r="288" spans="1:5" x14ac:dyDescent="0.25">
      <c r="A288">
        <v>0</v>
      </c>
      <c r="B288">
        <v>10</v>
      </c>
      <c r="C288">
        <v>27</v>
      </c>
      <c r="D288">
        <v>11</v>
      </c>
      <c r="E288">
        <f t="shared" si="4"/>
        <v>1.8283760809252021E-20</v>
      </c>
    </row>
    <row r="289" spans="1:5" x14ac:dyDescent="0.25">
      <c r="A289">
        <v>0</v>
      </c>
      <c r="B289">
        <v>10</v>
      </c>
      <c r="C289">
        <v>28</v>
      </c>
      <c r="D289">
        <v>10</v>
      </c>
      <c r="E289">
        <f t="shared" si="4"/>
        <v>1.8196695281588917E-20</v>
      </c>
    </row>
    <row r="290" spans="1:5" x14ac:dyDescent="0.25">
      <c r="A290">
        <v>0</v>
      </c>
      <c r="B290">
        <v>10</v>
      </c>
      <c r="C290">
        <v>29</v>
      </c>
      <c r="D290">
        <v>9</v>
      </c>
      <c r="E290">
        <f t="shared" si="4"/>
        <v>1.4510295806439444E-20</v>
      </c>
    </row>
    <row r="291" spans="1:5" x14ac:dyDescent="0.25">
      <c r="A291">
        <v>0</v>
      </c>
      <c r="B291">
        <v>10</v>
      </c>
      <c r="C291">
        <v>30</v>
      </c>
      <c r="D291">
        <v>8</v>
      </c>
      <c r="E291">
        <f t="shared" si="4"/>
        <v>9.2183055711497617E-21</v>
      </c>
    </row>
    <row r="292" spans="1:5" x14ac:dyDescent="0.25">
      <c r="A292">
        <v>0</v>
      </c>
      <c r="B292">
        <v>10</v>
      </c>
      <c r="C292">
        <v>31</v>
      </c>
      <c r="D292">
        <v>7</v>
      </c>
      <c r="E292">
        <f t="shared" si="4"/>
        <v>4.6256730464550792E-21</v>
      </c>
    </row>
    <row r="293" spans="1:5" x14ac:dyDescent="0.25">
      <c r="A293">
        <v>0</v>
      </c>
      <c r="B293">
        <v>10</v>
      </c>
      <c r="C293">
        <v>32</v>
      </c>
      <c r="D293">
        <v>6</v>
      </c>
      <c r="E293">
        <f t="shared" si="4"/>
        <v>1.8107075412110335E-21</v>
      </c>
    </row>
    <row r="294" spans="1:5" x14ac:dyDescent="0.25">
      <c r="A294">
        <v>0</v>
      </c>
      <c r="B294">
        <v>10</v>
      </c>
      <c r="C294">
        <v>33</v>
      </c>
      <c r="D294">
        <v>5</v>
      </c>
      <c r="E294">
        <f t="shared" si="4"/>
        <v>5.4321226236331005E-22</v>
      </c>
    </row>
    <row r="295" spans="1:5" x14ac:dyDescent="0.25">
      <c r="A295">
        <v>0</v>
      </c>
      <c r="B295">
        <v>10</v>
      </c>
      <c r="C295">
        <v>34</v>
      </c>
      <c r="D295">
        <v>4</v>
      </c>
      <c r="E295">
        <f t="shared" si="4"/>
        <v>1.2172823806460734E-22</v>
      </c>
    </row>
    <row r="296" spans="1:5" x14ac:dyDescent="0.25">
      <c r="A296">
        <v>0</v>
      </c>
      <c r="B296">
        <v>10</v>
      </c>
      <c r="C296">
        <v>35</v>
      </c>
      <c r="D296">
        <v>3</v>
      </c>
      <c r="E296">
        <f t="shared" si="4"/>
        <v>1.9602988987027672E-23</v>
      </c>
    </row>
    <row r="297" spans="1:5" x14ac:dyDescent="0.25">
      <c r="A297">
        <v>0</v>
      </c>
      <c r="B297">
        <v>10</v>
      </c>
      <c r="C297">
        <v>36</v>
      </c>
      <c r="D297">
        <v>2</v>
      </c>
      <c r="E297">
        <f t="shared" si="4"/>
        <v>2.1307596725030084E-24</v>
      </c>
    </row>
    <row r="298" spans="1:5" x14ac:dyDescent="0.25">
      <c r="A298">
        <v>0</v>
      </c>
      <c r="B298">
        <v>10</v>
      </c>
      <c r="C298">
        <v>37</v>
      </c>
      <c r="D298">
        <v>1</v>
      </c>
      <c r="E298">
        <f t="shared" si="4"/>
        <v>1.3917123987069194E-25</v>
      </c>
    </row>
    <row r="299" spans="1:5" x14ac:dyDescent="0.25">
      <c r="A299">
        <v>0</v>
      </c>
      <c r="B299">
        <v>10</v>
      </c>
      <c r="C299">
        <v>38</v>
      </c>
      <c r="D299">
        <v>0</v>
      </c>
      <c r="E299">
        <f t="shared" si="4"/>
        <v>4.1018891751361832E-27</v>
      </c>
    </row>
    <row r="300" spans="1:5" x14ac:dyDescent="0.25">
      <c r="A300">
        <v>0</v>
      </c>
      <c r="B300">
        <v>11</v>
      </c>
      <c r="C300">
        <v>12</v>
      </c>
      <c r="D300">
        <v>25</v>
      </c>
      <c r="E300">
        <f t="shared" si="4"/>
        <v>2.8935932017279003E-31</v>
      </c>
    </row>
    <row r="301" spans="1:5" x14ac:dyDescent="0.25">
      <c r="A301">
        <v>0</v>
      </c>
      <c r="B301">
        <v>11</v>
      </c>
      <c r="C301">
        <v>13</v>
      </c>
      <c r="D301">
        <v>24</v>
      </c>
      <c r="E301">
        <f t="shared" si="4"/>
        <v>2.9492392248380536E-29</v>
      </c>
    </row>
    <row r="302" spans="1:5" x14ac:dyDescent="0.25">
      <c r="A302">
        <v>0</v>
      </c>
      <c r="B302">
        <v>11</v>
      </c>
      <c r="C302">
        <v>14</v>
      </c>
      <c r="D302">
        <v>23</v>
      </c>
      <c r="E302">
        <f t="shared" si="4"/>
        <v>1.3145180544992467E-27</v>
      </c>
    </row>
    <row r="303" spans="1:5" x14ac:dyDescent="0.25">
      <c r="A303">
        <v>0</v>
      </c>
      <c r="B303">
        <v>11</v>
      </c>
      <c r="C303">
        <v>15</v>
      </c>
      <c r="D303">
        <v>22</v>
      </c>
      <c r="E303">
        <f t="shared" si="4"/>
        <v>3.4265103953947021E-26</v>
      </c>
    </row>
    <row r="304" spans="1:5" x14ac:dyDescent="0.25">
      <c r="A304">
        <v>0</v>
      </c>
      <c r="B304">
        <v>11</v>
      </c>
      <c r="C304">
        <v>16</v>
      </c>
      <c r="D304">
        <v>21</v>
      </c>
      <c r="E304">
        <f t="shared" si="4"/>
        <v>5.8893147420846454E-25</v>
      </c>
    </row>
    <row r="305" spans="1:5" x14ac:dyDescent="0.25">
      <c r="A305">
        <v>0</v>
      </c>
      <c r="B305">
        <v>11</v>
      </c>
      <c r="C305">
        <v>17</v>
      </c>
      <c r="D305">
        <v>20</v>
      </c>
      <c r="E305">
        <f t="shared" si="4"/>
        <v>7.1295351407118841E-24</v>
      </c>
    </row>
    <row r="306" spans="1:5" x14ac:dyDescent="0.25">
      <c r="A306">
        <v>0</v>
      </c>
      <c r="B306">
        <v>11</v>
      </c>
      <c r="C306">
        <v>18</v>
      </c>
      <c r="D306">
        <v>19</v>
      </c>
      <c r="E306">
        <f t="shared" si="4"/>
        <v>6.3373645695216696E-23</v>
      </c>
    </row>
    <row r="307" spans="1:5" x14ac:dyDescent="0.25">
      <c r="A307">
        <v>0</v>
      </c>
      <c r="B307">
        <v>11</v>
      </c>
      <c r="C307">
        <v>19</v>
      </c>
      <c r="D307">
        <v>18</v>
      </c>
      <c r="E307">
        <f t="shared" si="4"/>
        <v>4.2550876395359815E-22</v>
      </c>
    </row>
    <row r="308" spans="1:5" x14ac:dyDescent="0.25">
      <c r="A308">
        <v>0</v>
      </c>
      <c r="B308">
        <v>11</v>
      </c>
      <c r="C308">
        <v>20</v>
      </c>
      <c r="D308">
        <v>17</v>
      </c>
      <c r="E308">
        <f t="shared" si="4"/>
        <v>2.2020078534598717E-21</v>
      </c>
    </row>
    <row r="309" spans="1:5" x14ac:dyDescent="0.25">
      <c r="A309">
        <v>0</v>
      </c>
      <c r="B309">
        <v>11</v>
      </c>
      <c r="C309">
        <v>21</v>
      </c>
      <c r="D309">
        <v>16</v>
      </c>
      <c r="E309">
        <f t="shared" si="4"/>
        <v>8.9128889306708997E-21</v>
      </c>
    </row>
    <row r="310" spans="1:5" x14ac:dyDescent="0.25">
      <c r="A310">
        <v>0</v>
      </c>
      <c r="B310">
        <v>11</v>
      </c>
      <c r="C310">
        <v>22</v>
      </c>
      <c r="D310">
        <v>15</v>
      </c>
      <c r="E310">
        <f t="shared" si="4"/>
        <v>2.8521244578146892E-20</v>
      </c>
    </row>
    <row r="311" spans="1:5" x14ac:dyDescent="0.25">
      <c r="A311">
        <v>0</v>
      </c>
      <c r="B311">
        <v>11</v>
      </c>
      <c r="C311">
        <v>23</v>
      </c>
      <c r="D311">
        <v>14</v>
      </c>
      <c r="E311">
        <f t="shared" si="4"/>
        <v>7.2712263845473292E-20</v>
      </c>
    </row>
    <row r="312" spans="1:5" x14ac:dyDescent="0.25">
      <c r="A312">
        <v>0</v>
      </c>
      <c r="B312">
        <v>11</v>
      </c>
      <c r="C312">
        <v>24</v>
      </c>
      <c r="D312">
        <v>13</v>
      </c>
      <c r="E312">
        <f t="shared" si="4"/>
        <v>1.4845420535117466E-19</v>
      </c>
    </row>
    <row r="313" spans="1:5" x14ac:dyDescent="0.25">
      <c r="A313">
        <v>0</v>
      </c>
      <c r="B313">
        <v>11</v>
      </c>
      <c r="C313">
        <v>25</v>
      </c>
      <c r="D313">
        <v>12</v>
      </c>
      <c r="E313">
        <f t="shared" si="4"/>
        <v>2.4346489677592655E-19</v>
      </c>
    </row>
    <row r="314" spans="1:5" x14ac:dyDescent="0.25">
      <c r="A314">
        <v>0</v>
      </c>
      <c r="B314">
        <v>11</v>
      </c>
      <c r="C314">
        <v>26</v>
      </c>
      <c r="D314">
        <v>11</v>
      </c>
      <c r="E314">
        <f t="shared" si="4"/>
        <v>3.2105261113308965E-19</v>
      </c>
    </row>
    <row r="315" spans="1:5" x14ac:dyDescent="0.25">
      <c r="A315">
        <v>0</v>
      </c>
      <c r="B315">
        <v>11</v>
      </c>
      <c r="C315">
        <v>27</v>
      </c>
      <c r="D315">
        <v>10</v>
      </c>
      <c r="E315">
        <f t="shared" si="4"/>
        <v>3.4007795105208749E-19</v>
      </c>
    </row>
    <row r="316" spans="1:5" x14ac:dyDescent="0.25">
      <c r="A316">
        <v>0</v>
      </c>
      <c r="B316">
        <v>11</v>
      </c>
      <c r="C316">
        <v>28</v>
      </c>
      <c r="D316">
        <v>9</v>
      </c>
      <c r="E316">
        <f t="shared" si="4"/>
        <v>2.8845897633882433E-19</v>
      </c>
    </row>
    <row r="317" spans="1:5" x14ac:dyDescent="0.25">
      <c r="A317">
        <v>0</v>
      </c>
      <c r="B317">
        <v>11</v>
      </c>
      <c r="C317">
        <v>29</v>
      </c>
      <c r="D317">
        <v>8</v>
      </c>
      <c r="E317">
        <f t="shared" si="4"/>
        <v>1.9484145866293815E-19</v>
      </c>
    </row>
    <row r="318" spans="1:5" x14ac:dyDescent="0.25">
      <c r="A318">
        <v>0</v>
      </c>
      <c r="B318">
        <v>11</v>
      </c>
      <c r="C318">
        <v>30</v>
      </c>
      <c r="D318">
        <v>7</v>
      </c>
      <c r="E318">
        <f t="shared" si="4"/>
        <v>1.039154446202337E-19</v>
      </c>
    </row>
    <row r="319" spans="1:5" x14ac:dyDescent="0.25">
      <c r="A319">
        <v>0</v>
      </c>
      <c r="B319">
        <v>11</v>
      </c>
      <c r="C319">
        <v>31</v>
      </c>
      <c r="D319">
        <v>6</v>
      </c>
      <c r="E319">
        <f t="shared" si="4"/>
        <v>4.3224590716396006E-20</v>
      </c>
    </row>
    <row r="320" spans="1:5" x14ac:dyDescent="0.25">
      <c r="A320">
        <v>0</v>
      </c>
      <c r="B320">
        <v>11</v>
      </c>
      <c r="C320">
        <v>32</v>
      </c>
      <c r="D320">
        <v>5</v>
      </c>
      <c r="E320">
        <f t="shared" si="4"/>
        <v>1.3777838290851225E-20</v>
      </c>
    </row>
    <row r="321" spans="1:5" x14ac:dyDescent="0.25">
      <c r="A321">
        <v>0</v>
      </c>
      <c r="B321">
        <v>11</v>
      </c>
      <c r="C321">
        <v>33</v>
      </c>
      <c r="D321">
        <v>4</v>
      </c>
      <c r="E321">
        <f t="shared" si="4"/>
        <v>3.2804376882979111E-21</v>
      </c>
    </row>
    <row r="322" spans="1:5" x14ac:dyDescent="0.25">
      <c r="A322">
        <v>0</v>
      </c>
      <c r="B322">
        <v>11</v>
      </c>
      <c r="C322">
        <v>34</v>
      </c>
      <c r="D322">
        <v>3</v>
      </c>
      <c r="E322">
        <f t="shared" si="4"/>
        <v>5.6135832099215601E-22</v>
      </c>
    </row>
    <row r="323" spans="1:5" x14ac:dyDescent="0.25">
      <c r="A323">
        <v>0</v>
      </c>
      <c r="B323">
        <v>11</v>
      </c>
      <c r="C323">
        <v>35</v>
      </c>
      <c r="D323">
        <v>2</v>
      </c>
      <c r="E323">
        <f t="shared" si="4"/>
        <v>6.4852576214000628E-23</v>
      </c>
    </row>
    <row r="324" spans="1:5" x14ac:dyDescent="0.25">
      <c r="A324">
        <v>0</v>
      </c>
      <c r="B324">
        <v>11</v>
      </c>
      <c r="C324">
        <v>36</v>
      </c>
      <c r="D324">
        <v>1</v>
      </c>
      <c r="E324">
        <f t="shared" si="4"/>
        <v>4.5036511259722667E-24</v>
      </c>
    </row>
    <row r="325" spans="1:5" x14ac:dyDescent="0.25">
      <c r="A325">
        <v>0</v>
      </c>
      <c r="B325">
        <v>11</v>
      </c>
      <c r="C325">
        <v>37</v>
      </c>
      <c r="D325">
        <v>0</v>
      </c>
      <c r="E325">
        <f t="shared" si="4"/>
        <v>1.4119554881426564E-25</v>
      </c>
    </row>
    <row r="326" spans="1:5" x14ac:dyDescent="0.25">
      <c r="A326">
        <v>0</v>
      </c>
      <c r="B326">
        <v>12</v>
      </c>
      <c r="C326">
        <v>11</v>
      </c>
      <c r="D326">
        <v>25</v>
      </c>
      <c r="E326">
        <f t="shared" si="4"/>
        <v>1.4896646482969569E-30</v>
      </c>
    </row>
    <row r="327" spans="1:5" x14ac:dyDescent="0.25">
      <c r="A327">
        <v>0</v>
      </c>
      <c r="B327">
        <v>12</v>
      </c>
      <c r="C327">
        <v>12</v>
      </c>
      <c r="D327">
        <v>24</v>
      </c>
      <c r="E327">
        <f t="shared" si="4"/>
        <v>1.6758727293340753E-28</v>
      </c>
    </row>
    <row r="328" spans="1:5" x14ac:dyDescent="0.25">
      <c r="A328">
        <v>0</v>
      </c>
      <c r="B328">
        <v>12</v>
      </c>
      <c r="C328">
        <v>13</v>
      </c>
      <c r="D328">
        <v>23</v>
      </c>
      <c r="E328">
        <f t="shared" si="4"/>
        <v>8.198885045049788E-27</v>
      </c>
    </row>
    <row r="329" spans="1:5" x14ac:dyDescent="0.25">
      <c r="A329">
        <v>0</v>
      </c>
      <c r="B329">
        <v>12</v>
      </c>
      <c r="C329">
        <v>14</v>
      </c>
      <c r="D329">
        <v>22</v>
      </c>
      <c r="E329">
        <f t="shared" si="4"/>
        <v>2.3347301223522736E-25</v>
      </c>
    </row>
    <row r="330" spans="1:5" x14ac:dyDescent="0.25">
      <c r="A330">
        <v>0</v>
      </c>
      <c r="B330">
        <v>12</v>
      </c>
      <c r="C330">
        <v>15</v>
      </c>
      <c r="D330">
        <v>21</v>
      </c>
      <c r="E330">
        <f t="shared" si="4"/>
        <v>4.3659453287987498E-24</v>
      </c>
    </row>
    <row r="331" spans="1:5" x14ac:dyDescent="0.25">
      <c r="A331">
        <v>0</v>
      </c>
      <c r="B331">
        <v>12</v>
      </c>
      <c r="C331">
        <v>16</v>
      </c>
      <c r="D331">
        <v>20</v>
      </c>
      <c r="E331">
        <f t="shared" si="4"/>
        <v>5.7303032440483588E-23</v>
      </c>
    </row>
    <row r="332" spans="1:5" x14ac:dyDescent="0.25">
      <c r="A332">
        <v>0</v>
      </c>
      <c r="B332">
        <v>12</v>
      </c>
      <c r="C332">
        <v>17</v>
      </c>
      <c r="D332">
        <v>19</v>
      </c>
      <c r="E332">
        <f t="shared" si="4"/>
        <v>5.5055854697719548E-22</v>
      </c>
    </row>
    <row r="333" spans="1:5" x14ac:dyDescent="0.25">
      <c r="A333">
        <v>0</v>
      </c>
      <c r="B333">
        <v>12</v>
      </c>
      <c r="C333">
        <v>18</v>
      </c>
      <c r="D333">
        <v>18</v>
      </c>
      <c r="E333">
        <f t="shared" si="4"/>
        <v>3.9849951971682699E-21</v>
      </c>
    </row>
    <row r="334" spans="1:5" x14ac:dyDescent="0.25">
      <c r="A334">
        <v>0</v>
      </c>
      <c r="B334">
        <v>12</v>
      </c>
      <c r="C334">
        <v>19</v>
      </c>
      <c r="D334">
        <v>17</v>
      </c>
      <c r="E334">
        <f t="shared" ref="E334:E397" si="5">COMBIN(A$4,A334)*COMBIN(B$4,B334)*COMBIN(C$4,C334)*COMBIN(D$4,D334)/COMBIN($G$4,$F$4)</f>
        <v>2.2179644321081297E-20</v>
      </c>
    </row>
    <row r="335" spans="1:5" x14ac:dyDescent="0.25">
      <c r="A335">
        <v>0</v>
      </c>
      <c r="B335">
        <v>12</v>
      </c>
      <c r="C335">
        <v>20</v>
      </c>
      <c r="D335">
        <v>16</v>
      </c>
      <c r="E335">
        <f t="shared" si="5"/>
        <v>9.63582325504755E-20</v>
      </c>
    </row>
    <row r="336" spans="1:5" x14ac:dyDescent="0.25">
      <c r="A336">
        <v>0</v>
      </c>
      <c r="B336">
        <v>12</v>
      </c>
      <c r="C336">
        <v>21</v>
      </c>
      <c r="D336">
        <v>15</v>
      </c>
      <c r="E336">
        <f t="shared" si="5"/>
        <v>3.3037108303020122E-19</v>
      </c>
    </row>
    <row r="337" spans="1:5" x14ac:dyDescent="0.25">
      <c r="A337">
        <v>0</v>
      </c>
      <c r="B337">
        <v>12</v>
      </c>
      <c r="C337">
        <v>22</v>
      </c>
      <c r="D337">
        <v>14</v>
      </c>
      <c r="E337">
        <f t="shared" si="5"/>
        <v>9.0101204462782218E-19</v>
      </c>
    </row>
    <row r="338" spans="1:5" x14ac:dyDescent="0.25">
      <c r="A338">
        <v>0</v>
      </c>
      <c r="B338">
        <v>12</v>
      </c>
      <c r="C338">
        <v>23</v>
      </c>
      <c r="D338">
        <v>13</v>
      </c>
      <c r="E338">
        <f t="shared" si="5"/>
        <v>1.965250908934598E-18</v>
      </c>
    </row>
    <row r="339" spans="1:5" x14ac:dyDescent="0.25">
      <c r="A339">
        <v>0</v>
      </c>
      <c r="B339">
        <v>12</v>
      </c>
      <c r="C339">
        <v>24</v>
      </c>
      <c r="D339">
        <v>12</v>
      </c>
      <c r="E339">
        <f t="shared" si="5"/>
        <v>3.4391890906355464E-18</v>
      </c>
    </row>
    <row r="340" spans="1:5" x14ac:dyDescent="0.25">
      <c r="A340">
        <v>0</v>
      </c>
      <c r="B340">
        <v>12</v>
      </c>
      <c r="C340">
        <v>25</v>
      </c>
      <c r="D340">
        <v>11</v>
      </c>
      <c r="E340">
        <f t="shared" si="5"/>
        <v>4.834517235979111E-18</v>
      </c>
    </row>
    <row r="341" spans="1:5" x14ac:dyDescent="0.25">
      <c r="A341">
        <v>0</v>
      </c>
      <c r="B341">
        <v>12</v>
      </c>
      <c r="C341">
        <v>26</v>
      </c>
      <c r="D341">
        <v>10</v>
      </c>
      <c r="E341">
        <f t="shared" si="5"/>
        <v>5.4543271380277108E-18</v>
      </c>
    </row>
    <row r="342" spans="1:5" x14ac:dyDescent="0.25">
      <c r="A342">
        <v>0</v>
      </c>
      <c r="B342">
        <v>12</v>
      </c>
      <c r="C342">
        <v>27</v>
      </c>
      <c r="D342">
        <v>9</v>
      </c>
      <c r="E342">
        <f t="shared" si="5"/>
        <v>4.9240453329416838E-18</v>
      </c>
    </row>
    <row r="343" spans="1:5" x14ac:dyDescent="0.25">
      <c r="A343">
        <v>0</v>
      </c>
      <c r="B343">
        <v>12</v>
      </c>
      <c r="C343">
        <v>28</v>
      </c>
      <c r="D343">
        <v>8</v>
      </c>
      <c r="E343">
        <f t="shared" si="5"/>
        <v>3.5378645039202857E-18</v>
      </c>
    </row>
    <row r="344" spans="1:5" x14ac:dyDescent="0.25">
      <c r="A344">
        <v>0</v>
      </c>
      <c r="B344">
        <v>12</v>
      </c>
      <c r="C344">
        <v>29</v>
      </c>
      <c r="D344">
        <v>7</v>
      </c>
      <c r="E344">
        <f t="shared" si="5"/>
        <v>2.0061453891961784E-18</v>
      </c>
    </row>
    <row r="345" spans="1:5" x14ac:dyDescent="0.25">
      <c r="A345">
        <v>0</v>
      </c>
      <c r="B345">
        <v>12</v>
      </c>
      <c r="C345">
        <v>30</v>
      </c>
      <c r="D345">
        <v>6</v>
      </c>
      <c r="E345">
        <f t="shared" si="5"/>
        <v>8.8692743522357321E-19</v>
      </c>
    </row>
    <row r="346" spans="1:5" x14ac:dyDescent="0.25">
      <c r="A346">
        <v>0</v>
      </c>
      <c r="B346">
        <v>12</v>
      </c>
      <c r="C346">
        <v>31</v>
      </c>
      <c r="D346">
        <v>5</v>
      </c>
      <c r="E346">
        <f t="shared" si="5"/>
        <v>3.0041090547895224E-19</v>
      </c>
    </row>
    <row r="347" spans="1:5" x14ac:dyDescent="0.25">
      <c r="A347">
        <v>0</v>
      </c>
      <c r="B347">
        <v>12</v>
      </c>
      <c r="C347">
        <v>32</v>
      </c>
      <c r="D347">
        <v>4</v>
      </c>
      <c r="E347">
        <f t="shared" si="5"/>
        <v>7.5996806445568276E-20</v>
      </c>
    </row>
    <row r="348" spans="1:5" x14ac:dyDescent="0.25">
      <c r="A348">
        <v>0</v>
      </c>
      <c r="B348">
        <v>12</v>
      </c>
      <c r="C348">
        <v>33</v>
      </c>
      <c r="D348">
        <v>3</v>
      </c>
      <c r="E348">
        <f t="shared" si="5"/>
        <v>1.3817601171921503E-20</v>
      </c>
    </row>
    <row r="349" spans="1:5" x14ac:dyDescent="0.25">
      <c r="A349">
        <v>0</v>
      </c>
      <c r="B349">
        <v>12</v>
      </c>
      <c r="C349">
        <v>34</v>
      </c>
      <c r="D349">
        <v>2</v>
      </c>
      <c r="E349">
        <f t="shared" si="5"/>
        <v>1.6962784047371671E-21</v>
      </c>
    </row>
    <row r="350" spans="1:5" x14ac:dyDescent="0.25">
      <c r="A350">
        <v>0</v>
      </c>
      <c r="B350">
        <v>12</v>
      </c>
      <c r="C350">
        <v>35</v>
      </c>
      <c r="D350">
        <v>1</v>
      </c>
      <c r="E350">
        <f t="shared" si="5"/>
        <v>1.2520150130202897E-22</v>
      </c>
    </row>
    <row r="351" spans="1:5" x14ac:dyDescent="0.25">
      <c r="A351">
        <v>0</v>
      </c>
      <c r="B351">
        <v>12</v>
      </c>
      <c r="C351">
        <v>36</v>
      </c>
      <c r="D351">
        <v>0</v>
      </c>
      <c r="E351">
        <f t="shared" si="5"/>
        <v>4.1733833767343001E-24</v>
      </c>
    </row>
    <row r="352" spans="1:5" x14ac:dyDescent="0.25">
      <c r="A352">
        <v>0</v>
      </c>
      <c r="B352">
        <v>13</v>
      </c>
      <c r="C352">
        <v>10</v>
      </c>
      <c r="D352">
        <v>25</v>
      </c>
      <c r="E352">
        <f t="shared" si="5"/>
        <v>6.3482631935116465E-30</v>
      </c>
    </row>
    <row r="353" spans="1:5" x14ac:dyDescent="0.25">
      <c r="A353">
        <v>0</v>
      </c>
      <c r="B353">
        <v>13</v>
      </c>
      <c r="C353">
        <v>11</v>
      </c>
      <c r="D353">
        <v>24</v>
      </c>
      <c r="E353">
        <f t="shared" si="5"/>
        <v>7.9353289918895593E-28</v>
      </c>
    </row>
    <row r="354" spans="1:5" x14ac:dyDescent="0.25">
      <c r="A354">
        <v>0</v>
      </c>
      <c r="B354">
        <v>13</v>
      </c>
      <c r="C354">
        <v>12</v>
      </c>
      <c r="D354">
        <v>23</v>
      </c>
      <c r="E354">
        <f t="shared" si="5"/>
        <v>4.2850776556203598E-26</v>
      </c>
    </row>
    <row r="355" spans="1:5" x14ac:dyDescent="0.25">
      <c r="A355">
        <v>0</v>
      </c>
      <c r="B355">
        <v>13</v>
      </c>
      <c r="C355">
        <v>13</v>
      </c>
      <c r="D355">
        <v>22</v>
      </c>
      <c r="E355">
        <f t="shared" si="5"/>
        <v>1.3393614518464667E-24</v>
      </c>
    </row>
    <row r="356" spans="1:5" x14ac:dyDescent="0.25">
      <c r="A356">
        <v>0</v>
      </c>
      <c r="B356">
        <v>13</v>
      </c>
      <c r="C356">
        <v>14</v>
      </c>
      <c r="D356">
        <v>21</v>
      </c>
      <c r="E356">
        <f t="shared" si="5"/>
        <v>2.7361241087720686E-23</v>
      </c>
    </row>
    <row r="357" spans="1:5" x14ac:dyDescent="0.25">
      <c r="A357">
        <v>0</v>
      </c>
      <c r="B357">
        <v>13</v>
      </c>
      <c r="C357">
        <v>15</v>
      </c>
      <c r="D357">
        <v>20</v>
      </c>
      <c r="E357">
        <f t="shared" si="5"/>
        <v>3.9071852273265117E-22</v>
      </c>
    </row>
    <row r="358" spans="1:5" x14ac:dyDescent="0.25">
      <c r="A358">
        <v>0</v>
      </c>
      <c r="B358">
        <v>13</v>
      </c>
      <c r="C358">
        <v>16</v>
      </c>
      <c r="D358">
        <v>19</v>
      </c>
      <c r="E358">
        <f t="shared" si="5"/>
        <v>4.0699846117984503E-21</v>
      </c>
    </row>
    <row r="359" spans="1:5" x14ac:dyDescent="0.25">
      <c r="A359">
        <v>0</v>
      </c>
      <c r="B359">
        <v>13</v>
      </c>
      <c r="C359">
        <v>17</v>
      </c>
      <c r="D359">
        <v>18</v>
      </c>
      <c r="E359">
        <f t="shared" si="5"/>
        <v>3.1841644315834961E-20</v>
      </c>
    </row>
    <row r="360" spans="1:5" x14ac:dyDescent="0.25">
      <c r="A360">
        <v>0</v>
      </c>
      <c r="B360">
        <v>13</v>
      </c>
      <c r="C360">
        <v>18</v>
      </c>
      <c r="D360">
        <v>17</v>
      </c>
      <c r="E360">
        <f t="shared" si="5"/>
        <v>1.9104986589500951E-19</v>
      </c>
    </row>
    <row r="361" spans="1:5" x14ac:dyDescent="0.25">
      <c r="A361">
        <v>0</v>
      </c>
      <c r="B361">
        <v>13</v>
      </c>
      <c r="C361">
        <v>19</v>
      </c>
      <c r="D361">
        <v>16</v>
      </c>
      <c r="E361">
        <f t="shared" si="5"/>
        <v>8.9268329152112672E-19</v>
      </c>
    </row>
    <row r="362" spans="1:5" x14ac:dyDescent="0.25">
      <c r="A362">
        <v>0</v>
      </c>
      <c r="B362">
        <v>13</v>
      </c>
      <c r="C362">
        <v>20</v>
      </c>
      <c r="D362">
        <v>15</v>
      </c>
      <c r="E362">
        <f t="shared" si="5"/>
        <v>3.2850745127977491E-18</v>
      </c>
    </row>
    <row r="363" spans="1:5" x14ac:dyDescent="0.25">
      <c r="A363">
        <v>0</v>
      </c>
      <c r="B363">
        <v>13</v>
      </c>
      <c r="C363">
        <v>21</v>
      </c>
      <c r="D363">
        <v>14</v>
      </c>
      <c r="E363">
        <f t="shared" si="5"/>
        <v>9.5992437062271795E-18</v>
      </c>
    </row>
    <row r="364" spans="1:5" x14ac:dyDescent="0.25">
      <c r="A364">
        <v>0</v>
      </c>
      <c r="B364">
        <v>13</v>
      </c>
      <c r="C364">
        <v>22</v>
      </c>
      <c r="D364">
        <v>13</v>
      </c>
      <c r="E364">
        <f t="shared" si="5"/>
        <v>2.2398235314530104E-17</v>
      </c>
    </row>
    <row r="365" spans="1:5" x14ac:dyDescent="0.25">
      <c r="A365">
        <v>0</v>
      </c>
      <c r="B365">
        <v>13</v>
      </c>
      <c r="C365">
        <v>23</v>
      </c>
      <c r="D365">
        <v>12</v>
      </c>
      <c r="E365">
        <f t="shared" si="5"/>
        <v>4.1874961674991051E-17</v>
      </c>
    </row>
    <row r="366" spans="1:5" x14ac:dyDescent="0.25">
      <c r="A366">
        <v>0</v>
      </c>
      <c r="B366">
        <v>13</v>
      </c>
      <c r="C366">
        <v>24</v>
      </c>
      <c r="D366">
        <v>11</v>
      </c>
      <c r="E366">
        <f t="shared" si="5"/>
        <v>6.2812442512486554E-17</v>
      </c>
    </row>
    <row r="367" spans="1:5" x14ac:dyDescent="0.25">
      <c r="A367">
        <v>0</v>
      </c>
      <c r="B367">
        <v>13</v>
      </c>
      <c r="C367">
        <v>25</v>
      </c>
      <c r="D367">
        <v>10</v>
      </c>
      <c r="E367">
        <f t="shared" si="5"/>
        <v>7.5542430861683857E-17</v>
      </c>
    </row>
    <row r="368" spans="1:5" x14ac:dyDescent="0.25">
      <c r="A368">
        <v>0</v>
      </c>
      <c r="B368">
        <v>13</v>
      </c>
      <c r="C368">
        <v>26</v>
      </c>
      <c r="D368">
        <v>9</v>
      </c>
      <c r="E368">
        <f t="shared" si="5"/>
        <v>7.2636952751619058E-17</v>
      </c>
    </row>
    <row r="369" spans="1:5" x14ac:dyDescent="0.25">
      <c r="A369">
        <v>0</v>
      </c>
      <c r="B369">
        <v>13</v>
      </c>
      <c r="C369">
        <v>27</v>
      </c>
      <c r="D369">
        <v>8</v>
      </c>
      <c r="E369">
        <f t="shared" si="5"/>
        <v>5.5545905045355751E-17</v>
      </c>
    </row>
    <row r="370" spans="1:5" x14ac:dyDescent="0.25">
      <c r="A370">
        <v>0</v>
      </c>
      <c r="B370">
        <v>13</v>
      </c>
      <c r="C370">
        <v>28</v>
      </c>
      <c r="D370">
        <v>7</v>
      </c>
      <c r="E370">
        <f t="shared" si="5"/>
        <v>3.3503879233706655E-17</v>
      </c>
    </row>
    <row r="371" spans="1:5" x14ac:dyDescent="0.25">
      <c r="A371">
        <v>0</v>
      </c>
      <c r="B371">
        <v>13</v>
      </c>
      <c r="C371">
        <v>29</v>
      </c>
      <c r="D371">
        <v>6</v>
      </c>
      <c r="E371">
        <f t="shared" si="5"/>
        <v>1.5748647407495502E-17</v>
      </c>
    </row>
    <row r="372" spans="1:5" x14ac:dyDescent="0.25">
      <c r="A372">
        <v>0</v>
      </c>
      <c r="B372">
        <v>13</v>
      </c>
      <c r="C372">
        <v>30</v>
      </c>
      <c r="D372">
        <v>5</v>
      </c>
      <c r="E372">
        <f t="shared" si="5"/>
        <v>5.6695130666983794E-18</v>
      </c>
    </row>
    <row r="373" spans="1:5" x14ac:dyDescent="0.25">
      <c r="A373">
        <v>0</v>
      </c>
      <c r="B373">
        <v>13</v>
      </c>
      <c r="C373">
        <v>31</v>
      </c>
      <c r="D373">
        <v>4</v>
      </c>
      <c r="E373">
        <f t="shared" si="5"/>
        <v>1.5240626523382749E-18</v>
      </c>
    </row>
    <row r="374" spans="1:5" x14ac:dyDescent="0.25">
      <c r="A374">
        <v>0</v>
      </c>
      <c r="B374">
        <v>13</v>
      </c>
      <c r="C374">
        <v>32</v>
      </c>
      <c r="D374">
        <v>3</v>
      </c>
      <c r="E374">
        <f t="shared" si="5"/>
        <v>2.9442119420171207E-19</v>
      </c>
    </row>
    <row r="375" spans="1:5" x14ac:dyDescent="0.25">
      <c r="A375">
        <v>0</v>
      </c>
      <c r="B375">
        <v>13</v>
      </c>
      <c r="C375">
        <v>33</v>
      </c>
      <c r="D375">
        <v>2</v>
      </c>
      <c r="E375">
        <f t="shared" si="5"/>
        <v>3.8402764461092877E-20</v>
      </c>
    </row>
    <row r="376" spans="1:5" x14ac:dyDescent="0.25">
      <c r="A376">
        <v>0</v>
      </c>
      <c r="B376">
        <v>13</v>
      </c>
      <c r="C376">
        <v>34</v>
      </c>
      <c r="D376">
        <v>1</v>
      </c>
      <c r="E376">
        <f t="shared" si="5"/>
        <v>3.0119815263602268E-21</v>
      </c>
    </row>
    <row r="377" spans="1:5" x14ac:dyDescent="0.25">
      <c r="A377">
        <v>0</v>
      </c>
      <c r="B377">
        <v>13</v>
      </c>
      <c r="C377">
        <v>35</v>
      </c>
      <c r="D377">
        <v>0</v>
      </c>
      <c r="E377">
        <f t="shared" si="5"/>
        <v>1.0671020264819087E-22</v>
      </c>
    </row>
    <row r="378" spans="1:5" x14ac:dyDescent="0.25">
      <c r="A378">
        <v>0</v>
      </c>
      <c r="B378">
        <v>14</v>
      </c>
      <c r="C378">
        <v>9</v>
      </c>
      <c r="D378">
        <v>25</v>
      </c>
      <c r="E378">
        <f t="shared" si="5"/>
        <v>2.2348477568995081E-29</v>
      </c>
    </row>
    <row r="379" spans="1:5" x14ac:dyDescent="0.25">
      <c r="A379">
        <v>0</v>
      </c>
      <c r="B379">
        <v>14</v>
      </c>
      <c r="C379">
        <v>10</v>
      </c>
      <c r="D379">
        <v>24</v>
      </c>
      <c r="E379">
        <f t="shared" si="5"/>
        <v>3.1287868596593114E-27</v>
      </c>
    </row>
    <row r="380" spans="1:5" x14ac:dyDescent="0.25">
      <c r="A380">
        <v>0</v>
      </c>
      <c r="B380">
        <v>14</v>
      </c>
      <c r="C380">
        <v>11</v>
      </c>
      <c r="D380">
        <v>23</v>
      </c>
      <c r="E380">
        <f t="shared" si="5"/>
        <v>1.8772721157955872E-25</v>
      </c>
    </row>
    <row r="381" spans="1:5" x14ac:dyDescent="0.25">
      <c r="A381">
        <v>0</v>
      </c>
      <c r="B381">
        <v>14</v>
      </c>
      <c r="C381">
        <v>12</v>
      </c>
      <c r="D381">
        <v>22</v>
      </c>
      <c r="E381">
        <f t="shared" si="5"/>
        <v>6.4765887994947717E-24</v>
      </c>
    </row>
    <row r="382" spans="1:5" x14ac:dyDescent="0.25">
      <c r="A382">
        <v>0</v>
      </c>
      <c r="B382">
        <v>14</v>
      </c>
      <c r="C382">
        <v>13</v>
      </c>
      <c r="D382">
        <v>21</v>
      </c>
      <c r="E382">
        <f t="shared" si="5"/>
        <v>1.4522504885020978E-22</v>
      </c>
    </row>
    <row r="383" spans="1:5" x14ac:dyDescent="0.25">
      <c r="A383">
        <v>0</v>
      </c>
      <c r="B383">
        <v>14</v>
      </c>
      <c r="C383">
        <v>14</v>
      </c>
      <c r="D383">
        <v>20</v>
      </c>
      <c r="E383">
        <f t="shared" si="5"/>
        <v>2.265510762063272E-21</v>
      </c>
    </row>
    <row r="384" spans="1:5" x14ac:dyDescent="0.25">
      <c r="A384">
        <v>0</v>
      </c>
      <c r="B384">
        <v>14</v>
      </c>
      <c r="C384">
        <v>15</v>
      </c>
      <c r="D384">
        <v>19</v>
      </c>
      <c r="E384">
        <f t="shared" si="5"/>
        <v>2.5675788636717076E-20</v>
      </c>
    </row>
    <row r="385" spans="1:5" x14ac:dyDescent="0.25">
      <c r="A385">
        <v>0</v>
      </c>
      <c r="B385">
        <v>14</v>
      </c>
      <c r="C385">
        <v>16</v>
      </c>
      <c r="D385">
        <v>18</v>
      </c>
      <c r="E385">
        <f t="shared" si="5"/>
        <v>2.1778570718643957E-19</v>
      </c>
    </row>
    <row r="386" spans="1:5" x14ac:dyDescent="0.25">
      <c r="A386">
        <v>0</v>
      </c>
      <c r="B386">
        <v>14</v>
      </c>
      <c r="C386">
        <v>17</v>
      </c>
      <c r="D386">
        <v>17</v>
      </c>
      <c r="E386">
        <f t="shared" si="5"/>
        <v>1.4124043657238219E-18</v>
      </c>
    </row>
    <row r="387" spans="1:5" x14ac:dyDescent="0.25">
      <c r="A387">
        <v>0</v>
      </c>
      <c r="B387">
        <v>14</v>
      </c>
      <c r="C387">
        <v>18</v>
      </c>
      <c r="D387">
        <v>16</v>
      </c>
      <c r="E387">
        <f t="shared" si="5"/>
        <v>7.1143331014236879E-18</v>
      </c>
    </row>
    <row r="388" spans="1:5" x14ac:dyDescent="0.25">
      <c r="A388">
        <v>0</v>
      </c>
      <c r="B388">
        <v>14</v>
      </c>
      <c r="C388">
        <v>19</v>
      </c>
      <c r="D388">
        <v>15</v>
      </c>
      <c r="E388">
        <f t="shared" si="5"/>
        <v>2.8157781538266393E-17</v>
      </c>
    </row>
    <row r="389" spans="1:5" x14ac:dyDescent="0.25">
      <c r="A389">
        <v>0</v>
      </c>
      <c r="B389">
        <v>14</v>
      </c>
      <c r="C389">
        <v>20</v>
      </c>
      <c r="D389">
        <v>14</v>
      </c>
      <c r="E389">
        <f t="shared" si="5"/>
        <v>8.831304209729015E-17</v>
      </c>
    </row>
    <row r="390" spans="1:5" x14ac:dyDescent="0.25">
      <c r="A390">
        <v>0</v>
      </c>
      <c r="B390">
        <v>14</v>
      </c>
      <c r="C390">
        <v>21</v>
      </c>
      <c r="D390">
        <v>13</v>
      </c>
      <c r="E390">
        <f t="shared" si="5"/>
        <v>2.207826052432251E-16</v>
      </c>
    </row>
    <row r="391" spans="1:5" x14ac:dyDescent="0.25">
      <c r="A391">
        <v>0</v>
      </c>
      <c r="B391">
        <v>14</v>
      </c>
      <c r="C391">
        <v>22</v>
      </c>
      <c r="D391">
        <v>12</v>
      </c>
      <c r="E391">
        <f t="shared" si="5"/>
        <v>4.415652104864505E-16</v>
      </c>
    </row>
    <row r="392" spans="1:5" x14ac:dyDescent="0.25">
      <c r="A392">
        <v>0</v>
      </c>
      <c r="B392">
        <v>14</v>
      </c>
      <c r="C392">
        <v>23</v>
      </c>
      <c r="D392">
        <v>11</v>
      </c>
      <c r="E392">
        <f t="shared" si="5"/>
        <v>7.0760139320188943E-16</v>
      </c>
    </row>
    <row r="393" spans="1:5" x14ac:dyDescent="0.25">
      <c r="A393">
        <v>0</v>
      </c>
      <c r="B393">
        <v>14</v>
      </c>
      <c r="C393">
        <v>24</v>
      </c>
      <c r="D393">
        <v>10</v>
      </c>
      <c r="E393">
        <f t="shared" si="5"/>
        <v>9.0808845460909123E-16</v>
      </c>
    </row>
    <row r="394" spans="1:5" x14ac:dyDescent="0.25">
      <c r="A394">
        <v>0</v>
      </c>
      <c r="B394">
        <v>14</v>
      </c>
      <c r="C394">
        <v>25</v>
      </c>
      <c r="D394">
        <v>9</v>
      </c>
      <c r="E394">
        <f t="shared" si="5"/>
        <v>9.3079066597431891E-16</v>
      </c>
    </row>
    <row r="395" spans="1:5" x14ac:dyDescent="0.25">
      <c r="A395">
        <v>0</v>
      </c>
      <c r="B395">
        <v>14</v>
      </c>
      <c r="C395">
        <v>26</v>
      </c>
      <c r="D395">
        <v>8</v>
      </c>
      <c r="E395">
        <f t="shared" si="5"/>
        <v>7.5811004468496524E-16</v>
      </c>
    </row>
    <row r="396" spans="1:5" x14ac:dyDescent="0.25">
      <c r="A396">
        <v>0</v>
      </c>
      <c r="B396">
        <v>14</v>
      </c>
      <c r="C396">
        <v>27</v>
      </c>
      <c r="D396">
        <v>7</v>
      </c>
      <c r="E396">
        <f t="shared" si="5"/>
        <v>4.8668792992121232E-16</v>
      </c>
    </row>
    <row r="397" spans="1:5" x14ac:dyDescent="0.25">
      <c r="A397">
        <v>0</v>
      </c>
      <c r="B397">
        <v>14</v>
      </c>
      <c r="C397">
        <v>28</v>
      </c>
      <c r="D397">
        <v>6</v>
      </c>
      <c r="E397">
        <f t="shared" si="5"/>
        <v>2.4334396496060611E-16</v>
      </c>
    </row>
    <row r="398" spans="1:5" x14ac:dyDescent="0.25">
      <c r="A398">
        <v>0</v>
      </c>
      <c r="B398">
        <v>14</v>
      </c>
      <c r="C398">
        <v>29</v>
      </c>
      <c r="D398">
        <v>5</v>
      </c>
      <c r="E398">
        <f t="shared" ref="E398:E461" si="6">COMBIN(A$4,A398)*COMBIN(B$4,B398)*COMBIN(C$4,C398)*COMBIN(D$4,D398)/COMBIN($G$4,$F$4)</f>
        <v>9.3142000381473393E-17</v>
      </c>
    </row>
    <row r="399" spans="1:5" x14ac:dyDescent="0.25">
      <c r="A399">
        <v>0</v>
      </c>
      <c r="B399">
        <v>14</v>
      </c>
      <c r="C399">
        <v>30</v>
      </c>
      <c r="D399">
        <v>4</v>
      </c>
      <c r="E399">
        <f t="shared" si="6"/>
        <v>2.6612000108992397E-17</v>
      </c>
    </row>
    <row r="400" spans="1:5" x14ac:dyDescent="0.25">
      <c r="A400">
        <v>0</v>
      </c>
      <c r="B400">
        <v>14</v>
      </c>
      <c r="C400">
        <v>31</v>
      </c>
      <c r="D400">
        <v>3</v>
      </c>
      <c r="E400">
        <f t="shared" si="6"/>
        <v>5.4628739226670618E-18</v>
      </c>
    </row>
    <row r="401" spans="1:5" x14ac:dyDescent="0.25">
      <c r="A401">
        <v>0</v>
      </c>
      <c r="B401">
        <v>14</v>
      </c>
      <c r="C401">
        <v>32</v>
      </c>
      <c r="D401">
        <v>2</v>
      </c>
      <c r="E401">
        <f t="shared" si="6"/>
        <v>7.5708307080440249E-19</v>
      </c>
    </row>
    <row r="402" spans="1:5" x14ac:dyDescent="0.25">
      <c r="A402">
        <v>0</v>
      </c>
      <c r="B402">
        <v>14</v>
      </c>
      <c r="C402">
        <v>33</v>
      </c>
      <c r="D402">
        <v>1</v>
      </c>
      <c r="E402">
        <f t="shared" si="6"/>
        <v>6.3090255900366878E-20</v>
      </c>
    </row>
    <row r="403" spans="1:5" x14ac:dyDescent="0.25">
      <c r="A403">
        <v>0</v>
      </c>
      <c r="B403">
        <v>14</v>
      </c>
      <c r="C403">
        <v>34</v>
      </c>
      <c r="D403">
        <v>0</v>
      </c>
      <c r="E403">
        <f t="shared" si="6"/>
        <v>2.3751625750726354E-21</v>
      </c>
    </row>
    <row r="404" spans="1:5" x14ac:dyDescent="0.25">
      <c r="A404">
        <v>0</v>
      </c>
      <c r="B404">
        <v>15</v>
      </c>
      <c r="C404">
        <v>8</v>
      </c>
      <c r="D404">
        <v>25</v>
      </c>
      <c r="E404">
        <f t="shared" si="6"/>
        <v>6.4692961383933129E-29</v>
      </c>
    </row>
    <row r="405" spans="1:5" x14ac:dyDescent="0.25">
      <c r="A405">
        <v>0</v>
      </c>
      <c r="B405">
        <v>15</v>
      </c>
      <c r="C405">
        <v>9</v>
      </c>
      <c r="D405">
        <v>24</v>
      </c>
      <c r="E405">
        <f t="shared" si="6"/>
        <v>1.0243052219122744E-26</v>
      </c>
    </row>
    <row r="406" spans="1:5" x14ac:dyDescent="0.25">
      <c r="A406">
        <v>0</v>
      </c>
      <c r="B406">
        <v>15</v>
      </c>
      <c r="C406">
        <v>10</v>
      </c>
      <c r="D406">
        <v>23</v>
      </c>
      <c r="E406">
        <f t="shared" si="6"/>
        <v>6.8833310912504849E-25</v>
      </c>
    </row>
    <row r="407" spans="1:5" x14ac:dyDescent="0.25">
      <c r="A407">
        <v>0</v>
      </c>
      <c r="B407">
        <v>15</v>
      </c>
      <c r="C407">
        <v>11</v>
      </c>
      <c r="D407">
        <v>22</v>
      </c>
      <c r="E407">
        <f t="shared" si="6"/>
        <v>2.6386102516460196E-23</v>
      </c>
    </row>
    <row r="408" spans="1:5" x14ac:dyDescent="0.25">
      <c r="A408">
        <v>0</v>
      </c>
      <c r="B408">
        <v>15</v>
      </c>
      <c r="C408">
        <v>12</v>
      </c>
      <c r="D408">
        <v>21</v>
      </c>
      <c r="E408">
        <f t="shared" si="6"/>
        <v>6.5305603728238949E-22</v>
      </c>
    </row>
    <row r="409" spans="1:5" x14ac:dyDescent="0.25">
      <c r="A409">
        <v>0</v>
      </c>
      <c r="B409">
        <v>15</v>
      </c>
      <c r="C409">
        <v>13</v>
      </c>
      <c r="D409">
        <v>20</v>
      </c>
      <c r="E409">
        <f t="shared" si="6"/>
        <v>1.1182328761466148E-20</v>
      </c>
    </row>
    <row r="410" spans="1:5" x14ac:dyDescent="0.25">
      <c r="A410">
        <v>0</v>
      </c>
      <c r="B410">
        <v>15</v>
      </c>
      <c r="C410">
        <v>14</v>
      </c>
      <c r="D410">
        <v>19</v>
      </c>
      <c r="E410">
        <f t="shared" si="6"/>
        <v>1.384478799038666E-19</v>
      </c>
    </row>
    <row r="411" spans="1:5" x14ac:dyDescent="0.25">
      <c r="A411">
        <v>0</v>
      </c>
      <c r="B411">
        <v>15</v>
      </c>
      <c r="C411">
        <v>15</v>
      </c>
      <c r="D411">
        <v>18</v>
      </c>
      <c r="E411">
        <f t="shared" si="6"/>
        <v>1.2776761488271117E-18</v>
      </c>
    </row>
    <row r="412" spans="1:5" x14ac:dyDescent="0.25">
      <c r="A412">
        <v>0</v>
      </c>
      <c r="B412">
        <v>15</v>
      </c>
      <c r="C412">
        <v>16</v>
      </c>
      <c r="D412">
        <v>17</v>
      </c>
      <c r="E412">
        <f t="shared" si="6"/>
        <v>8.9836604214406298E-18</v>
      </c>
    </row>
    <row r="413" spans="1:5" x14ac:dyDescent="0.25">
      <c r="A413">
        <v>0</v>
      </c>
      <c r="B413">
        <v>15</v>
      </c>
      <c r="C413">
        <v>17</v>
      </c>
      <c r="D413">
        <v>16</v>
      </c>
      <c r="E413">
        <f t="shared" si="6"/>
        <v>4.8911040072287898E-17</v>
      </c>
    </row>
    <row r="414" spans="1:5" x14ac:dyDescent="0.25">
      <c r="A414">
        <v>0</v>
      </c>
      <c r="B414">
        <v>15</v>
      </c>
      <c r="C414">
        <v>18</v>
      </c>
      <c r="D414">
        <v>15</v>
      </c>
      <c r="E414">
        <f t="shared" si="6"/>
        <v>2.0868710430842815E-16</v>
      </c>
    </row>
    <row r="415" spans="1:5" x14ac:dyDescent="0.25">
      <c r="A415">
        <v>0</v>
      </c>
      <c r="B415">
        <v>15</v>
      </c>
      <c r="C415">
        <v>19</v>
      </c>
      <c r="D415">
        <v>14</v>
      </c>
      <c r="E415">
        <f t="shared" si="6"/>
        <v>7.0394453845665993E-16</v>
      </c>
    </row>
    <row r="416" spans="1:5" x14ac:dyDescent="0.25">
      <c r="A416">
        <v>0</v>
      </c>
      <c r="B416">
        <v>15</v>
      </c>
      <c r="C416">
        <v>20</v>
      </c>
      <c r="D416">
        <v>13</v>
      </c>
      <c r="E416">
        <f t="shared" si="6"/>
        <v>1.8889178448587059E-15</v>
      </c>
    </row>
    <row r="417" spans="1:5" x14ac:dyDescent="0.25">
      <c r="A417">
        <v>0</v>
      </c>
      <c r="B417">
        <v>15</v>
      </c>
      <c r="C417">
        <v>21</v>
      </c>
      <c r="D417">
        <v>12</v>
      </c>
      <c r="E417">
        <f t="shared" si="6"/>
        <v>4.0476810961257938E-15</v>
      </c>
    </row>
    <row r="418" spans="1:5" x14ac:dyDescent="0.25">
      <c r="A418">
        <v>0</v>
      </c>
      <c r="B418">
        <v>15</v>
      </c>
      <c r="C418">
        <v>22</v>
      </c>
      <c r="D418">
        <v>11</v>
      </c>
      <c r="E418">
        <f t="shared" si="6"/>
        <v>6.9388818790727927E-15</v>
      </c>
    </row>
    <row r="419" spans="1:5" x14ac:dyDescent="0.25">
      <c r="A419">
        <v>0</v>
      </c>
      <c r="B419">
        <v>15</v>
      </c>
      <c r="C419">
        <v>23</v>
      </c>
      <c r="D419">
        <v>10</v>
      </c>
      <c r="E419">
        <f t="shared" si="6"/>
        <v>9.5133076197142868E-15</v>
      </c>
    </row>
    <row r="420" spans="1:5" x14ac:dyDescent="0.25">
      <c r="A420">
        <v>0</v>
      </c>
      <c r="B420">
        <v>15</v>
      </c>
      <c r="C420">
        <v>24</v>
      </c>
      <c r="D420">
        <v>9</v>
      </c>
      <c r="E420">
        <f t="shared" si="6"/>
        <v>1.0405180209062505E-14</v>
      </c>
    </row>
    <row r="421" spans="1:5" x14ac:dyDescent="0.25">
      <c r="A421">
        <v>0</v>
      </c>
      <c r="B421">
        <v>15</v>
      </c>
      <c r="C421">
        <v>25</v>
      </c>
      <c r="D421">
        <v>8</v>
      </c>
      <c r="E421">
        <f t="shared" si="6"/>
        <v>9.0341446991625078E-15</v>
      </c>
    </row>
    <row r="422" spans="1:5" x14ac:dyDescent="0.25">
      <c r="A422">
        <v>0</v>
      </c>
      <c r="B422">
        <v>15</v>
      </c>
      <c r="C422">
        <v>26</v>
      </c>
      <c r="D422">
        <v>7</v>
      </c>
      <c r="E422">
        <f t="shared" si="6"/>
        <v>6.1771929566923101E-15</v>
      </c>
    </row>
    <row r="423" spans="1:5" x14ac:dyDescent="0.25">
      <c r="A423">
        <v>0</v>
      </c>
      <c r="B423">
        <v>15</v>
      </c>
      <c r="C423">
        <v>27</v>
      </c>
      <c r="D423">
        <v>6</v>
      </c>
      <c r="E423">
        <f t="shared" si="6"/>
        <v>3.2872781231520464E-15</v>
      </c>
    </row>
    <row r="424" spans="1:5" x14ac:dyDescent="0.25">
      <c r="A424">
        <v>0</v>
      </c>
      <c r="B424">
        <v>15</v>
      </c>
      <c r="C424">
        <v>28</v>
      </c>
      <c r="D424">
        <v>5</v>
      </c>
      <c r="E424">
        <f t="shared" si="6"/>
        <v>1.3383918072833337E-15</v>
      </c>
    </row>
    <row r="425" spans="1:5" x14ac:dyDescent="0.25">
      <c r="A425">
        <v>0</v>
      </c>
      <c r="B425">
        <v>15</v>
      </c>
      <c r="C425">
        <v>29</v>
      </c>
      <c r="D425">
        <v>4</v>
      </c>
      <c r="E425">
        <f t="shared" si="6"/>
        <v>4.0657222388738398E-16</v>
      </c>
    </row>
    <row r="426" spans="1:5" x14ac:dyDescent="0.25">
      <c r="A426">
        <v>0</v>
      </c>
      <c r="B426">
        <v>15</v>
      </c>
      <c r="C426">
        <v>30</v>
      </c>
      <c r="D426">
        <v>3</v>
      </c>
      <c r="E426">
        <f t="shared" si="6"/>
        <v>8.8706667029974658E-17</v>
      </c>
    </row>
    <row r="427" spans="1:5" x14ac:dyDescent="0.25">
      <c r="A427">
        <v>0</v>
      </c>
      <c r="B427">
        <v>15</v>
      </c>
      <c r="C427">
        <v>31</v>
      </c>
      <c r="D427">
        <v>2</v>
      </c>
      <c r="E427">
        <f t="shared" si="6"/>
        <v>1.3063394162899493E-17</v>
      </c>
    </row>
    <row r="428" spans="1:5" x14ac:dyDescent="0.25">
      <c r="A428">
        <v>0</v>
      </c>
      <c r="B428">
        <v>15</v>
      </c>
      <c r="C428">
        <v>32</v>
      </c>
      <c r="D428">
        <v>1</v>
      </c>
      <c r="E428">
        <f t="shared" si="6"/>
        <v>1.1566546915067259E-18</v>
      </c>
    </row>
    <row r="429" spans="1:5" x14ac:dyDescent="0.25">
      <c r="A429">
        <v>0</v>
      </c>
      <c r="B429">
        <v>15</v>
      </c>
      <c r="C429">
        <v>33</v>
      </c>
      <c r="D429">
        <v>0</v>
      </c>
      <c r="E429">
        <f t="shared" si="6"/>
        <v>4.6266187660269035E-20</v>
      </c>
    </row>
    <row r="430" spans="1:5" x14ac:dyDescent="0.25">
      <c r="A430">
        <v>0</v>
      </c>
      <c r="B430">
        <v>16</v>
      </c>
      <c r="C430">
        <v>7</v>
      </c>
      <c r="D430">
        <v>25</v>
      </c>
      <c r="E430">
        <f t="shared" si="6"/>
        <v>1.5280923637239375E-28</v>
      </c>
    </row>
    <row r="431" spans="1:5" x14ac:dyDescent="0.25">
      <c r="A431">
        <v>0</v>
      </c>
      <c r="B431">
        <v>16</v>
      </c>
      <c r="C431">
        <v>8</v>
      </c>
      <c r="D431">
        <v>24</v>
      </c>
      <c r="E431">
        <f t="shared" si="6"/>
        <v>2.769667409249637E-26</v>
      </c>
    </row>
    <row r="432" spans="1:5" x14ac:dyDescent="0.25">
      <c r="A432">
        <v>0</v>
      </c>
      <c r="B432">
        <v>16</v>
      </c>
      <c r="C432">
        <v>9</v>
      </c>
      <c r="D432">
        <v>23</v>
      </c>
      <c r="E432">
        <f t="shared" si="6"/>
        <v>2.1049472310297234E-24</v>
      </c>
    </row>
    <row r="433" spans="1:5" x14ac:dyDescent="0.25">
      <c r="A433">
        <v>0</v>
      </c>
      <c r="B433">
        <v>16</v>
      </c>
      <c r="C433">
        <v>10</v>
      </c>
      <c r="D433">
        <v>22</v>
      </c>
      <c r="E433">
        <f t="shared" si="6"/>
        <v>9.0372401118876151E-23</v>
      </c>
    </row>
    <row r="434" spans="1:5" x14ac:dyDescent="0.25">
      <c r="A434">
        <v>0</v>
      </c>
      <c r="B434">
        <v>16</v>
      </c>
      <c r="C434">
        <v>11</v>
      </c>
      <c r="D434">
        <v>21</v>
      </c>
      <c r="E434">
        <f t="shared" si="6"/>
        <v>2.4852410307690949E-21</v>
      </c>
    </row>
    <row r="435" spans="1:5" x14ac:dyDescent="0.25">
      <c r="A435">
        <v>0</v>
      </c>
      <c r="B435">
        <v>16</v>
      </c>
      <c r="C435">
        <v>12</v>
      </c>
      <c r="D435">
        <v>20</v>
      </c>
      <c r="E435">
        <f t="shared" si="6"/>
        <v>4.6971055481535844E-20</v>
      </c>
    </row>
    <row r="436" spans="1:5" x14ac:dyDescent="0.25">
      <c r="A436">
        <v>0</v>
      </c>
      <c r="B436">
        <v>16</v>
      </c>
      <c r="C436">
        <v>13</v>
      </c>
      <c r="D436">
        <v>19</v>
      </c>
      <c r="E436">
        <f t="shared" si="6"/>
        <v>6.3832460013369268E-19</v>
      </c>
    </row>
    <row r="437" spans="1:5" x14ac:dyDescent="0.25">
      <c r="A437">
        <v>0</v>
      </c>
      <c r="B437">
        <v>16</v>
      </c>
      <c r="C437">
        <v>14</v>
      </c>
      <c r="D437">
        <v>18</v>
      </c>
      <c r="E437">
        <f t="shared" si="6"/>
        <v>6.4353541319600881E-18</v>
      </c>
    </row>
    <row r="438" spans="1:5" x14ac:dyDescent="0.25">
      <c r="A438">
        <v>0</v>
      </c>
      <c r="B438">
        <v>16</v>
      </c>
      <c r="C438">
        <v>15</v>
      </c>
      <c r="D438">
        <v>17</v>
      </c>
      <c r="E438">
        <f t="shared" si="6"/>
        <v>4.9230459109494643E-17</v>
      </c>
    </row>
    <row r="439" spans="1:5" x14ac:dyDescent="0.25">
      <c r="A439">
        <v>0</v>
      </c>
      <c r="B439">
        <v>16</v>
      </c>
      <c r="C439">
        <v>16</v>
      </c>
      <c r="D439">
        <v>16</v>
      </c>
      <c r="E439">
        <f t="shared" si="6"/>
        <v>2.9059646002132259E-16</v>
      </c>
    </row>
    <row r="440" spans="1:5" x14ac:dyDescent="0.25">
      <c r="A440">
        <v>0</v>
      </c>
      <c r="B440">
        <v>16</v>
      </c>
      <c r="C440">
        <v>17</v>
      </c>
      <c r="D440">
        <v>15</v>
      </c>
      <c r="E440">
        <f t="shared" si="6"/>
        <v>1.3401624979806883E-15</v>
      </c>
    </row>
    <row r="441" spans="1:5" x14ac:dyDescent="0.25">
      <c r="A441">
        <v>0</v>
      </c>
      <c r="B441">
        <v>16</v>
      </c>
      <c r="C441">
        <v>18</v>
      </c>
      <c r="D441">
        <v>14</v>
      </c>
      <c r="E441">
        <f t="shared" si="6"/>
        <v>4.8733181744752265E-15</v>
      </c>
    </row>
    <row r="442" spans="1:5" x14ac:dyDescent="0.25">
      <c r="A442">
        <v>0</v>
      </c>
      <c r="B442">
        <v>16</v>
      </c>
      <c r="C442">
        <v>19</v>
      </c>
      <c r="D442">
        <v>13</v>
      </c>
      <c r="E442">
        <f t="shared" si="6"/>
        <v>1.4064225257915355E-14</v>
      </c>
    </row>
    <row r="443" spans="1:5" x14ac:dyDescent="0.25">
      <c r="A443">
        <v>0</v>
      </c>
      <c r="B443">
        <v>16</v>
      </c>
      <c r="C443">
        <v>20</v>
      </c>
      <c r="D443">
        <v>12</v>
      </c>
      <c r="E443">
        <f t="shared" si="6"/>
        <v>3.2347718093205339E-14</v>
      </c>
    </row>
    <row r="444" spans="1:5" x14ac:dyDescent="0.25">
      <c r="A444">
        <v>0</v>
      </c>
      <c r="B444">
        <v>16</v>
      </c>
      <c r="C444">
        <v>21</v>
      </c>
      <c r="D444">
        <v>11</v>
      </c>
      <c r="E444">
        <f t="shared" si="6"/>
        <v>5.9414176089560743E-14</v>
      </c>
    </row>
    <row r="445" spans="1:5" x14ac:dyDescent="0.25">
      <c r="A445">
        <v>0</v>
      </c>
      <c r="B445">
        <v>16</v>
      </c>
      <c r="C445">
        <v>22</v>
      </c>
      <c r="D445">
        <v>10</v>
      </c>
      <c r="E445">
        <f t="shared" si="6"/>
        <v>8.7140791598022462E-14</v>
      </c>
    </row>
    <row r="446" spans="1:5" x14ac:dyDescent="0.25">
      <c r="A446">
        <v>0</v>
      </c>
      <c r="B446">
        <v>16</v>
      </c>
      <c r="C446">
        <v>23</v>
      </c>
      <c r="D446">
        <v>9</v>
      </c>
      <c r="E446">
        <f t="shared" si="6"/>
        <v>1.0182212061725451E-13</v>
      </c>
    </row>
    <row r="447" spans="1:5" x14ac:dyDescent="0.25">
      <c r="A447">
        <v>0</v>
      </c>
      <c r="B447">
        <v>16</v>
      </c>
      <c r="C447">
        <v>24</v>
      </c>
      <c r="D447">
        <v>8</v>
      </c>
      <c r="E447">
        <f t="shared" si="6"/>
        <v>9.4335199983632838E-14</v>
      </c>
    </row>
    <row r="448" spans="1:5" x14ac:dyDescent="0.25">
      <c r="A448">
        <v>0</v>
      </c>
      <c r="B448">
        <v>16</v>
      </c>
      <c r="C448">
        <v>25</v>
      </c>
      <c r="D448">
        <v>7</v>
      </c>
      <c r="E448">
        <f t="shared" si="6"/>
        <v>6.8759879099181315E-14</v>
      </c>
    </row>
    <row r="449" spans="1:5" x14ac:dyDescent="0.25">
      <c r="A449">
        <v>0</v>
      </c>
      <c r="B449">
        <v>16</v>
      </c>
      <c r="C449">
        <v>26</v>
      </c>
      <c r="D449">
        <v>6</v>
      </c>
      <c r="E449">
        <f t="shared" si="6"/>
        <v>3.897321082544686E-14</v>
      </c>
    </row>
    <row r="450" spans="1:5" x14ac:dyDescent="0.25">
      <c r="A450">
        <v>0</v>
      </c>
      <c r="B450">
        <v>16</v>
      </c>
      <c r="C450">
        <v>27</v>
      </c>
      <c r="D450">
        <v>5</v>
      </c>
      <c r="E450">
        <f t="shared" si="6"/>
        <v>1.6888391357693639E-14</v>
      </c>
    </row>
    <row r="451" spans="1:5" x14ac:dyDescent="0.25">
      <c r="A451">
        <v>0</v>
      </c>
      <c r="B451">
        <v>16</v>
      </c>
      <c r="C451">
        <v>28</v>
      </c>
      <c r="D451">
        <v>4</v>
      </c>
      <c r="E451">
        <f t="shared" si="6"/>
        <v>5.4571332618397828E-15</v>
      </c>
    </row>
    <row r="452" spans="1:5" x14ac:dyDescent="0.25">
      <c r="A452">
        <v>0</v>
      </c>
      <c r="B452">
        <v>16</v>
      </c>
      <c r="C452">
        <v>29</v>
      </c>
      <c r="D452">
        <v>3</v>
      </c>
      <c r="E452">
        <f t="shared" si="6"/>
        <v>1.2659180607402635E-15</v>
      </c>
    </row>
    <row r="453" spans="1:5" x14ac:dyDescent="0.25">
      <c r="A453">
        <v>0</v>
      </c>
      <c r="B453">
        <v>16</v>
      </c>
      <c r="C453">
        <v>30</v>
      </c>
      <c r="D453">
        <v>2</v>
      </c>
      <c r="E453">
        <f t="shared" si="6"/>
        <v>1.9814369646369337E-16</v>
      </c>
    </row>
    <row r="454" spans="1:5" x14ac:dyDescent="0.25">
      <c r="A454">
        <v>0</v>
      </c>
      <c r="B454">
        <v>16</v>
      </c>
      <c r="C454">
        <v>31</v>
      </c>
      <c r="D454">
        <v>1</v>
      </c>
      <c r="E454">
        <f t="shared" si="6"/>
        <v>1.8642552086637818E-17</v>
      </c>
    </row>
    <row r="455" spans="1:5" x14ac:dyDescent="0.25">
      <c r="A455">
        <v>0</v>
      </c>
      <c r="B455">
        <v>16</v>
      </c>
      <c r="C455">
        <v>32</v>
      </c>
      <c r="D455">
        <v>0</v>
      </c>
      <c r="E455">
        <f t="shared" si="6"/>
        <v>7.9230846368210724E-19</v>
      </c>
    </row>
    <row r="456" spans="1:5" x14ac:dyDescent="0.25">
      <c r="A456">
        <v>0</v>
      </c>
      <c r="B456">
        <v>17</v>
      </c>
      <c r="C456">
        <v>6</v>
      </c>
      <c r="D456">
        <v>25</v>
      </c>
      <c r="E456">
        <f t="shared" si="6"/>
        <v>2.9114501566066253E-28</v>
      </c>
    </row>
    <row r="457" spans="1:5" x14ac:dyDescent="0.25">
      <c r="A457">
        <v>0</v>
      </c>
      <c r="B457">
        <v>17</v>
      </c>
      <c r="C457">
        <v>7</v>
      </c>
      <c r="D457">
        <v>24</v>
      </c>
      <c r="E457">
        <f t="shared" si="6"/>
        <v>6.1348414014211034E-26</v>
      </c>
    </row>
    <row r="458" spans="1:5" x14ac:dyDescent="0.25">
      <c r="A458">
        <v>0</v>
      </c>
      <c r="B458">
        <v>17</v>
      </c>
      <c r="C458">
        <v>8</v>
      </c>
      <c r="D458">
        <v>23</v>
      </c>
      <c r="E458">
        <f t="shared" si="6"/>
        <v>5.3373120192363614E-24</v>
      </c>
    </row>
    <row r="459" spans="1:5" x14ac:dyDescent="0.25">
      <c r="A459">
        <v>0</v>
      </c>
      <c r="B459">
        <v>17</v>
      </c>
      <c r="C459">
        <v>9</v>
      </c>
      <c r="D459">
        <v>22</v>
      </c>
      <c r="E459">
        <f t="shared" si="6"/>
        <v>2.5915615026736547E-22</v>
      </c>
    </row>
    <row r="460" spans="1:5" x14ac:dyDescent="0.25">
      <c r="A460">
        <v>0</v>
      </c>
      <c r="B460">
        <v>17</v>
      </c>
      <c r="C460">
        <v>10</v>
      </c>
      <c r="D460">
        <v>21</v>
      </c>
      <c r="E460">
        <f t="shared" si="6"/>
        <v>7.9820094282348606E-21</v>
      </c>
    </row>
    <row r="461" spans="1:5" x14ac:dyDescent="0.25">
      <c r="A461">
        <v>0</v>
      </c>
      <c r="B461">
        <v>17</v>
      </c>
      <c r="C461">
        <v>11</v>
      </c>
      <c r="D461">
        <v>20</v>
      </c>
      <c r="E461">
        <f t="shared" si="6"/>
        <v>1.6762219799293201E-19</v>
      </c>
    </row>
    <row r="462" spans="1:5" x14ac:dyDescent="0.25">
      <c r="A462">
        <v>0</v>
      </c>
      <c r="B462">
        <v>17</v>
      </c>
      <c r="C462">
        <v>12</v>
      </c>
      <c r="D462">
        <v>19</v>
      </c>
      <c r="E462">
        <f t="shared" ref="E462:E525" si="7">COMBIN(A$4,A462)*COMBIN(B$4,B462)*COMBIN(C$4,C462)*COMBIN(D$4,D462)/COMBIN($G$4,$F$4)</f>
        <v>2.5143329698939785E-18</v>
      </c>
    </row>
    <row r="463" spans="1:5" x14ac:dyDescent="0.25">
      <c r="A463">
        <v>0</v>
      </c>
      <c r="B463">
        <v>17</v>
      </c>
      <c r="C463">
        <v>13</v>
      </c>
      <c r="D463">
        <v>18</v>
      </c>
      <c r="E463">
        <f t="shared" si="7"/>
        <v>2.7823442864650976E-17</v>
      </c>
    </row>
    <row r="464" spans="1:5" x14ac:dyDescent="0.25">
      <c r="A464">
        <v>0</v>
      </c>
      <c r="B464">
        <v>17</v>
      </c>
      <c r="C464">
        <v>14</v>
      </c>
      <c r="D464">
        <v>17</v>
      </c>
      <c r="E464">
        <f t="shared" si="7"/>
        <v>2.3252448679744024E-16</v>
      </c>
    </row>
    <row r="465" spans="1:5" x14ac:dyDescent="0.25">
      <c r="A465">
        <v>0</v>
      </c>
      <c r="B465">
        <v>17</v>
      </c>
      <c r="C465">
        <v>15</v>
      </c>
      <c r="D465">
        <v>16</v>
      </c>
      <c r="E465">
        <f t="shared" si="7"/>
        <v>1.4933239263213381E-15</v>
      </c>
    </row>
    <row r="466" spans="1:5" x14ac:dyDescent="0.25">
      <c r="A466">
        <v>0</v>
      </c>
      <c r="B466">
        <v>17</v>
      </c>
      <c r="C466">
        <v>16</v>
      </c>
      <c r="D466">
        <v>15</v>
      </c>
      <c r="E466">
        <f t="shared" si="7"/>
        <v>7.4666196316066903E-15</v>
      </c>
    </row>
    <row r="467" spans="1:5" x14ac:dyDescent="0.25">
      <c r="A467">
        <v>0</v>
      </c>
      <c r="B467">
        <v>17</v>
      </c>
      <c r="C467">
        <v>17</v>
      </c>
      <c r="D467">
        <v>14</v>
      </c>
      <c r="E467">
        <f t="shared" si="7"/>
        <v>2.9347408712464815E-14</v>
      </c>
    </row>
    <row r="468" spans="1:5" x14ac:dyDescent="0.25">
      <c r="A468">
        <v>0</v>
      </c>
      <c r="B468">
        <v>17</v>
      </c>
      <c r="C468">
        <v>18</v>
      </c>
      <c r="D468">
        <v>13</v>
      </c>
      <c r="E468">
        <f t="shared" si="7"/>
        <v>9.1303049327668258E-14</v>
      </c>
    </row>
    <row r="469" spans="1:5" x14ac:dyDescent="0.25">
      <c r="A469">
        <v>0</v>
      </c>
      <c r="B469">
        <v>17</v>
      </c>
      <c r="C469">
        <v>19</v>
      </c>
      <c r="D469">
        <v>12</v>
      </c>
      <c r="E469">
        <f t="shared" si="7"/>
        <v>2.2585491149475839E-13</v>
      </c>
    </row>
    <row r="470" spans="1:5" x14ac:dyDescent="0.25">
      <c r="A470">
        <v>0</v>
      </c>
      <c r="B470">
        <v>17</v>
      </c>
      <c r="C470">
        <v>20</v>
      </c>
      <c r="D470">
        <v>11</v>
      </c>
      <c r="E470">
        <f t="shared" si="7"/>
        <v>4.4525682551823829E-13</v>
      </c>
    </row>
    <row r="471" spans="1:5" x14ac:dyDescent="0.25">
      <c r="A471">
        <v>0</v>
      </c>
      <c r="B471">
        <v>17</v>
      </c>
      <c r="C471">
        <v>21</v>
      </c>
      <c r="D471">
        <v>10</v>
      </c>
      <c r="E471">
        <f t="shared" si="7"/>
        <v>6.9968929724294494E-13</v>
      </c>
    </row>
    <row r="472" spans="1:5" x14ac:dyDescent="0.25">
      <c r="A472">
        <v>0</v>
      </c>
      <c r="B472">
        <v>17</v>
      </c>
      <c r="C472">
        <v>22</v>
      </c>
      <c r="D472">
        <v>9</v>
      </c>
      <c r="E472">
        <f t="shared" si="7"/>
        <v>8.7461162155368191E-13</v>
      </c>
    </row>
    <row r="473" spans="1:5" x14ac:dyDescent="0.25">
      <c r="A473">
        <v>0</v>
      </c>
      <c r="B473">
        <v>17</v>
      </c>
      <c r="C473">
        <v>23</v>
      </c>
      <c r="D473">
        <v>8</v>
      </c>
      <c r="E473">
        <f t="shared" si="7"/>
        <v>8.6566418808510181E-13</v>
      </c>
    </row>
    <row r="474" spans="1:5" x14ac:dyDescent="0.25">
      <c r="A474">
        <v>0</v>
      </c>
      <c r="B474">
        <v>17</v>
      </c>
      <c r="C474">
        <v>24</v>
      </c>
      <c r="D474">
        <v>7</v>
      </c>
      <c r="E474">
        <f t="shared" si="7"/>
        <v>6.7329436851063476E-13</v>
      </c>
    </row>
    <row r="475" spans="1:5" x14ac:dyDescent="0.25">
      <c r="A475">
        <v>0</v>
      </c>
      <c r="B475">
        <v>17</v>
      </c>
      <c r="C475">
        <v>25</v>
      </c>
      <c r="D475">
        <v>6</v>
      </c>
      <c r="E475">
        <f t="shared" si="7"/>
        <v>4.0681154476326772E-13</v>
      </c>
    </row>
    <row r="476" spans="1:5" x14ac:dyDescent="0.25">
      <c r="A476">
        <v>0</v>
      </c>
      <c r="B476">
        <v>17</v>
      </c>
      <c r="C476">
        <v>26</v>
      </c>
      <c r="D476">
        <v>5</v>
      </c>
      <c r="E476">
        <f t="shared" si="7"/>
        <v>1.8775917450612347E-13</v>
      </c>
    </row>
    <row r="477" spans="1:5" x14ac:dyDescent="0.25">
      <c r="A477">
        <v>0</v>
      </c>
      <c r="B477">
        <v>17</v>
      </c>
      <c r="C477">
        <v>27</v>
      </c>
      <c r="D477">
        <v>4</v>
      </c>
      <c r="E477">
        <f t="shared" si="7"/>
        <v>6.4573261073534543E-14</v>
      </c>
    </row>
    <row r="478" spans="1:5" x14ac:dyDescent="0.25">
      <c r="A478">
        <v>0</v>
      </c>
      <c r="B478">
        <v>17</v>
      </c>
      <c r="C478">
        <v>28</v>
      </c>
      <c r="D478">
        <v>3</v>
      </c>
      <c r="E478">
        <f t="shared" si="7"/>
        <v>1.5933661823339695E-14</v>
      </c>
    </row>
    <row r="479" spans="1:5" x14ac:dyDescent="0.25">
      <c r="A479">
        <v>0</v>
      </c>
      <c r="B479">
        <v>17</v>
      </c>
      <c r="C479">
        <v>29</v>
      </c>
      <c r="D479">
        <v>2</v>
      </c>
      <c r="E479">
        <f t="shared" si="7"/>
        <v>2.6516288791464867E-15</v>
      </c>
    </row>
    <row r="480" spans="1:5" x14ac:dyDescent="0.25">
      <c r="A480">
        <v>0</v>
      </c>
      <c r="B480">
        <v>17</v>
      </c>
      <c r="C480">
        <v>30</v>
      </c>
      <c r="D480">
        <v>1</v>
      </c>
      <c r="E480">
        <f t="shared" si="7"/>
        <v>2.6516288791464854E-16</v>
      </c>
    </row>
    <row r="481" spans="1:5" x14ac:dyDescent="0.25">
      <c r="A481">
        <v>0</v>
      </c>
      <c r="B481">
        <v>17</v>
      </c>
      <c r="C481">
        <v>31</v>
      </c>
      <c r="D481">
        <v>0</v>
      </c>
      <c r="E481">
        <f t="shared" si="7"/>
        <v>1.1975098163887357E-17</v>
      </c>
    </row>
    <row r="482" spans="1:5" x14ac:dyDescent="0.25">
      <c r="A482">
        <v>0</v>
      </c>
      <c r="B482">
        <v>18</v>
      </c>
      <c r="C482">
        <v>5</v>
      </c>
      <c r="D482">
        <v>25</v>
      </c>
      <c r="E482">
        <f t="shared" si="7"/>
        <v>4.3995246810944569E-28</v>
      </c>
    </row>
    <row r="483" spans="1:5" x14ac:dyDescent="0.25">
      <c r="A483">
        <v>0</v>
      </c>
      <c r="B483">
        <v>18</v>
      </c>
      <c r="C483">
        <v>6</v>
      </c>
      <c r="D483">
        <v>24</v>
      </c>
      <c r="E483">
        <f t="shared" si="7"/>
        <v>1.099881170273614E-25</v>
      </c>
    </row>
    <row r="484" spans="1:5" x14ac:dyDescent="0.25">
      <c r="A484">
        <v>0</v>
      </c>
      <c r="B484">
        <v>18</v>
      </c>
      <c r="C484">
        <v>7</v>
      </c>
      <c r="D484">
        <v>23</v>
      </c>
      <c r="E484">
        <f t="shared" si="7"/>
        <v>1.1124512407910268E-23</v>
      </c>
    </row>
    <row r="485" spans="1:5" x14ac:dyDescent="0.25">
      <c r="A485">
        <v>0</v>
      </c>
      <c r="B485">
        <v>18</v>
      </c>
      <c r="C485">
        <v>8</v>
      </c>
      <c r="D485">
        <v>22</v>
      </c>
      <c r="E485">
        <f t="shared" si="7"/>
        <v>6.1833748133967922E-22</v>
      </c>
    </row>
    <row r="486" spans="1:5" x14ac:dyDescent="0.25">
      <c r="A486">
        <v>0</v>
      </c>
      <c r="B486">
        <v>18</v>
      </c>
      <c r="C486">
        <v>9</v>
      </c>
      <c r="D486">
        <v>21</v>
      </c>
      <c r="E486">
        <f t="shared" si="7"/>
        <v>2.1538755599998823E-20</v>
      </c>
    </row>
    <row r="487" spans="1:5" x14ac:dyDescent="0.25">
      <c r="A487">
        <v>0</v>
      </c>
      <c r="B487">
        <v>18</v>
      </c>
      <c r="C487">
        <v>10</v>
      </c>
      <c r="D487">
        <v>20</v>
      </c>
      <c r="E487">
        <f t="shared" si="7"/>
        <v>5.0659153171197225E-19</v>
      </c>
    </row>
    <row r="488" spans="1:5" x14ac:dyDescent="0.25">
      <c r="A488">
        <v>0</v>
      </c>
      <c r="B488">
        <v>18</v>
      </c>
      <c r="C488">
        <v>11</v>
      </c>
      <c r="D488">
        <v>19</v>
      </c>
      <c r="E488">
        <f t="shared" si="7"/>
        <v>8.4431921951995379E-18</v>
      </c>
    </row>
    <row r="489" spans="1:5" x14ac:dyDescent="0.25">
      <c r="A489">
        <v>0</v>
      </c>
      <c r="B489">
        <v>18</v>
      </c>
      <c r="C489">
        <v>12</v>
      </c>
      <c r="D489">
        <v>18</v>
      </c>
      <c r="E489">
        <f t="shared" si="7"/>
        <v>1.0312756181279434E-16</v>
      </c>
    </row>
    <row r="490" spans="1:5" x14ac:dyDescent="0.25">
      <c r="A490">
        <v>0</v>
      </c>
      <c r="B490">
        <v>18</v>
      </c>
      <c r="C490">
        <v>13</v>
      </c>
      <c r="D490">
        <v>17</v>
      </c>
      <c r="E490">
        <f t="shared" si="7"/>
        <v>9.4599705739813294E-16</v>
      </c>
    </row>
    <row r="491" spans="1:5" x14ac:dyDescent="0.25">
      <c r="A491">
        <v>0</v>
      </c>
      <c r="B491">
        <v>18</v>
      </c>
      <c r="C491">
        <v>14</v>
      </c>
      <c r="D491">
        <v>16</v>
      </c>
      <c r="E491">
        <f t="shared" si="7"/>
        <v>6.6369952280948382E-15</v>
      </c>
    </row>
    <row r="492" spans="1:5" x14ac:dyDescent="0.25">
      <c r="A492">
        <v>0</v>
      </c>
      <c r="B492">
        <v>18</v>
      </c>
      <c r="C492">
        <v>15</v>
      </c>
      <c r="D492">
        <v>15</v>
      </c>
      <c r="E492">
        <f t="shared" si="7"/>
        <v>3.6105254040835902E-14</v>
      </c>
    </row>
    <row r="493" spans="1:5" x14ac:dyDescent="0.25">
      <c r="A493">
        <v>0</v>
      </c>
      <c r="B493">
        <v>18</v>
      </c>
      <c r="C493">
        <v>16</v>
      </c>
      <c r="D493">
        <v>14</v>
      </c>
      <c r="E493">
        <f t="shared" si="7"/>
        <v>1.5385761665128938E-13</v>
      </c>
    </row>
    <row r="494" spans="1:5" x14ac:dyDescent="0.25">
      <c r="A494">
        <v>0</v>
      </c>
      <c r="B494">
        <v>18</v>
      </c>
      <c r="C494">
        <v>17</v>
      </c>
      <c r="D494">
        <v>13</v>
      </c>
      <c r="E494">
        <f t="shared" si="7"/>
        <v>5.1738394619012052E-13</v>
      </c>
    </row>
    <row r="495" spans="1:5" x14ac:dyDescent="0.25">
      <c r="A495">
        <v>0</v>
      </c>
      <c r="B495">
        <v>18</v>
      </c>
      <c r="C495">
        <v>18</v>
      </c>
      <c r="D495">
        <v>12</v>
      </c>
      <c r="E495">
        <f t="shared" si="7"/>
        <v>1.3796905231736535E-12</v>
      </c>
    </row>
    <row r="496" spans="1:5" x14ac:dyDescent="0.25">
      <c r="A496">
        <v>0</v>
      </c>
      <c r="B496">
        <v>18</v>
      </c>
      <c r="C496">
        <v>19</v>
      </c>
      <c r="D496">
        <v>11</v>
      </c>
      <c r="E496">
        <f t="shared" si="7"/>
        <v>2.925358853646394E-12</v>
      </c>
    </row>
    <row r="497" spans="1:5" x14ac:dyDescent="0.25">
      <c r="A497">
        <v>0</v>
      </c>
      <c r="B497">
        <v>18</v>
      </c>
      <c r="C497">
        <v>20</v>
      </c>
      <c r="D497">
        <v>10</v>
      </c>
      <c r="E497">
        <f t="shared" si="7"/>
        <v>4.9341052664835875E-12</v>
      </c>
    </row>
    <row r="498" spans="1:5" x14ac:dyDescent="0.25">
      <c r="A498">
        <v>0</v>
      </c>
      <c r="B498">
        <v>18</v>
      </c>
      <c r="C498">
        <v>21</v>
      </c>
      <c r="D498">
        <v>9</v>
      </c>
      <c r="E498">
        <f t="shared" si="7"/>
        <v>6.6081766961833688E-12</v>
      </c>
    </row>
    <row r="499" spans="1:5" x14ac:dyDescent="0.25">
      <c r="A499">
        <v>0</v>
      </c>
      <c r="B499">
        <v>18</v>
      </c>
      <c r="C499">
        <v>22</v>
      </c>
      <c r="D499">
        <v>8</v>
      </c>
      <c r="E499">
        <f t="shared" si="7"/>
        <v>6.9968929724294544E-12</v>
      </c>
    </row>
    <row r="500" spans="1:5" x14ac:dyDescent="0.25">
      <c r="A500">
        <v>0</v>
      </c>
      <c r="B500">
        <v>18</v>
      </c>
      <c r="C500">
        <v>23</v>
      </c>
      <c r="D500">
        <v>7</v>
      </c>
      <c r="E500">
        <f t="shared" si="7"/>
        <v>5.813843436028338E-12</v>
      </c>
    </row>
    <row r="501" spans="1:5" x14ac:dyDescent="0.25">
      <c r="A501">
        <v>0</v>
      </c>
      <c r="B501">
        <v>18</v>
      </c>
      <c r="C501">
        <v>24</v>
      </c>
      <c r="D501">
        <v>6</v>
      </c>
      <c r="E501">
        <f t="shared" si="7"/>
        <v>3.7483990574393223E-12</v>
      </c>
    </row>
    <row r="502" spans="1:5" x14ac:dyDescent="0.25">
      <c r="A502">
        <v>0</v>
      </c>
      <c r="B502">
        <v>18</v>
      </c>
      <c r="C502">
        <v>25</v>
      </c>
      <c r="D502">
        <v>5</v>
      </c>
      <c r="E502">
        <f t="shared" si="7"/>
        <v>1.8442123362601471E-12</v>
      </c>
    </row>
    <row r="503" spans="1:5" x14ac:dyDescent="0.25">
      <c r="A503">
        <v>0</v>
      </c>
      <c r="B503">
        <v>18</v>
      </c>
      <c r="C503">
        <v>26</v>
      </c>
      <c r="D503">
        <v>4</v>
      </c>
      <c r="E503">
        <f t="shared" si="7"/>
        <v>6.7553565430774598E-13</v>
      </c>
    </row>
    <row r="504" spans="1:5" x14ac:dyDescent="0.25">
      <c r="A504">
        <v>0</v>
      </c>
      <c r="B504">
        <v>18</v>
      </c>
      <c r="C504">
        <v>27</v>
      </c>
      <c r="D504">
        <v>3</v>
      </c>
      <c r="E504">
        <f t="shared" si="7"/>
        <v>1.7741340416163024E-13</v>
      </c>
    </row>
    <row r="505" spans="1:5" x14ac:dyDescent="0.25">
      <c r="A505">
        <v>0</v>
      </c>
      <c r="B505">
        <v>18</v>
      </c>
      <c r="C505">
        <v>28</v>
      </c>
      <c r="D505">
        <v>2</v>
      </c>
      <c r="E505">
        <f t="shared" si="7"/>
        <v>3.1405478376437654E-14</v>
      </c>
    </row>
    <row r="506" spans="1:5" x14ac:dyDescent="0.25">
      <c r="A506">
        <v>0</v>
      </c>
      <c r="B506">
        <v>18</v>
      </c>
      <c r="C506">
        <v>29</v>
      </c>
      <c r="D506">
        <v>1</v>
      </c>
      <c r="E506">
        <f t="shared" si="7"/>
        <v>3.3390882181844634E-15</v>
      </c>
    </row>
    <row r="507" spans="1:5" x14ac:dyDescent="0.25">
      <c r="A507">
        <v>0</v>
      </c>
      <c r="B507">
        <v>18</v>
      </c>
      <c r="C507">
        <v>30</v>
      </c>
      <c r="D507">
        <v>0</v>
      </c>
      <c r="E507">
        <f t="shared" si="7"/>
        <v>1.6027623447285425E-16</v>
      </c>
    </row>
    <row r="508" spans="1:5" x14ac:dyDescent="0.25">
      <c r="A508">
        <v>0</v>
      </c>
      <c r="B508">
        <v>19</v>
      </c>
      <c r="C508">
        <v>4</v>
      </c>
      <c r="D508">
        <v>25</v>
      </c>
      <c r="E508">
        <f t="shared" si="7"/>
        <v>5.1435340318231128E-28</v>
      </c>
    </row>
    <row r="509" spans="1:5" x14ac:dyDescent="0.25">
      <c r="A509">
        <v>0</v>
      </c>
      <c r="B509">
        <v>19</v>
      </c>
      <c r="C509">
        <v>5</v>
      </c>
      <c r="D509">
        <v>24</v>
      </c>
      <c r="E509">
        <f t="shared" si="7"/>
        <v>1.5687778797060494E-25</v>
      </c>
    </row>
    <row r="510" spans="1:5" x14ac:dyDescent="0.25">
      <c r="A510">
        <v>0</v>
      </c>
      <c r="B510">
        <v>19</v>
      </c>
      <c r="C510">
        <v>6</v>
      </c>
      <c r="D510">
        <v>23</v>
      </c>
      <c r="E510">
        <f t="shared" si="7"/>
        <v>1.8825334556472589E-23</v>
      </c>
    </row>
    <row r="511" spans="1:5" x14ac:dyDescent="0.25">
      <c r="A511">
        <v>0</v>
      </c>
      <c r="B511">
        <v>19</v>
      </c>
      <c r="C511">
        <v>7</v>
      </c>
      <c r="D511">
        <v>22</v>
      </c>
      <c r="E511">
        <f t="shared" si="7"/>
        <v>1.216475190149205E-21</v>
      </c>
    </row>
    <row r="512" spans="1:5" x14ac:dyDescent="0.25">
      <c r="A512">
        <v>0</v>
      </c>
      <c r="B512">
        <v>19</v>
      </c>
      <c r="C512">
        <v>8</v>
      </c>
      <c r="D512">
        <v>21</v>
      </c>
      <c r="E512">
        <f t="shared" si="7"/>
        <v>4.8506948207199562E-20</v>
      </c>
    </row>
    <row r="513" spans="1:5" x14ac:dyDescent="0.25">
      <c r="A513">
        <v>0</v>
      </c>
      <c r="B513">
        <v>19</v>
      </c>
      <c r="C513">
        <v>9</v>
      </c>
      <c r="D513">
        <v>20</v>
      </c>
      <c r="E513">
        <f t="shared" si="7"/>
        <v>1.2902848223115078E-18</v>
      </c>
    </row>
    <row r="514" spans="1:5" x14ac:dyDescent="0.25">
      <c r="A514">
        <v>0</v>
      </c>
      <c r="B514">
        <v>19</v>
      </c>
      <c r="C514">
        <v>10</v>
      </c>
      <c r="D514">
        <v>19</v>
      </c>
      <c r="E514">
        <f t="shared" si="7"/>
        <v>2.4085316683148146E-17</v>
      </c>
    </row>
    <row r="515" spans="1:5" x14ac:dyDescent="0.25">
      <c r="A515">
        <v>0</v>
      </c>
      <c r="B515">
        <v>19</v>
      </c>
      <c r="C515">
        <v>11</v>
      </c>
      <c r="D515">
        <v>18</v>
      </c>
      <c r="E515">
        <f t="shared" si="7"/>
        <v>3.2687215498558222E-16</v>
      </c>
    </row>
    <row r="516" spans="1:5" x14ac:dyDescent="0.25">
      <c r="A516">
        <v>0</v>
      </c>
      <c r="B516">
        <v>19</v>
      </c>
      <c r="C516">
        <v>12</v>
      </c>
      <c r="D516">
        <v>17</v>
      </c>
      <c r="E516">
        <f t="shared" si="7"/>
        <v>3.309580569229017E-15</v>
      </c>
    </row>
    <row r="517" spans="1:5" x14ac:dyDescent="0.25">
      <c r="A517">
        <v>0</v>
      </c>
      <c r="B517">
        <v>19</v>
      </c>
      <c r="C517">
        <v>13</v>
      </c>
      <c r="D517">
        <v>16</v>
      </c>
      <c r="E517">
        <f t="shared" si="7"/>
        <v>2.5486599084404662E-14</v>
      </c>
    </row>
    <row r="518" spans="1:5" x14ac:dyDescent="0.25">
      <c r="A518">
        <v>0</v>
      </c>
      <c r="B518">
        <v>19</v>
      </c>
      <c r="C518">
        <v>14</v>
      </c>
      <c r="D518">
        <v>15</v>
      </c>
      <c r="E518">
        <f t="shared" si="7"/>
        <v>1.5146321741589054E-13</v>
      </c>
    </row>
    <row r="519" spans="1:5" x14ac:dyDescent="0.25">
      <c r="A519">
        <v>0</v>
      </c>
      <c r="B519">
        <v>19</v>
      </c>
      <c r="C519">
        <v>15</v>
      </c>
      <c r="D519">
        <v>14</v>
      </c>
      <c r="E519">
        <f t="shared" si="7"/>
        <v>7.0223855347367422E-13</v>
      </c>
    </row>
    <row r="520" spans="1:5" x14ac:dyDescent="0.25">
      <c r="A520">
        <v>0</v>
      </c>
      <c r="B520">
        <v>19</v>
      </c>
      <c r="C520">
        <v>16</v>
      </c>
      <c r="D520">
        <v>13</v>
      </c>
      <c r="E520">
        <f t="shared" si="7"/>
        <v>2.5602447262061048E-12</v>
      </c>
    </row>
    <row r="521" spans="1:5" x14ac:dyDescent="0.25">
      <c r="A521">
        <v>0</v>
      </c>
      <c r="B521">
        <v>19</v>
      </c>
      <c r="C521">
        <v>17</v>
      </c>
      <c r="D521">
        <v>12</v>
      </c>
      <c r="E521">
        <f t="shared" si="7"/>
        <v>7.3795289167117181E-12</v>
      </c>
    </row>
    <row r="522" spans="1:5" x14ac:dyDescent="0.25">
      <c r="A522">
        <v>0</v>
      </c>
      <c r="B522">
        <v>19</v>
      </c>
      <c r="C522">
        <v>18</v>
      </c>
      <c r="D522">
        <v>11</v>
      </c>
      <c r="E522">
        <f t="shared" si="7"/>
        <v>1.6867494666769622E-11</v>
      </c>
    </row>
    <row r="523" spans="1:5" x14ac:dyDescent="0.25">
      <c r="A523">
        <v>0</v>
      </c>
      <c r="B523">
        <v>19</v>
      </c>
      <c r="C523">
        <v>19</v>
      </c>
      <c r="D523">
        <v>10</v>
      </c>
      <c r="E523">
        <f t="shared" si="7"/>
        <v>3.0598227167438236E-11</v>
      </c>
    </row>
    <row r="524" spans="1:5" x14ac:dyDescent="0.25">
      <c r="A524">
        <v>0</v>
      </c>
      <c r="B524">
        <v>19</v>
      </c>
      <c r="C524">
        <v>20</v>
      </c>
      <c r="D524">
        <v>9</v>
      </c>
      <c r="E524">
        <f t="shared" si="7"/>
        <v>4.39849515531925E-11</v>
      </c>
    </row>
    <row r="525" spans="1:5" x14ac:dyDescent="0.25">
      <c r="A525">
        <v>0</v>
      </c>
      <c r="B525">
        <v>19</v>
      </c>
      <c r="C525">
        <v>21</v>
      </c>
      <c r="D525">
        <v>8</v>
      </c>
      <c r="E525">
        <f t="shared" si="7"/>
        <v>4.9898894619167912E-11</v>
      </c>
    </row>
    <row r="526" spans="1:5" x14ac:dyDescent="0.25">
      <c r="A526">
        <v>0</v>
      </c>
      <c r="B526">
        <v>19</v>
      </c>
      <c r="C526">
        <v>22</v>
      </c>
      <c r="D526">
        <v>7</v>
      </c>
      <c r="E526">
        <f t="shared" ref="E526:E589" si="8">COMBIN(A$4,A526)*COMBIN(B$4,B526)*COMBIN(C$4,C526)*COMBIN(D$4,D526)/COMBIN($G$4,$F$4)</f>
        <v>4.4354572994815953E-11</v>
      </c>
    </row>
    <row r="527" spans="1:5" x14ac:dyDescent="0.25">
      <c r="A527">
        <v>0</v>
      </c>
      <c r="B527">
        <v>19</v>
      </c>
      <c r="C527">
        <v>23</v>
      </c>
      <c r="D527">
        <v>6</v>
      </c>
      <c r="E527">
        <f t="shared" si="8"/>
        <v>3.0550861490708452E-11</v>
      </c>
    </row>
    <row r="528" spans="1:5" x14ac:dyDescent="0.25">
      <c r="A528">
        <v>0</v>
      </c>
      <c r="B528">
        <v>19</v>
      </c>
      <c r="C528">
        <v>24</v>
      </c>
      <c r="D528">
        <v>5</v>
      </c>
      <c r="E528">
        <f t="shared" si="8"/>
        <v>1.6039202282621939E-11</v>
      </c>
    </row>
    <row r="529" spans="1:5" x14ac:dyDescent="0.25">
      <c r="A529">
        <v>0</v>
      </c>
      <c r="B529">
        <v>19</v>
      </c>
      <c r="C529">
        <v>25</v>
      </c>
      <c r="D529">
        <v>4</v>
      </c>
      <c r="E529">
        <f t="shared" si="8"/>
        <v>6.262926605595237E-12</v>
      </c>
    </row>
    <row r="530" spans="1:5" x14ac:dyDescent="0.25">
      <c r="A530">
        <v>0</v>
      </c>
      <c r="B530">
        <v>19</v>
      </c>
      <c r="C530">
        <v>26</v>
      </c>
      <c r="D530">
        <v>3</v>
      </c>
      <c r="E530">
        <f t="shared" si="8"/>
        <v>1.7518675819846803E-12</v>
      </c>
    </row>
    <row r="531" spans="1:5" x14ac:dyDescent="0.25">
      <c r="A531">
        <v>0</v>
      </c>
      <c r="B531">
        <v>19</v>
      </c>
      <c r="C531">
        <v>27</v>
      </c>
      <c r="D531">
        <v>2</v>
      </c>
      <c r="E531">
        <f t="shared" si="8"/>
        <v>3.3006200820001221E-13</v>
      </c>
    </row>
    <row r="532" spans="1:5" x14ac:dyDescent="0.25">
      <c r="A532">
        <v>0</v>
      </c>
      <c r="B532">
        <v>19</v>
      </c>
      <c r="C532">
        <v>28</v>
      </c>
      <c r="D532">
        <v>1</v>
      </c>
      <c r="E532">
        <f t="shared" si="8"/>
        <v>3.7328441403572821E-14</v>
      </c>
    </row>
    <row r="533" spans="1:5" x14ac:dyDescent="0.25">
      <c r="A533">
        <v>0</v>
      </c>
      <c r="B533">
        <v>19</v>
      </c>
      <c r="C533">
        <v>29</v>
      </c>
      <c r="D533">
        <v>0</v>
      </c>
      <c r="E533">
        <f t="shared" si="8"/>
        <v>1.90503769921682E-15</v>
      </c>
    </row>
    <row r="534" spans="1:5" x14ac:dyDescent="0.25">
      <c r="A534">
        <v>0</v>
      </c>
      <c r="B534">
        <v>20</v>
      </c>
      <c r="C534">
        <v>3</v>
      </c>
      <c r="D534">
        <v>25</v>
      </c>
      <c r="E534">
        <f t="shared" si="8"/>
        <v>4.4798522212652908E-28</v>
      </c>
    </row>
    <row r="535" spans="1:5" x14ac:dyDescent="0.25">
      <c r="A535">
        <v>0</v>
      </c>
      <c r="B535">
        <v>20</v>
      </c>
      <c r="C535">
        <v>4</v>
      </c>
      <c r="D535">
        <v>24</v>
      </c>
      <c r="E535">
        <f t="shared" si="8"/>
        <v>1.7359427357403001E-25</v>
      </c>
    </row>
    <row r="536" spans="1:5" x14ac:dyDescent="0.25">
      <c r="A536">
        <v>0</v>
      </c>
      <c r="B536">
        <v>20</v>
      </c>
      <c r="C536">
        <v>5</v>
      </c>
      <c r="D536">
        <v>23</v>
      </c>
      <c r="E536">
        <f t="shared" si="8"/>
        <v>2.5414201651237999E-23</v>
      </c>
    </row>
    <row r="537" spans="1:5" x14ac:dyDescent="0.25">
      <c r="A537">
        <v>0</v>
      </c>
      <c r="B537">
        <v>20</v>
      </c>
      <c r="C537">
        <v>6</v>
      </c>
      <c r="D537">
        <v>22</v>
      </c>
      <c r="E537">
        <f t="shared" si="8"/>
        <v>1.9484221265949131E-21</v>
      </c>
    </row>
    <row r="538" spans="1:5" x14ac:dyDescent="0.25">
      <c r="A538">
        <v>0</v>
      </c>
      <c r="B538">
        <v>20</v>
      </c>
      <c r="C538">
        <v>7</v>
      </c>
      <c r="D538">
        <v>21</v>
      </c>
      <c r="E538">
        <f t="shared" si="8"/>
        <v>9.0323282868578474E-20</v>
      </c>
    </row>
    <row r="539" spans="1:5" x14ac:dyDescent="0.25">
      <c r="A539">
        <v>0</v>
      </c>
      <c r="B539">
        <v>20</v>
      </c>
      <c r="C539">
        <v>8</v>
      </c>
      <c r="D539">
        <v>20</v>
      </c>
      <c r="E539">
        <f t="shared" si="8"/>
        <v>2.7503439633482143E-18</v>
      </c>
    </row>
    <row r="540" spans="1:5" x14ac:dyDescent="0.25">
      <c r="A540">
        <v>0</v>
      </c>
      <c r="B540">
        <v>20</v>
      </c>
      <c r="C540">
        <v>9</v>
      </c>
      <c r="D540">
        <v>19</v>
      </c>
      <c r="E540">
        <f t="shared" si="8"/>
        <v>5.8062817004017855E-17</v>
      </c>
    </row>
    <row r="541" spans="1:5" x14ac:dyDescent="0.25">
      <c r="A541">
        <v>0</v>
      </c>
      <c r="B541">
        <v>20</v>
      </c>
      <c r="C541">
        <v>10</v>
      </c>
      <c r="D541">
        <v>18</v>
      </c>
      <c r="E541">
        <f t="shared" si="8"/>
        <v>8.8255481846107174E-16</v>
      </c>
    </row>
    <row r="542" spans="1:5" x14ac:dyDescent="0.25">
      <c r="A542">
        <v>0</v>
      </c>
      <c r="B542">
        <v>20</v>
      </c>
      <c r="C542">
        <v>11</v>
      </c>
      <c r="D542">
        <v>17</v>
      </c>
      <c r="E542">
        <f t="shared" si="8"/>
        <v>9.9287417076870576E-15</v>
      </c>
    </row>
    <row r="543" spans="1:5" x14ac:dyDescent="0.25">
      <c r="A543">
        <v>0</v>
      </c>
      <c r="B543">
        <v>20</v>
      </c>
      <c r="C543">
        <v>12</v>
      </c>
      <c r="D543">
        <v>16</v>
      </c>
      <c r="E543">
        <f t="shared" si="8"/>
        <v>8.4394304515339935E-14</v>
      </c>
    </row>
    <row r="544" spans="1:5" x14ac:dyDescent="0.25">
      <c r="A544">
        <v>0</v>
      </c>
      <c r="B544">
        <v>20</v>
      </c>
      <c r="C544">
        <v>13</v>
      </c>
      <c r="D544">
        <v>15</v>
      </c>
      <c r="E544">
        <f t="shared" si="8"/>
        <v>5.5051054022314063E-13</v>
      </c>
    </row>
    <row r="545" spans="1:5" x14ac:dyDescent="0.25">
      <c r="A545">
        <v>0</v>
      </c>
      <c r="B545">
        <v>20</v>
      </c>
      <c r="C545">
        <v>14</v>
      </c>
      <c r="D545">
        <v>14</v>
      </c>
      <c r="E545">
        <f t="shared" si="8"/>
        <v>2.7883001387925309E-12</v>
      </c>
    </row>
    <row r="546" spans="1:5" x14ac:dyDescent="0.25">
      <c r="A546">
        <v>0</v>
      </c>
      <c r="B546">
        <v>20</v>
      </c>
      <c r="C546">
        <v>15</v>
      </c>
      <c r="D546">
        <v>13</v>
      </c>
      <c r="E546">
        <f t="shared" si="8"/>
        <v>1.106025721721037E-11</v>
      </c>
    </row>
    <row r="547" spans="1:5" x14ac:dyDescent="0.25">
      <c r="A547">
        <v>0</v>
      </c>
      <c r="B547">
        <v>20</v>
      </c>
      <c r="C547">
        <v>16</v>
      </c>
      <c r="D547">
        <v>12</v>
      </c>
      <c r="E547">
        <f t="shared" si="8"/>
        <v>3.4563303803782415E-11</v>
      </c>
    </row>
    <row r="548" spans="1:5" x14ac:dyDescent="0.25">
      <c r="A548">
        <v>0</v>
      </c>
      <c r="B548">
        <v>20</v>
      </c>
      <c r="C548">
        <v>17</v>
      </c>
      <c r="D548">
        <v>11</v>
      </c>
      <c r="E548">
        <f t="shared" si="8"/>
        <v>8.539169175052129E-11</v>
      </c>
    </row>
    <row r="549" spans="1:5" x14ac:dyDescent="0.25">
      <c r="A549">
        <v>0</v>
      </c>
      <c r="B549">
        <v>20</v>
      </c>
      <c r="C549">
        <v>18</v>
      </c>
      <c r="D549">
        <v>10</v>
      </c>
      <c r="E549">
        <f t="shared" si="8"/>
        <v>1.6698819720101923E-10</v>
      </c>
    </row>
    <row r="550" spans="1:5" x14ac:dyDescent="0.25">
      <c r="A550">
        <v>0</v>
      </c>
      <c r="B550">
        <v>20</v>
      </c>
      <c r="C550">
        <v>19</v>
      </c>
      <c r="D550">
        <v>9</v>
      </c>
      <c r="E550">
        <f t="shared" si="8"/>
        <v>2.5817254172526011E-10</v>
      </c>
    </row>
    <row r="551" spans="1:5" x14ac:dyDescent="0.25">
      <c r="A551">
        <v>0</v>
      </c>
      <c r="B551">
        <v>20</v>
      </c>
      <c r="C551">
        <v>20</v>
      </c>
      <c r="D551">
        <v>8</v>
      </c>
      <c r="E551">
        <f t="shared" si="8"/>
        <v>3.1436303610075821E-10</v>
      </c>
    </row>
    <row r="552" spans="1:5" x14ac:dyDescent="0.25">
      <c r="A552">
        <v>0</v>
      </c>
      <c r="B552">
        <v>20</v>
      </c>
      <c r="C552">
        <v>21</v>
      </c>
      <c r="D552">
        <v>7</v>
      </c>
      <c r="E552">
        <f t="shared" si="8"/>
        <v>2.9939336771500745E-10</v>
      </c>
    </row>
    <row r="553" spans="1:5" x14ac:dyDescent="0.25">
      <c r="A553">
        <v>0</v>
      </c>
      <c r="B553">
        <v>20</v>
      </c>
      <c r="C553">
        <v>22</v>
      </c>
      <c r="D553">
        <v>6</v>
      </c>
      <c r="E553">
        <f t="shared" si="8"/>
        <v>2.2060563936895295E-10</v>
      </c>
    </row>
    <row r="554" spans="1:5" x14ac:dyDescent="0.25">
      <c r="A554">
        <v>0</v>
      </c>
      <c r="B554">
        <v>20</v>
      </c>
      <c r="C554">
        <v>23</v>
      </c>
      <c r="D554">
        <v>5</v>
      </c>
      <c r="E554">
        <f t="shared" si="8"/>
        <v>1.2373098903736925E-10</v>
      </c>
    </row>
    <row r="555" spans="1:5" x14ac:dyDescent="0.25">
      <c r="A555">
        <v>0</v>
      </c>
      <c r="B555">
        <v>20</v>
      </c>
      <c r="C555">
        <v>24</v>
      </c>
      <c r="D555">
        <v>4</v>
      </c>
      <c r="E555">
        <f t="shared" si="8"/>
        <v>5.1554578765570532E-11</v>
      </c>
    </row>
    <row r="556" spans="1:5" x14ac:dyDescent="0.25">
      <c r="A556">
        <v>0</v>
      </c>
      <c r="B556">
        <v>20</v>
      </c>
      <c r="C556">
        <v>25</v>
      </c>
      <c r="D556">
        <v>3</v>
      </c>
      <c r="E556">
        <f t="shared" si="8"/>
        <v>1.537263803191558E-11</v>
      </c>
    </row>
    <row r="557" spans="1:5" x14ac:dyDescent="0.25">
      <c r="A557">
        <v>0</v>
      </c>
      <c r="B557">
        <v>20</v>
      </c>
      <c r="C557">
        <v>26</v>
      </c>
      <c r="D557">
        <v>2</v>
      </c>
      <c r="E557">
        <f t="shared" si="8"/>
        <v>3.0848103074078065E-12</v>
      </c>
    </row>
    <row r="558" spans="1:5" x14ac:dyDescent="0.25">
      <c r="A558">
        <v>0</v>
      </c>
      <c r="B558">
        <v>20</v>
      </c>
      <c r="C558">
        <v>27</v>
      </c>
      <c r="D558">
        <v>1</v>
      </c>
      <c r="E558">
        <f t="shared" si="8"/>
        <v>3.7131975922501373E-13</v>
      </c>
    </row>
    <row r="559" spans="1:5" x14ac:dyDescent="0.25">
      <c r="A559">
        <v>0</v>
      </c>
      <c r="B559">
        <v>20</v>
      </c>
      <c r="C559">
        <v>28</v>
      </c>
      <c r="D559">
        <v>0</v>
      </c>
      <c r="E559">
        <f t="shared" si="8"/>
        <v>2.0157358357929321E-14</v>
      </c>
    </row>
    <row r="560" spans="1:5" x14ac:dyDescent="0.25">
      <c r="A560">
        <v>0</v>
      </c>
      <c r="B560">
        <v>21</v>
      </c>
      <c r="C560">
        <v>2</v>
      </c>
      <c r="D560">
        <v>25</v>
      </c>
      <c r="E560">
        <f t="shared" si="8"/>
        <v>2.7326082710212326E-28</v>
      </c>
    </row>
    <row r="561" spans="1:5" x14ac:dyDescent="0.25">
      <c r="A561">
        <v>0</v>
      </c>
      <c r="B561">
        <v>21</v>
      </c>
      <c r="C561">
        <v>3</v>
      </c>
      <c r="D561">
        <v>24</v>
      </c>
      <c r="E561">
        <f t="shared" si="8"/>
        <v>1.4346193422861472E-25</v>
      </c>
    </row>
    <row r="562" spans="1:5" x14ac:dyDescent="0.25">
      <c r="A562">
        <v>0</v>
      </c>
      <c r="B562">
        <v>21</v>
      </c>
      <c r="C562">
        <v>4</v>
      </c>
      <c r="D562">
        <v>23</v>
      </c>
      <c r="E562">
        <f t="shared" si="8"/>
        <v>2.6683919766522341E-23</v>
      </c>
    </row>
    <row r="563" spans="1:5" x14ac:dyDescent="0.25">
      <c r="A563">
        <v>0</v>
      </c>
      <c r="B563">
        <v>21</v>
      </c>
      <c r="C563">
        <v>5</v>
      </c>
      <c r="D563">
        <v>22</v>
      </c>
      <c r="E563">
        <f t="shared" si="8"/>
        <v>2.4958359621620561E-21</v>
      </c>
    </row>
    <row r="564" spans="1:5" x14ac:dyDescent="0.25">
      <c r="A564">
        <v>0</v>
      </c>
      <c r="B564">
        <v>21</v>
      </c>
      <c r="C564">
        <v>6</v>
      </c>
      <c r="D564">
        <v>21</v>
      </c>
      <c r="E564">
        <f t="shared" si="8"/>
        <v>1.3727097791891309E-19</v>
      </c>
    </row>
    <row r="565" spans="1:5" x14ac:dyDescent="0.25">
      <c r="A565">
        <v>0</v>
      </c>
      <c r="B565">
        <v>21</v>
      </c>
      <c r="C565">
        <v>7</v>
      </c>
      <c r="D565">
        <v>20</v>
      </c>
      <c r="E565">
        <f t="shared" si="8"/>
        <v>4.8593926183295228E-18</v>
      </c>
    </row>
    <row r="566" spans="1:5" x14ac:dyDescent="0.25">
      <c r="A566">
        <v>0</v>
      </c>
      <c r="B566">
        <v>21</v>
      </c>
      <c r="C566">
        <v>8</v>
      </c>
      <c r="D566">
        <v>19</v>
      </c>
      <c r="E566">
        <f t="shared" si="8"/>
        <v>1.1743532160963015E-16</v>
      </c>
    </row>
    <row r="567" spans="1:5" x14ac:dyDescent="0.25">
      <c r="A567">
        <v>0</v>
      </c>
      <c r="B567">
        <v>21</v>
      </c>
      <c r="C567">
        <v>9</v>
      </c>
      <c r="D567">
        <v>18</v>
      </c>
      <c r="E567">
        <f t="shared" si="8"/>
        <v>2.018769100051261E-15</v>
      </c>
    </row>
    <row r="568" spans="1:5" x14ac:dyDescent="0.25">
      <c r="A568">
        <v>0</v>
      </c>
      <c r="B568">
        <v>21</v>
      </c>
      <c r="C568">
        <v>10</v>
      </c>
      <c r="D568">
        <v>17</v>
      </c>
      <c r="E568">
        <f t="shared" si="8"/>
        <v>2.5436490660645895E-14</v>
      </c>
    </row>
    <row r="569" spans="1:5" x14ac:dyDescent="0.25">
      <c r="A569">
        <v>0</v>
      </c>
      <c r="B569">
        <v>21</v>
      </c>
      <c r="C569">
        <v>11</v>
      </c>
      <c r="D569">
        <v>16</v>
      </c>
      <c r="E569">
        <f t="shared" si="8"/>
        <v>2.4023352290610011E-13</v>
      </c>
    </row>
    <row r="570" spans="1:5" x14ac:dyDescent="0.25">
      <c r="A570">
        <v>0</v>
      </c>
      <c r="B570">
        <v>21</v>
      </c>
      <c r="C570">
        <v>12</v>
      </c>
      <c r="D570">
        <v>15</v>
      </c>
      <c r="E570">
        <f t="shared" si="8"/>
        <v>1.7296813649239194E-12</v>
      </c>
    </row>
    <row r="571" spans="1:5" x14ac:dyDescent="0.25">
      <c r="A571">
        <v>0</v>
      </c>
      <c r="B571">
        <v>21</v>
      </c>
      <c r="C571">
        <v>13</v>
      </c>
      <c r="D571">
        <v>14</v>
      </c>
      <c r="E571">
        <f t="shared" si="8"/>
        <v>9.6160607350665519E-12</v>
      </c>
    </row>
    <row r="572" spans="1:5" x14ac:dyDescent="0.25">
      <c r="A572">
        <v>0</v>
      </c>
      <c r="B572">
        <v>21</v>
      </c>
      <c r="C572">
        <v>14</v>
      </c>
      <c r="D572">
        <v>13</v>
      </c>
      <c r="E572">
        <f t="shared" si="8"/>
        <v>4.1669596518621735E-11</v>
      </c>
    </row>
    <row r="573" spans="1:5" x14ac:dyDescent="0.25">
      <c r="A573">
        <v>0</v>
      </c>
      <c r="B573">
        <v>21</v>
      </c>
      <c r="C573">
        <v>15</v>
      </c>
      <c r="D573">
        <v>12</v>
      </c>
      <c r="E573">
        <f t="shared" si="8"/>
        <v>1.4167662816331385E-10</v>
      </c>
    </row>
    <row r="574" spans="1:5" x14ac:dyDescent="0.25">
      <c r="A574">
        <v>0</v>
      </c>
      <c r="B574">
        <v>21</v>
      </c>
      <c r="C574">
        <v>16</v>
      </c>
      <c r="D574">
        <v>11</v>
      </c>
      <c r="E574">
        <f t="shared" si="8"/>
        <v>3.794909682945907E-10</v>
      </c>
    </row>
    <row r="575" spans="1:5" x14ac:dyDescent="0.25">
      <c r="A575">
        <v>0</v>
      </c>
      <c r="B575">
        <v>21</v>
      </c>
      <c r="C575">
        <v>17</v>
      </c>
      <c r="D575">
        <v>10</v>
      </c>
      <c r="E575">
        <f t="shared" si="8"/>
        <v>8.0213973298346844E-10</v>
      </c>
    </row>
    <row r="576" spans="1:5" x14ac:dyDescent="0.25">
      <c r="A576">
        <v>0</v>
      </c>
      <c r="B576">
        <v>21</v>
      </c>
      <c r="C576">
        <v>18</v>
      </c>
      <c r="D576">
        <v>9</v>
      </c>
      <c r="E576">
        <f t="shared" si="8"/>
        <v>1.3368995549724462E-9</v>
      </c>
    </row>
    <row r="577" spans="1:5" x14ac:dyDescent="0.25">
      <c r="A577">
        <v>0</v>
      </c>
      <c r="B577">
        <v>21</v>
      </c>
      <c r="C577">
        <v>19</v>
      </c>
      <c r="D577">
        <v>8</v>
      </c>
      <c r="E577">
        <f t="shared" si="8"/>
        <v>1.7508003459855882E-9</v>
      </c>
    </row>
    <row r="578" spans="1:5" x14ac:dyDescent="0.25">
      <c r="A578">
        <v>0</v>
      </c>
      <c r="B578">
        <v>21</v>
      </c>
      <c r="C578">
        <v>20</v>
      </c>
      <c r="D578">
        <v>7</v>
      </c>
      <c r="E578">
        <f t="shared" si="8"/>
        <v>1.7897070203408255E-9</v>
      </c>
    </row>
    <row r="579" spans="1:5" x14ac:dyDescent="0.25">
      <c r="A579">
        <v>0</v>
      </c>
      <c r="B579">
        <v>21</v>
      </c>
      <c r="C579">
        <v>21</v>
      </c>
      <c r="D579">
        <v>6</v>
      </c>
      <c r="E579">
        <f t="shared" si="8"/>
        <v>1.4129265950059127E-9</v>
      </c>
    </row>
    <row r="580" spans="1:5" x14ac:dyDescent="0.25">
      <c r="A580">
        <v>0</v>
      </c>
      <c r="B580">
        <v>21</v>
      </c>
      <c r="C580">
        <v>22</v>
      </c>
      <c r="D580">
        <v>5</v>
      </c>
      <c r="E580">
        <f t="shared" si="8"/>
        <v>8.4775595700354802E-10</v>
      </c>
    </row>
    <row r="581" spans="1:5" x14ac:dyDescent="0.25">
      <c r="A581">
        <v>0</v>
      </c>
      <c r="B581">
        <v>21</v>
      </c>
      <c r="C581">
        <v>23</v>
      </c>
      <c r="D581">
        <v>4</v>
      </c>
      <c r="E581">
        <f t="shared" si="8"/>
        <v>3.7736548810716941E-10</v>
      </c>
    </row>
    <row r="582" spans="1:5" x14ac:dyDescent="0.25">
      <c r="A582">
        <v>0</v>
      </c>
      <c r="B582">
        <v>21</v>
      </c>
      <c r="C582">
        <v>24</v>
      </c>
      <c r="D582">
        <v>3</v>
      </c>
      <c r="E582">
        <f t="shared" si="8"/>
        <v>1.2007083712500844E-10</v>
      </c>
    </row>
    <row r="583" spans="1:5" x14ac:dyDescent="0.25">
      <c r="A583">
        <v>0</v>
      </c>
      <c r="B583">
        <v>21</v>
      </c>
      <c r="C583">
        <v>25</v>
      </c>
      <c r="D583">
        <v>2</v>
      </c>
      <c r="E583">
        <f t="shared" si="8"/>
        <v>2.5684718202393119E-11</v>
      </c>
    </row>
    <row r="584" spans="1:5" x14ac:dyDescent="0.25">
      <c r="A584">
        <v>0</v>
      </c>
      <c r="B584">
        <v>21</v>
      </c>
      <c r="C584">
        <v>26</v>
      </c>
      <c r="D584">
        <v>1</v>
      </c>
      <c r="E584">
        <f t="shared" si="8"/>
        <v>3.292912590050398E-12</v>
      </c>
    </row>
    <row r="585" spans="1:5" x14ac:dyDescent="0.25">
      <c r="A585">
        <v>0</v>
      </c>
      <c r="B585">
        <v>21</v>
      </c>
      <c r="C585">
        <v>27</v>
      </c>
      <c r="D585">
        <v>0</v>
      </c>
      <c r="E585">
        <f t="shared" si="8"/>
        <v>1.9025717186957854E-13</v>
      </c>
    </row>
    <row r="586" spans="1:5" x14ac:dyDescent="0.25">
      <c r="A586">
        <v>0</v>
      </c>
      <c r="B586">
        <v>22</v>
      </c>
      <c r="C586">
        <v>1</v>
      </c>
      <c r="D586">
        <v>25</v>
      </c>
      <c r="E586">
        <f t="shared" si="8"/>
        <v>1.0402542849910375E-28</v>
      </c>
    </row>
    <row r="587" spans="1:5" x14ac:dyDescent="0.25">
      <c r="A587">
        <v>0</v>
      </c>
      <c r="B587">
        <v>22</v>
      </c>
      <c r="C587">
        <v>2</v>
      </c>
      <c r="D587">
        <v>24</v>
      </c>
      <c r="E587">
        <f t="shared" si="8"/>
        <v>8.3220342799282993E-26</v>
      </c>
    </row>
    <row r="588" spans="1:5" x14ac:dyDescent="0.25">
      <c r="A588">
        <v>0</v>
      </c>
      <c r="B588">
        <v>22</v>
      </c>
      <c r="C588">
        <v>3</v>
      </c>
      <c r="D588">
        <v>23</v>
      </c>
      <c r="E588">
        <f t="shared" si="8"/>
        <v>2.0971526385419313E-23</v>
      </c>
    </row>
    <row r="589" spans="1:5" x14ac:dyDescent="0.25">
      <c r="A589">
        <v>0</v>
      </c>
      <c r="B589">
        <v>22</v>
      </c>
      <c r="C589">
        <v>4</v>
      </c>
      <c r="D589">
        <v>22</v>
      </c>
      <c r="E589">
        <f t="shared" si="8"/>
        <v>2.4921163854673286E-21</v>
      </c>
    </row>
    <row r="590" spans="1:5" x14ac:dyDescent="0.25">
      <c r="A590">
        <v>0</v>
      </c>
      <c r="B590">
        <v>22</v>
      </c>
      <c r="C590">
        <v>5</v>
      </c>
      <c r="D590">
        <v>21</v>
      </c>
      <c r="E590">
        <f t="shared" ref="E590:E653" si="9">COMBIN(A$4,A590)*COMBIN(B$4,B590)*COMBIN(C$4,C590)*COMBIN(D$4,D590)/COMBIN($G$4,$F$4)</f>
        <v>1.6722100946485778E-19</v>
      </c>
    </row>
    <row r="591" spans="1:5" x14ac:dyDescent="0.25">
      <c r="A591">
        <v>0</v>
      </c>
      <c r="B591">
        <v>22</v>
      </c>
      <c r="C591">
        <v>6</v>
      </c>
      <c r="D591">
        <v>20</v>
      </c>
      <c r="E591">
        <f t="shared" si="9"/>
        <v>7.0232823975240243E-18</v>
      </c>
    </row>
    <row r="592" spans="1:5" x14ac:dyDescent="0.25">
      <c r="A592">
        <v>0</v>
      </c>
      <c r="B592">
        <v>22</v>
      </c>
      <c r="C592">
        <v>7</v>
      </c>
      <c r="D592">
        <v>19</v>
      </c>
      <c r="E592">
        <f t="shared" si="9"/>
        <v>1.9732079116853209E-16</v>
      </c>
    </row>
    <row r="593" spans="1:5" x14ac:dyDescent="0.25">
      <c r="A593">
        <v>0</v>
      </c>
      <c r="B593">
        <v>22</v>
      </c>
      <c r="C593">
        <v>8</v>
      </c>
      <c r="D593">
        <v>18</v>
      </c>
      <c r="E593">
        <f t="shared" si="9"/>
        <v>3.8829912833521873E-15</v>
      </c>
    </row>
    <row r="594" spans="1:5" x14ac:dyDescent="0.25">
      <c r="A594">
        <v>0</v>
      </c>
      <c r="B594">
        <v>22</v>
      </c>
      <c r="C594">
        <v>9</v>
      </c>
      <c r="D594">
        <v>17</v>
      </c>
      <c r="E594">
        <f t="shared" si="9"/>
        <v>5.5332625787768658E-14</v>
      </c>
    </row>
    <row r="595" spans="1:5" x14ac:dyDescent="0.25">
      <c r="A595">
        <v>0</v>
      </c>
      <c r="B595">
        <v>22</v>
      </c>
      <c r="C595">
        <v>10</v>
      </c>
      <c r="D595">
        <v>16</v>
      </c>
      <c r="E595">
        <f t="shared" si="9"/>
        <v>5.8529621944395291E-13</v>
      </c>
    </row>
    <row r="596" spans="1:5" x14ac:dyDescent="0.25">
      <c r="A596">
        <v>0</v>
      </c>
      <c r="B596">
        <v>22</v>
      </c>
      <c r="C596">
        <v>11</v>
      </c>
      <c r="D596">
        <v>15</v>
      </c>
      <c r="E596">
        <f t="shared" si="9"/>
        <v>4.6823697555516233E-12</v>
      </c>
    </row>
    <row r="597" spans="1:5" x14ac:dyDescent="0.25">
      <c r="A597">
        <v>0</v>
      </c>
      <c r="B597">
        <v>22</v>
      </c>
      <c r="C597">
        <v>12</v>
      </c>
      <c r="D597">
        <v>14</v>
      </c>
      <c r="E597">
        <f t="shared" si="9"/>
        <v>2.8732723499975859E-11</v>
      </c>
    </row>
    <row r="598" spans="1:5" x14ac:dyDescent="0.25">
      <c r="A598">
        <v>0</v>
      </c>
      <c r="B598">
        <v>22</v>
      </c>
      <c r="C598">
        <v>13</v>
      </c>
      <c r="D598">
        <v>13</v>
      </c>
      <c r="E598">
        <f t="shared" si="9"/>
        <v>1.3666462074988526E-10</v>
      </c>
    </row>
    <row r="599" spans="1:5" x14ac:dyDescent="0.25">
      <c r="A599">
        <v>0</v>
      </c>
      <c r="B599">
        <v>22</v>
      </c>
      <c r="C599">
        <v>14</v>
      </c>
      <c r="D599">
        <v>12</v>
      </c>
      <c r="E599">
        <f t="shared" si="9"/>
        <v>5.076114484995739E-10</v>
      </c>
    </row>
    <row r="600" spans="1:5" x14ac:dyDescent="0.25">
      <c r="A600">
        <v>0</v>
      </c>
      <c r="B600">
        <v>22</v>
      </c>
      <c r="C600">
        <v>15</v>
      </c>
      <c r="D600">
        <v>11</v>
      </c>
      <c r="E600">
        <f t="shared" si="9"/>
        <v>1.4793247927701859E-9</v>
      </c>
    </row>
    <row r="601" spans="1:5" x14ac:dyDescent="0.25">
      <c r="A601">
        <v>0</v>
      </c>
      <c r="B601">
        <v>22</v>
      </c>
      <c r="C601">
        <v>16</v>
      </c>
      <c r="D601">
        <v>10</v>
      </c>
      <c r="E601">
        <f t="shared" si="9"/>
        <v>3.3901193167650093E-9</v>
      </c>
    </row>
    <row r="602" spans="1:5" x14ac:dyDescent="0.25">
      <c r="A602">
        <v>0</v>
      </c>
      <c r="B602">
        <v>22</v>
      </c>
      <c r="C602">
        <v>17</v>
      </c>
      <c r="D602">
        <v>9</v>
      </c>
      <c r="E602">
        <f t="shared" si="9"/>
        <v>6.1072002397604989E-9</v>
      </c>
    </row>
    <row r="603" spans="1:5" x14ac:dyDescent="0.25">
      <c r="A603">
        <v>0</v>
      </c>
      <c r="B603">
        <v>22</v>
      </c>
      <c r="C603">
        <v>18</v>
      </c>
      <c r="D603">
        <v>8</v>
      </c>
      <c r="E603">
        <f t="shared" si="9"/>
        <v>8.6219297502501073E-9</v>
      </c>
    </row>
    <row r="604" spans="1:5" x14ac:dyDescent="0.25">
      <c r="A604">
        <v>0</v>
      </c>
      <c r="B604">
        <v>22</v>
      </c>
      <c r="C604">
        <v>19</v>
      </c>
      <c r="D604">
        <v>7</v>
      </c>
      <c r="E604">
        <f t="shared" si="9"/>
        <v>9.4790806610936899E-9</v>
      </c>
    </row>
    <row r="605" spans="1:5" x14ac:dyDescent="0.25">
      <c r="A605">
        <v>0</v>
      </c>
      <c r="B605">
        <v>22</v>
      </c>
      <c r="C605">
        <v>20</v>
      </c>
      <c r="D605">
        <v>6</v>
      </c>
      <c r="E605">
        <f t="shared" si="9"/>
        <v>8.0322736128214996E-9</v>
      </c>
    </row>
    <row r="606" spans="1:5" x14ac:dyDescent="0.25">
      <c r="A606">
        <v>0</v>
      </c>
      <c r="B606">
        <v>22</v>
      </c>
      <c r="C606">
        <v>21</v>
      </c>
      <c r="D606">
        <v>5</v>
      </c>
      <c r="E606">
        <f t="shared" si="9"/>
        <v>5.163604465385243E-9</v>
      </c>
    </row>
    <row r="607" spans="1:5" x14ac:dyDescent="0.25">
      <c r="A607">
        <v>0</v>
      </c>
      <c r="B607">
        <v>22</v>
      </c>
      <c r="C607">
        <v>22</v>
      </c>
      <c r="D607">
        <v>4</v>
      </c>
      <c r="E607">
        <f t="shared" si="9"/>
        <v>2.4588592692310709E-9</v>
      </c>
    </row>
    <row r="608" spans="1:5" x14ac:dyDescent="0.25">
      <c r="A608">
        <v>0</v>
      </c>
      <c r="B608">
        <v>22</v>
      </c>
      <c r="C608">
        <v>23</v>
      </c>
      <c r="D608">
        <v>3</v>
      </c>
      <c r="E608">
        <f t="shared" si="9"/>
        <v>8.3581777531174703E-10</v>
      </c>
    </row>
    <row r="609" spans="1:5" x14ac:dyDescent="0.25">
      <c r="A609">
        <v>0</v>
      </c>
      <c r="B609">
        <v>22</v>
      </c>
      <c r="C609">
        <v>24</v>
      </c>
      <c r="D609">
        <v>2</v>
      </c>
      <c r="E609">
        <f t="shared" si="9"/>
        <v>1.9078449219072489E-10</v>
      </c>
    </row>
    <row r="610" spans="1:5" x14ac:dyDescent="0.25">
      <c r="A610">
        <v>0</v>
      </c>
      <c r="B610">
        <v>22</v>
      </c>
      <c r="C610">
        <v>25</v>
      </c>
      <c r="D610">
        <v>1</v>
      </c>
      <c r="E610">
        <f t="shared" si="9"/>
        <v>2.6073880599399077E-11</v>
      </c>
    </row>
    <row r="611" spans="1:5" x14ac:dyDescent="0.25">
      <c r="A611">
        <v>0</v>
      </c>
      <c r="B611">
        <v>22</v>
      </c>
      <c r="C611">
        <v>26</v>
      </c>
      <c r="D611">
        <v>0</v>
      </c>
      <c r="E611">
        <f t="shared" si="9"/>
        <v>1.6045464984245574E-12</v>
      </c>
    </row>
    <row r="612" spans="1:5" x14ac:dyDescent="0.25">
      <c r="A612">
        <v>0</v>
      </c>
      <c r="B612">
        <v>23</v>
      </c>
      <c r="C612">
        <v>0</v>
      </c>
      <c r="D612">
        <v>25</v>
      </c>
      <c r="E612">
        <f t="shared" si="9"/>
        <v>1.8578454454354972E-29</v>
      </c>
    </row>
    <row r="613" spans="1:5" x14ac:dyDescent="0.25">
      <c r="A613">
        <v>0</v>
      </c>
      <c r="B613">
        <v>23</v>
      </c>
      <c r="C613">
        <v>1</v>
      </c>
      <c r="D613">
        <v>24</v>
      </c>
      <c r="E613">
        <f t="shared" si="9"/>
        <v>3.0189988488326834E-26</v>
      </c>
    </row>
    <row r="614" spans="1:5" x14ac:dyDescent="0.25">
      <c r="A614">
        <v>0</v>
      </c>
      <c r="B614">
        <v>23</v>
      </c>
      <c r="C614">
        <v>2</v>
      </c>
      <c r="D614">
        <v>23</v>
      </c>
      <c r="E614">
        <f t="shared" si="9"/>
        <v>1.1592955579517504E-23</v>
      </c>
    </row>
    <row r="615" spans="1:5" x14ac:dyDescent="0.25">
      <c r="A615">
        <v>0</v>
      </c>
      <c r="B615">
        <v>23</v>
      </c>
      <c r="C615">
        <v>3</v>
      </c>
      <c r="D615">
        <v>22</v>
      </c>
      <c r="E615">
        <f t="shared" si="9"/>
        <v>1.866465848302318E-21</v>
      </c>
    </row>
    <row r="616" spans="1:5" x14ac:dyDescent="0.25">
      <c r="A616">
        <v>0</v>
      </c>
      <c r="B616">
        <v>23</v>
      </c>
      <c r="C616">
        <v>4</v>
      </c>
      <c r="D616">
        <v>21</v>
      </c>
      <c r="E616">
        <f t="shared" si="9"/>
        <v>1.5911621356777262E-19</v>
      </c>
    </row>
    <row r="617" spans="1:5" x14ac:dyDescent="0.25">
      <c r="A617">
        <v>0</v>
      </c>
      <c r="B617">
        <v>23</v>
      </c>
      <c r="C617">
        <v>5</v>
      </c>
      <c r="D617">
        <v>20</v>
      </c>
      <c r="E617">
        <f t="shared" si="9"/>
        <v>8.1531147832126683E-18</v>
      </c>
    </row>
    <row r="618" spans="1:5" x14ac:dyDescent="0.25">
      <c r="A618">
        <v>0</v>
      </c>
      <c r="B618">
        <v>23</v>
      </c>
      <c r="C618">
        <v>6</v>
      </c>
      <c r="D618">
        <v>19</v>
      </c>
      <c r="E618">
        <f t="shared" si="9"/>
        <v>2.7177049277375558E-16</v>
      </c>
    </row>
    <row r="619" spans="1:5" x14ac:dyDescent="0.25">
      <c r="A619">
        <v>0</v>
      </c>
      <c r="B619">
        <v>23</v>
      </c>
      <c r="C619">
        <v>7</v>
      </c>
      <c r="D619">
        <v>18</v>
      </c>
      <c r="E619">
        <f t="shared" si="9"/>
        <v>6.2174433142730636E-15</v>
      </c>
    </row>
    <row r="620" spans="1:5" x14ac:dyDescent="0.25">
      <c r="A620">
        <v>0</v>
      </c>
      <c r="B620">
        <v>23</v>
      </c>
      <c r="C620">
        <v>8</v>
      </c>
      <c r="D620">
        <v>17</v>
      </c>
      <c r="E620">
        <f t="shared" si="9"/>
        <v>1.0142204406407934E-13</v>
      </c>
    </row>
    <row r="621" spans="1:5" x14ac:dyDescent="0.25">
      <c r="A621">
        <v>0</v>
      </c>
      <c r="B621">
        <v>23</v>
      </c>
      <c r="C621">
        <v>9</v>
      </c>
      <c r="D621">
        <v>16</v>
      </c>
      <c r="E621">
        <f t="shared" si="9"/>
        <v>1.2133081567665785E-12</v>
      </c>
    </row>
    <row r="622" spans="1:5" x14ac:dyDescent="0.25">
      <c r="A622">
        <v>0</v>
      </c>
      <c r="B622">
        <v>23</v>
      </c>
      <c r="C622">
        <v>10</v>
      </c>
      <c r="D622">
        <v>15</v>
      </c>
      <c r="E622">
        <f t="shared" si="9"/>
        <v>1.0871241084628544E-11</v>
      </c>
    </row>
    <row r="623" spans="1:5" x14ac:dyDescent="0.25">
      <c r="A623">
        <v>0</v>
      </c>
      <c r="B623">
        <v>23</v>
      </c>
      <c r="C623">
        <v>11</v>
      </c>
      <c r="D623">
        <v>14</v>
      </c>
      <c r="E623">
        <f t="shared" si="9"/>
        <v>7.4122098304285543E-11</v>
      </c>
    </row>
    <row r="624" spans="1:5" x14ac:dyDescent="0.25">
      <c r="A624">
        <v>0</v>
      </c>
      <c r="B624">
        <v>23</v>
      </c>
      <c r="C624">
        <v>12</v>
      </c>
      <c r="D624">
        <v>13</v>
      </c>
      <c r="E624">
        <f t="shared" si="9"/>
        <v>3.8914101609749893E-10</v>
      </c>
    </row>
    <row r="625" spans="1:5" x14ac:dyDescent="0.25">
      <c r="A625">
        <v>0</v>
      </c>
      <c r="B625">
        <v>23</v>
      </c>
      <c r="C625">
        <v>13</v>
      </c>
      <c r="D625">
        <v>12</v>
      </c>
      <c r="E625">
        <f t="shared" si="9"/>
        <v>1.5864979887051885E-9</v>
      </c>
    </row>
    <row r="626" spans="1:5" x14ac:dyDescent="0.25">
      <c r="A626">
        <v>0</v>
      </c>
      <c r="B626">
        <v>23</v>
      </c>
      <c r="C626">
        <v>14</v>
      </c>
      <c r="D626">
        <v>11</v>
      </c>
      <c r="E626">
        <f t="shared" si="9"/>
        <v>5.0508915558777438E-9</v>
      </c>
    </row>
    <row r="627" spans="1:5" x14ac:dyDescent="0.25">
      <c r="A627">
        <v>0</v>
      </c>
      <c r="B627">
        <v>23</v>
      </c>
      <c r="C627">
        <v>15</v>
      </c>
      <c r="D627">
        <v>10</v>
      </c>
      <c r="E627">
        <f t="shared" si="9"/>
        <v>1.2593556279321832E-8</v>
      </c>
    </row>
    <row r="628" spans="1:5" x14ac:dyDescent="0.25">
      <c r="A628">
        <v>0</v>
      </c>
      <c r="B628">
        <v>23</v>
      </c>
      <c r="C628">
        <v>16</v>
      </c>
      <c r="D628">
        <v>9</v>
      </c>
      <c r="E628">
        <f t="shared" si="9"/>
        <v>2.4596789608050467E-8</v>
      </c>
    </row>
    <row r="629" spans="1:5" x14ac:dyDescent="0.25">
      <c r="A629">
        <v>0</v>
      </c>
      <c r="B629">
        <v>23</v>
      </c>
      <c r="C629">
        <v>17</v>
      </c>
      <c r="D629">
        <v>8</v>
      </c>
      <c r="E629">
        <f t="shared" si="9"/>
        <v>3.7533509401904014E-8</v>
      </c>
    </row>
    <row r="630" spans="1:5" x14ac:dyDescent="0.25">
      <c r="A630">
        <v>0</v>
      </c>
      <c r="B630">
        <v>23</v>
      </c>
      <c r="C630">
        <v>18</v>
      </c>
      <c r="D630">
        <v>7</v>
      </c>
      <c r="E630">
        <f t="shared" si="9"/>
        <v>4.4484159291145471E-8</v>
      </c>
    </row>
    <row r="631" spans="1:5" x14ac:dyDescent="0.25">
      <c r="A631">
        <v>0</v>
      </c>
      <c r="B631">
        <v>23</v>
      </c>
      <c r="C631">
        <v>19</v>
      </c>
      <c r="D631">
        <v>6</v>
      </c>
      <c r="E631">
        <f t="shared" si="9"/>
        <v>4.0540965115753072E-8</v>
      </c>
    </row>
    <row r="632" spans="1:5" x14ac:dyDescent="0.25">
      <c r="A632">
        <v>0</v>
      </c>
      <c r="B632">
        <v>23</v>
      </c>
      <c r="C632">
        <v>20</v>
      </c>
      <c r="D632">
        <v>5</v>
      </c>
      <c r="E632">
        <f t="shared" si="9"/>
        <v>2.7973265929869646E-8</v>
      </c>
    </row>
    <row r="633" spans="1:5" x14ac:dyDescent="0.25">
      <c r="A633">
        <v>0</v>
      </c>
      <c r="B633">
        <v>23</v>
      </c>
      <c r="C633">
        <v>21</v>
      </c>
      <c r="D633">
        <v>4</v>
      </c>
      <c r="E633">
        <f t="shared" si="9"/>
        <v>1.4272074454015112E-8</v>
      </c>
    </row>
    <row r="634" spans="1:5" x14ac:dyDescent="0.25">
      <c r="A634">
        <v>0</v>
      </c>
      <c r="B634">
        <v>23</v>
      </c>
      <c r="C634">
        <v>22</v>
      </c>
      <c r="D634">
        <v>3</v>
      </c>
      <c r="E634">
        <f t="shared" si="9"/>
        <v>5.1898452560054975E-9</v>
      </c>
    </row>
    <row r="635" spans="1:5" x14ac:dyDescent="0.25">
      <c r="A635">
        <v>0</v>
      </c>
      <c r="B635">
        <v>23</v>
      </c>
      <c r="C635">
        <v>23</v>
      </c>
      <c r="D635">
        <v>2</v>
      </c>
      <c r="E635">
        <f t="shared" si="9"/>
        <v>1.2655766314266713E-9</v>
      </c>
    </row>
    <row r="636" spans="1:5" x14ac:dyDescent="0.25">
      <c r="A636">
        <v>0</v>
      </c>
      <c r="B636">
        <v>23</v>
      </c>
      <c r="C636">
        <v>24</v>
      </c>
      <c r="D636">
        <v>1</v>
      </c>
      <c r="E636">
        <f t="shared" si="9"/>
        <v>1.8456325874972286E-10</v>
      </c>
    </row>
    <row r="637" spans="1:5" x14ac:dyDescent="0.25">
      <c r="A637">
        <v>0</v>
      </c>
      <c r="B637">
        <v>23</v>
      </c>
      <c r="C637">
        <v>25</v>
      </c>
      <c r="D637">
        <v>0</v>
      </c>
      <c r="E637">
        <f t="shared" si="9"/>
        <v>1.2107349773981825E-11</v>
      </c>
    </row>
    <row r="638" spans="1:5" x14ac:dyDescent="0.25">
      <c r="A638">
        <v>0</v>
      </c>
      <c r="B638">
        <v>24</v>
      </c>
      <c r="C638">
        <v>0</v>
      </c>
      <c r="D638">
        <v>24</v>
      </c>
      <c r="E638">
        <f t="shared" si="9"/>
        <v>5.1477800883941933E-27</v>
      </c>
    </row>
    <row r="639" spans="1:5" x14ac:dyDescent="0.25">
      <c r="A639">
        <v>0</v>
      </c>
      <c r="B639">
        <v>24</v>
      </c>
      <c r="C639">
        <v>1</v>
      </c>
      <c r="D639">
        <v>23</v>
      </c>
      <c r="E639">
        <f t="shared" si="9"/>
        <v>4.0152684689474706E-24</v>
      </c>
    </row>
    <row r="640" spans="1:5" x14ac:dyDescent="0.25">
      <c r="A640">
        <v>0</v>
      </c>
      <c r="B640">
        <v>24</v>
      </c>
      <c r="C640">
        <v>2</v>
      </c>
      <c r="D640">
        <v>22</v>
      </c>
      <c r="E640">
        <f t="shared" si="9"/>
        <v>9.8507919771511279E-22</v>
      </c>
    </row>
    <row r="641" spans="1:5" x14ac:dyDescent="0.25">
      <c r="A641">
        <v>0</v>
      </c>
      <c r="B641">
        <v>24</v>
      </c>
      <c r="C641">
        <v>3</v>
      </c>
      <c r="D641">
        <v>21</v>
      </c>
      <c r="E641">
        <f t="shared" si="9"/>
        <v>1.1377664733609552E-19</v>
      </c>
    </row>
    <row r="642" spans="1:5" x14ac:dyDescent="0.25">
      <c r="A642">
        <v>0</v>
      </c>
      <c r="B642">
        <v>24</v>
      </c>
      <c r="C642">
        <v>4</v>
      </c>
      <c r="D642">
        <v>20</v>
      </c>
      <c r="E642">
        <f t="shared" si="9"/>
        <v>7.4068597415798183E-18</v>
      </c>
    </row>
    <row r="643" spans="1:5" x14ac:dyDescent="0.25">
      <c r="A643">
        <v>0</v>
      </c>
      <c r="B643">
        <v>24</v>
      </c>
      <c r="C643">
        <v>5</v>
      </c>
      <c r="D643">
        <v>19</v>
      </c>
      <c r="E643">
        <f t="shared" si="9"/>
        <v>3.0121229615757927E-16</v>
      </c>
    </row>
    <row r="644" spans="1:5" x14ac:dyDescent="0.25">
      <c r="A644">
        <v>0</v>
      </c>
      <c r="B644">
        <v>24</v>
      </c>
      <c r="C644">
        <v>6</v>
      </c>
      <c r="D644">
        <v>18</v>
      </c>
      <c r="E644">
        <f t="shared" si="9"/>
        <v>8.1757623242771539E-15</v>
      </c>
    </row>
    <row r="645" spans="1:5" x14ac:dyDescent="0.25">
      <c r="A645">
        <v>0</v>
      </c>
      <c r="B645">
        <v>24</v>
      </c>
      <c r="C645">
        <v>7</v>
      </c>
      <c r="D645">
        <v>17</v>
      </c>
      <c r="E645">
        <f t="shared" si="9"/>
        <v>1.5504749264968459E-13</v>
      </c>
    </row>
    <row r="646" spans="1:5" x14ac:dyDescent="0.25">
      <c r="A646">
        <v>0</v>
      </c>
      <c r="B646">
        <v>24</v>
      </c>
      <c r="C646">
        <v>8</v>
      </c>
      <c r="D646">
        <v>16</v>
      </c>
      <c r="E646">
        <f t="shared" si="9"/>
        <v>2.1232892743415141E-12</v>
      </c>
    </row>
    <row r="647" spans="1:5" x14ac:dyDescent="0.25">
      <c r="A647">
        <v>0</v>
      </c>
      <c r="B647">
        <v>24</v>
      </c>
      <c r="C647">
        <v>9</v>
      </c>
      <c r="D647">
        <v>15</v>
      </c>
      <c r="E647">
        <f t="shared" si="9"/>
        <v>2.1515997979994004E-11</v>
      </c>
    </row>
    <row r="648" spans="1:5" x14ac:dyDescent="0.25">
      <c r="A648">
        <v>0</v>
      </c>
      <c r="B648">
        <v>24</v>
      </c>
      <c r="C648">
        <v>10</v>
      </c>
      <c r="D648">
        <v>14</v>
      </c>
      <c r="E648">
        <f t="shared" si="9"/>
        <v>1.643039845744997E-10</v>
      </c>
    </row>
    <row r="649" spans="1:5" x14ac:dyDescent="0.25">
      <c r="A649">
        <v>0</v>
      </c>
      <c r="B649">
        <v>24</v>
      </c>
      <c r="C649">
        <v>11</v>
      </c>
      <c r="D649">
        <v>13</v>
      </c>
      <c r="E649">
        <f t="shared" si="9"/>
        <v>9.5843991001791514E-10</v>
      </c>
    </row>
    <row r="650" spans="1:5" x14ac:dyDescent="0.25">
      <c r="A650">
        <v>0</v>
      </c>
      <c r="B650">
        <v>24</v>
      </c>
      <c r="C650">
        <v>12</v>
      </c>
      <c r="D650">
        <v>12</v>
      </c>
      <c r="E650">
        <f t="shared" si="9"/>
        <v>4.3129795950806159E-9</v>
      </c>
    </row>
    <row r="651" spans="1:5" x14ac:dyDescent="0.25">
      <c r="A651">
        <v>0</v>
      </c>
      <c r="B651">
        <v>24</v>
      </c>
      <c r="C651">
        <v>13</v>
      </c>
      <c r="D651">
        <v>11</v>
      </c>
      <c r="E651">
        <f t="shared" si="9"/>
        <v>1.50717308926993E-8</v>
      </c>
    </row>
    <row r="652" spans="1:5" x14ac:dyDescent="0.25">
      <c r="A652">
        <v>0</v>
      </c>
      <c r="B652">
        <v>24</v>
      </c>
      <c r="C652">
        <v>14</v>
      </c>
      <c r="D652">
        <v>10</v>
      </c>
      <c r="E652">
        <f t="shared" si="9"/>
        <v>4.1052524145828571E-8</v>
      </c>
    </row>
    <row r="653" spans="1:5" x14ac:dyDescent="0.25">
      <c r="A653">
        <v>0</v>
      </c>
      <c r="B653">
        <v>24</v>
      </c>
      <c r="C653">
        <v>15</v>
      </c>
      <c r="D653">
        <v>9</v>
      </c>
      <c r="E653">
        <f t="shared" si="9"/>
        <v>8.7236613809885683E-8</v>
      </c>
    </row>
    <row r="654" spans="1:5" x14ac:dyDescent="0.25">
      <c r="A654">
        <v>0</v>
      </c>
      <c r="B654">
        <v>24</v>
      </c>
      <c r="C654">
        <v>16</v>
      </c>
      <c r="D654">
        <v>8</v>
      </c>
      <c r="E654">
        <f t="shared" ref="E654:E717" si="10">COMBIN(A$4,A654)*COMBIN(B$4,B654)*COMBIN(C$4,C654)*COMBIN(D$4,D654)/COMBIN($G$4,$F$4)</f>
        <v>1.4432528020017856E-7</v>
      </c>
    </row>
    <row r="655" spans="1:5" x14ac:dyDescent="0.25">
      <c r="A655">
        <v>0</v>
      </c>
      <c r="B655">
        <v>24</v>
      </c>
      <c r="C655">
        <v>17</v>
      </c>
      <c r="D655">
        <v>7</v>
      </c>
      <c r="E655">
        <f t="shared" si="10"/>
        <v>1.8488728705382364E-7</v>
      </c>
    </row>
    <row r="656" spans="1:5" x14ac:dyDescent="0.25">
      <c r="A656">
        <v>0</v>
      </c>
      <c r="B656">
        <v>24</v>
      </c>
      <c r="C656">
        <v>18</v>
      </c>
      <c r="D656">
        <v>6</v>
      </c>
      <c r="E656">
        <f t="shared" si="10"/>
        <v>1.8164365043884402E-7</v>
      </c>
    </row>
    <row r="657" spans="1:5" x14ac:dyDescent="0.25">
      <c r="A657">
        <v>0</v>
      </c>
      <c r="B657">
        <v>24</v>
      </c>
      <c r="C657">
        <v>19</v>
      </c>
      <c r="D657">
        <v>5</v>
      </c>
      <c r="E657">
        <f t="shared" si="10"/>
        <v>1.3479870900987904E-7</v>
      </c>
    </row>
    <row r="658" spans="1:5" x14ac:dyDescent="0.25">
      <c r="A658">
        <v>0</v>
      </c>
      <c r="B658">
        <v>24</v>
      </c>
      <c r="C658">
        <v>20</v>
      </c>
      <c r="D658">
        <v>4</v>
      </c>
      <c r="E658">
        <f t="shared" si="10"/>
        <v>7.3818340648267172E-8</v>
      </c>
    </row>
    <row r="659" spans="1:5" x14ac:dyDescent="0.25">
      <c r="A659">
        <v>0</v>
      </c>
      <c r="B659">
        <v>24</v>
      </c>
      <c r="C659">
        <v>21</v>
      </c>
      <c r="D659">
        <v>3</v>
      </c>
      <c r="E659">
        <f t="shared" si="10"/>
        <v>2.8760392460363796E-8</v>
      </c>
    </row>
    <row r="660" spans="1:5" x14ac:dyDescent="0.25">
      <c r="A660">
        <v>0</v>
      </c>
      <c r="B660">
        <v>24</v>
      </c>
      <c r="C660">
        <v>22</v>
      </c>
      <c r="D660">
        <v>2</v>
      </c>
      <c r="E660">
        <f t="shared" si="10"/>
        <v>7.502711076616648E-9</v>
      </c>
    </row>
    <row r="661" spans="1:5" x14ac:dyDescent="0.25">
      <c r="A661">
        <v>0</v>
      </c>
      <c r="B661">
        <v>24</v>
      </c>
      <c r="C661">
        <v>23</v>
      </c>
      <c r="D661">
        <v>1</v>
      </c>
      <c r="E661">
        <f t="shared" si="10"/>
        <v>1.1689006387482455E-9</v>
      </c>
    </row>
    <row r="662" spans="1:5" x14ac:dyDescent="0.25">
      <c r="A662">
        <v>0</v>
      </c>
      <c r="B662">
        <v>24</v>
      </c>
      <c r="C662">
        <v>24</v>
      </c>
      <c r="D662">
        <v>0</v>
      </c>
      <c r="E662">
        <f t="shared" si="10"/>
        <v>8.1823044712377192E-11</v>
      </c>
    </row>
    <row r="663" spans="1:5" x14ac:dyDescent="0.25">
      <c r="A663">
        <v>0</v>
      </c>
      <c r="B663">
        <v>25</v>
      </c>
      <c r="C663">
        <v>0</v>
      </c>
      <c r="D663">
        <v>23</v>
      </c>
      <c r="E663">
        <f t="shared" si="10"/>
        <v>6.5479762724374163E-25</v>
      </c>
    </row>
    <row r="664" spans="1:5" x14ac:dyDescent="0.25">
      <c r="A664">
        <v>0</v>
      </c>
      <c r="B664">
        <v>25</v>
      </c>
      <c r="C664">
        <v>1</v>
      </c>
      <c r="D664">
        <v>22</v>
      </c>
      <c r="E664">
        <f t="shared" si="10"/>
        <v>3.2630748424313121E-22</v>
      </c>
    </row>
    <row r="665" spans="1:5" x14ac:dyDescent="0.25">
      <c r="A665">
        <v>0</v>
      </c>
      <c r="B665">
        <v>25</v>
      </c>
      <c r="C665">
        <v>2</v>
      </c>
      <c r="D665">
        <v>21</v>
      </c>
      <c r="E665">
        <f t="shared" si="10"/>
        <v>5.7430117226791099E-20</v>
      </c>
    </row>
    <row r="666" spans="1:5" x14ac:dyDescent="0.25">
      <c r="A666">
        <v>0</v>
      </c>
      <c r="B666">
        <v>25</v>
      </c>
      <c r="C666">
        <v>3</v>
      </c>
      <c r="D666">
        <v>20</v>
      </c>
      <c r="E666">
        <f t="shared" si="10"/>
        <v>5.0653363394029737E-18</v>
      </c>
    </row>
    <row r="667" spans="1:5" x14ac:dyDescent="0.25">
      <c r="A667">
        <v>0</v>
      </c>
      <c r="B667">
        <v>25</v>
      </c>
      <c r="C667">
        <v>4</v>
      </c>
      <c r="D667">
        <v>19</v>
      </c>
      <c r="E667">
        <f t="shared" si="10"/>
        <v>2.6170904420248696E-16</v>
      </c>
    </row>
    <row r="668" spans="1:5" x14ac:dyDescent="0.25">
      <c r="A668">
        <v>0</v>
      </c>
      <c r="B668">
        <v>25</v>
      </c>
      <c r="C668">
        <v>5</v>
      </c>
      <c r="D668">
        <v>18</v>
      </c>
      <c r="E668">
        <f t="shared" si="10"/>
        <v>8.6663080637337857E-15</v>
      </c>
    </row>
    <row r="669" spans="1:5" x14ac:dyDescent="0.25">
      <c r="A669">
        <v>0</v>
      </c>
      <c r="B669">
        <v>25</v>
      </c>
      <c r="C669">
        <v>6</v>
      </c>
      <c r="D669">
        <v>17</v>
      </c>
      <c r="E669">
        <f t="shared" si="10"/>
        <v>1.9499193143401014E-13</v>
      </c>
    </row>
    <row r="670" spans="1:5" x14ac:dyDescent="0.25">
      <c r="A670">
        <v>0</v>
      </c>
      <c r="B670">
        <v>25</v>
      </c>
      <c r="C670">
        <v>7</v>
      </c>
      <c r="D670">
        <v>16</v>
      </c>
      <c r="E670">
        <f t="shared" si="10"/>
        <v>3.1043953528303517E-12</v>
      </c>
    </row>
    <row r="671" spans="1:5" x14ac:dyDescent="0.25">
      <c r="A671">
        <v>0</v>
      </c>
      <c r="B671">
        <v>25</v>
      </c>
      <c r="C671">
        <v>8</v>
      </c>
      <c r="D671">
        <v>15</v>
      </c>
      <c r="E671">
        <f t="shared" si="10"/>
        <v>3.601098609283209E-11</v>
      </c>
    </row>
    <row r="672" spans="1:5" x14ac:dyDescent="0.25">
      <c r="A672">
        <v>0</v>
      </c>
      <c r="B672">
        <v>25</v>
      </c>
      <c r="C672">
        <v>9</v>
      </c>
      <c r="D672">
        <v>14</v>
      </c>
      <c r="E672">
        <f t="shared" si="10"/>
        <v>3.1100397080173164E-10</v>
      </c>
    </row>
    <row r="673" spans="1:5" x14ac:dyDescent="0.25">
      <c r="A673">
        <v>0</v>
      </c>
      <c r="B673">
        <v>25</v>
      </c>
      <c r="C673">
        <v>10</v>
      </c>
      <c r="D673">
        <v>13</v>
      </c>
      <c r="E673">
        <f t="shared" si="10"/>
        <v>2.0318926092379809E-9</v>
      </c>
    </row>
    <row r="674" spans="1:5" x14ac:dyDescent="0.25">
      <c r="A674">
        <v>0</v>
      </c>
      <c r="B674">
        <v>25</v>
      </c>
      <c r="C674">
        <v>11</v>
      </c>
      <c r="D674">
        <v>12</v>
      </c>
      <c r="E674">
        <f t="shared" si="10"/>
        <v>1.0159463046189903E-8</v>
      </c>
    </row>
    <row r="675" spans="1:5" x14ac:dyDescent="0.25">
      <c r="A675">
        <v>0</v>
      </c>
      <c r="B675">
        <v>25</v>
      </c>
      <c r="C675">
        <v>12</v>
      </c>
      <c r="D675">
        <v>11</v>
      </c>
      <c r="E675">
        <f t="shared" si="10"/>
        <v>3.9186500321018173E-8</v>
      </c>
    </row>
    <row r="676" spans="1:5" x14ac:dyDescent="0.25">
      <c r="A676">
        <v>0</v>
      </c>
      <c r="B676">
        <v>25</v>
      </c>
      <c r="C676">
        <v>13</v>
      </c>
      <c r="D676">
        <v>10</v>
      </c>
      <c r="E676">
        <f t="shared" si="10"/>
        <v>1.1715758813924924E-7</v>
      </c>
    </row>
    <row r="677" spans="1:5" x14ac:dyDescent="0.25">
      <c r="A677">
        <v>0</v>
      </c>
      <c r="B677">
        <v>25</v>
      </c>
      <c r="C677">
        <v>14</v>
      </c>
      <c r="D677">
        <v>9</v>
      </c>
      <c r="E677">
        <f t="shared" si="10"/>
        <v>2.719729724661144E-7</v>
      </c>
    </row>
    <row r="678" spans="1:5" x14ac:dyDescent="0.25">
      <c r="A678">
        <v>0</v>
      </c>
      <c r="B678">
        <v>25</v>
      </c>
      <c r="C678">
        <v>15</v>
      </c>
      <c r="D678">
        <v>8</v>
      </c>
      <c r="E678">
        <f t="shared" si="10"/>
        <v>4.895513504390057E-7</v>
      </c>
    </row>
    <row r="679" spans="1:5" x14ac:dyDescent="0.25">
      <c r="A679">
        <v>0</v>
      </c>
      <c r="B679">
        <v>25</v>
      </c>
      <c r="C679">
        <v>16</v>
      </c>
      <c r="D679">
        <v>7</v>
      </c>
      <c r="E679">
        <f t="shared" si="10"/>
        <v>6.7993243116528594E-7</v>
      </c>
    </row>
    <row r="680" spans="1:5" x14ac:dyDescent="0.25">
      <c r="A680">
        <v>0</v>
      </c>
      <c r="B680">
        <v>25</v>
      </c>
      <c r="C680">
        <v>17</v>
      </c>
      <c r="D680">
        <v>6</v>
      </c>
      <c r="E680">
        <f t="shared" si="10"/>
        <v>7.2203351049440587E-7</v>
      </c>
    </row>
    <row r="681" spans="1:5" x14ac:dyDescent="0.25">
      <c r="A681">
        <v>0</v>
      </c>
      <c r="B681">
        <v>25</v>
      </c>
      <c r="C681">
        <v>18</v>
      </c>
      <c r="D681">
        <v>5</v>
      </c>
      <c r="E681">
        <f t="shared" si="10"/>
        <v>5.7762680839552419E-7</v>
      </c>
    </row>
    <row r="682" spans="1:5" x14ac:dyDescent="0.25">
      <c r="A682">
        <v>0</v>
      </c>
      <c r="B682">
        <v>25</v>
      </c>
      <c r="C682">
        <v>19</v>
      </c>
      <c r="D682">
        <v>4</v>
      </c>
      <c r="E682">
        <f t="shared" si="10"/>
        <v>3.4020626559636154E-7</v>
      </c>
    </row>
    <row r="683" spans="1:5" x14ac:dyDescent="0.25">
      <c r="A683">
        <v>0</v>
      </c>
      <c r="B683">
        <v>25</v>
      </c>
      <c r="C683">
        <v>20</v>
      </c>
      <c r="D683">
        <v>3</v>
      </c>
      <c r="E683">
        <f t="shared" si="10"/>
        <v>1.4226807470393315E-7</v>
      </c>
    </row>
    <row r="684" spans="1:5" x14ac:dyDescent="0.25">
      <c r="A684">
        <v>0</v>
      </c>
      <c r="B684">
        <v>25</v>
      </c>
      <c r="C684">
        <v>21</v>
      </c>
      <c r="D684">
        <v>2</v>
      </c>
      <c r="E684">
        <f t="shared" si="10"/>
        <v>3.9764368706068218E-8</v>
      </c>
    </row>
    <row r="685" spans="1:5" x14ac:dyDescent="0.25">
      <c r="A685">
        <v>0</v>
      </c>
      <c r="B685">
        <v>25</v>
      </c>
      <c r="C685">
        <v>22</v>
      </c>
      <c r="D685">
        <v>1</v>
      </c>
      <c r="E685">
        <f t="shared" si="10"/>
        <v>6.6273947843447074E-9</v>
      </c>
    </row>
    <row r="686" spans="1:5" x14ac:dyDescent="0.25">
      <c r="A686">
        <v>0</v>
      </c>
      <c r="B686">
        <v>25</v>
      </c>
      <c r="C686">
        <v>23</v>
      </c>
      <c r="D686">
        <v>0</v>
      </c>
      <c r="E686">
        <f t="shared" si="10"/>
        <v>4.956138708292563E-10</v>
      </c>
    </row>
    <row r="687" spans="1:5" x14ac:dyDescent="0.25">
      <c r="A687">
        <v>0</v>
      </c>
      <c r="B687">
        <v>26</v>
      </c>
      <c r="C687">
        <v>0</v>
      </c>
      <c r="D687">
        <v>22</v>
      </c>
      <c r="E687">
        <f t="shared" si="10"/>
        <v>5.0973476828512767E-23</v>
      </c>
    </row>
    <row r="688" spans="1:5" x14ac:dyDescent="0.25">
      <c r="A688">
        <v>0</v>
      </c>
      <c r="B688">
        <v>26</v>
      </c>
      <c r="C688">
        <v>1</v>
      </c>
      <c r="D688">
        <v>21</v>
      </c>
      <c r="E688">
        <f t="shared" si="10"/>
        <v>1.8223017966193317E-20</v>
      </c>
    </row>
    <row r="689" spans="1:5" x14ac:dyDescent="0.25">
      <c r="A689">
        <v>0</v>
      </c>
      <c r="B689">
        <v>26</v>
      </c>
      <c r="C689">
        <v>2</v>
      </c>
      <c r="D689">
        <v>20</v>
      </c>
      <c r="E689">
        <f t="shared" si="10"/>
        <v>2.4491736146563811E-18</v>
      </c>
    </row>
    <row r="690" spans="1:5" x14ac:dyDescent="0.25">
      <c r="A690">
        <v>0</v>
      </c>
      <c r="B690">
        <v>26</v>
      </c>
      <c r="C690">
        <v>3</v>
      </c>
      <c r="D690">
        <v>19</v>
      </c>
      <c r="E690">
        <f t="shared" si="10"/>
        <v>1.7144215302594667E-16</v>
      </c>
    </row>
    <row r="691" spans="1:5" x14ac:dyDescent="0.25">
      <c r="A691">
        <v>0</v>
      </c>
      <c r="B691">
        <v>26</v>
      </c>
      <c r="C691">
        <v>4</v>
      </c>
      <c r="D691">
        <v>18</v>
      </c>
      <c r="E691">
        <f t="shared" si="10"/>
        <v>7.2128162951630451E-15</v>
      </c>
    </row>
    <row r="692" spans="1:5" x14ac:dyDescent="0.25">
      <c r="A692">
        <v>0</v>
      </c>
      <c r="B692">
        <v>26</v>
      </c>
      <c r="C692">
        <v>5</v>
      </c>
      <c r="D692">
        <v>17</v>
      </c>
      <c r="E692">
        <f t="shared" si="10"/>
        <v>1.9799180730222557E-13</v>
      </c>
    </row>
    <row r="693" spans="1:5" x14ac:dyDescent="0.25">
      <c r="A693">
        <v>0</v>
      </c>
      <c r="B693">
        <v>26</v>
      </c>
      <c r="C693">
        <v>6</v>
      </c>
      <c r="D693">
        <v>16</v>
      </c>
      <c r="E693">
        <f t="shared" si="10"/>
        <v>3.7398452490420378E-12</v>
      </c>
    </row>
    <row r="694" spans="1:5" x14ac:dyDescent="0.25">
      <c r="A694">
        <v>0</v>
      </c>
      <c r="B694">
        <v>26</v>
      </c>
      <c r="C694">
        <v>7</v>
      </c>
      <c r="D694">
        <v>15</v>
      </c>
      <c r="E694">
        <f t="shared" si="10"/>
        <v>5.0434484501366911E-11</v>
      </c>
    </row>
    <row r="695" spans="1:5" x14ac:dyDescent="0.25">
      <c r="A695">
        <v>0</v>
      </c>
      <c r="B695">
        <v>26</v>
      </c>
      <c r="C695">
        <v>8</v>
      </c>
      <c r="D695">
        <v>14</v>
      </c>
      <c r="E695">
        <f t="shared" si="10"/>
        <v>4.986136535930594E-10</v>
      </c>
    </row>
    <row r="696" spans="1:5" x14ac:dyDescent="0.25">
      <c r="A696">
        <v>0</v>
      </c>
      <c r="B696">
        <v>26</v>
      </c>
      <c r="C696">
        <v>9</v>
      </c>
      <c r="D696">
        <v>13</v>
      </c>
      <c r="E696">
        <f t="shared" si="10"/>
        <v>3.6842008848820497E-9</v>
      </c>
    </row>
    <row r="697" spans="1:5" x14ac:dyDescent="0.25">
      <c r="A697">
        <v>0</v>
      </c>
      <c r="B697">
        <v>26</v>
      </c>
      <c r="C697">
        <v>10</v>
      </c>
      <c r="D697">
        <v>12</v>
      </c>
      <c r="E697">
        <f t="shared" si="10"/>
        <v>2.0631524955339483E-8</v>
      </c>
    </row>
    <row r="698" spans="1:5" x14ac:dyDescent="0.25">
      <c r="A698">
        <v>0</v>
      </c>
      <c r="B698">
        <v>26</v>
      </c>
      <c r="C698">
        <v>11</v>
      </c>
      <c r="D698">
        <v>11</v>
      </c>
      <c r="E698">
        <f t="shared" si="10"/>
        <v>8.842082123716918E-8</v>
      </c>
    </row>
    <row r="699" spans="1:5" x14ac:dyDescent="0.25">
      <c r="A699">
        <v>0</v>
      </c>
      <c r="B699">
        <v>26</v>
      </c>
      <c r="C699">
        <v>12</v>
      </c>
      <c r="D699">
        <v>10</v>
      </c>
      <c r="E699">
        <f t="shared" si="10"/>
        <v>2.9178871008265816E-7</v>
      </c>
    </row>
    <row r="700" spans="1:5" x14ac:dyDescent="0.25">
      <c r="A700">
        <v>0</v>
      </c>
      <c r="B700">
        <v>26</v>
      </c>
      <c r="C700">
        <v>13</v>
      </c>
      <c r="D700">
        <v>9</v>
      </c>
      <c r="E700">
        <f t="shared" si="10"/>
        <v>7.4350007857600435E-7</v>
      </c>
    </row>
    <row r="701" spans="1:5" x14ac:dyDescent="0.25">
      <c r="A701">
        <v>0</v>
      </c>
      <c r="B701">
        <v>26</v>
      </c>
      <c r="C701">
        <v>14</v>
      </c>
      <c r="D701">
        <v>8</v>
      </c>
      <c r="E701">
        <f t="shared" si="10"/>
        <v>1.4620085578721432E-6</v>
      </c>
    </row>
    <row r="702" spans="1:5" x14ac:dyDescent="0.25">
      <c r="A702">
        <v>0</v>
      </c>
      <c r="B702">
        <v>26</v>
      </c>
      <c r="C702">
        <v>15</v>
      </c>
      <c r="D702">
        <v>7</v>
      </c>
      <c r="E702">
        <f t="shared" si="10"/>
        <v>2.2092573763401271E-6</v>
      </c>
    </row>
    <row r="703" spans="1:5" x14ac:dyDescent="0.25">
      <c r="A703">
        <v>0</v>
      </c>
      <c r="B703">
        <v>26</v>
      </c>
      <c r="C703">
        <v>16</v>
      </c>
      <c r="D703">
        <v>6</v>
      </c>
      <c r="E703">
        <f t="shared" si="10"/>
        <v>2.543552900391593E-6</v>
      </c>
    </row>
    <row r="704" spans="1:5" x14ac:dyDescent="0.25">
      <c r="A704">
        <v>0</v>
      </c>
      <c r="B704">
        <v>26</v>
      </c>
      <c r="C704">
        <v>17</v>
      </c>
      <c r="D704">
        <v>5</v>
      </c>
      <c r="E704">
        <f t="shared" si="10"/>
        <v>2.1994251550444963E-6</v>
      </c>
    </row>
    <row r="705" spans="1:5" x14ac:dyDescent="0.25">
      <c r="A705">
        <v>0</v>
      </c>
      <c r="B705">
        <v>26</v>
      </c>
      <c r="C705">
        <v>18</v>
      </c>
      <c r="D705">
        <v>4</v>
      </c>
      <c r="E705">
        <f t="shared" si="10"/>
        <v>1.3964604159012667E-6</v>
      </c>
    </row>
    <row r="706" spans="1:5" x14ac:dyDescent="0.25">
      <c r="A706">
        <v>0</v>
      </c>
      <c r="B706">
        <v>26</v>
      </c>
      <c r="C706">
        <v>19</v>
      </c>
      <c r="D706">
        <v>3</v>
      </c>
      <c r="E706">
        <f t="shared" si="10"/>
        <v>6.2807310571635929E-7</v>
      </c>
    </row>
    <row r="707" spans="1:5" x14ac:dyDescent="0.25">
      <c r="A707">
        <v>0</v>
      </c>
      <c r="B707">
        <v>26</v>
      </c>
      <c r="C707">
        <v>20</v>
      </c>
      <c r="D707">
        <v>2</v>
      </c>
      <c r="E707">
        <f t="shared" si="10"/>
        <v>1.8842193171490796E-7</v>
      </c>
    </row>
    <row r="708" spans="1:5" x14ac:dyDescent="0.25">
      <c r="A708">
        <v>0</v>
      </c>
      <c r="B708">
        <v>26</v>
      </c>
      <c r="C708">
        <v>21</v>
      </c>
      <c r="D708">
        <v>1</v>
      </c>
      <c r="E708">
        <f t="shared" si="10"/>
        <v>3.3646773520519237E-8</v>
      </c>
    </row>
    <row r="709" spans="1:5" x14ac:dyDescent="0.25">
      <c r="A709">
        <v>0</v>
      </c>
      <c r="B709">
        <v>26</v>
      </c>
      <c r="C709">
        <v>22</v>
      </c>
      <c r="D709">
        <v>0</v>
      </c>
      <c r="E709">
        <f t="shared" si="10"/>
        <v>2.6917418816415409E-9</v>
      </c>
    </row>
    <row r="710" spans="1:5" x14ac:dyDescent="0.25">
      <c r="A710">
        <v>0</v>
      </c>
      <c r="B710">
        <v>27</v>
      </c>
      <c r="C710">
        <v>0</v>
      </c>
      <c r="D710">
        <v>21</v>
      </c>
      <c r="E710">
        <f t="shared" si="10"/>
        <v>2.7308568234238409E-21</v>
      </c>
    </row>
    <row r="711" spans="1:5" x14ac:dyDescent="0.25">
      <c r="A711">
        <v>0</v>
      </c>
      <c r="B711">
        <v>27</v>
      </c>
      <c r="C711">
        <v>1</v>
      </c>
      <c r="D711">
        <v>20</v>
      </c>
      <c r="E711">
        <f t="shared" si="10"/>
        <v>7.4552391279470846E-19</v>
      </c>
    </row>
    <row r="712" spans="1:5" x14ac:dyDescent="0.25">
      <c r="A712">
        <v>0</v>
      </c>
      <c r="B712">
        <v>27</v>
      </c>
      <c r="C712">
        <v>2</v>
      </c>
      <c r="D712">
        <v>19</v>
      </c>
      <c r="E712">
        <f t="shared" si="10"/>
        <v>7.9522550698102229E-17</v>
      </c>
    </row>
    <row r="713" spans="1:5" x14ac:dyDescent="0.25">
      <c r="A713">
        <v>0</v>
      </c>
      <c r="B713">
        <v>27</v>
      </c>
      <c r="C713">
        <v>3</v>
      </c>
      <c r="D713">
        <v>18</v>
      </c>
      <c r="E713">
        <f t="shared" si="10"/>
        <v>4.5327853897918292E-15</v>
      </c>
    </row>
    <row r="714" spans="1:5" x14ac:dyDescent="0.25">
      <c r="A714">
        <v>0</v>
      </c>
      <c r="B714">
        <v>27</v>
      </c>
      <c r="C714">
        <v>4</v>
      </c>
      <c r="D714">
        <v>17</v>
      </c>
      <c r="E714">
        <f t="shared" si="10"/>
        <v>1.5808089046899E-13</v>
      </c>
    </row>
    <row r="715" spans="1:5" x14ac:dyDescent="0.25">
      <c r="A715">
        <v>0</v>
      </c>
      <c r="B715">
        <v>27</v>
      </c>
      <c r="C715">
        <v>5</v>
      </c>
      <c r="D715">
        <v>16</v>
      </c>
      <c r="E715">
        <f t="shared" si="10"/>
        <v>3.6428862981409483E-12</v>
      </c>
    </row>
    <row r="716" spans="1:5" x14ac:dyDescent="0.25">
      <c r="A716">
        <v>0</v>
      </c>
      <c r="B716">
        <v>27</v>
      </c>
      <c r="C716">
        <v>6</v>
      </c>
      <c r="D716">
        <v>15</v>
      </c>
      <c r="E716">
        <f t="shared" si="10"/>
        <v>5.8286180770255146E-11</v>
      </c>
    </row>
    <row r="717" spans="1:5" x14ac:dyDescent="0.25">
      <c r="A717">
        <v>0</v>
      </c>
      <c r="B717">
        <v>27</v>
      </c>
      <c r="C717">
        <v>7</v>
      </c>
      <c r="D717">
        <v>14</v>
      </c>
      <c r="E717">
        <f t="shared" si="10"/>
        <v>6.6991259716462092E-10</v>
      </c>
    </row>
    <row r="718" spans="1:5" x14ac:dyDescent="0.25">
      <c r="A718">
        <v>0</v>
      </c>
      <c r="B718">
        <v>27</v>
      </c>
      <c r="C718">
        <v>8</v>
      </c>
      <c r="D718">
        <v>13</v>
      </c>
      <c r="E718">
        <f t="shared" ref="E718:E781" si="11">COMBIN(A$4,A718)*COMBIN(B$4,B718)*COMBIN(C$4,C718)*COMBIN(D$4,D718)/COMBIN($G$4,$F$4)</f>
        <v>5.666344051017422E-9</v>
      </c>
    </row>
    <row r="719" spans="1:5" x14ac:dyDescent="0.25">
      <c r="A719">
        <v>0</v>
      </c>
      <c r="B719">
        <v>27</v>
      </c>
      <c r="C719">
        <v>9</v>
      </c>
      <c r="D719">
        <v>12</v>
      </c>
      <c r="E719">
        <f t="shared" si="11"/>
        <v>3.5886845656443661E-8</v>
      </c>
    </row>
    <row r="720" spans="1:5" x14ac:dyDescent="0.25">
      <c r="A720">
        <v>0</v>
      </c>
      <c r="B720">
        <v>27</v>
      </c>
      <c r="C720">
        <v>10</v>
      </c>
      <c r="D720">
        <v>11</v>
      </c>
      <c r="E720">
        <f t="shared" si="11"/>
        <v>1.7225685915092957E-7</v>
      </c>
    </row>
    <row r="721" spans="1:5" x14ac:dyDescent="0.25">
      <c r="A721">
        <v>0</v>
      </c>
      <c r="B721">
        <v>27</v>
      </c>
      <c r="C721">
        <v>11</v>
      </c>
      <c r="D721">
        <v>10</v>
      </c>
      <c r="E721">
        <f t="shared" si="11"/>
        <v>6.3160848355340843E-7</v>
      </c>
    </row>
    <row r="722" spans="1:5" x14ac:dyDescent="0.25">
      <c r="A722">
        <v>0</v>
      </c>
      <c r="B722">
        <v>27</v>
      </c>
      <c r="C722">
        <v>12</v>
      </c>
      <c r="D722">
        <v>9</v>
      </c>
      <c r="E722">
        <f t="shared" si="11"/>
        <v>1.7763988599939602E-6</v>
      </c>
    </row>
    <row r="723" spans="1:5" x14ac:dyDescent="0.25">
      <c r="A723">
        <v>0</v>
      </c>
      <c r="B723">
        <v>27</v>
      </c>
      <c r="C723">
        <v>13</v>
      </c>
      <c r="D723">
        <v>8</v>
      </c>
      <c r="E723">
        <f t="shared" si="11"/>
        <v>3.8341278561860606E-6</v>
      </c>
    </row>
    <row r="724" spans="1:5" x14ac:dyDescent="0.25">
      <c r="A724">
        <v>0</v>
      </c>
      <c r="B724">
        <v>27</v>
      </c>
      <c r="C724">
        <v>14</v>
      </c>
      <c r="D724">
        <v>7</v>
      </c>
      <c r="E724">
        <f t="shared" si="11"/>
        <v>6.3293539213230236E-6</v>
      </c>
    </row>
    <row r="725" spans="1:5" x14ac:dyDescent="0.25">
      <c r="A725">
        <v>0</v>
      </c>
      <c r="B725">
        <v>27</v>
      </c>
      <c r="C725">
        <v>15</v>
      </c>
      <c r="D725">
        <v>6</v>
      </c>
      <c r="E725">
        <f t="shared" si="11"/>
        <v>7.9283485961835703E-6</v>
      </c>
    </row>
    <row r="726" spans="1:5" x14ac:dyDescent="0.25">
      <c r="A726">
        <v>0</v>
      </c>
      <c r="B726">
        <v>27</v>
      </c>
      <c r="C726">
        <v>16</v>
      </c>
      <c r="D726">
        <v>5</v>
      </c>
      <c r="E726">
        <f t="shared" si="11"/>
        <v>7.4328268089220988E-6</v>
      </c>
    </row>
    <row r="727" spans="1:5" x14ac:dyDescent="0.25">
      <c r="A727">
        <v>0</v>
      </c>
      <c r="B727">
        <v>27</v>
      </c>
      <c r="C727">
        <v>17</v>
      </c>
      <c r="D727">
        <v>4</v>
      </c>
      <c r="E727">
        <f t="shared" si="11"/>
        <v>5.1009595747504636E-6</v>
      </c>
    </row>
    <row r="728" spans="1:5" x14ac:dyDescent="0.25">
      <c r="A728">
        <v>0</v>
      </c>
      <c r="B728">
        <v>27</v>
      </c>
      <c r="C728">
        <v>18</v>
      </c>
      <c r="D728">
        <v>3</v>
      </c>
      <c r="E728">
        <f t="shared" si="11"/>
        <v>2.4731925210911312E-6</v>
      </c>
    </row>
    <row r="729" spans="1:5" x14ac:dyDescent="0.25">
      <c r="A729">
        <v>0</v>
      </c>
      <c r="B729">
        <v>27</v>
      </c>
      <c r="C729">
        <v>19</v>
      </c>
      <c r="D729">
        <v>2</v>
      </c>
      <c r="E729">
        <f t="shared" si="11"/>
        <v>7.9798660291498788E-7</v>
      </c>
    </row>
    <row r="730" spans="1:5" x14ac:dyDescent="0.25">
      <c r="A730">
        <v>0</v>
      </c>
      <c r="B730">
        <v>27</v>
      </c>
      <c r="C730">
        <v>20</v>
      </c>
      <c r="D730">
        <v>1</v>
      </c>
      <c r="E730">
        <f t="shared" si="11"/>
        <v>1.5294743222537279E-7</v>
      </c>
    </row>
    <row r="731" spans="1:5" x14ac:dyDescent="0.25">
      <c r="A731">
        <v>0</v>
      </c>
      <c r="B731">
        <v>27</v>
      </c>
      <c r="C731">
        <v>21</v>
      </c>
      <c r="D731">
        <v>0</v>
      </c>
      <c r="E731">
        <f t="shared" si="11"/>
        <v>1.3109779905031937E-8</v>
      </c>
    </row>
    <row r="732" spans="1:5" x14ac:dyDescent="0.25">
      <c r="A732">
        <v>0</v>
      </c>
      <c r="B732">
        <v>28</v>
      </c>
      <c r="C732">
        <v>0</v>
      </c>
      <c r="D732">
        <v>20</v>
      </c>
      <c r="E732">
        <f t="shared" si="11"/>
        <v>1.0732267316055705E-19</v>
      </c>
    </row>
    <row r="733" spans="1:5" x14ac:dyDescent="0.25">
      <c r="A733">
        <v>0</v>
      </c>
      <c r="B733">
        <v>28</v>
      </c>
      <c r="C733">
        <v>1</v>
      </c>
      <c r="D733">
        <v>19</v>
      </c>
      <c r="E733">
        <f t="shared" si="11"/>
        <v>2.3253245851454026E-17</v>
      </c>
    </row>
    <row r="734" spans="1:5" x14ac:dyDescent="0.25">
      <c r="A734">
        <v>0</v>
      </c>
      <c r="B734">
        <v>28</v>
      </c>
      <c r="C734">
        <v>2</v>
      </c>
      <c r="D734">
        <v>18</v>
      </c>
      <c r="E734">
        <f t="shared" si="11"/>
        <v>2.0197104968120077E-15</v>
      </c>
    </row>
    <row r="735" spans="1:5" x14ac:dyDescent="0.25">
      <c r="A735">
        <v>0</v>
      </c>
      <c r="B735">
        <v>28</v>
      </c>
      <c r="C735">
        <v>3</v>
      </c>
      <c r="D735">
        <v>17</v>
      </c>
      <c r="E735">
        <f t="shared" si="11"/>
        <v>9.5431320974367346E-14</v>
      </c>
    </row>
    <row r="736" spans="1:5" x14ac:dyDescent="0.25">
      <c r="A736">
        <v>0</v>
      </c>
      <c r="B736">
        <v>28</v>
      </c>
      <c r="C736">
        <v>4</v>
      </c>
      <c r="D736">
        <v>16</v>
      </c>
      <c r="E736">
        <f t="shared" si="11"/>
        <v>2.7940170085273106E-12</v>
      </c>
    </row>
    <row r="737" spans="1:5" x14ac:dyDescent="0.25">
      <c r="A737">
        <v>0</v>
      </c>
      <c r="B737">
        <v>28</v>
      </c>
      <c r="C737">
        <v>5</v>
      </c>
      <c r="D737">
        <v>15</v>
      </c>
      <c r="E737">
        <f t="shared" si="11"/>
        <v>5.4539212006453092E-11</v>
      </c>
    </row>
    <row r="738" spans="1:5" x14ac:dyDescent="0.25">
      <c r="A738">
        <v>0</v>
      </c>
      <c r="B738">
        <v>28</v>
      </c>
      <c r="C738">
        <v>6</v>
      </c>
      <c r="D738">
        <v>14</v>
      </c>
      <c r="E738">
        <f t="shared" si="11"/>
        <v>7.4371652736072417E-10</v>
      </c>
    </row>
    <row r="739" spans="1:5" x14ac:dyDescent="0.25">
      <c r="A739">
        <v>0</v>
      </c>
      <c r="B739">
        <v>28</v>
      </c>
      <c r="C739">
        <v>7</v>
      </c>
      <c r="D739">
        <v>13</v>
      </c>
      <c r="E739">
        <f t="shared" si="11"/>
        <v>7.3132125190471213E-9</v>
      </c>
    </row>
    <row r="740" spans="1:5" x14ac:dyDescent="0.25">
      <c r="A740">
        <v>0</v>
      </c>
      <c r="B740">
        <v>28</v>
      </c>
      <c r="C740">
        <v>8</v>
      </c>
      <c r="D740">
        <v>12</v>
      </c>
      <c r="E740">
        <f t="shared" si="11"/>
        <v>5.3020790763091646E-8</v>
      </c>
    </row>
    <row r="741" spans="1:5" x14ac:dyDescent="0.25">
      <c r="A741">
        <v>0</v>
      </c>
      <c r="B741">
        <v>28</v>
      </c>
      <c r="C741">
        <v>9</v>
      </c>
      <c r="D741">
        <v>11</v>
      </c>
      <c r="E741">
        <f t="shared" si="11"/>
        <v>2.8782714985678308E-7</v>
      </c>
    </row>
    <row r="742" spans="1:5" x14ac:dyDescent="0.25">
      <c r="A742">
        <v>0</v>
      </c>
      <c r="B742">
        <v>28</v>
      </c>
      <c r="C742">
        <v>10</v>
      </c>
      <c r="D742">
        <v>10</v>
      </c>
      <c r="E742">
        <f t="shared" si="11"/>
        <v>1.1820101620785226E-6</v>
      </c>
    </row>
    <row r="743" spans="1:5" x14ac:dyDescent="0.25">
      <c r="A743">
        <v>0</v>
      </c>
      <c r="B743">
        <v>28</v>
      </c>
      <c r="C743">
        <v>11</v>
      </c>
      <c r="D743">
        <v>9</v>
      </c>
      <c r="E743">
        <f t="shared" si="11"/>
        <v>3.6937817564953834E-6</v>
      </c>
    </row>
    <row r="744" spans="1:5" x14ac:dyDescent="0.25">
      <c r="A744">
        <v>0</v>
      </c>
      <c r="B744">
        <v>28</v>
      </c>
      <c r="C744">
        <v>12</v>
      </c>
      <c r="D744">
        <v>8</v>
      </c>
      <c r="E744">
        <f t="shared" si="11"/>
        <v>8.7998918316507618E-6</v>
      </c>
    </row>
    <row r="745" spans="1:5" x14ac:dyDescent="0.25">
      <c r="A745">
        <v>0</v>
      </c>
      <c r="B745">
        <v>28</v>
      </c>
      <c r="C745">
        <v>13</v>
      </c>
      <c r="D745">
        <v>7</v>
      </c>
      <c r="E745">
        <f t="shared" si="11"/>
        <v>1.5945103147948398E-5</v>
      </c>
    </row>
    <row r="746" spans="1:5" x14ac:dyDescent="0.25">
      <c r="A746">
        <v>0</v>
      </c>
      <c r="B746">
        <v>28</v>
      </c>
      <c r="C746">
        <v>14</v>
      </c>
      <c r="D746">
        <v>6</v>
      </c>
      <c r="E746">
        <f t="shared" si="11"/>
        <v>2.1819614834034646E-5</v>
      </c>
    </row>
    <row r="747" spans="1:5" x14ac:dyDescent="0.25">
      <c r="A747">
        <v>0</v>
      </c>
      <c r="B747">
        <v>28</v>
      </c>
      <c r="C747">
        <v>15</v>
      </c>
      <c r="D747">
        <v>5</v>
      </c>
      <c r="E747">
        <f t="shared" si="11"/>
        <v>2.2256007130715331E-5</v>
      </c>
    </row>
    <row r="748" spans="1:5" x14ac:dyDescent="0.25">
      <c r="A748">
        <v>0</v>
      </c>
      <c r="B748">
        <v>28</v>
      </c>
      <c r="C748">
        <v>16</v>
      </c>
      <c r="D748">
        <v>4</v>
      </c>
      <c r="E748">
        <f t="shared" si="11"/>
        <v>1.6559529115115581E-5</v>
      </c>
    </row>
    <row r="749" spans="1:5" x14ac:dyDescent="0.25">
      <c r="A749">
        <v>0</v>
      </c>
      <c r="B749">
        <v>28</v>
      </c>
      <c r="C749">
        <v>17</v>
      </c>
      <c r="D749">
        <v>3</v>
      </c>
      <c r="E749">
        <f t="shared" si="11"/>
        <v>8.6782558999001493E-6</v>
      </c>
    </row>
    <row r="750" spans="1:5" x14ac:dyDescent="0.25">
      <c r="A750">
        <v>0</v>
      </c>
      <c r="B750">
        <v>28</v>
      </c>
      <c r="C750">
        <v>18</v>
      </c>
      <c r="D750">
        <v>2</v>
      </c>
      <c r="E750">
        <f t="shared" si="11"/>
        <v>3.0185237912696135E-6</v>
      </c>
    </row>
    <row r="751" spans="1:5" x14ac:dyDescent="0.25">
      <c r="A751">
        <v>0</v>
      </c>
      <c r="B751">
        <v>28</v>
      </c>
      <c r="C751">
        <v>19</v>
      </c>
      <c r="D751">
        <v>1</v>
      </c>
      <c r="E751">
        <f t="shared" si="11"/>
        <v>6.222395534634732E-7</v>
      </c>
    </row>
    <row r="752" spans="1:5" x14ac:dyDescent="0.25">
      <c r="A752">
        <v>0</v>
      </c>
      <c r="B752">
        <v>28</v>
      </c>
      <c r="C752">
        <v>20</v>
      </c>
      <c r="D752">
        <v>0</v>
      </c>
      <c r="E752">
        <f t="shared" si="11"/>
        <v>5.7246038918639585E-8</v>
      </c>
    </row>
    <row r="753" spans="1:5" x14ac:dyDescent="0.25">
      <c r="A753">
        <v>0</v>
      </c>
      <c r="B753">
        <v>29</v>
      </c>
      <c r="C753">
        <v>0</v>
      </c>
      <c r="D753">
        <v>19</v>
      </c>
      <c r="E753">
        <f t="shared" si="11"/>
        <v>3.2196801948167082E-18</v>
      </c>
    </row>
    <row r="754" spans="1:5" x14ac:dyDescent="0.25">
      <c r="A754">
        <v>0</v>
      </c>
      <c r="B754">
        <v>29</v>
      </c>
      <c r="C754">
        <v>1</v>
      </c>
      <c r="D754">
        <v>18</v>
      </c>
      <c r="E754">
        <f t="shared" si="11"/>
        <v>5.6804357722837656E-16</v>
      </c>
    </row>
    <row r="755" spans="1:5" x14ac:dyDescent="0.25">
      <c r="A755">
        <v>0</v>
      </c>
      <c r="B755">
        <v>29</v>
      </c>
      <c r="C755">
        <v>2</v>
      </c>
      <c r="D755">
        <v>17</v>
      </c>
      <c r="E755">
        <f t="shared" si="11"/>
        <v>4.0899137560443105E-14</v>
      </c>
    </row>
    <row r="756" spans="1:5" x14ac:dyDescent="0.25">
      <c r="A756">
        <v>0</v>
      </c>
      <c r="B756">
        <v>29</v>
      </c>
      <c r="C756">
        <v>3</v>
      </c>
      <c r="D756">
        <v>16</v>
      </c>
      <c r="E756">
        <f t="shared" si="11"/>
        <v>1.6223324565642432E-12</v>
      </c>
    </row>
    <row r="757" spans="1:5" x14ac:dyDescent="0.25">
      <c r="A757">
        <v>0</v>
      </c>
      <c r="B757">
        <v>29</v>
      </c>
      <c r="C757">
        <v>4</v>
      </c>
      <c r="D757">
        <v>15</v>
      </c>
      <c r="E757">
        <f t="shared" si="11"/>
        <v>4.023384492279322E-11</v>
      </c>
    </row>
    <row r="758" spans="1:5" x14ac:dyDescent="0.25">
      <c r="A758">
        <v>0</v>
      </c>
      <c r="B758">
        <v>29</v>
      </c>
      <c r="C758">
        <v>5</v>
      </c>
      <c r="D758">
        <v>14</v>
      </c>
      <c r="E758">
        <f t="shared" si="11"/>
        <v>6.6934487462465107E-10</v>
      </c>
    </row>
    <row r="759" spans="1:5" x14ac:dyDescent="0.25">
      <c r="A759">
        <v>0</v>
      </c>
      <c r="B759">
        <v>29</v>
      </c>
      <c r="C759">
        <v>6</v>
      </c>
      <c r="D759">
        <v>13</v>
      </c>
      <c r="E759">
        <f t="shared" si="11"/>
        <v>7.8090235372875962E-9</v>
      </c>
    </row>
    <row r="760" spans="1:5" x14ac:dyDescent="0.25">
      <c r="A760">
        <v>0</v>
      </c>
      <c r="B760">
        <v>29</v>
      </c>
      <c r="C760">
        <v>7</v>
      </c>
      <c r="D760">
        <v>12</v>
      </c>
      <c r="E760">
        <f t="shared" si="11"/>
        <v>6.5818912671424026E-8</v>
      </c>
    </row>
    <row r="761" spans="1:5" x14ac:dyDescent="0.25">
      <c r="A761">
        <v>0</v>
      </c>
      <c r="B761">
        <v>29</v>
      </c>
      <c r="C761">
        <v>8</v>
      </c>
      <c r="D761">
        <v>11</v>
      </c>
      <c r="E761">
        <f t="shared" si="11"/>
        <v>4.0901752874384932E-7</v>
      </c>
    </row>
    <row r="762" spans="1:5" x14ac:dyDescent="0.25">
      <c r="A762">
        <v>0</v>
      </c>
      <c r="B762">
        <v>29</v>
      </c>
      <c r="C762">
        <v>9</v>
      </c>
      <c r="D762">
        <v>10</v>
      </c>
      <c r="E762">
        <f t="shared" si="11"/>
        <v>1.8996591890547665E-6</v>
      </c>
    </row>
    <row r="763" spans="1:5" x14ac:dyDescent="0.25">
      <c r="A763">
        <v>0</v>
      </c>
      <c r="B763">
        <v>29</v>
      </c>
      <c r="C763">
        <v>10</v>
      </c>
      <c r="D763">
        <v>9</v>
      </c>
      <c r="E763">
        <f t="shared" si="11"/>
        <v>6.6488071616916844E-6</v>
      </c>
    </row>
    <row r="764" spans="1:5" x14ac:dyDescent="0.25">
      <c r="A764">
        <v>0</v>
      </c>
      <c r="B764">
        <v>29</v>
      </c>
      <c r="C764">
        <v>11</v>
      </c>
      <c r="D764">
        <v>8</v>
      </c>
      <c r="E764">
        <f t="shared" si="11"/>
        <v>1.7599783663301517E-5</v>
      </c>
    </row>
    <row r="765" spans="1:5" x14ac:dyDescent="0.25">
      <c r="A765">
        <v>0</v>
      </c>
      <c r="B765">
        <v>29</v>
      </c>
      <c r="C765">
        <v>12</v>
      </c>
      <c r="D765">
        <v>7</v>
      </c>
      <c r="E765">
        <f t="shared" si="11"/>
        <v>3.519956732660302E-5</v>
      </c>
    </row>
    <row r="766" spans="1:5" x14ac:dyDescent="0.25">
      <c r="A766">
        <v>0</v>
      </c>
      <c r="B766">
        <v>29</v>
      </c>
      <c r="C766">
        <v>13</v>
      </c>
      <c r="D766">
        <v>6</v>
      </c>
      <c r="E766">
        <f t="shared" si="11"/>
        <v>5.2870605174776204E-5</v>
      </c>
    </row>
    <row r="767" spans="1:5" x14ac:dyDescent="0.25">
      <c r="A767">
        <v>0</v>
      </c>
      <c r="B767">
        <v>29</v>
      </c>
      <c r="C767">
        <v>14</v>
      </c>
      <c r="D767">
        <v>5</v>
      </c>
      <c r="E767">
        <f t="shared" si="11"/>
        <v>5.8912960051893494E-5</v>
      </c>
    </row>
    <row r="768" spans="1:5" x14ac:dyDescent="0.25">
      <c r="A768">
        <v>0</v>
      </c>
      <c r="B768">
        <v>29</v>
      </c>
      <c r="C768">
        <v>15</v>
      </c>
      <c r="D768">
        <v>4</v>
      </c>
      <c r="E768">
        <f t="shared" si="11"/>
        <v>4.769144385153282E-5</v>
      </c>
    </row>
    <row r="769" spans="1:5" x14ac:dyDescent="0.25">
      <c r="A769">
        <v>0</v>
      </c>
      <c r="B769">
        <v>29</v>
      </c>
      <c r="C769">
        <v>16</v>
      </c>
      <c r="D769">
        <v>3</v>
      </c>
      <c r="E769">
        <f t="shared" si="11"/>
        <v>2.709741127928001E-5</v>
      </c>
    </row>
    <row r="770" spans="1:5" x14ac:dyDescent="0.25">
      <c r="A770">
        <v>0</v>
      </c>
      <c r="B770">
        <v>29</v>
      </c>
      <c r="C770">
        <v>17</v>
      </c>
      <c r="D770">
        <v>2</v>
      </c>
      <c r="E770">
        <f t="shared" si="11"/>
        <v>1.0187517795534945E-5</v>
      </c>
    </row>
    <row r="771" spans="1:5" x14ac:dyDescent="0.25">
      <c r="A771">
        <v>0</v>
      </c>
      <c r="B771">
        <v>29</v>
      </c>
      <c r="C771">
        <v>18</v>
      </c>
      <c r="D771">
        <v>1</v>
      </c>
      <c r="E771">
        <f t="shared" si="11"/>
        <v>2.263892843452208E-6</v>
      </c>
    </row>
    <row r="772" spans="1:5" x14ac:dyDescent="0.25">
      <c r="A772">
        <v>0</v>
      </c>
      <c r="B772">
        <v>29</v>
      </c>
      <c r="C772">
        <v>19</v>
      </c>
      <c r="D772">
        <v>0</v>
      </c>
      <c r="E772">
        <f t="shared" si="11"/>
        <v>2.2400623924685014E-7</v>
      </c>
    </row>
    <row r="773" spans="1:5" x14ac:dyDescent="0.25">
      <c r="A773">
        <v>0</v>
      </c>
      <c r="B773">
        <v>30</v>
      </c>
      <c r="C773">
        <v>0</v>
      </c>
      <c r="D773">
        <v>18</v>
      </c>
      <c r="E773">
        <f t="shared" si="11"/>
        <v>7.5739143630450206E-17</v>
      </c>
    </row>
    <row r="774" spans="1:5" x14ac:dyDescent="0.25">
      <c r="A774">
        <v>0</v>
      </c>
      <c r="B774">
        <v>30</v>
      </c>
      <c r="C774">
        <v>1</v>
      </c>
      <c r="D774">
        <v>17</v>
      </c>
      <c r="E774">
        <f t="shared" si="11"/>
        <v>1.107684975595334E-14</v>
      </c>
    </row>
    <row r="775" spans="1:5" x14ac:dyDescent="0.25">
      <c r="A775">
        <v>0</v>
      </c>
      <c r="B775">
        <v>30</v>
      </c>
      <c r="C775">
        <v>2</v>
      </c>
      <c r="D775">
        <v>16</v>
      </c>
      <c r="E775">
        <f t="shared" si="11"/>
        <v>6.6953402969317963E-13</v>
      </c>
    </row>
    <row r="776" spans="1:5" x14ac:dyDescent="0.25">
      <c r="A776">
        <v>0</v>
      </c>
      <c r="B776">
        <v>30</v>
      </c>
      <c r="C776">
        <v>3</v>
      </c>
      <c r="D776">
        <v>15</v>
      </c>
      <c r="E776">
        <f t="shared" si="11"/>
        <v>2.2496343397690831E-11</v>
      </c>
    </row>
    <row r="777" spans="1:5" x14ac:dyDescent="0.25">
      <c r="A777">
        <v>0</v>
      </c>
      <c r="B777">
        <v>30</v>
      </c>
      <c r="C777">
        <v>4</v>
      </c>
      <c r="D777">
        <v>14</v>
      </c>
      <c r="E777">
        <f t="shared" si="11"/>
        <v>4.754908945421017E-10</v>
      </c>
    </row>
    <row r="778" spans="1:5" x14ac:dyDescent="0.25">
      <c r="A778">
        <v>0</v>
      </c>
      <c r="B778">
        <v>30</v>
      </c>
      <c r="C778">
        <v>5</v>
      </c>
      <c r="D778">
        <v>13</v>
      </c>
      <c r="E778">
        <f t="shared" si="11"/>
        <v>6.7678203989825832E-9</v>
      </c>
    </row>
    <row r="779" spans="1:5" x14ac:dyDescent="0.25">
      <c r="A779">
        <v>0</v>
      </c>
      <c r="B779">
        <v>30</v>
      </c>
      <c r="C779">
        <v>6</v>
      </c>
      <c r="D779">
        <v>12</v>
      </c>
      <c r="E779">
        <f t="shared" si="11"/>
        <v>6.7678203989825828E-8</v>
      </c>
    </row>
    <row r="780" spans="1:5" x14ac:dyDescent="0.25">
      <c r="A780">
        <v>0</v>
      </c>
      <c r="B780">
        <v>30</v>
      </c>
      <c r="C780">
        <v>7</v>
      </c>
      <c r="D780">
        <v>11</v>
      </c>
      <c r="E780">
        <f t="shared" si="11"/>
        <v>4.8894049413057831E-7</v>
      </c>
    </row>
    <row r="781" spans="1:5" x14ac:dyDescent="0.25">
      <c r="A781">
        <v>0</v>
      </c>
      <c r="B781">
        <v>30</v>
      </c>
      <c r="C781">
        <v>8</v>
      </c>
      <c r="D781">
        <v>10</v>
      </c>
      <c r="E781">
        <f t="shared" si="11"/>
        <v>2.599533627127575E-6</v>
      </c>
    </row>
    <row r="782" spans="1:5" x14ac:dyDescent="0.25">
      <c r="A782">
        <v>0</v>
      </c>
      <c r="B782">
        <v>30</v>
      </c>
      <c r="C782">
        <v>9</v>
      </c>
      <c r="D782">
        <v>9</v>
      </c>
      <c r="E782">
        <f t="shared" ref="E782:E845" si="12">COMBIN(A$4,A782)*COMBIN(B$4,B782)*COMBIN(C$4,C782)*COMBIN(D$4,D782)/COMBIN($G$4,$F$4)</f>
        <v>1.0289820607379983E-5</v>
      </c>
    </row>
    <row r="783" spans="1:5" x14ac:dyDescent="0.25">
      <c r="A783">
        <v>0</v>
      </c>
      <c r="B783">
        <v>30</v>
      </c>
      <c r="C783">
        <v>10</v>
      </c>
      <c r="D783">
        <v>8</v>
      </c>
      <c r="E783">
        <f t="shared" si="12"/>
        <v>3.0506291683055953E-5</v>
      </c>
    </row>
    <row r="784" spans="1:5" x14ac:dyDescent="0.25">
      <c r="A784">
        <v>0</v>
      </c>
      <c r="B784">
        <v>30</v>
      </c>
      <c r="C784">
        <v>11</v>
      </c>
      <c r="D784">
        <v>7</v>
      </c>
      <c r="E784">
        <f t="shared" si="12"/>
        <v>6.7791759295679935E-5</v>
      </c>
    </row>
    <row r="785" spans="1:5" x14ac:dyDescent="0.25">
      <c r="A785">
        <v>0</v>
      </c>
      <c r="B785">
        <v>30</v>
      </c>
      <c r="C785">
        <v>12</v>
      </c>
      <c r="D785">
        <v>6</v>
      </c>
      <c r="E785">
        <f t="shared" si="12"/>
        <v>1.123916009375745E-4</v>
      </c>
    </row>
    <row r="786" spans="1:5" x14ac:dyDescent="0.25">
      <c r="A786">
        <v>0</v>
      </c>
      <c r="B786">
        <v>30</v>
      </c>
      <c r="C786">
        <v>13</v>
      </c>
      <c r="D786">
        <v>5</v>
      </c>
      <c r="E786">
        <f t="shared" si="12"/>
        <v>1.3746357345441809E-4</v>
      </c>
    </row>
    <row r="787" spans="1:5" x14ac:dyDescent="0.25">
      <c r="A787">
        <v>0</v>
      </c>
      <c r="B787">
        <v>30</v>
      </c>
      <c r="C787">
        <v>14</v>
      </c>
      <c r="D787">
        <v>4</v>
      </c>
      <c r="E787">
        <f t="shared" si="12"/>
        <v>1.2156642550390721E-4</v>
      </c>
    </row>
    <row r="788" spans="1:5" x14ac:dyDescent="0.25">
      <c r="A788">
        <v>0</v>
      </c>
      <c r="B788">
        <v>30</v>
      </c>
      <c r="C788">
        <v>15</v>
      </c>
      <c r="D788">
        <v>3</v>
      </c>
      <c r="E788">
        <f t="shared" si="12"/>
        <v>7.5150153947869871E-5</v>
      </c>
    </row>
    <row r="789" spans="1:5" x14ac:dyDescent="0.25">
      <c r="A789">
        <v>0</v>
      </c>
      <c r="B789">
        <v>30</v>
      </c>
      <c r="C789">
        <v>16</v>
      </c>
      <c r="D789">
        <v>2</v>
      </c>
      <c r="E789">
        <f t="shared" si="12"/>
        <v>3.063185622875131E-5</v>
      </c>
    </row>
    <row r="790" spans="1:5" x14ac:dyDescent="0.25">
      <c r="A790">
        <v>0</v>
      </c>
      <c r="B790">
        <v>30</v>
      </c>
      <c r="C790">
        <v>17</v>
      </c>
      <c r="D790">
        <v>1</v>
      </c>
      <c r="E790">
        <f t="shared" si="12"/>
        <v>7.3576517412196823E-6</v>
      </c>
    </row>
    <row r="791" spans="1:5" x14ac:dyDescent="0.25">
      <c r="A791">
        <v>0</v>
      </c>
      <c r="B791">
        <v>30</v>
      </c>
      <c r="C791">
        <v>18</v>
      </c>
      <c r="D791">
        <v>0</v>
      </c>
      <c r="E791">
        <f t="shared" si="12"/>
        <v>7.8481618573009871E-7</v>
      </c>
    </row>
    <row r="792" spans="1:5" x14ac:dyDescent="0.25">
      <c r="A792">
        <v>0</v>
      </c>
      <c r="B792">
        <v>31</v>
      </c>
      <c r="C792">
        <v>0</v>
      </c>
      <c r="D792">
        <v>17</v>
      </c>
      <c r="E792">
        <f t="shared" si="12"/>
        <v>1.4237737403433836E-15</v>
      </c>
    </row>
    <row r="793" spans="1:5" x14ac:dyDescent="0.25">
      <c r="A793">
        <v>0</v>
      </c>
      <c r="B793">
        <v>31</v>
      </c>
      <c r="C793">
        <v>1</v>
      </c>
      <c r="D793">
        <v>16</v>
      </c>
      <c r="E793">
        <f t="shared" si="12"/>
        <v>1.7480777589771542E-13</v>
      </c>
    </row>
    <row r="794" spans="1:5" x14ac:dyDescent="0.25">
      <c r="A794">
        <v>0</v>
      </c>
      <c r="B794">
        <v>31</v>
      </c>
      <c r="C794">
        <v>2</v>
      </c>
      <c r="D794">
        <v>15</v>
      </c>
      <c r="E794">
        <f t="shared" si="12"/>
        <v>8.9501581259630277E-12</v>
      </c>
    </row>
    <row r="795" spans="1:5" x14ac:dyDescent="0.25">
      <c r="A795">
        <v>0</v>
      </c>
      <c r="B795">
        <v>31</v>
      </c>
      <c r="C795">
        <v>3</v>
      </c>
      <c r="D795">
        <v>14</v>
      </c>
      <c r="E795">
        <f t="shared" si="12"/>
        <v>2.5629998269803222E-10</v>
      </c>
    </row>
    <row r="796" spans="1:5" x14ac:dyDescent="0.25">
      <c r="A796">
        <v>0</v>
      </c>
      <c r="B796">
        <v>31</v>
      </c>
      <c r="C796">
        <v>4</v>
      </c>
      <c r="D796">
        <v>13</v>
      </c>
      <c r="E796">
        <f t="shared" si="12"/>
        <v>4.6347580204560835E-9</v>
      </c>
    </row>
    <row r="797" spans="1:5" x14ac:dyDescent="0.25">
      <c r="A797">
        <v>0</v>
      </c>
      <c r="B797">
        <v>31</v>
      </c>
      <c r="C797">
        <v>5</v>
      </c>
      <c r="D797">
        <v>12</v>
      </c>
      <c r="E797">
        <f t="shared" si="12"/>
        <v>5.6544047849564224E-8</v>
      </c>
    </row>
    <row r="798" spans="1:5" x14ac:dyDescent="0.25">
      <c r="A798">
        <v>0</v>
      </c>
      <c r="B798">
        <v>31</v>
      </c>
      <c r="C798">
        <v>6</v>
      </c>
      <c r="D798">
        <v>11</v>
      </c>
      <c r="E798">
        <f t="shared" si="12"/>
        <v>4.846632672819789E-7</v>
      </c>
    </row>
    <row r="799" spans="1:5" x14ac:dyDescent="0.25">
      <c r="A799">
        <v>0</v>
      </c>
      <c r="B799">
        <v>31</v>
      </c>
      <c r="C799">
        <v>7</v>
      </c>
      <c r="D799">
        <v>10</v>
      </c>
      <c r="E799">
        <f t="shared" si="12"/>
        <v>2.9956805758667073E-6</v>
      </c>
    </row>
    <row r="800" spans="1:5" x14ac:dyDescent="0.25">
      <c r="A800">
        <v>0</v>
      </c>
      <c r="B800">
        <v>31</v>
      </c>
      <c r="C800">
        <v>8</v>
      </c>
      <c r="D800">
        <v>9</v>
      </c>
      <c r="E800">
        <f t="shared" si="12"/>
        <v>1.3574177609396024E-5</v>
      </c>
    </row>
    <row r="801" spans="1:5" x14ac:dyDescent="0.25">
      <c r="A801">
        <v>0</v>
      </c>
      <c r="B801">
        <v>31</v>
      </c>
      <c r="C801">
        <v>9</v>
      </c>
      <c r="D801">
        <v>8</v>
      </c>
      <c r="E801">
        <f t="shared" si="12"/>
        <v>4.5513419043269013E-5</v>
      </c>
    </row>
    <row r="802" spans="1:5" x14ac:dyDescent="0.25">
      <c r="A802">
        <v>0</v>
      </c>
      <c r="B802">
        <v>31</v>
      </c>
      <c r="C802">
        <v>10</v>
      </c>
      <c r="D802">
        <v>7</v>
      </c>
      <c r="E802">
        <f t="shared" si="12"/>
        <v>1.1327784295213624E-4</v>
      </c>
    </row>
    <row r="803" spans="1:5" x14ac:dyDescent="0.25">
      <c r="A803">
        <v>0</v>
      </c>
      <c r="B803">
        <v>31</v>
      </c>
      <c r="C803">
        <v>11</v>
      </c>
      <c r="D803">
        <v>6</v>
      </c>
      <c r="E803">
        <f t="shared" si="12"/>
        <v>2.0866971070130356E-4</v>
      </c>
    </row>
    <row r="804" spans="1:5" x14ac:dyDescent="0.25">
      <c r="A804">
        <v>0</v>
      </c>
      <c r="B804">
        <v>31</v>
      </c>
      <c r="C804">
        <v>12</v>
      </c>
      <c r="D804">
        <v>5</v>
      </c>
      <c r="E804">
        <f t="shared" si="12"/>
        <v>2.8170410944675962E-4</v>
      </c>
    </row>
    <row r="805" spans="1:5" x14ac:dyDescent="0.25">
      <c r="A805">
        <v>0</v>
      </c>
      <c r="B805">
        <v>31</v>
      </c>
      <c r="C805">
        <v>13</v>
      </c>
      <c r="D805">
        <v>4</v>
      </c>
      <c r="E805">
        <f t="shared" si="12"/>
        <v>2.734490439684665E-4</v>
      </c>
    </row>
    <row r="806" spans="1:5" x14ac:dyDescent="0.25">
      <c r="A806">
        <v>0</v>
      </c>
      <c r="B806">
        <v>31</v>
      </c>
      <c r="C806">
        <v>14</v>
      </c>
      <c r="D806">
        <v>3</v>
      </c>
      <c r="E806">
        <f t="shared" si="12"/>
        <v>1.8466688683584751E-4</v>
      </c>
    </row>
    <row r="807" spans="1:5" x14ac:dyDescent="0.25">
      <c r="A807">
        <v>0</v>
      </c>
      <c r="B807">
        <v>31</v>
      </c>
      <c r="C807">
        <v>15</v>
      </c>
      <c r="D807">
        <v>2</v>
      </c>
      <c r="E807">
        <f t="shared" si="12"/>
        <v>8.1895749814158423E-5</v>
      </c>
    </row>
    <row r="808" spans="1:5" x14ac:dyDescent="0.25">
      <c r="A808">
        <v>0</v>
      </c>
      <c r="B808">
        <v>31</v>
      </c>
      <c r="C808">
        <v>16</v>
      </c>
      <c r="D808">
        <v>1</v>
      </c>
      <c r="E808">
        <f t="shared" si="12"/>
        <v>2.1327018180770428E-5</v>
      </c>
    </row>
    <row r="809" spans="1:5" x14ac:dyDescent="0.25">
      <c r="A809">
        <v>0</v>
      </c>
      <c r="B809">
        <v>31</v>
      </c>
      <c r="C809">
        <v>17</v>
      </c>
      <c r="D809">
        <v>0</v>
      </c>
      <c r="E809">
        <f t="shared" si="12"/>
        <v>2.4588797431947093E-6</v>
      </c>
    </row>
    <row r="810" spans="1:5" x14ac:dyDescent="0.25">
      <c r="A810">
        <v>0</v>
      </c>
      <c r="B810">
        <v>32</v>
      </c>
      <c r="C810">
        <v>0</v>
      </c>
      <c r="D810">
        <v>16</v>
      </c>
      <c r="E810">
        <f t="shared" si="12"/>
        <v>2.1682887587312759E-14</v>
      </c>
    </row>
    <row r="811" spans="1:5" x14ac:dyDescent="0.25">
      <c r="A811">
        <v>0</v>
      </c>
      <c r="B811">
        <v>32</v>
      </c>
      <c r="C811">
        <v>1</v>
      </c>
      <c r="D811">
        <v>15</v>
      </c>
      <c r="E811">
        <f t="shared" si="12"/>
        <v>2.2550203090805262E-12</v>
      </c>
    </row>
    <row r="812" spans="1:5" x14ac:dyDescent="0.25">
      <c r="A812">
        <v>0</v>
      </c>
      <c r="B812">
        <v>32</v>
      </c>
      <c r="C812">
        <v>2</v>
      </c>
      <c r="D812">
        <v>14</v>
      </c>
      <c r="E812">
        <f t="shared" si="12"/>
        <v>9.8400886214422985E-11</v>
      </c>
    </row>
    <row r="813" spans="1:5" x14ac:dyDescent="0.25">
      <c r="A813">
        <v>0</v>
      </c>
      <c r="B813">
        <v>32</v>
      </c>
      <c r="C813">
        <v>3</v>
      </c>
      <c r="D813">
        <v>13</v>
      </c>
      <c r="E813">
        <f t="shared" si="12"/>
        <v>2.4108217122533634E-9</v>
      </c>
    </row>
    <row r="814" spans="1:5" x14ac:dyDescent="0.25">
      <c r="A814">
        <v>0</v>
      </c>
      <c r="B814">
        <v>32</v>
      </c>
      <c r="C814">
        <v>4</v>
      </c>
      <c r="D814">
        <v>12</v>
      </c>
      <c r="E814">
        <f t="shared" si="12"/>
        <v>3.7367736539927133E-8</v>
      </c>
    </row>
    <row r="815" spans="1:5" x14ac:dyDescent="0.25">
      <c r="A815">
        <v>0</v>
      </c>
      <c r="B815">
        <v>32</v>
      </c>
      <c r="C815">
        <v>5</v>
      </c>
      <c r="D815">
        <v>11</v>
      </c>
      <c r="E815">
        <f t="shared" si="12"/>
        <v>3.9075975924609516E-7</v>
      </c>
    </row>
    <row r="816" spans="1:5" x14ac:dyDescent="0.25">
      <c r="A816">
        <v>0</v>
      </c>
      <c r="B816">
        <v>32</v>
      </c>
      <c r="C816">
        <v>6</v>
      </c>
      <c r="D816">
        <v>10</v>
      </c>
      <c r="E816">
        <f t="shared" si="12"/>
        <v>2.8655715678046974E-6</v>
      </c>
    </row>
    <row r="817" spans="1:5" x14ac:dyDescent="0.25">
      <c r="A817">
        <v>0</v>
      </c>
      <c r="B817">
        <v>32</v>
      </c>
      <c r="C817">
        <v>7</v>
      </c>
      <c r="D817">
        <v>9</v>
      </c>
      <c r="E817">
        <f t="shared" si="12"/>
        <v>1.5095421651828316E-5</v>
      </c>
    </row>
    <row r="818" spans="1:5" x14ac:dyDescent="0.25">
      <c r="A818">
        <v>0</v>
      </c>
      <c r="B818">
        <v>32</v>
      </c>
      <c r="C818">
        <v>8</v>
      </c>
      <c r="D818">
        <v>8</v>
      </c>
      <c r="E818">
        <f t="shared" si="12"/>
        <v>5.7939780163635167E-5</v>
      </c>
    </row>
    <row r="819" spans="1:5" x14ac:dyDescent="0.25">
      <c r="A819">
        <v>0</v>
      </c>
      <c r="B819">
        <v>32</v>
      </c>
      <c r="C819">
        <v>9</v>
      </c>
      <c r="D819">
        <v>7</v>
      </c>
      <c r="E819">
        <f t="shared" si="12"/>
        <v>1.6308975157171385E-4</v>
      </c>
    </row>
    <row r="820" spans="1:5" x14ac:dyDescent="0.25">
      <c r="A820">
        <v>0</v>
      </c>
      <c r="B820">
        <v>32</v>
      </c>
      <c r="C820">
        <v>10</v>
      </c>
      <c r="D820">
        <v>6</v>
      </c>
      <c r="E820">
        <f t="shared" si="12"/>
        <v>3.3647990850585159E-4</v>
      </c>
    </row>
    <row r="821" spans="1:5" x14ac:dyDescent="0.25">
      <c r="A821">
        <v>0</v>
      </c>
      <c r="B821">
        <v>32</v>
      </c>
      <c r="C821">
        <v>11</v>
      </c>
      <c r="D821">
        <v>5</v>
      </c>
      <c r="E821">
        <f t="shared" si="12"/>
        <v>5.0471986275877744E-4</v>
      </c>
    </row>
    <row r="822" spans="1:5" x14ac:dyDescent="0.25">
      <c r="A822">
        <v>0</v>
      </c>
      <c r="B822">
        <v>32</v>
      </c>
      <c r="C822">
        <v>12</v>
      </c>
      <c r="D822">
        <v>4</v>
      </c>
      <c r="E822">
        <f t="shared" si="12"/>
        <v>5.4077128152726125E-4</v>
      </c>
    </row>
    <row r="823" spans="1:5" x14ac:dyDescent="0.25">
      <c r="A823">
        <v>0</v>
      </c>
      <c r="B823">
        <v>32</v>
      </c>
      <c r="C823">
        <v>13</v>
      </c>
      <c r="D823">
        <v>3</v>
      </c>
      <c r="E823">
        <f t="shared" si="12"/>
        <v>4.0085143945377429E-4</v>
      </c>
    </row>
    <row r="824" spans="1:5" x14ac:dyDescent="0.25">
      <c r="A824">
        <v>0</v>
      </c>
      <c r="B824">
        <v>32</v>
      </c>
      <c r="C824">
        <v>14</v>
      </c>
      <c r="D824">
        <v>2</v>
      </c>
      <c r="E824">
        <f t="shared" si="12"/>
        <v>1.942013184931329E-4</v>
      </c>
    </row>
    <row r="825" spans="1:5" x14ac:dyDescent="0.25">
      <c r="A825">
        <v>0</v>
      </c>
      <c r="B825">
        <v>32</v>
      </c>
      <c r="C825">
        <v>15</v>
      </c>
      <c r="D825">
        <v>1</v>
      </c>
      <c r="E825">
        <f t="shared" si="12"/>
        <v>5.5023706906387632E-5</v>
      </c>
    </row>
    <row r="826" spans="1:5" x14ac:dyDescent="0.25">
      <c r="A826">
        <v>0</v>
      </c>
      <c r="B826">
        <v>32</v>
      </c>
      <c r="C826">
        <v>16</v>
      </c>
      <c r="D826">
        <v>0</v>
      </c>
      <c r="E826">
        <f t="shared" si="12"/>
        <v>6.8779633632984557E-6</v>
      </c>
    </row>
    <row r="827" spans="1:5" x14ac:dyDescent="0.25">
      <c r="A827">
        <v>0</v>
      </c>
      <c r="B827">
        <v>33</v>
      </c>
      <c r="C827">
        <v>0</v>
      </c>
      <c r="D827">
        <v>15</v>
      </c>
      <c r="E827">
        <f t="shared" si="12"/>
        <v>2.7018192048190947E-13</v>
      </c>
    </row>
    <row r="828" spans="1:5" x14ac:dyDescent="0.25">
      <c r="A828">
        <v>0</v>
      </c>
      <c r="B828">
        <v>33</v>
      </c>
      <c r="C828">
        <v>1</v>
      </c>
      <c r="D828">
        <v>14</v>
      </c>
      <c r="E828">
        <f t="shared" si="12"/>
        <v>2.3947942951805614E-11</v>
      </c>
    </row>
    <row r="829" spans="1:5" x14ac:dyDescent="0.25">
      <c r="A829">
        <v>0</v>
      </c>
      <c r="B829">
        <v>33</v>
      </c>
      <c r="C829">
        <v>2</v>
      </c>
      <c r="D829">
        <v>13</v>
      </c>
      <c r="E829">
        <f t="shared" si="12"/>
        <v>8.9405653686740985E-10</v>
      </c>
    </row>
    <row r="830" spans="1:5" x14ac:dyDescent="0.25">
      <c r="A830">
        <v>0</v>
      </c>
      <c r="B830">
        <v>33</v>
      </c>
      <c r="C830">
        <v>3</v>
      </c>
      <c r="D830">
        <v>12</v>
      </c>
      <c r="E830">
        <f t="shared" si="12"/>
        <v>1.8775187274215605E-8</v>
      </c>
    </row>
    <row r="831" spans="1:5" x14ac:dyDescent="0.25">
      <c r="A831">
        <v>0</v>
      </c>
      <c r="B831">
        <v>33</v>
      </c>
      <c r="C831">
        <v>4</v>
      </c>
      <c r="D831">
        <v>11</v>
      </c>
      <c r="E831">
        <f t="shared" si="12"/>
        <v>2.4944177378600731E-7</v>
      </c>
    </row>
    <row r="832" spans="1:5" x14ac:dyDescent="0.25">
      <c r="A832">
        <v>0</v>
      </c>
      <c r="B832">
        <v>33</v>
      </c>
      <c r="C832">
        <v>5</v>
      </c>
      <c r="D832">
        <v>10</v>
      </c>
      <c r="E832">
        <f t="shared" si="12"/>
        <v>2.2316724028054786E-6</v>
      </c>
    </row>
    <row r="833" spans="1:5" x14ac:dyDescent="0.25">
      <c r="A833">
        <v>0</v>
      </c>
      <c r="B833">
        <v>33</v>
      </c>
      <c r="C833">
        <v>6</v>
      </c>
      <c r="D833">
        <v>9</v>
      </c>
      <c r="E833">
        <f t="shared" si="12"/>
        <v>1.3947952517534239E-5</v>
      </c>
    </row>
    <row r="834" spans="1:5" x14ac:dyDescent="0.25">
      <c r="A834">
        <v>0</v>
      </c>
      <c r="B834">
        <v>33</v>
      </c>
      <c r="C834">
        <v>7</v>
      </c>
      <c r="D834">
        <v>8</v>
      </c>
      <c r="E834">
        <f t="shared" si="12"/>
        <v>6.2238342746308246E-5</v>
      </c>
    </row>
    <row r="835" spans="1:5" x14ac:dyDescent="0.25">
      <c r="A835">
        <v>0</v>
      </c>
      <c r="B835">
        <v>33</v>
      </c>
      <c r="C835">
        <v>8</v>
      </c>
      <c r="D835">
        <v>7</v>
      </c>
      <c r="E835">
        <f t="shared" si="12"/>
        <v>2.0054577107143782E-4</v>
      </c>
    </row>
    <row r="836" spans="1:5" x14ac:dyDescent="0.25">
      <c r="A836">
        <v>0</v>
      </c>
      <c r="B836">
        <v>33</v>
      </c>
      <c r="C836">
        <v>9</v>
      </c>
      <c r="D836">
        <v>6</v>
      </c>
      <c r="E836">
        <f t="shared" si="12"/>
        <v>4.6794013250002118E-4</v>
      </c>
    </row>
    <row r="837" spans="1:5" x14ac:dyDescent="0.25">
      <c r="A837">
        <v>0</v>
      </c>
      <c r="B837">
        <v>33</v>
      </c>
      <c r="C837">
        <v>10</v>
      </c>
      <c r="D837">
        <v>5</v>
      </c>
      <c r="E837">
        <f t="shared" si="12"/>
        <v>7.8613942260003585E-4</v>
      </c>
    </row>
    <row r="838" spans="1:5" x14ac:dyDescent="0.25">
      <c r="A838">
        <v>0</v>
      </c>
      <c r="B838">
        <v>33</v>
      </c>
      <c r="C838">
        <v>11</v>
      </c>
      <c r="D838">
        <v>4</v>
      </c>
      <c r="E838">
        <f t="shared" si="12"/>
        <v>9.358802650000429E-4</v>
      </c>
    </row>
    <row r="839" spans="1:5" x14ac:dyDescent="0.25">
      <c r="A839">
        <v>0</v>
      </c>
      <c r="B839">
        <v>33</v>
      </c>
      <c r="C839">
        <v>12</v>
      </c>
      <c r="D839">
        <v>3</v>
      </c>
      <c r="E839">
        <f t="shared" si="12"/>
        <v>7.6572021681821649E-4</v>
      </c>
    </row>
    <row r="840" spans="1:5" x14ac:dyDescent="0.25">
      <c r="A840">
        <v>0</v>
      </c>
      <c r="B840">
        <v>33</v>
      </c>
      <c r="C840">
        <v>13</v>
      </c>
      <c r="D840">
        <v>2</v>
      </c>
      <c r="E840">
        <f t="shared" si="12"/>
        <v>4.0718901161905172E-4</v>
      </c>
    </row>
    <row r="841" spans="1:5" x14ac:dyDescent="0.25">
      <c r="A841">
        <v>0</v>
      </c>
      <c r="B841">
        <v>33</v>
      </c>
      <c r="C841">
        <v>14</v>
      </c>
      <c r="D841">
        <v>1</v>
      </c>
      <c r="E841">
        <f t="shared" si="12"/>
        <v>1.2603469407256363E-4</v>
      </c>
    </row>
    <row r="842" spans="1:5" x14ac:dyDescent="0.25">
      <c r="A842">
        <v>0</v>
      </c>
      <c r="B842">
        <v>33</v>
      </c>
      <c r="C842">
        <v>15</v>
      </c>
      <c r="D842">
        <v>0</v>
      </c>
      <c r="E842">
        <f t="shared" si="12"/>
        <v>1.7140718393868649E-5</v>
      </c>
    </row>
    <row r="843" spans="1:5" x14ac:dyDescent="0.25">
      <c r="A843">
        <v>0</v>
      </c>
      <c r="B843">
        <v>34</v>
      </c>
      <c r="C843">
        <v>0</v>
      </c>
      <c r="D843">
        <v>14</v>
      </c>
      <c r="E843">
        <f t="shared" si="12"/>
        <v>2.7740603600281604E-12</v>
      </c>
    </row>
    <row r="844" spans="1:5" x14ac:dyDescent="0.25">
      <c r="A844">
        <v>0</v>
      </c>
      <c r="B844">
        <v>34</v>
      </c>
      <c r="C844">
        <v>1</v>
      </c>
      <c r="D844">
        <v>13</v>
      </c>
      <c r="E844">
        <f t="shared" si="12"/>
        <v>2.1036624396880221E-10</v>
      </c>
    </row>
    <row r="845" spans="1:5" x14ac:dyDescent="0.25">
      <c r="A845">
        <v>0</v>
      </c>
      <c r="B845">
        <v>34</v>
      </c>
      <c r="C845">
        <v>2</v>
      </c>
      <c r="D845">
        <v>12</v>
      </c>
      <c r="E845">
        <f t="shared" si="12"/>
        <v>6.7317198070016706E-9</v>
      </c>
    </row>
    <row r="846" spans="1:5" x14ac:dyDescent="0.25">
      <c r="A846">
        <v>0</v>
      </c>
      <c r="B846">
        <v>34</v>
      </c>
      <c r="C846">
        <v>3</v>
      </c>
      <c r="D846">
        <v>11</v>
      </c>
      <c r="E846">
        <f t="shared" ref="E846:E909" si="13">COMBIN(A$4,A846)*COMBIN(B$4,B846)*COMBIN(C$4,C846)*COMBIN(D$4,D846)/COMBIN($G$4,$F$4)</f>
        <v>1.2117095652603003E-7</v>
      </c>
    </row>
    <row r="847" spans="1:5" x14ac:dyDescent="0.25">
      <c r="A847">
        <v>0</v>
      </c>
      <c r="B847">
        <v>34</v>
      </c>
      <c r="C847">
        <v>4</v>
      </c>
      <c r="D847">
        <v>10</v>
      </c>
      <c r="E847">
        <f t="shared" si="13"/>
        <v>1.3773098725125413E-6</v>
      </c>
    </row>
    <row r="848" spans="1:5" x14ac:dyDescent="0.25">
      <c r="A848">
        <v>0</v>
      </c>
      <c r="B848">
        <v>34</v>
      </c>
      <c r="C848">
        <v>5</v>
      </c>
      <c r="D848">
        <v>9</v>
      </c>
      <c r="E848">
        <f t="shared" si="13"/>
        <v>1.050198777790813E-5</v>
      </c>
    </row>
    <row r="849" spans="1:5" x14ac:dyDescent="0.25">
      <c r="A849">
        <v>0</v>
      </c>
      <c r="B849">
        <v>34</v>
      </c>
      <c r="C849">
        <v>6</v>
      </c>
      <c r="D849">
        <v>8</v>
      </c>
      <c r="E849">
        <f t="shared" si="13"/>
        <v>5.559875882421951E-5</v>
      </c>
    </row>
    <row r="850" spans="1:5" x14ac:dyDescent="0.25">
      <c r="A850">
        <v>0</v>
      </c>
      <c r="B850">
        <v>34</v>
      </c>
      <c r="C850">
        <v>7</v>
      </c>
      <c r="D850">
        <v>7</v>
      </c>
      <c r="E850">
        <f t="shared" si="13"/>
        <v>2.0827471559548903E-4</v>
      </c>
    </row>
    <row r="851" spans="1:5" x14ac:dyDescent="0.25">
      <c r="A851">
        <v>0</v>
      </c>
      <c r="B851">
        <v>34</v>
      </c>
      <c r="C851">
        <v>8</v>
      </c>
      <c r="D851">
        <v>6</v>
      </c>
      <c r="E851">
        <f t="shared" si="13"/>
        <v>5.5631272718268765E-4</v>
      </c>
    </row>
    <row r="852" spans="1:5" x14ac:dyDescent="0.25">
      <c r="A852">
        <v>0</v>
      </c>
      <c r="B852">
        <v>34</v>
      </c>
      <c r="C852">
        <v>9</v>
      </c>
      <c r="D852">
        <v>5</v>
      </c>
      <c r="E852">
        <f t="shared" si="13"/>
        <v>1.0569941816471063E-3</v>
      </c>
    </row>
    <row r="853" spans="1:5" x14ac:dyDescent="0.25">
      <c r="A853">
        <v>0</v>
      </c>
      <c r="B853">
        <v>34</v>
      </c>
      <c r="C853">
        <v>10</v>
      </c>
      <c r="D853">
        <v>4</v>
      </c>
      <c r="E853">
        <f t="shared" si="13"/>
        <v>1.4093255755294755E-3</v>
      </c>
    </row>
    <row r="854" spans="1:5" x14ac:dyDescent="0.25">
      <c r="A854">
        <v>0</v>
      </c>
      <c r="B854">
        <v>34</v>
      </c>
      <c r="C854">
        <v>11</v>
      </c>
      <c r="D854">
        <v>3</v>
      </c>
      <c r="E854">
        <f t="shared" si="13"/>
        <v>1.2812050686631597E-3</v>
      </c>
    </row>
    <row r="855" spans="1:5" x14ac:dyDescent="0.25">
      <c r="A855">
        <v>0</v>
      </c>
      <c r="B855">
        <v>34</v>
      </c>
      <c r="C855">
        <v>12</v>
      </c>
      <c r="D855">
        <v>2</v>
      </c>
      <c r="E855">
        <f t="shared" si="13"/>
        <v>7.5201167073707159E-4</v>
      </c>
    </row>
    <row r="856" spans="1:5" x14ac:dyDescent="0.25">
      <c r="A856">
        <v>0</v>
      </c>
      <c r="B856">
        <v>34</v>
      </c>
      <c r="C856">
        <v>13</v>
      </c>
      <c r="D856">
        <v>1</v>
      </c>
      <c r="E856">
        <f t="shared" si="13"/>
        <v>2.554911445452872E-4</v>
      </c>
    </row>
    <row r="857" spans="1:5" x14ac:dyDescent="0.25">
      <c r="A857">
        <v>0</v>
      </c>
      <c r="B857">
        <v>34</v>
      </c>
      <c r="C857">
        <v>14</v>
      </c>
      <c r="D857">
        <v>0</v>
      </c>
      <c r="E857">
        <f t="shared" si="13"/>
        <v>3.7958684332442674E-5</v>
      </c>
    </row>
    <row r="858" spans="1:5" x14ac:dyDescent="0.25">
      <c r="A858">
        <v>0</v>
      </c>
      <c r="B858">
        <v>35</v>
      </c>
      <c r="C858">
        <v>0</v>
      </c>
      <c r="D858">
        <v>13</v>
      </c>
      <c r="E858">
        <f t="shared" si="13"/>
        <v>2.3579513060239364E-11</v>
      </c>
    </row>
    <row r="859" spans="1:5" x14ac:dyDescent="0.25">
      <c r="A859">
        <v>0</v>
      </c>
      <c r="B859">
        <v>35</v>
      </c>
      <c r="C859">
        <v>1</v>
      </c>
      <c r="D859">
        <v>12</v>
      </c>
      <c r="E859">
        <f t="shared" si="13"/>
        <v>1.5326683489155587E-9</v>
      </c>
    </row>
    <row r="860" spans="1:5" x14ac:dyDescent="0.25">
      <c r="A860">
        <v>0</v>
      </c>
      <c r="B860">
        <v>35</v>
      </c>
      <c r="C860">
        <v>2</v>
      </c>
      <c r="D860">
        <v>11</v>
      </c>
      <c r="E860">
        <f t="shared" si="13"/>
        <v>4.2038903284541027E-8</v>
      </c>
    </row>
    <row r="861" spans="1:5" x14ac:dyDescent="0.25">
      <c r="A861">
        <v>0</v>
      </c>
      <c r="B861">
        <v>35</v>
      </c>
      <c r="C861">
        <v>3</v>
      </c>
      <c r="D861">
        <v>10</v>
      </c>
      <c r="E861">
        <f t="shared" si="13"/>
        <v>6.4739911058193174E-7</v>
      </c>
    </row>
    <row r="862" spans="1:5" x14ac:dyDescent="0.25">
      <c r="A862">
        <v>0</v>
      </c>
      <c r="B862">
        <v>35</v>
      </c>
      <c r="C862">
        <v>4</v>
      </c>
      <c r="D862">
        <v>9</v>
      </c>
      <c r="E862">
        <f t="shared" si="13"/>
        <v>6.2716788837624645E-6</v>
      </c>
    </row>
    <row r="863" spans="1:5" x14ac:dyDescent="0.25">
      <c r="A863">
        <v>0</v>
      </c>
      <c r="B863">
        <v>35</v>
      </c>
      <c r="C863">
        <v>5</v>
      </c>
      <c r="D863">
        <v>8</v>
      </c>
      <c r="E863">
        <f t="shared" si="13"/>
        <v>4.0507667143359921E-5</v>
      </c>
    </row>
    <row r="864" spans="1:5" x14ac:dyDescent="0.25">
      <c r="A864">
        <v>0</v>
      </c>
      <c r="B864">
        <v>35</v>
      </c>
      <c r="C864">
        <v>6</v>
      </c>
      <c r="D864">
        <v>7</v>
      </c>
      <c r="E864">
        <f t="shared" si="13"/>
        <v>1.8003407619271078E-4</v>
      </c>
    </row>
    <row r="865" spans="1:5" x14ac:dyDescent="0.25">
      <c r="A865">
        <v>0</v>
      </c>
      <c r="B865">
        <v>35</v>
      </c>
      <c r="C865">
        <v>7</v>
      </c>
      <c r="D865">
        <v>6</v>
      </c>
      <c r="E865">
        <f t="shared" si="13"/>
        <v>5.5905318396683862E-4</v>
      </c>
    </row>
    <row r="866" spans="1:5" x14ac:dyDescent="0.25">
      <c r="A866">
        <v>0</v>
      </c>
      <c r="B866">
        <v>35</v>
      </c>
      <c r="C866">
        <v>8</v>
      </c>
      <c r="D866">
        <v>5</v>
      </c>
      <c r="E866">
        <f t="shared" si="13"/>
        <v>1.2159406751278742E-3</v>
      </c>
    </row>
    <row r="867" spans="1:5" x14ac:dyDescent="0.25">
      <c r="A867">
        <v>0</v>
      </c>
      <c r="B867">
        <v>35</v>
      </c>
      <c r="C867">
        <v>9</v>
      </c>
      <c r="D867">
        <v>4</v>
      </c>
      <c r="E867">
        <f t="shared" si="13"/>
        <v>1.8335613355102867E-3</v>
      </c>
    </row>
    <row r="868" spans="1:5" x14ac:dyDescent="0.25">
      <c r="A868">
        <v>0</v>
      </c>
      <c r="B868">
        <v>35</v>
      </c>
      <c r="C868">
        <v>10</v>
      </c>
      <c r="D868">
        <v>3</v>
      </c>
      <c r="E868">
        <f t="shared" si="13"/>
        <v>1.8668988143377464E-3</v>
      </c>
    </row>
    <row r="869" spans="1:5" x14ac:dyDescent="0.25">
      <c r="A869">
        <v>0</v>
      </c>
      <c r="B869">
        <v>35</v>
      </c>
      <c r="C869">
        <v>11</v>
      </c>
      <c r="D869">
        <v>2</v>
      </c>
      <c r="E869">
        <f t="shared" si="13"/>
        <v>1.2175427050028782E-3</v>
      </c>
    </row>
    <row r="870" spans="1:5" x14ac:dyDescent="0.25">
      <c r="A870">
        <v>0</v>
      </c>
      <c r="B870">
        <v>35</v>
      </c>
      <c r="C870">
        <v>12</v>
      </c>
      <c r="D870">
        <v>1</v>
      </c>
      <c r="E870">
        <f t="shared" si="13"/>
        <v>4.5657851437607902E-4</v>
      </c>
    </row>
    <row r="871" spans="1:5" x14ac:dyDescent="0.25">
      <c r="A871">
        <v>0</v>
      </c>
      <c r="B871">
        <v>35</v>
      </c>
      <c r="C871">
        <v>13</v>
      </c>
      <c r="D871">
        <v>0</v>
      </c>
      <c r="E871">
        <f t="shared" si="13"/>
        <v>7.4457419267483696E-5</v>
      </c>
    </row>
    <row r="872" spans="1:5" x14ac:dyDescent="0.25">
      <c r="A872">
        <v>0</v>
      </c>
      <c r="B872">
        <v>36</v>
      </c>
      <c r="C872">
        <v>0</v>
      </c>
      <c r="D872">
        <v>12</v>
      </c>
      <c r="E872">
        <f t="shared" si="13"/>
        <v>1.6636656436946673E-10</v>
      </c>
    </row>
    <row r="873" spans="1:5" x14ac:dyDescent="0.25">
      <c r="A873">
        <v>0</v>
      </c>
      <c r="B873">
        <v>36</v>
      </c>
      <c r="C873">
        <v>1</v>
      </c>
      <c r="D873">
        <v>11</v>
      </c>
      <c r="E873">
        <f t="shared" si="13"/>
        <v>9.2689943005845735E-9</v>
      </c>
    </row>
    <row r="874" spans="1:5" x14ac:dyDescent="0.25">
      <c r="A874">
        <v>0</v>
      </c>
      <c r="B874">
        <v>36</v>
      </c>
      <c r="C874">
        <v>2</v>
      </c>
      <c r="D874">
        <v>10</v>
      </c>
      <c r="E874">
        <f t="shared" si="13"/>
        <v>2.1751239958705129E-7</v>
      </c>
    </row>
    <row r="875" spans="1:5" x14ac:dyDescent="0.25">
      <c r="A875">
        <v>0</v>
      </c>
      <c r="B875">
        <v>36</v>
      </c>
      <c r="C875">
        <v>3</v>
      </c>
      <c r="D875">
        <v>9</v>
      </c>
      <c r="E875">
        <f t="shared" si="13"/>
        <v>2.8548502445800481E-6</v>
      </c>
    </row>
    <row r="876" spans="1:5" x14ac:dyDescent="0.25">
      <c r="A876">
        <v>0</v>
      </c>
      <c r="B876">
        <v>36</v>
      </c>
      <c r="C876">
        <v>4</v>
      </c>
      <c r="D876">
        <v>8</v>
      </c>
      <c r="E876">
        <f t="shared" si="13"/>
        <v>2.3426565242289219E-5</v>
      </c>
    </row>
    <row r="877" spans="1:5" x14ac:dyDescent="0.25">
      <c r="A877">
        <v>0</v>
      </c>
      <c r="B877">
        <v>36</v>
      </c>
      <c r="C877">
        <v>5</v>
      </c>
      <c r="D877">
        <v>7</v>
      </c>
      <c r="E877">
        <f t="shared" si="13"/>
        <v>1.2702404264707936E-4</v>
      </c>
    </row>
    <row r="878" spans="1:5" x14ac:dyDescent="0.25">
      <c r="A878">
        <v>0</v>
      </c>
      <c r="B878">
        <v>36</v>
      </c>
      <c r="C878">
        <v>6</v>
      </c>
      <c r="D878">
        <v>6</v>
      </c>
      <c r="E878">
        <f t="shared" si="13"/>
        <v>4.6798331501555536E-4</v>
      </c>
    </row>
    <row r="879" spans="1:5" x14ac:dyDescent="0.25">
      <c r="A879">
        <v>0</v>
      </c>
      <c r="B879">
        <v>36</v>
      </c>
      <c r="C879">
        <v>7</v>
      </c>
      <c r="D879">
        <v>5</v>
      </c>
      <c r="E879">
        <f t="shared" si="13"/>
        <v>1.1833292393964756E-3</v>
      </c>
    </row>
    <row r="880" spans="1:5" x14ac:dyDescent="0.25">
      <c r="A880">
        <v>0</v>
      </c>
      <c r="B880">
        <v>36</v>
      </c>
      <c r="C880">
        <v>8</v>
      </c>
      <c r="D880">
        <v>4</v>
      </c>
      <c r="E880">
        <f t="shared" si="13"/>
        <v>2.0426516632439172E-3</v>
      </c>
    </row>
    <row r="881" spans="1:5" x14ac:dyDescent="0.25">
      <c r="A881">
        <v>0</v>
      </c>
      <c r="B881">
        <v>36</v>
      </c>
      <c r="C881">
        <v>9</v>
      </c>
      <c r="D881">
        <v>3</v>
      </c>
      <c r="E881">
        <f t="shared" si="13"/>
        <v>2.3521443394929949E-3</v>
      </c>
    </row>
    <row r="882" spans="1:5" x14ac:dyDescent="0.25">
      <c r="A882">
        <v>0</v>
      </c>
      <c r="B882">
        <v>36</v>
      </c>
      <c r="C882">
        <v>10</v>
      </c>
      <c r="D882">
        <v>2</v>
      </c>
      <c r="E882">
        <f t="shared" si="13"/>
        <v>1.7180880392818399E-3</v>
      </c>
    </row>
    <row r="883" spans="1:5" x14ac:dyDescent="0.25">
      <c r="A883">
        <v>0</v>
      </c>
      <c r="B883">
        <v>36</v>
      </c>
      <c r="C883">
        <v>11</v>
      </c>
      <c r="D883">
        <v>1</v>
      </c>
      <c r="E883">
        <f t="shared" si="13"/>
        <v>7.1587001636743352E-4</v>
      </c>
    </row>
    <row r="884" spans="1:5" x14ac:dyDescent="0.25">
      <c r="A884">
        <v>0</v>
      </c>
      <c r="B884">
        <v>36</v>
      </c>
      <c r="C884">
        <v>12</v>
      </c>
      <c r="D884">
        <v>0</v>
      </c>
      <c r="E884">
        <f t="shared" si="13"/>
        <v>1.2885660294613792E-4</v>
      </c>
    </row>
    <row r="885" spans="1:5" x14ac:dyDescent="0.25">
      <c r="A885">
        <v>0</v>
      </c>
      <c r="B885">
        <v>37</v>
      </c>
      <c r="C885">
        <v>0</v>
      </c>
      <c r="D885">
        <v>11</v>
      </c>
      <c r="E885">
        <f t="shared" si="13"/>
        <v>9.7507507611139076E-10</v>
      </c>
    </row>
    <row r="886" spans="1:5" x14ac:dyDescent="0.25">
      <c r="A886">
        <v>0</v>
      </c>
      <c r="B886">
        <v>37</v>
      </c>
      <c r="C886">
        <v>1</v>
      </c>
      <c r="D886">
        <v>10</v>
      </c>
      <c r="E886">
        <f t="shared" si="13"/>
        <v>4.6478578627976297E-8</v>
      </c>
    </row>
    <row r="887" spans="1:5" x14ac:dyDescent="0.25">
      <c r="A887">
        <v>0</v>
      </c>
      <c r="B887">
        <v>37</v>
      </c>
      <c r="C887">
        <v>2</v>
      </c>
      <c r="D887">
        <v>9</v>
      </c>
      <c r="E887">
        <f t="shared" si="13"/>
        <v>9.2957157255952589E-7</v>
      </c>
    </row>
    <row r="888" spans="1:5" x14ac:dyDescent="0.25">
      <c r="A888">
        <v>0</v>
      </c>
      <c r="B888">
        <v>37</v>
      </c>
      <c r="C888">
        <v>3</v>
      </c>
      <c r="D888">
        <v>8</v>
      </c>
      <c r="E888">
        <f t="shared" si="13"/>
        <v>1.0334648659632375E-5</v>
      </c>
    </row>
    <row r="889" spans="1:5" x14ac:dyDescent="0.25">
      <c r="A889">
        <v>0</v>
      </c>
      <c r="B889">
        <v>37</v>
      </c>
      <c r="C889">
        <v>4</v>
      </c>
      <c r="D889">
        <v>7</v>
      </c>
      <c r="E889">
        <f t="shared" si="13"/>
        <v>7.1194246321911947E-5</v>
      </c>
    </row>
    <row r="890" spans="1:5" x14ac:dyDescent="0.25">
      <c r="A890">
        <v>0</v>
      </c>
      <c r="B890">
        <v>37</v>
      </c>
      <c r="C890">
        <v>5</v>
      </c>
      <c r="D890">
        <v>6</v>
      </c>
      <c r="E890">
        <f t="shared" si="13"/>
        <v>3.1999940188901465E-4</v>
      </c>
    </row>
    <row r="891" spans="1:5" x14ac:dyDescent="0.25">
      <c r="A891">
        <v>0</v>
      </c>
      <c r="B891">
        <v>37</v>
      </c>
      <c r="C891">
        <v>6</v>
      </c>
      <c r="D891">
        <v>5</v>
      </c>
      <c r="E891">
        <f t="shared" si="13"/>
        <v>9.5999820566704383E-4</v>
      </c>
    </row>
    <row r="892" spans="1:5" x14ac:dyDescent="0.25">
      <c r="A892">
        <v>0</v>
      </c>
      <c r="B892">
        <v>37</v>
      </c>
      <c r="C892">
        <v>7</v>
      </c>
      <c r="D892">
        <v>4</v>
      </c>
      <c r="E892">
        <f t="shared" si="13"/>
        <v>1.9265270113726395E-3</v>
      </c>
    </row>
    <row r="893" spans="1:5" x14ac:dyDescent="0.25">
      <c r="A893">
        <v>0</v>
      </c>
      <c r="B893">
        <v>37</v>
      </c>
      <c r="C893">
        <v>8</v>
      </c>
      <c r="D893">
        <v>3</v>
      </c>
      <c r="E893">
        <f t="shared" si="13"/>
        <v>2.5395128786275707E-3</v>
      </c>
    </row>
    <row r="894" spans="1:5" x14ac:dyDescent="0.25">
      <c r="A894">
        <v>0</v>
      </c>
      <c r="B894">
        <v>37</v>
      </c>
      <c r="C894">
        <v>9</v>
      </c>
      <c r="D894">
        <v>2</v>
      </c>
      <c r="E894">
        <f t="shared" si="13"/>
        <v>2.0978584649532098E-3</v>
      </c>
    </row>
    <row r="895" spans="1:5" x14ac:dyDescent="0.25">
      <c r="A895">
        <v>0</v>
      </c>
      <c r="B895">
        <v>37</v>
      </c>
      <c r="C895">
        <v>10</v>
      </c>
      <c r="D895">
        <v>1</v>
      </c>
      <c r="E895">
        <f t="shared" si="13"/>
        <v>9.7900061697816479E-4</v>
      </c>
    </row>
    <row r="896" spans="1:5" x14ac:dyDescent="0.25">
      <c r="A896">
        <v>0</v>
      </c>
      <c r="B896">
        <v>37</v>
      </c>
      <c r="C896">
        <v>11</v>
      </c>
      <c r="D896">
        <v>0</v>
      </c>
      <c r="E896">
        <f t="shared" si="13"/>
        <v>1.9580012339563297E-4</v>
      </c>
    </row>
    <row r="897" spans="1:5" x14ac:dyDescent="0.25">
      <c r="A897">
        <v>0</v>
      </c>
      <c r="B897">
        <v>38</v>
      </c>
      <c r="C897">
        <v>0</v>
      </c>
      <c r="D897">
        <v>10</v>
      </c>
      <c r="E897">
        <f t="shared" si="13"/>
        <v>4.7419440543522405E-9</v>
      </c>
    </row>
    <row r="898" spans="1:5" x14ac:dyDescent="0.25">
      <c r="A898">
        <v>0</v>
      </c>
      <c r="B898">
        <v>38</v>
      </c>
      <c r="C898">
        <v>1</v>
      </c>
      <c r="D898">
        <v>9</v>
      </c>
      <c r="E898">
        <f t="shared" si="13"/>
        <v>1.9264147720805979E-7</v>
      </c>
    </row>
    <row r="899" spans="1:5" x14ac:dyDescent="0.25">
      <c r="A899">
        <v>0</v>
      </c>
      <c r="B899">
        <v>38</v>
      </c>
      <c r="C899">
        <v>2</v>
      </c>
      <c r="D899">
        <v>8</v>
      </c>
      <c r="E899">
        <f t="shared" si="13"/>
        <v>3.2635732609365427E-6</v>
      </c>
    </row>
    <row r="900" spans="1:5" x14ac:dyDescent="0.25">
      <c r="A900">
        <v>0</v>
      </c>
      <c r="B900">
        <v>38</v>
      </c>
      <c r="C900">
        <v>3</v>
      </c>
      <c r="D900">
        <v>7</v>
      </c>
      <c r="E900">
        <f t="shared" si="13"/>
        <v>3.0460017102074402E-5</v>
      </c>
    </row>
    <row r="901" spans="1:5" x14ac:dyDescent="0.25">
      <c r="A901">
        <v>0</v>
      </c>
      <c r="B901">
        <v>38</v>
      </c>
      <c r="C901">
        <v>4</v>
      </c>
      <c r="D901">
        <v>6</v>
      </c>
      <c r="E901">
        <f t="shared" si="13"/>
        <v>1.7394272924079322E-4</v>
      </c>
    </row>
    <row r="902" spans="1:5" x14ac:dyDescent="0.25">
      <c r="A902">
        <v>0</v>
      </c>
      <c r="B902">
        <v>38</v>
      </c>
      <c r="C902">
        <v>5</v>
      </c>
      <c r="D902">
        <v>5</v>
      </c>
      <c r="E902">
        <f t="shared" si="13"/>
        <v>6.3663038902130324E-4</v>
      </c>
    </row>
    <row r="903" spans="1:5" x14ac:dyDescent="0.25">
      <c r="A903">
        <v>0</v>
      </c>
      <c r="B903">
        <v>38</v>
      </c>
      <c r="C903">
        <v>6</v>
      </c>
      <c r="D903">
        <v>4</v>
      </c>
      <c r="E903">
        <f t="shared" si="13"/>
        <v>1.5157866405269128E-3</v>
      </c>
    </row>
    <row r="904" spans="1:5" x14ac:dyDescent="0.25">
      <c r="A904">
        <v>0</v>
      </c>
      <c r="B904">
        <v>38</v>
      </c>
      <c r="C904">
        <v>7</v>
      </c>
      <c r="D904">
        <v>3</v>
      </c>
      <c r="E904">
        <f t="shared" si="13"/>
        <v>2.3228938127555286E-3</v>
      </c>
    </row>
    <row r="905" spans="1:5" x14ac:dyDescent="0.25">
      <c r="A905">
        <v>0</v>
      </c>
      <c r="B905">
        <v>38</v>
      </c>
      <c r="C905">
        <v>8</v>
      </c>
      <c r="D905">
        <v>2</v>
      </c>
      <c r="E905">
        <f t="shared" si="13"/>
        <v>2.196649583801424E-3</v>
      </c>
    </row>
    <row r="906" spans="1:5" x14ac:dyDescent="0.25">
      <c r="A906">
        <v>0</v>
      </c>
      <c r="B906">
        <v>38</v>
      </c>
      <c r="C906">
        <v>9</v>
      </c>
      <c r="D906">
        <v>1</v>
      </c>
      <c r="E906">
        <f t="shared" si="13"/>
        <v>1.1593428358951958E-3</v>
      </c>
    </row>
    <row r="907" spans="1:5" x14ac:dyDescent="0.25">
      <c r="A907">
        <v>0</v>
      </c>
      <c r="B907">
        <v>38</v>
      </c>
      <c r="C907">
        <v>10</v>
      </c>
      <c r="D907">
        <v>0</v>
      </c>
      <c r="E907">
        <f t="shared" si="13"/>
        <v>2.5969279524052388E-4</v>
      </c>
    </row>
    <row r="908" spans="1:5" x14ac:dyDescent="0.25">
      <c r="A908">
        <v>0</v>
      </c>
      <c r="B908">
        <v>39</v>
      </c>
      <c r="C908">
        <v>0</v>
      </c>
      <c r="D908">
        <v>9</v>
      </c>
      <c r="E908">
        <f t="shared" si="13"/>
        <v>1.9074165987859172E-8</v>
      </c>
    </row>
    <row r="909" spans="1:5" x14ac:dyDescent="0.25">
      <c r="A909">
        <v>0</v>
      </c>
      <c r="B909">
        <v>39</v>
      </c>
      <c r="C909">
        <v>1</v>
      </c>
      <c r="D909">
        <v>8</v>
      </c>
      <c r="E909">
        <f t="shared" si="13"/>
        <v>6.5637571193515387E-7</v>
      </c>
    </row>
    <row r="910" spans="1:5" x14ac:dyDescent="0.25">
      <c r="A910">
        <v>0</v>
      </c>
      <c r="B910">
        <v>39</v>
      </c>
      <c r="C910">
        <v>2</v>
      </c>
      <c r="D910">
        <v>7</v>
      </c>
      <c r="E910">
        <f t="shared" ref="E910:E973" si="14">COMBIN(A$4,A910)*COMBIN(B$4,B910)*COMBIN(C$4,C910)*COMBIN(D$4,D910)/COMBIN($G$4,$F$4)</f>
        <v>9.3351212364110788E-6</v>
      </c>
    </row>
    <row r="911" spans="1:5" x14ac:dyDescent="0.25">
      <c r="A911">
        <v>0</v>
      </c>
      <c r="B911">
        <v>39</v>
      </c>
      <c r="C911">
        <v>3</v>
      </c>
      <c r="D911">
        <v>6</v>
      </c>
      <c r="E911">
        <f t="shared" si="14"/>
        <v>7.2224359039601467E-5</v>
      </c>
    </row>
    <row r="912" spans="1:5" x14ac:dyDescent="0.25">
      <c r="A912">
        <v>0</v>
      </c>
      <c r="B912">
        <v>39</v>
      </c>
      <c r="C912">
        <v>4</v>
      </c>
      <c r="D912">
        <v>5</v>
      </c>
      <c r="E912">
        <f t="shared" si="14"/>
        <v>3.3584326953414685E-4</v>
      </c>
    </row>
    <row r="913" spans="1:5" x14ac:dyDescent="0.25">
      <c r="A913">
        <v>0</v>
      </c>
      <c r="B913">
        <v>39</v>
      </c>
      <c r="C913">
        <v>5</v>
      </c>
      <c r="D913">
        <v>4</v>
      </c>
      <c r="E913">
        <f t="shared" si="14"/>
        <v>9.7554473531347456E-4</v>
      </c>
    </row>
    <row r="914" spans="1:5" x14ac:dyDescent="0.25">
      <c r="A914">
        <v>0</v>
      </c>
      <c r="B914">
        <v>39</v>
      </c>
      <c r="C914">
        <v>6</v>
      </c>
      <c r="D914">
        <v>3</v>
      </c>
      <c r="E914">
        <f t="shared" si="14"/>
        <v>1.7737177005699534E-3</v>
      </c>
    </row>
    <row r="915" spans="1:5" x14ac:dyDescent="0.25">
      <c r="A915">
        <v>0</v>
      </c>
      <c r="B915">
        <v>39</v>
      </c>
      <c r="C915">
        <v>7</v>
      </c>
      <c r="D915">
        <v>2</v>
      </c>
      <c r="E915">
        <f t="shared" si="14"/>
        <v>1.9499877826141721E-3</v>
      </c>
    </row>
    <row r="916" spans="1:5" x14ac:dyDescent="0.25">
      <c r="A916">
        <v>0</v>
      </c>
      <c r="B916">
        <v>39</v>
      </c>
      <c r="C916">
        <v>8</v>
      </c>
      <c r="D916">
        <v>1</v>
      </c>
      <c r="E916">
        <f t="shared" si="14"/>
        <v>1.1781176186627291E-3</v>
      </c>
    </row>
    <row r="917" spans="1:5" x14ac:dyDescent="0.25">
      <c r="A917">
        <v>0</v>
      </c>
      <c r="B917">
        <v>39</v>
      </c>
      <c r="C917">
        <v>9</v>
      </c>
      <c r="D917">
        <v>0</v>
      </c>
      <c r="E917">
        <f t="shared" si="14"/>
        <v>2.9845646339455803E-4</v>
      </c>
    </row>
    <row r="918" spans="1:5" x14ac:dyDescent="0.25">
      <c r="A918">
        <v>0</v>
      </c>
      <c r="B918">
        <v>40</v>
      </c>
      <c r="C918">
        <v>0</v>
      </c>
      <c r="D918">
        <v>8</v>
      </c>
      <c r="E918">
        <f t="shared" si="14"/>
        <v>6.3113049224534084E-8</v>
      </c>
    </row>
    <row r="919" spans="1:5" x14ac:dyDescent="0.25">
      <c r="A919">
        <v>0</v>
      </c>
      <c r="B919">
        <v>40</v>
      </c>
      <c r="C919">
        <v>1</v>
      </c>
      <c r="D919">
        <v>7</v>
      </c>
      <c r="E919">
        <f t="shared" si="14"/>
        <v>1.8232658664865404E-6</v>
      </c>
    </row>
    <row r="920" spans="1:5" x14ac:dyDescent="0.25">
      <c r="A920">
        <v>0</v>
      </c>
      <c r="B920">
        <v>40</v>
      </c>
      <c r="C920">
        <v>2</v>
      </c>
      <c r="D920">
        <v>6</v>
      </c>
      <c r="E920">
        <f t="shared" si="14"/>
        <v>2.1495344952262362E-5</v>
      </c>
    </row>
    <row r="921" spans="1:5" x14ac:dyDescent="0.25">
      <c r="A921">
        <v>0</v>
      </c>
      <c r="B921">
        <v>40</v>
      </c>
      <c r="C921">
        <v>3</v>
      </c>
      <c r="D921">
        <v>5</v>
      </c>
      <c r="E921">
        <f t="shared" si="14"/>
        <v>1.3542067319925288E-4</v>
      </c>
    </row>
    <row r="922" spans="1:5" x14ac:dyDescent="0.25">
      <c r="A922">
        <v>0</v>
      </c>
      <c r="B922">
        <v>40</v>
      </c>
      <c r="C922">
        <v>4</v>
      </c>
      <c r="D922">
        <v>4</v>
      </c>
      <c r="E922">
        <f t="shared" si="14"/>
        <v>4.9976677014010014E-4</v>
      </c>
    </row>
    <row r="923" spans="1:5" x14ac:dyDescent="0.25">
      <c r="A923">
        <v>0</v>
      </c>
      <c r="B923">
        <v>40</v>
      </c>
      <c r="C923">
        <v>5</v>
      </c>
      <c r="D923">
        <v>3</v>
      </c>
      <c r="E923">
        <f t="shared" si="14"/>
        <v>1.108573562856222E-3</v>
      </c>
    </row>
    <row r="924" spans="1:5" x14ac:dyDescent="0.25">
      <c r="A924">
        <v>0</v>
      </c>
      <c r="B924">
        <v>40</v>
      </c>
      <c r="C924">
        <v>6</v>
      </c>
      <c r="D924">
        <v>2</v>
      </c>
      <c r="E924">
        <f t="shared" si="14"/>
        <v>1.445965516768985E-3</v>
      </c>
    </row>
    <row r="925" spans="1:5" x14ac:dyDescent="0.25">
      <c r="A925">
        <v>0</v>
      </c>
      <c r="B925">
        <v>40</v>
      </c>
      <c r="C925">
        <v>7</v>
      </c>
      <c r="D925">
        <v>1</v>
      </c>
      <c r="E925">
        <f t="shared" si="14"/>
        <v>1.0156186367782155E-3</v>
      </c>
    </row>
    <row r="926" spans="1:5" x14ac:dyDescent="0.25">
      <c r="A926">
        <v>0</v>
      </c>
      <c r="B926">
        <v>40</v>
      </c>
      <c r="C926">
        <v>8</v>
      </c>
      <c r="D926">
        <v>0</v>
      </c>
      <c r="E926">
        <f t="shared" si="14"/>
        <v>2.9452940466568261E-4</v>
      </c>
    </row>
    <row r="927" spans="1:5" x14ac:dyDescent="0.25">
      <c r="A927">
        <v>0</v>
      </c>
      <c r="B927">
        <v>41</v>
      </c>
      <c r="C927">
        <v>0</v>
      </c>
      <c r="D927">
        <v>7</v>
      </c>
      <c r="E927">
        <f t="shared" si="14"/>
        <v>1.703539214841081E-7</v>
      </c>
    </row>
    <row r="928" spans="1:5" x14ac:dyDescent="0.25">
      <c r="A928">
        <v>0</v>
      </c>
      <c r="B928">
        <v>41</v>
      </c>
      <c r="C928">
        <v>1</v>
      </c>
      <c r="D928">
        <v>6</v>
      </c>
      <c r="E928">
        <f t="shared" si="14"/>
        <v>4.0795281197510071E-6</v>
      </c>
    </row>
    <row r="929" spans="1:5" x14ac:dyDescent="0.25">
      <c r="A929">
        <v>0</v>
      </c>
      <c r="B929">
        <v>41</v>
      </c>
      <c r="C929">
        <v>2</v>
      </c>
      <c r="D929">
        <v>5</v>
      </c>
      <c r="E929">
        <f t="shared" si="14"/>
        <v>3.9163469949609668E-5</v>
      </c>
    </row>
    <row r="930" spans="1:5" x14ac:dyDescent="0.25">
      <c r="A930">
        <v>0</v>
      </c>
      <c r="B930">
        <v>41</v>
      </c>
      <c r="C930">
        <v>3</v>
      </c>
      <c r="D930">
        <v>4</v>
      </c>
      <c r="E930">
        <f t="shared" si="14"/>
        <v>1.9581734974804838E-4</v>
      </c>
    </row>
    <row r="931" spans="1:5" x14ac:dyDescent="0.25">
      <c r="A931">
        <v>0</v>
      </c>
      <c r="B931">
        <v>41</v>
      </c>
      <c r="C931">
        <v>4</v>
      </c>
      <c r="D931">
        <v>3</v>
      </c>
      <c r="E931">
        <f t="shared" si="14"/>
        <v>5.5184889474450003E-4</v>
      </c>
    </row>
    <row r="932" spans="1:5" x14ac:dyDescent="0.25">
      <c r="A932">
        <v>0</v>
      </c>
      <c r="B932">
        <v>41</v>
      </c>
      <c r="C932">
        <v>5</v>
      </c>
      <c r="D932">
        <v>2</v>
      </c>
      <c r="E932">
        <f t="shared" si="14"/>
        <v>8.7815954554994354E-4</v>
      </c>
    </row>
    <row r="933" spans="1:5" x14ac:dyDescent="0.25">
      <c r="A933">
        <v>0</v>
      </c>
      <c r="B933">
        <v>41</v>
      </c>
      <c r="C933">
        <v>6</v>
      </c>
      <c r="D933">
        <v>1</v>
      </c>
      <c r="E933">
        <f t="shared" si="14"/>
        <v>7.317996212916196E-4</v>
      </c>
    </row>
    <row r="934" spans="1:5" x14ac:dyDescent="0.25">
      <c r="A934">
        <v>0</v>
      </c>
      <c r="B934">
        <v>41</v>
      </c>
      <c r="C934">
        <v>7</v>
      </c>
      <c r="D934">
        <v>0</v>
      </c>
      <c r="E934">
        <f t="shared" si="14"/>
        <v>2.4672101517831746E-4</v>
      </c>
    </row>
    <row r="935" spans="1:5" x14ac:dyDescent="0.25">
      <c r="A935">
        <v>0</v>
      </c>
      <c r="B935">
        <v>42</v>
      </c>
      <c r="C935">
        <v>0</v>
      </c>
      <c r="D935">
        <v>6</v>
      </c>
      <c r="E935">
        <f t="shared" si="14"/>
        <v>3.705944958601648E-7</v>
      </c>
    </row>
    <row r="936" spans="1:5" x14ac:dyDescent="0.25">
      <c r="A936">
        <v>0</v>
      </c>
      <c r="B936">
        <v>42</v>
      </c>
      <c r="C936">
        <v>1</v>
      </c>
      <c r="D936">
        <v>5</v>
      </c>
      <c r="E936">
        <f t="shared" si="14"/>
        <v>7.2265926692732147E-6</v>
      </c>
    </row>
    <row r="937" spans="1:5" x14ac:dyDescent="0.25">
      <c r="A937">
        <v>0</v>
      </c>
      <c r="B937">
        <v>42</v>
      </c>
      <c r="C937">
        <v>2</v>
      </c>
      <c r="D937">
        <v>4</v>
      </c>
      <c r="E937">
        <f t="shared" si="14"/>
        <v>5.5059753670653077E-5</v>
      </c>
    </row>
    <row r="938" spans="1:5" x14ac:dyDescent="0.25">
      <c r="A938">
        <v>0</v>
      </c>
      <c r="B938">
        <v>42</v>
      </c>
      <c r="C938">
        <v>3</v>
      </c>
      <c r="D938">
        <v>3</v>
      </c>
      <c r="E938">
        <f t="shared" si="14"/>
        <v>2.1022815037885715E-4</v>
      </c>
    </row>
    <row r="939" spans="1:5" x14ac:dyDescent="0.25">
      <c r="A939">
        <v>0</v>
      </c>
      <c r="B939">
        <v>42</v>
      </c>
      <c r="C939">
        <v>4</v>
      </c>
      <c r="D939">
        <v>2</v>
      </c>
      <c r="E939">
        <f t="shared" si="14"/>
        <v>4.2502647793986342E-4</v>
      </c>
    </row>
    <row r="940" spans="1:5" x14ac:dyDescent="0.25">
      <c r="A940">
        <v>0</v>
      </c>
      <c r="B940">
        <v>42</v>
      </c>
      <c r="C940">
        <v>5</v>
      </c>
      <c r="D940">
        <v>1</v>
      </c>
      <c r="E940">
        <f t="shared" si="14"/>
        <v>4.3211025257219448E-4</v>
      </c>
    </row>
    <row r="941" spans="1:5" x14ac:dyDescent="0.25">
      <c r="A941">
        <v>0</v>
      </c>
      <c r="B941">
        <v>42</v>
      </c>
      <c r="C941">
        <v>6</v>
      </c>
      <c r="D941">
        <v>0</v>
      </c>
      <c r="E941">
        <f t="shared" si="14"/>
        <v>1.7284410102887777E-4</v>
      </c>
    </row>
    <row r="942" spans="1:5" x14ac:dyDescent="0.25">
      <c r="A942">
        <v>0</v>
      </c>
      <c r="B942">
        <v>43</v>
      </c>
      <c r="C942">
        <v>0</v>
      </c>
      <c r="D942">
        <v>5</v>
      </c>
      <c r="E942">
        <f t="shared" si="14"/>
        <v>6.3862911961019129E-7</v>
      </c>
    </row>
    <row r="943" spans="1:5" x14ac:dyDescent="0.25">
      <c r="A943">
        <v>0</v>
      </c>
      <c r="B943">
        <v>43</v>
      </c>
      <c r="C943">
        <v>1</v>
      </c>
      <c r="D943">
        <v>4</v>
      </c>
      <c r="E943">
        <f t="shared" si="14"/>
        <v>9.8835458987291528E-6</v>
      </c>
    </row>
    <row r="944" spans="1:5" x14ac:dyDescent="0.25">
      <c r="A944">
        <v>0</v>
      </c>
      <c r="B944">
        <v>43</v>
      </c>
      <c r="C944">
        <v>2</v>
      </c>
      <c r="D944">
        <v>3</v>
      </c>
      <c r="E944">
        <f t="shared" si="14"/>
        <v>5.7504267047151431E-5</v>
      </c>
    </row>
    <row r="945" spans="1:5" x14ac:dyDescent="0.25">
      <c r="A945">
        <v>0</v>
      </c>
      <c r="B945">
        <v>43</v>
      </c>
      <c r="C945">
        <v>3</v>
      </c>
      <c r="D945">
        <v>2</v>
      </c>
      <c r="E945">
        <f t="shared" si="14"/>
        <v>1.5751168799871913E-4</v>
      </c>
    </row>
    <row r="946" spans="1:5" x14ac:dyDescent="0.25">
      <c r="A946">
        <v>0</v>
      </c>
      <c r="B946">
        <v>43</v>
      </c>
      <c r="C946">
        <v>4</v>
      </c>
      <c r="D946">
        <v>1</v>
      </c>
      <c r="E946">
        <f t="shared" si="14"/>
        <v>2.0345259699834558E-4</v>
      </c>
    </row>
    <row r="947" spans="1:5" x14ac:dyDescent="0.25">
      <c r="A947">
        <v>0</v>
      </c>
      <c r="B947">
        <v>43</v>
      </c>
      <c r="C947">
        <v>5</v>
      </c>
      <c r="D947">
        <v>0</v>
      </c>
      <c r="E947">
        <f t="shared" si="14"/>
        <v>9.9284867335192647E-5</v>
      </c>
    </row>
    <row r="948" spans="1:5" x14ac:dyDescent="0.25">
      <c r="A948">
        <v>0</v>
      </c>
      <c r="B948">
        <v>44</v>
      </c>
      <c r="C948">
        <v>0</v>
      </c>
      <c r="D948">
        <v>4</v>
      </c>
      <c r="E948">
        <f t="shared" si="14"/>
        <v>8.50123178701878E-7</v>
      </c>
    </row>
    <row r="949" spans="1:5" x14ac:dyDescent="0.25">
      <c r="A949">
        <v>0</v>
      </c>
      <c r="B949">
        <v>44</v>
      </c>
      <c r="C949">
        <v>1</v>
      </c>
      <c r="D949">
        <v>3</v>
      </c>
      <c r="E949">
        <f t="shared" si="14"/>
        <v>1.0046910293749467E-5</v>
      </c>
    </row>
    <row r="950" spans="1:5" x14ac:dyDescent="0.25">
      <c r="A950">
        <v>0</v>
      </c>
      <c r="B950">
        <v>44</v>
      </c>
      <c r="C950">
        <v>2</v>
      </c>
      <c r="D950">
        <v>2</v>
      </c>
      <c r="E950">
        <f t="shared" si="14"/>
        <v>4.1934929921736899E-5</v>
      </c>
    </row>
    <row r="951" spans="1:5" x14ac:dyDescent="0.25">
      <c r="A951">
        <v>0</v>
      </c>
      <c r="B951">
        <v>44</v>
      </c>
      <c r="C951">
        <v>3</v>
      </c>
      <c r="D951">
        <v>1</v>
      </c>
      <c r="E951">
        <f t="shared" si="14"/>
        <v>7.3386127363039581E-5</v>
      </c>
    </row>
    <row r="952" spans="1:5" x14ac:dyDescent="0.25">
      <c r="A952">
        <v>0</v>
      </c>
      <c r="B952">
        <v>44</v>
      </c>
      <c r="C952">
        <v>4</v>
      </c>
      <c r="D952">
        <v>0</v>
      </c>
      <c r="E952">
        <f t="shared" si="14"/>
        <v>4.5499398965084534E-5</v>
      </c>
    </row>
    <row r="953" spans="1:5" x14ac:dyDescent="0.25">
      <c r="A953">
        <v>0</v>
      </c>
      <c r="B953">
        <v>45</v>
      </c>
      <c r="C953">
        <v>0</v>
      </c>
      <c r="D953">
        <v>3</v>
      </c>
      <c r="E953">
        <f t="shared" si="14"/>
        <v>8.4153607588670755E-7</v>
      </c>
    </row>
    <row r="954" spans="1:5" x14ac:dyDescent="0.25">
      <c r="A954">
        <v>0</v>
      </c>
      <c r="B954">
        <v>45</v>
      </c>
      <c r="C954">
        <v>1</v>
      </c>
      <c r="D954">
        <v>2</v>
      </c>
      <c r="E954">
        <f t="shared" si="14"/>
        <v>7.1347623825177379E-6</v>
      </c>
    </row>
    <row r="955" spans="1:5" x14ac:dyDescent="0.25">
      <c r="A955">
        <v>0</v>
      </c>
      <c r="B955">
        <v>45</v>
      </c>
      <c r="C955">
        <v>2</v>
      </c>
      <c r="D955">
        <v>1</v>
      </c>
      <c r="E955">
        <f t="shared" si="14"/>
        <v>1.9026033020047302E-5</v>
      </c>
    </row>
    <row r="956" spans="1:5" x14ac:dyDescent="0.25">
      <c r="A956">
        <v>0</v>
      </c>
      <c r="B956">
        <v>45</v>
      </c>
      <c r="C956">
        <v>3</v>
      </c>
      <c r="D956">
        <v>0</v>
      </c>
      <c r="E956">
        <f t="shared" si="14"/>
        <v>1.5981867736839734E-5</v>
      </c>
    </row>
    <row r="957" spans="1:5" x14ac:dyDescent="0.25">
      <c r="A957">
        <v>0</v>
      </c>
      <c r="B957">
        <v>46</v>
      </c>
      <c r="C957">
        <v>0</v>
      </c>
      <c r="D957">
        <v>2</v>
      </c>
      <c r="E957">
        <f t="shared" si="14"/>
        <v>5.8223478974392246E-7</v>
      </c>
    </row>
    <row r="958" spans="1:5" x14ac:dyDescent="0.25">
      <c r="A958">
        <v>0</v>
      </c>
      <c r="B958">
        <v>46</v>
      </c>
      <c r="C958">
        <v>1</v>
      </c>
      <c r="D958">
        <v>1</v>
      </c>
      <c r="E958">
        <f t="shared" si="14"/>
        <v>3.1537717777795797E-6</v>
      </c>
    </row>
    <row r="959" spans="1:5" x14ac:dyDescent="0.25">
      <c r="A959">
        <v>0</v>
      </c>
      <c r="B959">
        <v>46</v>
      </c>
      <c r="C959">
        <v>2</v>
      </c>
      <c r="D959">
        <v>0</v>
      </c>
      <c r="E959">
        <f t="shared" si="14"/>
        <v>4.0368278755578623E-6</v>
      </c>
    </row>
    <row r="960" spans="1:5" x14ac:dyDescent="0.25">
      <c r="A960">
        <v>0</v>
      </c>
      <c r="B960">
        <v>47</v>
      </c>
      <c r="C960">
        <v>0</v>
      </c>
      <c r="D960">
        <v>1</v>
      </c>
      <c r="E960">
        <f t="shared" si="14"/>
        <v>2.5085647855988157E-7</v>
      </c>
    </row>
    <row r="961" spans="1:5" x14ac:dyDescent="0.25">
      <c r="A961">
        <v>0</v>
      </c>
      <c r="B961">
        <v>47</v>
      </c>
      <c r="C961">
        <v>1</v>
      </c>
      <c r="D961">
        <v>0</v>
      </c>
      <c r="E961">
        <f t="shared" si="14"/>
        <v>6.5222684425569209E-7</v>
      </c>
    </row>
    <row r="962" spans="1:5" x14ac:dyDescent="0.25">
      <c r="A962">
        <v>0</v>
      </c>
      <c r="B962">
        <v>48</v>
      </c>
      <c r="C962">
        <v>0</v>
      </c>
      <c r="D962">
        <v>0</v>
      </c>
      <c r="E962">
        <f t="shared" si="14"/>
        <v>5.0589389842909404E-8</v>
      </c>
    </row>
    <row r="963" spans="1:5" x14ac:dyDescent="0.25">
      <c r="A963">
        <v>1</v>
      </c>
      <c r="B963">
        <v>0</v>
      </c>
      <c r="C963">
        <v>22</v>
      </c>
      <c r="D963">
        <v>25</v>
      </c>
      <c r="E963">
        <f t="shared" si="14"/>
        <v>7.5501380405154859E-45</v>
      </c>
    </row>
    <row r="964" spans="1:5" x14ac:dyDescent="0.25">
      <c r="A964">
        <v>1</v>
      </c>
      <c r="B964">
        <v>0</v>
      </c>
      <c r="C964">
        <v>23</v>
      </c>
      <c r="D964">
        <v>24</v>
      </c>
      <c r="E964">
        <f t="shared" si="14"/>
        <v>3.5288688667626723E-43</v>
      </c>
    </row>
    <row r="965" spans="1:5" x14ac:dyDescent="0.25">
      <c r="A965">
        <v>1</v>
      </c>
      <c r="B965">
        <v>0</v>
      </c>
      <c r="C965">
        <v>24</v>
      </c>
      <c r="D965">
        <v>23</v>
      </c>
      <c r="E965">
        <f t="shared" si="14"/>
        <v>7.4106246202016106E-42</v>
      </c>
    </row>
    <row r="966" spans="1:5" x14ac:dyDescent="0.25">
      <c r="A966">
        <v>1</v>
      </c>
      <c r="B966">
        <v>0</v>
      </c>
      <c r="C966">
        <v>25</v>
      </c>
      <c r="D966">
        <v>22</v>
      </c>
      <c r="E966">
        <f t="shared" si="14"/>
        <v>9.3176253558001628E-41</v>
      </c>
    </row>
    <row r="967" spans="1:5" x14ac:dyDescent="0.25">
      <c r="A967">
        <v>1</v>
      </c>
      <c r="B967">
        <v>0</v>
      </c>
      <c r="C967">
        <v>26</v>
      </c>
      <c r="D967">
        <v>21</v>
      </c>
      <c r="E967">
        <f t="shared" si="14"/>
        <v>7.8841445318309031E-40</v>
      </c>
    </row>
    <row r="968" spans="1:5" x14ac:dyDescent="0.25">
      <c r="A968">
        <v>1</v>
      </c>
      <c r="B968">
        <v>0</v>
      </c>
      <c r="C968">
        <v>27</v>
      </c>
      <c r="D968">
        <v>20</v>
      </c>
      <c r="E968">
        <f t="shared" si="14"/>
        <v>4.7830476826440802E-39</v>
      </c>
    </row>
    <row r="969" spans="1:5" x14ac:dyDescent="0.25">
      <c r="A969">
        <v>1</v>
      </c>
      <c r="B969">
        <v>0</v>
      </c>
      <c r="C969">
        <v>28</v>
      </c>
      <c r="D969">
        <v>19</v>
      </c>
      <c r="E969">
        <f t="shared" si="14"/>
        <v>2.1637596659580367E-38</v>
      </c>
    </row>
    <row r="970" spans="1:5" x14ac:dyDescent="0.25">
      <c r="A970">
        <v>1</v>
      </c>
      <c r="B970">
        <v>0</v>
      </c>
      <c r="C970">
        <v>29</v>
      </c>
      <c r="D970">
        <v>18</v>
      </c>
      <c r="E970">
        <f t="shared" si="14"/>
        <v>7.4932169712734019E-38</v>
      </c>
    </row>
    <row r="971" spans="1:5" x14ac:dyDescent="0.25">
      <c r="A971">
        <v>1</v>
      </c>
      <c r="B971">
        <v>0</v>
      </c>
      <c r="C971">
        <v>30</v>
      </c>
      <c r="D971">
        <v>17</v>
      </c>
      <c r="E971">
        <f t="shared" si="14"/>
        <v>2.0231685822438174E-37</v>
      </c>
    </row>
    <row r="972" spans="1:5" x14ac:dyDescent="0.25">
      <c r="A972">
        <v>1</v>
      </c>
      <c r="B972">
        <v>0</v>
      </c>
      <c r="C972">
        <v>31</v>
      </c>
      <c r="D972">
        <v>16</v>
      </c>
      <c r="E972">
        <f t="shared" si="14"/>
        <v>4.3146426753945226E-37</v>
      </c>
    </row>
    <row r="973" spans="1:5" x14ac:dyDescent="0.25">
      <c r="A973">
        <v>1</v>
      </c>
      <c r="B973">
        <v>0</v>
      </c>
      <c r="C973">
        <v>32</v>
      </c>
      <c r="D973">
        <v>15</v>
      </c>
      <c r="E973">
        <f t="shared" si="14"/>
        <v>7.3348925481706853E-37</v>
      </c>
    </row>
    <row r="974" spans="1:5" x14ac:dyDescent="0.25">
      <c r="A974">
        <v>1</v>
      </c>
      <c r="B974">
        <v>0</v>
      </c>
      <c r="C974">
        <v>33</v>
      </c>
      <c r="D974">
        <v>14</v>
      </c>
      <c r="E974">
        <f t="shared" ref="E974:E1037" si="15">COMBIN(A$4,A974)*COMBIN(B$4,B974)*COMBIN(C$4,C974)*COMBIN(D$4,D974)/COMBIN($G$4,$F$4)</f>
        <v>1.0002126202050936E-36</v>
      </c>
    </row>
    <row r="975" spans="1:5" x14ac:dyDescent="0.25">
      <c r="A975">
        <v>1</v>
      </c>
      <c r="B975">
        <v>0</v>
      </c>
      <c r="C975">
        <v>34</v>
      </c>
      <c r="D975">
        <v>13</v>
      </c>
      <c r="E975">
        <f t="shared" si="15"/>
        <v>1.0982726810095149E-36</v>
      </c>
    </row>
    <row r="976" spans="1:5" x14ac:dyDescent="0.25">
      <c r="A976">
        <v>1</v>
      </c>
      <c r="B976">
        <v>0</v>
      </c>
      <c r="C976">
        <v>35</v>
      </c>
      <c r="D976">
        <v>12</v>
      </c>
      <c r="E976">
        <f t="shared" si="15"/>
        <v>9.7275580317985599E-37</v>
      </c>
    </row>
    <row r="977" spans="1:5" x14ac:dyDescent="0.25">
      <c r="A977">
        <v>1</v>
      </c>
      <c r="B977">
        <v>0</v>
      </c>
      <c r="C977">
        <v>36</v>
      </c>
      <c r="D977">
        <v>11</v>
      </c>
      <c r="E977">
        <f t="shared" si="15"/>
        <v>6.9482557369989702E-37</v>
      </c>
    </row>
    <row r="978" spans="1:5" x14ac:dyDescent="0.25">
      <c r="A978">
        <v>1</v>
      </c>
      <c r="B978">
        <v>0</v>
      </c>
      <c r="C978">
        <v>37</v>
      </c>
      <c r="D978">
        <v>10</v>
      </c>
      <c r="E978">
        <f t="shared" si="15"/>
        <v>3.9936821263111184E-37</v>
      </c>
    </row>
    <row r="979" spans="1:5" x14ac:dyDescent="0.25">
      <c r="A979">
        <v>1</v>
      </c>
      <c r="B979">
        <v>0</v>
      </c>
      <c r="C979">
        <v>38</v>
      </c>
      <c r="D979">
        <v>9</v>
      </c>
      <c r="E979">
        <f t="shared" si="15"/>
        <v>1.839195716064331E-37</v>
      </c>
    </row>
    <row r="980" spans="1:5" x14ac:dyDescent="0.25">
      <c r="A980">
        <v>1</v>
      </c>
      <c r="B980">
        <v>0</v>
      </c>
      <c r="C980">
        <v>39</v>
      </c>
      <c r="D980">
        <v>8</v>
      </c>
      <c r="E980">
        <f t="shared" si="15"/>
        <v>6.7409435747154219E-38</v>
      </c>
    </row>
    <row r="981" spans="1:5" x14ac:dyDescent="0.25">
      <c r="A981">
        <v>1</v>
      </c>
      <c r="B981">
        <v>0</v>
      </c>
      <c r="C981">
        <v>40</v>
      </c>
      <c r="D981">
        <v>7</v>
      </c>
      <c r="E981">
        <f t="shared" si="15"/>
        <v>1.9473836993622346E-38</v>
      </c>
    </row>
    <row r="982" spans="1:5" x14ac:dyDescent="0.25">
      <c r="A982">
        <v>1</v>
      </c>
      <c r="B982">
        <v>0</v>
      </c>
      <c r="C982">
        <v>41</v>
      </c>
      <c r="D982">
        <v>6</v>
      </c>
      <c r="E982">
        <f t="shared" si="15"/>
        <v>4.3747387341256846E-39</v>
      </c>
    </row>
    <row r="983" spans="1:5" x14ac:dyDescent="0.25">
      <c r="A983">
        <v>1</v>
      </c>
      <c r="B983">
        <v>0</v>
      </c>
      <c r="C983">
        <v>42</v>
      </c>
      <c r="D983">
        <v>5</v>
      </c>
      <c r="E983">
        <f t="shared" si="15"/>
        <v>7.4995521156440308E-40</v>
      </c>
    </row>
    <row r="984" spans="1:5" x14ac:dyDescent="0.25">
      <c r="A984">
        <v>1</v>
      </c>
      <c r="B984">
        <v>0</v>
      </c>
      <c r="C984">
        <v>43</v>
      </c>
      <c r="D984">
        <v>4</v>
      </c>
      <c r="E984">
        <f t="shared" si="15"/>
        <v>9.550924621252092E-41</v>
      </c>
    </row>
    <row r="985" spans="1:5" x14ac:dyDescent="0.25">
      <c r="A985">
        <v>1</v>
      </c>
      <c r="B985">
        <v>0</v>
      </c>
      <c r="C985">
        <v>44</v>
      </c>
      <c r="D985">
        <v>3</v>
      </c>
      <c r="E985">
        <f t="shared" si="15"/>
        <v>8.6826587465928039E-42</v>
      </c>
    </row>
    <row r="986" spans="1:5" x14ac:dyDescent="0.25">
      <c r="A986">
        <v>1</v>
      </c>
      <c r="B986">
        <v>0</v>
      </c>
      <c r="C986">
        <v>45</v>
      </c>
      <c r="D986">
        <v>2</v>
      </c>
      <c r="E986">
        <f t="shared" si="15"/>
        <v>5.2850966283608441E-43</v>
      </c>
    </row>
    <row r="987" spans="1:5" x14ac:dyDescent="0.25">
      <c r="A987">
        <v>1</v>
      </c>
      <c r="B987">
        <v>0</v>
      </c>
      <c r="C987">
        <v>46</v>
      </c>
      <c r="D987">
        <v>1</v>
      </c>
      <c r="E987">
        <f t="shared" si="15"/>
        <v>1.9148900827394344E-44</v>
      </c>
    </row>
    <row r="988" spans="1:5" x14ac:dyDescent="0.25">
      <c r="A988">
        <v>1</v>
      </c>
      <c r="B988">
        <v>0</v>
      </c>
      <c r="C988">
        <v>47</v>
      </c>
      <c r="D988">
        <v>0</v>
      </c>
      <c r="E988">
        <f t="shared" si="15"/>
        <v>3.0964180061318502E-46</v>
      </c>
    </row>
    <row r="989" spans="1:5" x14ac:dyDescent="0.25">
      <c r="A989">
        <v>1</v>
      </c>
      <c r="B989">
        <v>1</v>
      </c>
      <c r="C989">
        <v>21</v>
      </c>
      <c r="D989">
        <v>25</v>
      </c>
      <c r="E989">
        <f t="shared" si="15"/>
        <v>1.0909949468544872E-42</v>
      </c>
    </row>
    <row r="990" spans="1:5" x14ac:dyDescent="0.25">
      <c r="A990">
        <v>1</v>
      </c>
      <c r="B990">
        <v>1</v>
      </c>
      <c r="C990">
        <v>22</v>
      </c>
      <c r="D990">
        <v>24</v>
      </c>
      <c r="E990">
        <f t="shared" si="15"/>
        <v>5.4549747342724392E-41</v>
      </c>
    </row>
    <row r="991" spans="1:5" x14ac:dyDescent="0.25">
      <c r="A991">
        <v>1</v>
      </c>
      <c r="B991">
        <v>1</v>
      </c>
      <c r="C991">
        <v>23</v>
      </c>
      <c r="D991">
        <v>23</v>
      </c>
      <c r="E991">
        <f t="shared" si="15"/>
        <v>1.2238117229932947E-39</v>
      </c>
    </row>
    <row r="992" spans="1:5" x14ac:dyDescent="0.25">
      <c r="A992">
        <v>1</v>
      </c>
      <c r="B992">
        <v>1</v>
      </c>
      <c r="C992">
        <v>24</v>
      </c>
      <c r="D992">
        <v>22</v>
      </c>
      <c r="E992">
        <f t="shared" si="15"/>
        <v>1.6419473950160035E-38</v>
      </c>
    </row>
    <row r="993" spans="1:5" x14ac:dyDescent="0.25">
      <c r="A993">
        <v>1</v>
      </c>
      <c r="B993">
        <v>1</v>
      </c>
      <c r="C993">
        <v>25</v>
      </c>
      <c r="D993">
        <v>21</v>
      </c>
      <c r="E993">
        <f t="shared" si="15"/>
        <v>1.481036550304436E-37</v>
      </c>
    </row>
    <row r="994" spans="1:5" x14ac:dyDescent="0.25">
      <c r="A994">
        <v>1</v>
      </c>
      <c r="B994">
        <v>1</v>
      </c>
      <c r="C994">
        <v>26</v>
      </c>
      <c r="D994">
        <v>20</v>
      </c>
      <c r="E994">
        <f t="shared" si="15"/>
        <v>9.5697746327363472E-37</v>
      </c>
    </row>
    <row r="995" spans="1:5" x14ac:dyDescent="0.25">
      <c r="A995">
        <v>1</v>
      </c>
      <c r="B995">
        <v>1</v>
      </c>
      <c r="C995">
        <v>27</v>
      </c>
      <c r="D995">
        <v>19</v>
      </c>
      <c r="E995">
        <f t="shared" si="15"/>
        <v>4.6076692676137971E-36</v>
      </c>
    </row>
    <row r="996" spans="1:5" x14ac:dyDescent="0.25">
      <c r="A996">
        <v>1</v>
      </c>
      <c r="B996">
        <v>1</v>
      </c>
      <c r="C996">
        <v>28</v>
      </c>
      <c r="D996">
        <v>18</v>
      </c>
      <c r="E996">
        <f t="shared" si="15"/>
        <v>1.6973149036822263E-35</v>
      </c>
    </row>
    <row r="997" spans="1:5" x14ac:dyDescent="0.25">
      <c r="A997">
        <v>1</v>
      </c>
      <c r="B997">
        <v>1</v>
      </c>
      <c r="C997">
        <v>29</v>
      </c>
      <c r="D997">
        <v>17</v>
      </c>
      <c r="E997">
        <f t="shared" si="15"/>
        <v>4.8724643355705288E-35</v>
      </c>
    </row>
    <row r="998" spans="1:5" x14ac:dyDescent="0.25">
      <c r="A998">
        <v>1</v>
      </c>
      <c r="B998">
        <v>1</v>
      </c>
      <c r="C998">
        <v>30</v>
      </c>
      <c r="D998">
        <v>16</v>
      </c>
      <c r="E998">
        <f t="shared" si="15"/>
        <v>1.1044252493959862E-34</v>
      </c>
    </row>
    <row r="999" spans="1:5" x14ac:dyDescent="0.25">
      <c r="A999">
        <v>1</v>
      </c>
      <c r="B999">
        <v>1</v>
      </c>
      <c r="C999">
        <v>31</v>
      </c>
      <c r="D999">
        <v>15</v>
      </c>
      <c r="E999">
        <f t="shared" si="15"/>
        <v>1.9950907731024264E-34</v>
      </c>
    </row>
    <row r="1000" spans="1:5" x14ac:dyDescent="0.25">
      <c r="A1000">
        <v>1</v>
      </c>
      <c r="B1000">
        <v>1</v>
      </c>
      <c r="C1000">
        <v>32</v>
      </c>
      <c r="D1000">
        <v>14</v>
      </c>
      <c r="E1000">
        <f t="shared" si="15"/>
        <v>2.8906144723927204E-34</v>
      </c>
    </row>
    <row r="1001" spans="1:5" x14ac:dyDescent="0.25">
      <c r="A1001">
        <v>1</v>
      </c>
      <c r="B1001">
        <v>1</v>
      </c>
      <c r="C1001">
        <v>33</v>
      </c>
      <c r="D1001">
        <v>13</v>
      </c>
      <c r="E1001">
        <f t="shared" si="15"/>
        <v>3.3723835511248411E-34</v>
      </c>
    </row>
    <row r="1002" spans="1:5" x14ac:dyDescent="0.25">
      <c r="A1002">
        <v>1</v>
      </c>
      <c r="B1002">
        <v>1</v>
      </c>
      <c r="C1002">
        <v>34</v>
      </c>
      <c r="D1002">
        <v>12</v>
      </c>
      <c r="E1002">
        <f t="shared" si="15"/>
        <v>3.1740080481174977E-34</v>
      </c>
    </row>
    <row r="1003" spans="1:5" x14ac:dyDescent="0.25">
      <c r="A1003">
        <v>1</v>
      </c>
      <c r="B1003">
        <v>1</v>
      </c>
      <c r="C1003">
        <v>35</v>
      </c>
      <c r="D1003">
        <v>11</v>
      </c>
      <c r="E1003">
        <f t="shared" si="15"/>
        <v>2.4096550895912429E-34</v>
      </c>
    </row>
    <row r="1004" spans="1:5" x14ac:dyDescent="0.25">
      <c r="A1004">
        <v>1</v>
      </c>
      <c r="B1004">
        <v>1</v>
      </c>
      <c r="C1004">
        <v>36</v>
      </c>
      <c r="D1004">
        <v>10</v>
      </c>
      <c r="E1004">
        <f t="shared" si="15"/>
        <v>1.4725669991946485E-34</v>
      </c>
    </row>
    <row r="1005" spans="1:5" x14ac:dyDescent="0.25">
      <c r="A1005">
        <v>1</v>
      </c>
      <c r="B1005">
        <v>1</v>
      </c>
      <c r="C1005">
        <v>37</v>
      </c>
      <c r="D1005">
        <v>9</v>
      </c>
      <c r="E1005">
        <f t="shared" si="15"/>
        <v>7.21358834064946E-35</v>
      </c>
    </row>
    <row r="1006" spans="1:5" x14ac:dyDescent="0.25">
      <c r="A1006">
        <v>1</v>
      </c>
      <c r="B1006">
        <v>1</v>
      </c>
      <c r="C1006">
        <v>38</v>
      </c>
      <c r="D1006">
        <v>8</v>
      </c>
      <c r="E1006">
        <f t="shared" si="15"/>
        <v>2.8139694455784268E-35</v>
      </c>
    </row>
    <row r="1007" spans="1:5" x14ac:dyDescent="0.25">
      <c r="A1007">
        <v>1</v>
      </c>
      <c r="B1007">
        <v>1</v>
      </c>
      <c r="C1007">
        <v>39</v>
      </c>
      <c r="D1007">
        <v>7</v>
      </c>
      <c r="E1007">
        <f t="shared" si="15"/>
        <v>8.6583675248566979E-36</v>
      </c>
    </row>
    <row r="1008" spans="1:5" x14ac:dyDescent="0.25">
      <c r="A1008">
        <v>1</v>
      </c>
      <c r="B1008">
        <v>1</v>
      </c>
      <c r="C1008">
        <v>40</v>
      </c>
      <c r="D1008">
        <v>6</v>
      </c>
      <c r="E1008">
        <f t="shared" si="15"/>
        <v>2.07345117042621E-36</v>
      </c>
    </row>
    <row r="1009" spans="1:5" x14ac:dyDescent="0.25">
      <c r="A1009">
        <v>1</v>
      </c>
      <c r="B1009">
        <v>1</v>
      </c>
      <c r="C1009">
        <v>41</v>
      </c>
      <c r="D1009">
        <v>5</v>
      </c>
      <c r="E1009">
        <f t="shared" si="15"/>
        <v>3.7928984824869681E-37</v>
      </c>
    </row>
    <row r="1010" spans="1:5" x14ac:dyDescent="0.25">
      <c r="A1010">
        <v>1</v>
      </c>
      <c r="B1010">
        <v>1</v>
      </c>
      <c r="C1010">
        <v>42</v>
      </c>
      <c r="D1010">
        <v>4</v>
      </c>
      <c r="E1010">
        <f t="shared" si="15"/>
        <v>5.1604060986217267E-38</v>
      </c>
    </row>
    <row r="1011" spans="1:5" x14ac:dyDescent="0.25">
      <c r="A1011">
        <v>1</v>
      </c>
      <c r="B1011">
        <v>1</v>
      </c>
      <c r="C1011">
        <v>43</v>
      </c>
      <c r="D1011">
        <v>3</v>
      </c>
      <c r="E1011">
        <f t="shared" si="15"/>
        <v>5.0185767555306447E-39</v>
      </c>
    </row>
    <row r="1012" spans="1:5" x14ac:dyDescent="0.25">
      <c r="A1012">
        <v>1</v>
      </c>
      <c r="B1012">
        <v>1</v>
      </c>
      <c r="C1012">
        <v>44</v>
      </c>
      <c r="D1012">
        <v>2</v>
      </c>
      <c r="E1012">
        <f t="shared" si="15"/>
        <v>3.2729848405634615E-40</v>
      </c>
    </row>
    <row r="1013" spans="1:5" x14ac:dyDescent="0.25">
      <c r="A1013">
        <v>1</v>
      </c>
      <c r="B1013">
        <v>1</v>
      </c>
      <c r="C1013">
        <v>45</v>
      </c>
      <c r="D1013">
        <v>1</v>
      </c>
      <c r="E1013">
        <f t="shared" si="15"/>
        <v>1.2728274379969032E-41</v>
      </c>
    </row>
    <row r="1014" spans="1:5" x14ac:dyDescent="0.25">
      <c r="A1014">
        <v>1</v>
      </c>
      <c r="B1014">
        <v>1</v>
      </c>
      <c r="C1014">
        <v>46</v>
      </c>
      <c r="D1014">
        <v>0</v>
      </c>
      <c r="E1014">
        <f t="shared" si="15"/>
        <v>2.2136129356467864E-43</v>
      </c>
    </row>
    <row r="1015" spans="1:5" x14ac:dyDescent="0.25">
      <c r="A1015">
        <v>1</v>
      </c>
      <c r="B1015">
        <v>2</v>
      </c>
      <c r="C1015">
        <v>20</v>
      </c>
      <c r="D1015">
        <v>25</v>
      </c>
      <c r="E1015">
        <f t="shared" si="15"/>
        <v>7.3314860428621619E-41</v>
      </c>
    </row>
    <row r="1016" spans="1:5" x14ac:dyDescent="0.25">
      <c r="A1016">
        <v>1</v>
      </c>
      <c r="B1016">
        <v>2</v>
      </c>
      <c r="C1016">
        <v>21</v>
      </c>
      <c r="D1016">
        <v>24</v>
      </c>
      <c r="E1016">
        <f t="shared" si="15"/>
        <v>3.9275818086761542E-39</v>
      </c>
    </row>
    <row r="1017" spans="1:5" x14ac:dyDescent="0.25">
      <c r="A1017">
        <v>1</v>
      </c>
      <c r="B1017">
        <v>2</v>
      </c>
      <c r="C1017">
        <v>22</v>
      </c>
      <c r="D1017">
        <v>23</v>
      </c>
      <c r="E1017">
        <f t="shared" si="15"/>
        <v>9.4261963408227749E-38</v>
      </c>
    </row>
    <row r="1018" spans="1:5" x14ac:dyDescent="0.25">
      <c r="A1018">
        <v>1</v>
      </c>
      <c r="B1018">
        <v>2</v>
      </c>
      <c r="C1018">
        <v>23</v>
      </c>
      <c r="D1018">
        <v>22</v>
      </c>
      <c r="E1018">
        <f t="shared" si="15"/>
        <v>1.3510881421845975E-36</v>
      </c>
    </row>
    <row r="1019" spans="1:5" x14ac:dyDescent="0.25">
      <c r="A1019">
        <v>1</v>
      </c>
      <c r="B1019">
        <v>2</v>
      </c>
      <c r="C1019">
        <v>24</v>
      </c>
      <c r="D1019">
        <v>21</v>
      </c>
      <c r="E1019">
        <f t="shared" si="15"/>
        <v>1.3004223368526751E-35</v>
      </c>
    </row>
    <row r="1020" spans="1:5" x14ac:dyDescent="0.25">
      <c r="A1020">
        <v>1</v>
      </c>
      <c r="B1020">
        <v>2</v>
      </c>
      <c r="C1020">
        <v>25</v>
      </c>
      <c r="D1020">
        <v>20</v>
      </c>
      <c r="E1020">
        <f t="shared" si="15"/>
        <v>8.9573090562412271E-35</v>
      </c>
    </row>
    <row r="1021" spans="1:5" x14ac:dyDescent="0.25">
      <c r="A1021">
        <v>1</v>
      </c>
      <c r="B1021">
        <v>2</v>
      </c>
      <c r="C1021">
        <v>26</v>
      </c>
      <c r="D1021">
        <v>19</v>
      </c>
      <c r="E1021">
        <f t="shared" si="15"/>
        <v>4.5934918237134466E-34</v>
      </c>
    </row>
    <row r="1022" spans="1:5" x14ac:dyDescent="0.25">
      <c r="A1022">
        <v>1</v>
      </c>
      <c r="B1022">
        <v>2</v>
      </c>
      <c r="C1022">
        <v>27</v>
      </c>
      <c r="D1022">
        <v>18</v>
      </c>
      <c r="E1022">
        <f t="shared" si="15"/>
        <v>1.8009404451701935E-33</v>
      </c>
    </row>
    <row r="1023" spans="1:5" x14ac:dyDescent="0.25">
      <c r="A1023">
        <v>1</v>
      </c>
      <c r="B1023">
        <v>2</v>
      </c>
      <c r="C1023">
        <v>28</v>
      </c>
      <c r="D1023">
        <v>17</v>
      </c>
      <c r="E1023">
        <f t="shared" si="15"/>
        <v>5.4993002879304113E-33</v>
      </c>
    </row>
    <row r="1024" spans="1:5" x14ac:dyDescent="0.25">
      <c r="A1024">
        <v>1</v>
      </c>
      <c r="B1024">
        <v>2</v>
      </c>
      <c r="C1024">
        <v>29</v>
      </c>
      <c r="D1024">
        <v>16</v>
      </c>
      <c r="E1024">
        <f t="shared" si="15"/>
        <v>1.3253102992751837E-32</v>
      </c>
    </row>
    <row r="1025" spans="1:5" x14ac:dyDescent="0.25">
      <c r="A1025">
        <v>1</v>
      </c>
      <c r="B1025">
        <v>2</v>
      </c>
      <c r="C1025">
        <v>30</v>
      </c>
      <c r="D1025">
        <v>15</v>
      </c>
      <c r="E1025">
        <f t="shared" si="15"/>
        <v>2.5445957746083517E-32</v>
      </c>
    </row>
    <row r="1026" spans="1:5" x14ac:dyDescent="0.25">
      <c r="A1026">
        <v>1</v>
      </c>
      <c r="B1026">
        <v>2</v>
      </c>
      <c r="C1026">
        <v>31</v>
      </c>
      <c r="D1026">
        <v>14</v>
      </c>
      <c r="E1026">
        <f t="shared" si="15"/>
        <v>3.9176327908193104E-32</v>
      </c>
    </row>
    <row r="1027" spans="1:5" x14ac:dyDescent="0.25">
      <c r="A1027">
        <v>1</v>
      </c>
      <c r="B1027">
        <v>2</v>
      </c>
      <c r="C1027">
        <v>32</v>
      </c>
      <c r="D1027">
        <v>13</v>
      </c>
      <c r="E1027">
        <f t="shared" si="15"/>
        <v>4.8562323136197706E-32</v>
      </c>
    </row>
    <row r="1028" spans="1:5" x14ac:dyDescent="0.25">
      <c r="A1028">
        <v>1</v>
      </c>
      <c r="B1028">
        <v>2</v>
      </c>
      <c r="C1028">
        <v>33</v>
      </c>
      <c r="D1028">
        <v>12</v>
      </c>
      <c r="E1028">
        <f t="shared" si="15"/>
        <v>4.8562323136197706E-32</v>
      </c>
    </row>
    <row r="1029" spans="1:5" x14ac:dyDescent="0.25">
      <c r="A1029">
        <v>1</v>
      </c>
      <c r="B1029">
        <v>2</v>
      </c>
      <c r="C1029">
        <v>34</v>
      </c>
      <c r="D1029">
        <v>11</v>
      </c>
      <c r="E1029">
        <f t="shared" si="15"/>
        <v>3.9176327908193104E-32</v>
      </c>
    </row>
    <row r="1030" spans="1:5" x14ac:dyDescent="0.25">
      <c r="A1030">
        <v>1</v>
      </c>
      <c r="B1030">
        <v>2</v>
      </c>
      <c r="C1030">
        <v>35</v>
      </c>
      <c r="D1030">
        <v>10</v>
      </c>
      <c r="E1030">
        <f t="shared" si="15"/>
        <v>2.5445957746083517E-32</v>
      </c>
    </row>
    <row r="1031" spans="1:5" x14ac:dyDescent="0.25">
      <c r="A1031">
        <v>1</v>
      </c>
      <c r="B1031">
        <v>2</v>
      </c>
      <c r="C1031">
        <v>36</v>
      </c>
      <c r="D1031">
        <v>9</v>
      </c>
      <c r="E1031">
        <f t="shared" si="15"/>
        <v>1.3253102992751837E-32</v>
      </c>
    </row>
    <row r="1032" spans="1:5" x14ac:dyDescent="0.25">
      <c r="A1032">
        <v>1</v>
      </c>
      <c r="B1032">
        <v>2</v>
      </c>
      <c r="C1032">
        <v>37</v>
      </c>
      <c r="D1032">
        <v>8</v>
      </c>
      <c r="E1032">
        <f t="shared" si="15"/>
        <v>5.4993002879304113E-33</v>
      </c>
    </row>
    <row r="1033" spans="1:5" x14ac:dyDescent="0.25">
      <c r="A1033">
        <v>1</v>
      </c>
      <c r="B1033">
        <v>2</v>
      </c>
      <c r="C1033">
        <v>38</v>
      </c>
      <c r="D1033">
        <v>7</v>
      </c>
      <c r="E1033">
        <f t="shared" si="15"/>
        <v>1.8009404451701935E-33</v>
      </c>
    </row>
    <row r="1034" spans="1:5" x14ac:dyDescent="0.25">
      <c r="A1034">
        <v>1</v>
      </c>
      <c r="B1034">
        <v>2</v>
      </c>
      <c r="C1034">
        <v>39</v>
      </c>
      <c r="D1034">
        <v>6</v>
      </c>
      <c r="E1034">
        <f t="shared" si="15"/>
        <v>4.5934918237134466E-34</v>
      </c>
    </row>
    <row r="1035" spans="1:5" x14ac:dyDescent="0.25">
      <c r="A1035">
        <v>1</v>
      </c>
      <c r="B1035">
        <v>2</v>
      </c>
      <c r="C1035">
        <v>40</v>
      </c>
      <c r="D1035">
        <v>5</v>
      </c>
      <c r="E1035">
        <f t="shared" si="15"/>
        <v>8.9573090562412271E-35</v>
      </c>
    </row>
    <row r="1036" spans="1:5" x14ac:dyDescent="0.25">
      <c r="A1036">
        <v>1</v>
      </c>
      <c r="B1036">
        <v>2</v>
      </c>
      <c r="C1036">
        <v>41</v>
      </c>
      <c r="D1036">
        <v>4</v>
      </c>
      <c r="E1036">
        <f t="shared" si="15"/>
        <v>1.3004223368526751E-35</v>
      </c>
    </row>
    <row r="1037" spans="1:5" x14ac:dyDescent="0.25">
      <c r="A1037">
        <v>1</v>
      </c>
      <c r="B1037">
        <v>2</v>
      </c>
      <c r="C1037">
        <v>42</v>
      </c>
      <c r="D1037">
        <v>3</v>
      </c>
      <c r="E1037">
        <f t="shared" si="15"/>
        <v>1.3510881421845975E-36</v>
      </c>
    </row>
    <row r="1038" spans="1:5" x14ac:dyDescent="0.25">
      <c r="A1038">
        <v>1</v>
      </c>
      <c r="B1038">
        <v>2</v>
      </c>
      <c r="C1038">
        <v>43</v>
      </c>
      <c r="D1038">
        <v>2</v>
      </c>
      <c r="E1038">
        <f t="shared" ref="E1038:E1101" si="16">COMBIN(A$4,A1038)*COMBIN(B$4,B1038)*COMBIN(C$4,C1038)*COMBIN(D$4,D1038)/COMBIN($G$4,$F$4)</f>
        <v>9.4261963408227749E-38</v>
      </c>
    </row>
    <row r="1039" spans="1:5" x14ac:dyDescent="0.25">
      <c r="A1039">
        <v>1</v>
      </c>
      <c r="B1039">
        <v>2</v>
      </c>
      <c r="C1039">
        <v>44</v>
      </c>
      <c r="D1039">
        <v>1</v>
      </c>
      <c r="E1039">
        <f t="shared" si="16"/>
        <v>3.9275818086761542E-39</v>
      </c>
    </row>
    <row r="1040" spans="1:5" x14ac:dyDescent="0.25">
      <c r="A1040">
        <v>1</v>
      </c>
      <c r="B1040">
        <v>2</v>
      </c>
      <c r="C1040">
        <v>45</v>
      </c>
      <c r="D1040">
        <v>0</v>
      </c>
      <c r="E1040">
        <f t="shared" si="16"/>
        <v>7.3314860428621619E-41</v>
      </c>
    </row>
    <row r="1041" spans="1:5" x14ac:dyDescent="0.25">
      <c r="A1041">
        <v>1</v>
      </c>
      <c r="B1041">
        <v>3</v>
      </c>
      <c r="C1041">
        <v>19</v>
      </c>
      <c r="D1041">
        <v>25</v>
      </c>
      <c r="E1041">
        <f t="shared" si="16"/>
        <v>3.0494731801470131E-39</v>
      </c>
    </row>
    <row r="1042" spans="1:5" x14ac:dyDescent="0.25">
      <c r="A1042">
        <v>1</v>
      </c>
      <c r="B1042">
        <v>3</v>
      </c>
      <c r="C1042">
        <v>20</v>
      </c>
      <c r="D1042">
        <v>24</v>
      </c>
      <c r="E1042">
        <f t="shared" si="16"/>
        <v>1.7534470785845337E-37</v>
      </c>
    </row>
    <row r="1043" spans="1:5" x14ac:dyDescent="0.25">
      <c r="A1043">
        <v>1</v>
      </c>
      <c r="B1043">
        <v>3</v>
      </c>
      <c r="C1043">
        <v>21</v>
      </c>
      <c r="D1043">
        <v>23</v>
      </c>
      <c r="E1043">
        <f t="shared" si="16"/>
        <v>4.5088639163602244E-36</v>
      </c>
    </row>
    <row r="1044" spans="1:5" x14ac:dyDescent="0.25">
      <c r="A1044">
        <v>1</v>
      </c>
      <c r="B1044">
        <v>3</v>
      </c>
      <c r="C1044">
        <v>22</v>
      </c>
      <c r="D1044">
        <v>22</v>
      </c>
      <c r="E1044">
        <f t="shared" si="16"/>
        <v>6.9135913384190151E-35</v>
      </c>
    </row>
    <row r="1045" spans="1:5" x14ac:dyDescent="0.25">
      <c r="A1045">
        <v>1</v>
      </c>
      <c r="B1045">
        <v>3</v>
      </c>
      <c r="C1045">
        <v>23</v>
      </c>
      <c r="D1045">
        <v>21</v>
      </c>
      <c r="E1045">
        <f t="shared" si="16"/>
        <v>7.1089754414612909E-34</v>
      </c>
    </row>
    <row r="1046" spans="1:5" x14ac:dyDescent="0.25">
      <c r="A1046">
        <v>1</v>
      </c>
      <c r="B1046">
        <v>3</v>
      </c>
      <c r="C1046">
        <v>24</v>
      </c>
      <c r="D1046">
        <v>20</v>
      </c>
      <c r="E1046">
        <f t="shared" si="16"/>
        <v>5.2250969494740471E-33</v>
      </c>
    </row>
    <row r="1047" spans="1:5" x14ac:dyDescent="0.25">
      <c r="A1047">
        <v>1</v>
      </c>
      <c r="B1047">
        <v>3</v>
      </c>
      <c r="C1047">
        <v>25</v>
      </c>
      <c r="D1047">
        <v>19</v>
      </c>
      <c r="E1047">
        <f t="shared" si="16"/>
        <v>2.856386332379147E-32</v>
      </c>
    </row>
    <row r="1048" spans="1:5" x14ac:dyDescent="0.25">
      <c r="A1048">
        <v>1</v>
      </c>
      <c r="B1048">
        <v>3</v>
      </c>
      <c r="C1048">
        <v>26</v>
      </c>
      <c r="D1048">
        <v>18</v>
      </c>
      <c r="E1048">
        <f t="shared" si="16"/>
        <v>1.1927767102242586E-31</v>
      </c>
    </row>
    <row r="1049" spans="1:5" x14ac:dyDescent="0.25">
      <c r="A1049">
        <v>1</v>
      </c>
      <c r="B1049">
        <v>3</v>
      </c>
      <c r="C1049">
        <v>27</v>
      </c>
      <c r="D1049">
        <v>17</v>
      </c>
      <c r="E1049">
        <f t="shared" si="16"/>
        <v>3.8765243082288402E-31</v>
      </c>
    </row>
    <row r="1050" spans="1:5" x14ac:dyDescent="0.25">
      <c r="A1050">
        <v>1</v>
      </c>
      <c r="B1050">
        <v>3</v>
      </c>
      <c r="C1050">
        <v>28</v>
      </c>
      <c r="D1050">
        <v>16</v>
      </c>
      <c r="E1050">
        <f t="shared" si="16"/>
        <v>9.9374392980786961E-31</v>
      </c>
    </row>
    <row r="1051" spans="1:5" x14ac:dyDescent="0.25">
      <c r="A1051">
        <v>1</v>
      </c>
      <c r="B1051">
        <v>3</v>
      </c>
      <c r="C1051">
        <v>29</v>
      </c>
      <c r="D1051">
        <v>15</v>
      </c>
      <c r="E1051">
        <f t="shared" si="16"/>
        <v>2.0286082980905475E-30</v>
      </c>
    </row>
    <row r="1052" spans="1:5" x14ac:dyDescent="0.25">
      <c r="A1052">
        <v>1</v>
      </c>
      <c r="B1052">
        <v>3</v>
      </c>
      <c r="C1052">
        <v>30</v>
      </c>
      <c r="D1052">
        <v>14</v>
      </c>
      <c r="E1052">
        <f t="shared" si="16"/>
        <v>3.3195408514208957E-30</v>
      </c>
    </row>
    <row r="1053" spans="1:5" x14ac:dyDescent="0.25">
      <c r="A1053">
        <v>1</v>
      </c>
      <c r="B1053">
        <v>3</v>
      </c>
      <c r="C1053">
        <v>31</v>
      </c>
      <c r="D1053">
        <v>13</v>
      </c>
      <c r="E1053">
        <f t="shared" si="16"/>
        <v>4.3725134870866653E-30</v>
      </c>
    </row>
    <row r="1054" spans="1:5" x14ac:dyDescent="0.25">
      <c r="A1054">
        <v>1</v>
      </c>
      <c r="B1054">
        <v>3</v>
      </c>
      <c r="C1054">
        <v>32</v>
      </c>
      <c r="D1054">
        <v>12</v>
      </c>
      <c r="E1054">
        <f t="shared" si="16"/>
        <v>4.645795580029581E-30</v>
      </c>
    </row>
    <row r="1055" spans="1:5" x14ac:dyDescent="0.25">
      <c r="A1055">
        <v>1</v>
      </c>
      <c r="B1055">
        <v>3</v>
      </c>
      <c r="C1055">
        <v>33</v>
      </c>
      <c r="D1055">
        <v>11</v>
      </c>
      <c r="E1055">
        <f t="shared" si="16"/>
        <v>3.982110497168211E-30</v>
      </c>
    </row>
    <row r="1056" spans="1:5" x14ac:dyDescent="0.25">
      <c r="A1056">
        <v>1</v>
      </c>
      <c r="B1056">
        <v>3</v>
      </c>
      <c r="C1056">
        <v>34</v>
      </c>
      <c r="D1056">
        <v>10</v>
      </c>
      <c r="E1056">
        <f t="shared" si="16"/>
        <v>2.7484370490259029E-30</v>
      </c>
    </row>
    <row r="1057" spans="1:5" x14ac:dyDescent="0.25">
      <c r="A1057">
        <v>1</v>
      </c>
      <c r="B1057">
        <v>3</v>
      </c>
      <c r="C1057">
        <v>35</v>
      </c>
      <c r="D1057">
        <v>9</v>
      </c>
      <c r="E1057">
        <f t="shared" si="16"/>
        <v>1.5214562235679106E-30</v>
      </c>
    </row>
    <row r="1058" spans="1:5" x14ac:dyDescent="0.25">
      <c r="A1058">
        <v>1</v>
      </c>
      <c r="B1058">
        <v>3</v>
      </c>
      <c r="C1058">
        <v>36</v>
      </c>
      <c r="D1058">
        <v>8</v>
      </c>
      <c r="E1058">
        <f t="shared" si="16"/>
        <v>6.7123068686819599E-31</v>
      </c>
    </row>
    <row r="1059" spans="1:5" x14ac:dyDescent="0.25">
      <c r="A1059">
        <v>1</v>
      </c>
      <c r="B1059">
        <v>3</v>
      </c>
      <c r="C1059">
        <v>37</v>
      </c>
      <c r="D1059">
        <v>7</v>
      </c>
      <c r="E1059">
        <f t="shared" si="16"/>
        <v>2.338221011312635E-31</v>
      </c>
    </row>
    <row r="1060" spans="1:5" x14ac:dyDescent="0.25">
      <c r="A1060">
        <v>1</v>
      </c>
      <c r="B1060">
        <v>3</v>
      </c>
      <c r="C1060">
        <v>38</v>
      </c>
      <c r="D1060">
        <v>6</v>
      </c>
      <c r="E1060">
        <f t="shared" si="16"/>
        <v>6.3475251830647668E-32</v>
      </c>
    </row>
    <row r="1061" spans="1:5" x14ac:dyDescent="0.25">
      <c r="A1061">
        <v>1</v>
      </c>
      <c r="B1061">
        <v>3</v>
      </c>
      <c r="C1061">
        <v>39</v>
      </c>
      <c r="D1061">
        <v>5</v>
      </c>
      <c r="E1061">
        <f t="shared" si="16"/>
        <v>1.3183321534057591E-32</v>
      </c>
    </row>
    <row r="1062" spans="1:5" x14ac:dyDescent="0.25">
      <c r="A1062">
        <v>1</v>
      </c>
      <c r="B1062">
        <v>3</v>
      </c>
      <c r="C1062">
        <v>40</v>
      </c>
      <c r="D1062">
        <v>4</v>
      </c>
      <c r="E1062">
        <f t="shared" si="16"/>
        <v>2.0402759516993916E-33</v>
      </c>
    </row>
    <row r="1063" spans="1:5" x14ac:dyDescent="0.25">
      <c r="A1063">
        <v>1</v>
      </c>
      <c r="B1063">
        <v>3</v>
      </c>
      <c r="C1063">
        <v>41</v>
      </c>
      <c r="D1063">
        <v>3</v>
      </c>
      <c r="E1063">
        <f t="shared" si="16"/>
        <v>2.2619467313740466E-34</v>
      </c>
    </row>
    <row r="1064" spans="1:5" x14ac:dyDescent="0.25">
      <c r="A1064">
        <v>1</v>
      </c>
      <c r="B1064">
        <v>3</v>
      </c>
      <c r="C1064">
        <v>42</v>
      </c>
      <c r="D1064">
        <v>2</v>
      </c>
      <c r="E1064">
        <f t="shared" si="16"/>
        <v>1.6859230295955629E-35</v>
      </c>
    </row>
    <row r="1065" spans="1:5" x14ac:dyDescent="0.25">
      <c r="A1065">
        <v>1</v>
      </c>
      <c r="B1065">
        <v>3</v>
      </c>
      <c r="C1065">
        <v>43</v>
      </c>
      <c r="D1065">
        <v>1</v>
      </c>
      <c r="E1065">
        <f t="shared" si="16"/>
        <v>7.5147731939337124E-37</v>
      </c>
    </row>
    <row r="1066" spans="1:5" x14ac:dyDescent="0.25">
      <c r="A1066">
        <v>1</v>
      </c>
      <c r="B1066">
        <v>3</v>
      </c>
      <c r="C1066">
        <v>44</v>
      </c>
      <c r="D1066">
        <v>0</v>
      </c>
      <c r="E1066">
        <f t="shared" si="16"/>
        <v>1.5029546387867415E-38</v>
      </c>
    </row>
    <row r="1067" spans="1:5" x14ac:dyDescent="0.25">
      <c r="A1067">
        <v>1</v>
      </c>
      <c r="B1067">
        <v>4</v>
      </c>
      <c r="C1067">
        <v>18</v>
      </c>
      <c r="D1067">
        <v>25</v>
      </c>
      <c r="E1067">
        <f t="shared" si="16"/>
        <v>8.8142751387866281E-38</v>
      </c>
    </row>
    <row r="1068" spans="1:5" x14ac:dyDescent="0.25">
      <c r="A1068">
        <v>1</v>
      </c>
      <c r="B1068">
        <v>4</v>
      </c>
      <c r="C1068">
        <v>19</v>
      </c>
      <c r="D1068">
        <v>24</v>
      </c>
      <c r="E1068">
        <f t="shared" si="16"/>
        <v>5.4509333095127853E-36</v>
      </c>
    </row>
    <row r="1069" spans="1:5" x14ac:dyDescent="0.25">
      <c r="A1069">
        <v>1</v>
      </c>
      <c r="B1069">
        <v>4</v>
      </c>
      <c r="C1069">
        <v>20</v>
      </c>
      <c r="D1069">
        <v>23</v>
      </c>
      <c r="E1069">
        <f t="shared" si="16"/>
        <v>1.5044575934255302E-34</v>
      </c>
    </row>
    <row r="1070" spans="1:5" x14ac:dyDescent="0.25">
      <c r="A1070">
        <v>1</v>
      </c>
      <c r="B1070">
        <v>4</v>
      </c>
      <c r="C1070">
        <v>21</v>
      </c>
      <c r="D1070">
        <v>22</v>
      </c>
      <c r="E1070">
        <f t="shared" si="16"/>
        <v>2.4716089034847967E-33</v>
      </c>
    </row>
    <row r="1071" spans="1:5" x14ac:dyDescent="0.25">
      <c r="A1071">
        <v>1</v>
      </c>
      <c r="B1071">
        <v>4</v>
      </c>
      <c r="C1071">
        <v>22</v>
      </c>
      <c r="D1071">
        <v>21</v>
      </c>
      <c r="E1071">
        <f t="shared" si="16"/>
        <v>2.7187697938332783E-32</v>
      </c>
    </row>
    <row r="1072" spans="1:5" x14ac:dyDescent="0.25">
      <c r="A1072">
        <v>1</v>
      </c>
      <c r="B1072">
        <v>4</v>
      </c>
      <c r="C1072">
        <v>23</v>
      </c>
      <c r="D1072">
        <v>20</v>
      </c>
      <c r="E1072">
        <f t="shared" si="16"/>
        <v>2.1348253250708249E-31</v>
      </c>
    </row>
    <row r="1073" spans="1:5" x14ac:dyDescent="0.25">
      <c r="A1073">
        <v>1</v>
      </c>
      <c r="B1073">
        <v>4</v>
      </c>
      <c r="C1073">
        <v>24</v>
      </c>
      <c r="D1073">
        <v>19</v>
      </c>
      <c r="E1073">
        <f t="shared" si="16"/>
        <v>1.2453147729579811E-30</v>
      </c>
    </row>
    <row r="1074" spans="1:5" x14ac:dyDescent="0.25">
      <c r="A1074">
        <v>1</v>
      </c>
      <c r="B1074">
        <v>4</v>
      </c>
      <c r="C1074">
        <v>25</v>
      </c>
      <c r="D1074">
        <v>18</v>
      </c>
      <c r="E1074">
        <f t="shared" si="16"/>
        <v>5.5434297607672467E-30</v>
      </c>
    </row>
    <row r="1075" spans="1:5" x14ac:dyDescent="0.25">
      <c r="A1075">
        <v>1</v>
      </c>
      <c r="B1075">
        <v>4</v>
      </c>
      <c r="C1075">
        <v>26</v>
      </c>
      <c r="D1075">
        <v>17</v>
      </c>
      <c r="E1075">
        <f t="shared" si="16"/>
        <v>1.9188795325732759E-29</v>
      </c>
    </row>
    <row r="1076" spans="1:5" x14ac:dyDescent="0.25">
      <c r="A1076">
        <v>1</v>
      </c>
      <c r="B1076">
        <v>4</v>
      </c>
      <c r="C1076">
        <v>27</v>
      </c>
      <c r="D1076">
        <v>16</v>
      </c>
      <c r="E1076">
        <f t="shared" si="16"/>
        <v>5.2354614407246172E-29</v>
      </c>
    </row>
    <row r="1077" spans="1:5" x14ac:dyDescent="0.25">
      <c r="A1077">
        <v>1</v>
      </c>
      <c r="B1077">
        <v>4</v>
      </c>
      <c r="C1077">
        <v>28</v>
      </c>
      <c r="D1077">
        <v>15</v>
      </c>
      <c r="E1077">
        <f t="shared" si="16"/>
        <v>1.1368430557002026E-28</v>
      </c>
    </row>
    <row r="1078" spans="1:5" x14ac:dyDescent="0.25">
      <c r="A1078">
        <v>1</v>
      </c>
      <c r="B1078">
        <v>4</v>
      </c>
      <c r="C1078">
        <v>29</v>
      </c>
      <c r="D1078">
        <v>14</v>
      </c>
      <c r="E1078">
        <f t="shared" si="16"/>
        <v>1.9778930906382842E-28</v>
      </c>
    </row>
    <row r="1079" spans="1:5" x14ac:dyDescent="0.25">
      <c r="A1079">
        <v>1</v>
      </c>
      <c r="B1079">
        <v>4</v>
      </c>
      <c r="C1079">
        <v>30</v>
      </c>
      <c r="D1079">
        <v>13</v>
      </c>
      <c r="E1079">
        <f t="shared" si="16"/>
        <v>2.7690503268935976E-28</v>
      </c>
    </row>
    <row r="1080" spans="1:5" x14ac:dyDescent="0.25">
      <c r="A1080">
        <v>1</v>
      </c>
      <c r="B1080">
        <v>4</v>
      </c>
      <c r="C1080">
        <v>31</v>
      </c>
      <c r="D1080">
        <v>12</v>
      </c>
      <c r="E1080">
        <f t="shared" si="16"/>
        <v>3.1263471432669655E-28</v>
      </c>
    </row>
    <row r="1081" spans="1:5" x14ac:dyDescent="0.25">
      <c r="A1081">
        <v>1</v>
      </c>
      <c r="B1081">
        <v>4</v>
      </c>
      <c r="C1081">
        <v>32</v>
      </c>
      <c r="D1081">
        <v>11</v>
      </c>
      <c r="E1081">
        <f t="shared" si="16"/>
        <v>2.8472090054752714E-28</v>
      </c>
    </row>
    <row r="1082" spans="1:5" x14ac:dyDescent="0.25">
      <c r="A1082">
        <v>1</v>
      </c>
      <c r="B1082">
        <v>4</v>
      </c>
      <c r="C1082">
        <v>33</v>
      </c>
      <c r="D1082">
        <v>10</v>
      </c>
      <c r="E1082">
        <f t="shared" si="16"/>
        <v>2.0879532706818649E-28</v>
      </c>
    </row>
    <row r="1083" spans="1:5" x14ac:dyDescent="0.25">
      <c r="A1083">
        <v>1</v>
      </c>
      <c r="B1083">
        <v>4</v>
      </c>
      <c r="C1083">
        <v>34</v>
      </c>
      <c r="D1083">
        <v>9</v>
      </c>
      <c r="E1083">
        <f t="shared" si="16"/>
        <v>1.2282078062834506E-28</v>
      </c>
    </row>
    <row r="1084" spans="1:5" x14ac:dyDescent="0.25">
      <c r="A1084">
        <v>1</v>
      </c>
      <c r="B1084">
        <v>4</v>
      </c>
      <c r="C1084">
        <v>35</v>
      </c>
      <c r="D1084">
        <v>8</v>
      </c>
      <c r="E1084">
        <f t="shared" si="16"/>
        <v>5.7591592933291194E-29</v>
      </c>
    </row>
    <row r="1085" spans="1:5" x14ac:dyDescent="0.25">
      <c r="A1085">
        <v>1</v>
      </c>
      <c r="B1085">
        <v>4</v>
      </c>
      <c r="C1085">
        <v>36</v>
      </c>
      <c r="D1085">
        <v>7</v>
      </c>
      <c r="E1085">
        <f t="shared" si="16"/>
        <v>2.1330219604922678E-29</v>
      </c>
    </row>
    <row r="1086" spans="1:5" x14ac:dyDescent="0.25">
      <c r="A1086">
        <v>1</v>
      </c>
      <c r="B1086">
        <v>4</v>
      </c>
      <c r="C1086">
        <v>37</v>
      </c>
      <c r="D1086">
        <v>6</v>
      </c>
      <c r="E1086">
        <f t="shared" si="16"/>
        <v>6.1593664008524902E-30</v>
      </c>
    </row>
    <row r="1087" spans="1:5" x14ac:dyDescent="0.25">
      <c r="A1087">
        <v>1</v>
      </c>
      <c r="B1087">
        <v>4</v>
      </c>
      <c r="C1087">
        <v>38</v>
      </c>
      <c r="D1087">
        <v>5</v>
      </c>
      <c r="E1087">
        <f t="shared" si="16"/>
        <v>1.3615441517673924E-30</v>
      </c>
    </row>
    <row r="1088" spans="1:5" x14ac:dyDescent="0.25">
      <c r="A1088">
        <v>1</v>
      </c>
      <c r="B1088">
        <v>4</v>
      </c>
      <c r="C1088">
        <v>39</v>
      </c>
      <c r="D1088">
        <v>4</v>
      </c>
      <c r="E1088">
        <f t="shared" si="16"/>
        <v>2.244303546869329E-31</v>
      </c>
    </row>
    <row r="1089" spans="1:5" x14ac:dyDescent="0.25">
      <c r="A1089">
        <v>1</v>
      </c>
      <c r="B1089">
        <v>4</v>
      </c>
      <c r="C1089">
        <v>40</v>
      </c>
      <c r="D1089">
        <v>3</v>
      </c>
      <c r="E1089">
        <f t="shared" si="16"/>
        <v>2.6523587372092083E-32</v>
      </c>
    </row>
    <row r="1090" spans="1:5" x14ac:dyDescent="0.25">
      <c r="A1090">
        <v>1</v>
      </c>
      <c r="B1090">
        <v>4</v>
      </c>
      <c r="C1090">
        <v>41</v>
      </c>
      <c r="D1090">
        <v>2</v>
      </c>
      <c r="E1090">
        <f t="shared" si="16"/>
        <v>2.109511190781448E-33</v>
      </c>
    </row>
    <row r="1091" spans="1:5" x14ac:dyDescent="0.25">
      <c r="A1091">
        <v>1</v>
      </c>
      <c r="B1091">
        <v>4</v>
      </c>
      <c r="C1091">
        <v>42</v>
      </c>
      <c r="D1091">
        <v>1</v>
      </c>
      <c r="E1091">
        <f t="shared" si="16"/>
        <v>1.0045291384673561E-34</v>
      </c>
    </row>
    <row r="1092" spans="1:5" x14ac:dyDescent="0.25">
      <c r="A1092">
        <v>1</v>
      </c>
      <c r="B1092">
        <v>4</v>
      </c>
      <c r="C1092">
        <v>43</v>
      </c>
      <c r="D1092">
        <v>0</v>
      </c>
      <c r="E1092">
        <f t="shared" si="16"/>
        <v>2.1492251334650416E-36</v>
      </c>
    </row>
    <row r="1093" spans="1:5" x14ac:dyDescent="0.25">
      <c r="A1093">
        <v>1</v>
      </c>
      <c r="B1093">
        <v>5</v>
      </c>
      <c r="C1093">
        <v>17</v>
      </c>
      <c r="D1093">
        <v>25</v>
      </c>
      <c r="E1093">
        <f t="shared" si="16"/>
        <v>1.8840513109156435E-36</v>
      </c>
    </row>
    <row r="1094" spans="1:5" x14ac:dyDescent="0.25">
      <c r="A1094">
        <v>1</v>
      </c>
      <c r="B1094">
        <v>5</v>
      </c>
      <c r="C1094">
        <v>18</v>
      </c>
      <c r="D1094">
        <v>24</v>
      </c>
      <c r="E1094">
        <f t="shared" si="16"/>
        <v>1.2560342072770947E-34</v>
      </c>
    </row>
    <row r="1095" spans="1:5" x14ac:dyDescent="0.25">
      <c r="A1095">
        <v>1</v>
      </c>
      <c r="B1095">
        <v>5</v>
      </c>
      <c r="C1095">
        <v>19</v>
      </c>
      <c r="D1095">
        <v>23</v>
      </c>
      <c r="E1095">
        <f t="shared" si="16"/>
        <v>3.7284383837067456E-33</v>
      </c>
    </row>
    <row r="1096" spans="1:5" x14ac:dyDescent="0.25">
      <c r="A1096">
        <v>1</v>
      </c>
      <c r="B1096">
        <v>5</v>
      </c>
      <c r="C1096">
        <v>20</v>
      </c>
      <c r="D1096">
        <v>22</v>
      </c>
      <c r="E1096">
        <f t="shared" si="16"/>
        <v>6.5744796832695663E-32</v>
      </c>
    </row>
    <row r="1097" spans="1:5" x14ac:dyDescent="0.25">
      <c r="A1097">
        <v>1</v>
      </c>
      <c r="B1097">
        <v>5</v>
      </c>
      <c r="C1097">
        <v>21</v>
      </c>
      <c r="D1097">
        <v>21</v>
      </c>
      <c r="E1097">
        <f t="shared" si="16"/>
        <v>7.7484939124248373E-31</v>
      </c>
    </row>
    <row r="1098" spans="1:5" x14ac:dyDescent="0.25">
      <c r="A1098">
        <v>1</v>
      </c>
      <c r="B1098">
        <v>5</v>
      </c>
      <c r="C1098">
        <v>22</v>
      </c>
      <c r="D1098">
        <v>20</v>
      </c>
      <c r="E1098">
        <f t="shared" si="16"/>
        <v>6.5087348864368654E-30</v>
      </c>
    </row>
    <row r="1099" spans="1:5" x14ac:dyDescent="0.25">
      <c r="A1099">
        <v>1</v>
      </c>
      <c r="B1099">
        <v>5</v>
      </c>
      <c r="C1099">
        <v>23</v>
      </c>
      <c r="D1099">
        <v>19</v>
      </c>
      <c r="E1099">
        <f t="shared" si="16"/>
        <v>4.056168117634568E-29</v>
      </c>
    </row>
    <row r="1100" spans="1:5" x14ac:dyDescent="0.25">
      <c r="A1100">
        <v>1</v>
      </c>
      <c r="B1100">
        <v>5</v>
      </c>
      <c r="C1100">
        <v>24</v>
      </c>
      <c r="D1100">
        <v>18</v>
      </c>
      <c r="E1100">
        <f t="shared" si="16"/>
        <v>1.9266798558764204E-28</v>
      </c>
    </row>
    <row r="1101" spans="1:5" x14ac:dyDescent="0.25">
      <c r="A1101">
        <v>1</v>
      </c>
      <c r="B1101">
        <v>5</v>
      </c>
      <c r="C1101">
        <v>25</v>
      </c>
      <c r="D1101">
        <v>17</v>
      </c>
      <c r="E1101">
        <f t="shared" si="16"/>
        <v>7.1094486681839923E-28</v>
      </c>
    </row>
    <row r="1102" spans="1:5" x14ac:dyDescent="0.25">
      <c r="A1102">
        <v>1</v>
      </c>
      <c r="B1102">
        <v>5</v>
      </c>
      <c r="C1102">
        <v>26</v>
      </c>
      <c r="D1102">
        <v>16</v>
      </c>
      <c r="E1102">
        <f t="shared" ref="E1102:E1165" si="17">COMBIN(A$4,A1102)*COMBIN(B$4,B1102)*COMBIN(C$4,C1102)*COMBIN(D$4,D1102)/COMBIN($G$4,$F$4)</f>
        <v>2.0659936300705601E-27</v>
      </c>
    </row>
    <row r="1103" spans="1:5" x14ac:dyDescent="0.25">
      <c r="A1103">
        <v>1</v>
      </c>
      <c r="B1103">
        <v>5</v>
      </c>
      <c r="C1103">
        <v>27</v>
      </c>
      <c r="D1103">
        <v>15</v>
      </c>
      <c r="E1103">
        <f t="shared" si="17"/>
        <v>4.7747408339408499E-27</v>
      </c>
    </row>
    <row r="1104" spans="1:5" x14ac:dyDescent="0.25">
      <c r="A1104">
        <v>1</v>
      </c>
      <c r="B1104">
        <v>5</v>
      </c>
      <c r="C1104">
        <v>28</v>
      </c>
      <c r="D1104">
        <v>14</v>
      </c>
      <c r="E1104">
        <f t="shared" si="17"/>
        <v>8.8363710238515756E-27</v>
      </c>
    </row>
    <row r="1105" spans="1:5" x14ac:dyDescent="0.25">
      <c r="A1105">
        <v>1</v>
      </c>
      <c r="B1105">
        <v>5</v>
      </c>
      <c r="C1105">
        <v>29</v>
      </c>
      <c r="D1105">
        <v>13</v>
      </c>
      <c r="E1105">
        <f t="shared" si="17"/>
        <v>1.3152989052744592E-26</v>
      </c>
    </row>
    <row r="1106" spans="1:5" x14ac:dyDescent="0.25">
      <c r="A1106">
        <v>1</v>
      </c>
      <c r="B1106">
        <v>5</v>
      </c>
      <c r="C1106">
        <v>30</v>
      </c>
      <c r="D1106">
        <v>12</v>
      </c>
      <c r="E1106">
        <f t="shared" si="17"/>
        <v>1.5783586863293506E-26</v>
      </c>
    </row>
    <row r="1107" spans="1:5" x14ac:dyDescent="0.25">
      <c r="A1107">
        <v>1</v>
      </c>
      <c r="B1107">
        <v>5</v>
      </c>
      <c r="C1107">
        <v>31</v>
      </c>
      <c r="D1107">
        <v>11</v>
      </c>
      <c r="E1107">
        <f t="shared" si="17"/>
        <v>1.5274438899961458E-26</v>
      </c>
    </row>
    <row r="1108" spans="1:5" x14ac:dyDescent="0.25">
      <c r="A1108">
        <v>1</v>
      </c>
      <c r="B1108">
        <v>5</v>
      </c>
      <c r="C1108">
        <v>32</v>
      </c>
      <c r="D1108">
        <v>10</v>
      </c>
      <c r="E1108">
        <f t="shared" si="17"/>
        <v>1.1901333642886633E-26</v>
      </c>
    </row>
    <row r="1109" spans="1:5" x14ac:dyDescent="0.25">
      <c r="A1109">
        <v>1</v>
      </c>
      <c r="B1109">
        <v>5</v>
      </c>
      <c r="C1109">
        <v>33</v>
      </c>
      <c r="D1109">
        <v>9</v>
      </c>
      <c r="E1109">
        <f t="shared" si="17"/>
        <v>7.4383335268041473E-27</v>
      </c>
    </row>
    <row r="1110" spans="1:5" x14ac:dyDescent="0.25">
      <c r="A1110">
        <v>1</v>
      </c>
      <c r="B1110">
        <v>5</v>
      </c>
      <c r="C1110">
        <v>34</v>
      </c>
      <c r="D1110">
        <v>8</v>
      </c>
      <c r="E1110">
        <f t="shared" si="17"/>
        <v>3.7062976742553538E-27</v>
      </c>
    </row>
    <row r="1111" spans="1:5" x14ac:dyDescent="0.25">
      <c r="A1111">
        <v>1</v>
      </c>
      <c r="B1111">
        <v>5</v>
      </c>
      <c r="C1111">
        <v>35</v>
      </c>
      <c r="D1111">
        <v>7</v>
      </c>
      <c r="E1111">
        <f t="shared" si="17"/>
        <v>1.4589870209767106E-27</v>
      </c>
    </row>
    <row r="1112" spans="1:5" x14ac:dyDescent="0.25">
      <c r="A1112">
        <v>1</v>
      </c>
      <c r="B1112">
        <v>5</v>
      </c>
      <c r="C1112">
        <v>36</v>
      </c>
      <c r="D1112">
        <v>6</v>
      </c>
      <c r="E1112">
        <f t="shared" si="17"/>
        <v>4.4793461170337603E-28</v>
      </c>
    </row>
    <row r="1113" spans="1:5" x14ac:dyDescent="0.25">
      <c r="A1113">
        <v>1</v>
      </c>
      <c r="B1113">
        <v>5</v>
      </c>
      <c r="C1113">
        <v>37</v>
      </c>
      <c r="D1113">
        <v>5</v>
      </c>
      <c r="E1113">
        <f t="shared" si="17"/>
        <v>1.0532516545457761E-28</v>
      </c>
    </row>
    <row r="1114" spans="1:5" x14ac:dyDescent="0.25">
      <c r="A1114">
        <v>1</v>
      </c>
      <c r="B1114">
        <v>5</v>
      </c>
      <c r="C1114">
        <v>38</v>
      </c>
      <c r="D1114">
        <v>4</v>
      </c>
      <c r="E1114">
        <f t="shared" si="17"/>
        <v>1.8478099202557474E-29</v>
      </c>
    </row>
    <row r="1115" spans="1:5" x14ac:dyDescent="0.25">
      <c r="A1115">
        <v>1</v>
      </c>
      <c r="B1115">
        <v>5</v>
      </c>
      <c r="C1115">
        <v>39</v>
      </c>
      <c r="D1115">
        <v>3</v>
      </c>
      <c r="E1115">
        <f t="shared" si="17"/>
        <v>2.3259145849373037E-30</v>
      </c>
    </row>
    <row r="1116" spans="1:5" x14ac:dyDescent="0.25">
      <c r="A1116">
        <v>1</v>
      </c>
      <c r="B1116">
        <v>5</v>
      </c>
      <c r="C1116">
        <v>40</v>
      </c>
      <c r="D1116">
        <v>2</v>
      </c>
      <c r="E1116">
        <f t="shared" si="17"/>
        <v>1.9719710611424983E-31</v>
      </c>
    </row>
    <row r="1117" spans="1:5" x14ac:dyDescent="0.25">
      <c r="A1117">
        <v>1</v>
      </c>
      <c r="B1117">
        <v>5</v>
      </c>
      <c r="C1117">
        <v>41</v>
      </c>
      <c r="D1117">
        <v>1</v>
      </c>
      <c r="E1117">
        <f t="shared" si="17"/>
        <v>1.0020178156211878E-32</v>
      </c>
    </row>
    <row r="1118" spans="1:5" x14ac:dyDescent="0.25">
      <c r="A1118">
        <v>1</v>
      </c>
      <c r="B1118">
        <v>5</v>
      </c>
      <c r="C1118">
        <v>42</v>
      </c>
      <c r="D1118">
        <v>0</v>
      </c>
      <c r="E1118">
        <f t="shared" si="17"/>
        <v>2.290326435705572E-34</v>
      </c>
    </row>
    <row r="1119" spans="1:5" x14ac:dyDescent="0.25">
      <c r="A1119">
        <v>1</v>
      </c>
      <c r="B1119">
        <v>6</v>
      </c>
      <c r="C1119">
        <v>16</v>
      </c>
      <c r="D1119">
        <v>25</v>
      </c>
      <c r="E1119">
        <f t="shared" si="17"/>
        <v>3.0939454860886808E-35</v>
      </c>
    </row>
    <row r="1120" spans="1:5" x14ac:dyDescent="0.25">
      <c r="A1120">
        <v>1</v>
      </c>
      <c r="B1120">
        <v>6</v>
      </c>
      <c r="C1120">
        <v>17</v>
      </c>
      <c r="D1120">
        <v>24</v>
      </c>
      <c r="E1120">
        <f t="shared" si="17"/>
        <v>2.2294607179168448E-33</v>
      </c>
    </row>
    <row r="1121" spans="1:5" x14ac:dyDescent="0.25">
      <c r="A1121">
        <v>1</v>
      </c>
      <c r="B1121">
        <v>6</v>
      </c>
      <c r="C1121">
        <v>18</v>
      </c>
      <c r="D1121">
        <v>23</v>
      </c>
      <c r="E1121">
        <f t="shared" si="17"/>
        <v>7.134274297333898E-32</v>
      </c>
    </row>
    <row r="1122" spans="1:5" x14ac:dyDescent="0.25">
      <c r="A1122">
        <v>1</v>
      </c>
      <c r="B1122">
        <v>6</v>
      </c>
      <c r="C1122">
        <v>19</v>
      </c>
      <c r="D1122">
        <v>22</v>
      </c>
      <c r="E1122">
        <f t="shared" si="17"/>
        <v>1.3530088623540256E-30</v>
      </c>
    </row>
    <row r="1123" spans="1:5" x14ac:dyDescent="0.25">
      <c r="A1123">
        <v>1</v>
      </c>
      <c r="B1123">
        <v>6</v>
      </c>
      <c r="C1123">
        <v>20</v>
      </c>
      <c r="D1123">
        <v>21</v>
      </c>
      <c r="E1123">
        <f t="shared" si="17"/>
        <v>1.7115562108778442E-29</v>
      </c>
    </row>
    <row r="1124" spans="1:5" x14ac:dyDescent="0.25">
      <c r="A1124">
        <v>1</v>
      </c>
      <c r="B1124">
        <v>6</v>
      </c>
      <c r="C1124">
        <v>21</v>
      </c>
      <c r="D1124">
        <v>20</v>
      </c>
      <c r="E1124">
        <f t="shared" si="17"/>
        <v>1.5404005897900573E-28</v>
      </c>
    </row>
    <row r="1125" spans="1:5" x14ac:dyDescent="0.25">
      <c r="A1125">
        <v>1</v>
      </c>
      <c r="B1125">
        <v>6</v>
      </c>
      <c r="C1125">
        <v>22</v>
      </c>
      <c r="D1125">
        <v>19</v>
      </c>
      <c r="E1125">
        <f t="shared" si="17"/>
        <v>1.0269337265267055E-27</v>
      </c>
    </row>
    <row r="1126" spans="1:5" x14ac:dyDescent="0.25">
      <c r="A1126">
        <v>1</v>
      </c>
      <c r="B1126">
        <v>6</v>
      </c>
      <c r="C1126">
        <v>23</v>
      </c>
      <c r="D1126">
        <v>18</v>
      </c>
      <c r="E1126">
        <f t="shared" si="17"/>
        <v>5.2112102768466991E-27</v>
      </c>
    </row>
    <row r="1127" spans="1:5" x14ac:dyDescent="0.25">
      <c r="A1127">
        <v>1</v>
      </c>
      <c r="B1127">
        <v>6</v>
      </c>
      <c r="C1127">
        <v>24</v>
      </c>
      <c r="D1127">
        <v>17</v>
      </c>
      <c r="E1127">
        <f t="shared" si="17"/>
        <v>2.0519140465083873E-26</v>
      </c>
    </row>
    <row r="1128" spans="1:5" x14ac:dyDescent="0.25">
      <c r="A1128">
        <v>1</v>
      </c>
      <c r="B1128">
        <v>6</v>
      </c>
      <c r="C1128">
        <v>25</v>
      </c>
      <c r="D1128">
        <v>16</v>
      </c>
      <c r="E1128">
        <f t="shared" si="17"/>
        <v>6.3563737351837613E-26</v>
      </c>
    </row>
    <row r="1129" spans="1:5" x14ac:dyDescent="0.25">
      <c r="A1129">
        <v>1</v>
      </c>
      <c r="B1129">
        <v>6</v>
      </c>
      <c r="C1129">
        <v>26</v>
      </c>
      <c r="D1129">
        <v>15</v>
      </c>
      <c r="E1129">
        <f t="shared" si="17"/>
        <v>1.5646458425067712E-25</v>
      </c>
    </row>
    <row r="1130" spans="1:5" x14ac:dyDescent="0.25">
      <c r="A1130">
        <v>1</v>
      </c>
      <c r="B1130">
        <v>6</v>
      </c>
      <c r="C1130">
        <v>27</v>
      </c>
      <c r="D1130">
        <v>14</v>
      </c>
      <c r="E1130">
        <f t="shared" si="17"/>
        <v>3.0818781746345498E-25</v>
      </c>
    </row>
    <row r="1131" spans="1:5" x14ac:dyDescent="0.25">
      <c r="A1131">
        <v>1</v>
      </c>
      <c r="B1131">
        <v>6</v>
      </c>
      <c r="C1131">
        <v>28</v>
      </c>
      <c r="D1131">
        <v>13</v>
      </c>
      <c r="E1131">
        <f t="shared" si="17"/>
        <v>4.879640443171371E-25</v>
      </c>
    </row>
    <row r="1132" spans="1:5" x14ac:dyDescent="0.25">
      <c r="A1132">
        <v>1</v>
      </c>
      <c r="B1132">
        <v>6</v>
      </c>
      <c r="C1132">
        <v>29</v>
      </c>
      <c r="D1132">
        <v>12</v>
      </c>
      <c r="E1132">
        <f t="shared" si="17"/>
        <v>6.22574815163244E-25</v>
      </c>
    </row>
    <row r="1133" spans="1:5" x14ac:dyDescent="0.25">
      <c r="A1133">
        <v>1</v>
      </c>
      <c r="B1133">
        <v>6</v>
      </c>
      <c r="C1133">
        <v>30</v>
      </c>
      <c r="D1133">
        <v>11</v>
      </c>
      <c r="E1133">
        <f t="shared" si="17"/>
        <v>6.4036266702505085E-25</v>
      </c>
    </row>
    <row r="1134" spans="1:5" x14ac:dyDescent="0.25">
      <c r="A1134">
        <v>1</v>
      </c>
      <c r="B1134">
        <v>6</v>
      </c>
      <c r="C1134">
        <v>31</v>
      </c>
      <c r="D1134">
        <v>10</v>
      </c>
      <c r="E1134">
        <f t="shared" si="17"/>
        <v>5.3019274581643988E-25</v>
      </c>
    </row>
    <row r="1135" spans="1:5" x14ac:dyDescent="0.25">
      <c r="A1135">
        <v>1</v>
      </c>
      <c r="B1135">
        <v>6</v>
      </c>
      <c r="C1135">
        <v>32</v>
      </c>
      <c r="D1135">
        <v>9</v>
      </c>
      <c r="E1135">
        <f t="shared" si="17"/>
        <v>3.5208112026872954E-25</v>
      </c>
    </row>
    <row r="1136" spans="1:5" x14ac:dyDescent="0.25">
      <c r="A1136">
        <v>1</v>
      </c>
      <c r="B1136">
        <v>6</v>
      </c>
      <c r="C1136">
        <v>33</v>
      </c>
      <c r="D1136">
        <v>8</v>
      </c>
      <c r="E1136">
        <f t="shared" si="17"/>
        <v>1.8639588720109213E-25</v>
      </c>
    </row>
    <row r="1137" spans="1:5" x14ac:dyDescent="0.25">
      <c r="A1137">
        <v>1</v>
      </c>
      <c r="B1137">
        <v>6</v>
      </c>
      <c r="C1137">
        <v>34</v>
      </c>
      <c r="D1137">
        <v>7</v>
      </c>
      <c r="E1137">
        <f t="shared" si="17"/>
        <v>7.7969521443594132E-26</v>
      </c>
    </row>
    <row r="1138" spans="1:5" x14ac:dyDescent="0.25">
      <c r="A1138">
        <v>1</v>
      </c>
      <c r="B1138">
        <v>6</v>
      </c>
      <c r="C1138">
        <v>35</v>
      </c>
      <c r="D1138">
        <v>6</v>
      </c>
      <c r="E1138">
        <f t="shared" si="17"/>
        <v>2.5442685944751755E-26</v>
      </c>
    </row>
    <row r="1139" spans="1:5" x14ac:dyDescent="0.25">
      <c r="A1139">
        <v>1</v>
      </c>
      <c r="B1139">
        <v>6</v>
      </c>
      <c r="C1139">
        <v>36</v>
      </c>
      <c r="D1139">
        <v>5</v>
      </c>
      <c r="E1139">
        <f t="shared" si="17"/>
        <v>6.3606714861879396E-27</v>
      </c>
    </row>
    <row r="1140" spans="1:5" x14ac:dyDescent="0.25">
      <c r="A1140">
        <v>1</v>
      </c>
      <c r="B1140">
        <v>6</v>
      </c>
      <c r="C1140">
        <v>37</v>
      </c>
      <c r="D1140">
        <v>4</v>
      </c>
      <c r="E1140">
        <f t="shared" si="17"/>
        <v>1.186997896392859E-27</v>
      </c>
    </row>
    <row r="1141" spans="1:5" x14ac:dyDescent="0.25">
      <c r="A1141">
        <v>1</v>
      </c>
      <c r="B1141">
        <v>6</v>
      </c>
      <c r="C1141">
        <v>38</v>
      </c>
      <c r="D1141">
        <v>3</v>
      </c>
      <c r="E1141">
        <f t="shared" si="17"/>
        <v>1.5902364162200977E-28</v>
      </c>
    </row>
    <row r="1142" spans="1:5" x14ac:dyDescent="0.25">
      <c r="A1142">
        <v>1</v>
      </c>
      <c r="B1142">
        <v>6</v>
      </c>
      <c r="C1142">
        <v>39</v>
      </c>
      <c r="D1142">
        <v>2</v>
      </c>
      <c r="E1142">
        <f t="shared" si="17"/>
        <v>1.4359994393960748E-29</v>
      </c>
    </row>
    <row r="1143" spans="1:5" x14ac:dyDescent="0.25">
      <c r="A1143">
        <v>1</v>
      </c>
      <c r="B1143">
        <v>6</v>
      </c>
      <c r="C1143">
        <v>40</v>
      </c>
      <c r="D1143">
        <v>1</v>
      </c>
      <c r="E1143">
        <f t="shared" si="17"/>
        <v>7.7783302967287437E-31</v>
      </c>
    </row>
    <row r="1144" spans="1:5" x14ac:dyDescent="0.25">
      <c r="A1144">
        <v>1</v>
      </c>
      <c r="B1144">
        <v>6</v>
      </c>
      <c r="C1144">
        <v>41</v>
      </c>
      <c r="D1144">
        <v>0</v>
      </c>
      <c r="E1144">
        <f t="shared" si="17"/>
        <v>1.8971537309094489E-32</v>
      </c>
    </row>
    <row r="1145" spans="1:5" x14ac:dyDescent="0.25">
      <c r="A1145">
        <v>1</v>
      </c>
      <c r="B1145">
        <v>7</v>
      </c>
      <c r="C1145">
        <v>15</v>
      </c>
      <c r="D1145">
        <v>25</v>
      </c>
      <c r="E1145">
        <f t="shared" si="17"/>
        <v>4.0026814745741564E-34</v>
      </c>
    </row>
    <row r="1146" spans="1:5" x14ac:dyDescent="0.25">
      <c r="A1146">
        <v>1</v>
      </c>
      <c r="B1146">
        <v>7</v>
      </c>
      <c r="C1146">
        <v>16</v>
      </c>
      <c r="D1146">
        <v>24</v>
      </c>
      <c r="E1146">
        <f t="shared" si="17"/>
        <v>3.1270949020110603E-32</v>
      </c>
    </row>
    <row r="1147" spans="1:5" x14ac:dyDescent="0.25">
      <c r="A1147">
        <v>1</v>
      </c>
      <c r="B1147">
        <v>7</v>
      </c>
      <c r="C1147">
        <v>17</v>
      </c>
      <c r="D1147">
        <v>23</v>
      </c>
      <c r="E1147">
        <f t="shared" si="17"/>
        <v>1.0816069425779439E-30</v>
      </c>
    </row>
    <row r="1148" spans="1:5" x14ac:dyDescent="0.25">
      <c r="A1148">
        <v>1</v>
      </c>
      <c r="B1148">
        <v>7</v>
      </c>
      <c r="C1148">
        <v>18</v>
      </c>
      <c r="D1148">
        <v>22</v>
      </c>
      <c r="E1148">
        <f t="shared" si="17"/>
        <v>2.2112853048260168E-29</v>
      </c>
    </row>
    <row r="1149" spans="1:5" x14ac:dyDescent="0.25">
      <c r="A1149">
        <v>1</v>
      </c>
      <c r="B1149">
        <v>7</v>
      </c>
      <c r="C1149">
        <v>19</v>
      </c>
      <c r="D1149">
        <v>21</v>
      </c>
      <c r="E1149">
        <f t="shared" si="17"/>
        <v>3.0085118489343449E-28</v>
      </c>
    </row>
    <row r="1150" spans="1:5" x14ac:dyDescent="0.25">
      <c r="A1150">
        <v>1</v>
      </c>
      <c r="B1150">
        <v>7</v>
      </c>
      <c r="C1150">
        <v>20</v>
      </c>
      <c r="D1150">
        <v>20</v>
      </c>
      <c r="E1150">
        <f t="shared" si="17"/>
        <v>2.9062224460705792E-27</v>
      </c>
    </row>
    <row r="1151" spans="1:5" x14ac:dyDescent="0.25">
      <c r="A1151">
        <v>1</v>
      </c>
      <c r="B1151">
        <v>7</v>
      </c>
      <c r="C1151">
        <v>21</v>
      </c>
      <c r="D1151">
        <v>19</v>
      </c>
      <c r="E1151">
        <f t="shared" si="17"/>
        <v>2.0758731757646967E-26</v>
      </c>
    </row>
    <row r="1152" spans="1:5" x14ac:dyDescent="0.25">
      <c r="A1152">
        <v>1</v>
      </c>
      <c r="B1152">
        <v>7</v>
      </c>
      <c r="C1152">
        <v>22</v>
      </c>
      <c r="D1152">
        <v>18</v>
      </c>
      <c r="E1152">
        <f t="shared" si="17"/>
        <v>1.126902581129408E-25</v>
      </c>
    </row>
    <row r="1153" spans="1:5" x14ac:dyDescent="0.25">
      <c r="A1153">
        <v>1</v>
      </c>
      <c r="B1153">
        <v>7</v>
      </c>
      <c r="C1153">
        <v>23</v>
      </c>
      <c r="D1153">
        <v>17</v>
      </c>
      <c r="E1153">
        <f t="shared" si="17"/>
        <v>4.740340205403051E-25</v>
      </c>
    </row>
    <row r="1154" spans="1:5" x14ac:dyDescent="0.25">
      <c r="A1154">
        <v>1</v>
      </c>
      <c r="B1154">
        <v>7</v>
      </c>
      <c r="C1154">
        <v>24</v>
      </c>
      <c r="D1154">
        <v>16</v>
      </c>
      <c r="E1154">
        <f t="shared" si="17"/>
        <v>1.5669457901193416E-24</v>
      </c>
    </row>
    <row r="1155" spans="1:5" x14ac:dyDescent="0.25">
      <c r="A1155">
        <v>1</v>
      </c>
      <c r="B1155">
        <v>7</v>
      </c>
      <c r="C1155">
        <v>25</v>
      </c>
      <c r="D1155">
        <v>15</v>
      </c>
      <c r="E1155">
        <f t="shared" si="17"/>
        <v>4.1116657532731541E-24</v>
      </c>
    </row>
    <row r="1156" spans="1:5" x14ac:dyDescent="0.25">
      <c r="A1156">
        <v>1</v>
      </c>
      <c r="B1156">
        <v>7</v>
      </c>
      <c r="C1156">
        <v>26</v>
      </c>
      <c r="D1156">
        <v>14</v>
      </c>
      <c r="E1156">
        <f t="shared" si="17"/>
        <v>8.6258722096639545E-24</v>
      </c>
    </row>
    <row r="1157" spans="1:5" x14ac:dyDescent="0.25">
      <c r="A1157">
        <v>1</v>
      </c>
      <c r="B1157">
        <v>7</v>
      </c>
      <c r="C1157">
        <v>27</v>
      </c>
      <c r="D1157">
        <v>13</v>
      </c>
      <c r="E1157">
        <f t="shared" si="17"/>
        <v>1.4536192057026295E-23</v>
      </c>
    </row>
    <row r="1158" spans="1:5" x14ac:dyDescent="0.25">
      <c r="A1158">
        <v>1</v>
      </c>
      <c r="B1158">
        <v>7</v>
      </c>
      <c r="C1158">
        <v>28</v>
      </c>
      <c r="D1158">
        <v>12</v>
      </c>
      <c r="E1158">
        <f t="shared" si="17"/>
        <v>1.9727689220249977E-23</v>
      </c>
    </row>
    <row r="1159" spans="1:5" x14ac:dyDescent="0.25">
      <c r="A1159">
        <v>1</v>
      </c>
      <c r="B1159">
        <v>7</v>
      </c>
      <c r="C1159">
        <v>29</v>
      </c>
      <c r="D1159">
        <v>11</v>
      </c>
      <c r="E1159">
        <f t="shared" si="17"/>
        <v>2.1574123186677311E-23</v>
      </c>
    </row>
    <row r="1160" spans="1:5" x14ac:dyDescent="0.25">
      <c r="A1160">
        <v>1</v>
      </c>
      <c r="B1160">
        <v>7</v>
      </c>
      <c r="C1160">
        <v>30</v>
      </c>
      <c r="D1160">
        <v>10</v>
      </c>
      <c r="E1160">
        <f t="shared" si="17"/>
        <v>1.8985228404276033E-23</v>
      </c>
    </row>
    <row r="1161" spans="1:5" x14ac:dyDescent="0.25">
      <c r="A1161">
        <v>1</v>
      </c>
      <c r="B1161">
        <v>7</v>
      </c>
      <c r="C1161">
        <v>31</v>
      </c>
      <c r="D1161">
        <v>9</v>
      </c>
      <c r="E1161">
        <f t="shared" si="17"/>
        <v>1.3396834559468976E-23</v>
      </c>
    </row>
    <row r="1162" spans="1:5" x14ac:dyDescent="0.25">
      <c r="A1162">
        <v>1</v>
      </c>
      <c r="B1162">
        <v>7</v>
      </c>
      <c r="C1162">
        <v>32</v>
      </c>
      <c r="D1162">
        <v>8</v>
      </c>
      <c r="E1162">
        <f t="shared" si="17"/>
        <v>7.5357194397012968E-24</v>
      </c>
    </row>
    <row r="1163" spans="1:5" x14ac:dyDescent="0.25">
      <c r="A1163">
        <v>1</v>
      </c>
      <c r="B1163">
        <v>7</v>
      </c>
      <c r="C1163">
        <v>33</v>
      </c>
      <c r="D1163">
        <v>7</v>
      </c>
      <c r="E1163">
        <f t="shared" si="17"/>
        <v>3.3492086398672439E-24</v>
      </c>
    </row>
    <row r="1164" spans="1:5" x14ac:dyDescent="0.25">
      <c r="A1164">
        <v>1</v>
      </c>
      <c r="B1164">
        <v>7</v>
      </c>
      <c r="C1164">
        <v>34</v>
      </c>
      <c r="D1164">
        <v>6</v>
      </c>
      <c r="E1164">
        <f t="shared" si="17"/>
        <v>1.1613355036072176E-24</v>
      </c>
    </row>
    <row r="1165" spans="1:5" x14ac:dyDescent="0.25">
      <c r="A1165">
        <v>1</v>
      </c>
      <c r="B1165">
        <v>7</v>
      </c>
      <c r="C1165">
        <v>35</v>
      </c>
      <c r="D1165">
        <v>5</v>
      </c>
      <c r="E1165">
        <f t="shared" si="17"/>
        <v>3.0858343381563208E-25</v>
      </c>
    </row>
    <row r="1166" spans="1:5" x14ac:dyDescent="0.25">
      <c r="A1166">
        <v>1</v>
      </c>
      <c r="B1166">
        <v>7</v>
      </c>
      <c r="C1166">
        <v>36</v>
      </c>
      <c r="D1166">
        <v>4</v>
      </c>
      <c r="E1166">
        <f t="shared" ref="E1166:E1229" si="18">COMBIN(A$4,A1166)*COMBIN(B$4,B1166)*COMBIN(C$4,C1166)*COMBIN(D$4,D1166)/COMBIN($G$4,$F$4)</f>
        <v>6.1226871788815915E-26</v>
      </c>
    </row>
    <row r="1167" spans="1:5" x14ac:dyDescent="0.25">
      <c r="A1167">
        <v>1</v>
      </c>
      <c r="B1167">
        <v>7</v>
      </c>
      <c r="C1167">
        <v>37</v>
      </c>
      <c r="D1167">
        <v>3</v>
      </c>
      <c r="E1167">
        <f t="shared" si="18"/>
        <v>8.7252053163423137E-27</v>
      </c>
    </row>
    <row r="1168" spans="1:5" x14ac:dyDescent="0.25">
      <c r="A1168">
        <v>1</v>
      </c>
      <c r="B1168">
        <v>7</v>
      </c>
      <c r="C1168">
        <v>38</v>
      </c>
      <c r="D1168">
        <v>2</v>
      </c>
      <c r="E1168">
        <f t="shared" si="18"/>
        <v>8.385780853235175E-28</v>
      </c>
    </row>
    <row r="1169" spans="1:5" x14ac:dyDescent="0.25">
      <c r="A1169">
        <v>1</v>
      </c>
      <c r="B1169">
        <v>7</v>
      </c>
      <c r="C1169">
        <v>39</v>
      </c>
      <c r="D1169">
        <v>1</v>
      </c>
      <c r="E1169">
        <f t="shared" si="18"/>
        <v>4.8379504922510621E-29</v>
      </c>
    </row>
    <row r="1170" spans="1:5" x14ac:dyDescent="0.25">
      <c r="A1170">
        <v>1</v>
      </c>
      <c r="B1170">
        <v>7</v>
      </c>
      <c r="C1170">
        <v>40</v>
      </c>
      <c r="D1170">
        <v>0</v>
      </c>
      <c r="E1170">
        <f t="shared" si="18"/>
        <v>1.257867127985277E-30</v>
      </c>
    </row>
    <row r="1171" spans="1:5" x14ac:dyDescent="0.25">
      <c r="A1171">
        <v>1</v>
      </c>
      <c r="B1171">
        <v>8</v>
      </c>
      <c r="C1171">
        <v>14</v>
      </c>
      <c r="D1171">
        <v>25</v>
      </c>
      <c r="E1171">
        <f t="shared" si="18"/>
        <v>4.1498388817276188E-33</v>
      </c>
    </row>
    <row r="1172" spans="1:5" x14ac:dyDescent="0.25">
      <c r="A1172">
        <v>1</v>
      </c>
      <c r="B1172">
        <v>8</v>
      </c>
      <c r="C1172">
        <v>15</v>
      </c>
      <c r="D1172">
        <v>24</v>
      </c>
      <c r="E1172">
        <f t="shared" si="18"/>
        <v>3.5273630494684753E-31</v>
      </c>
    </row>
    <row r="1173" spans="1:5" x14ac:dyDescent="0.25">
      <c r="A1173">
        <v>1</v>
      </c>
      <c r="B1173">
        <v>8</v>
      </c>
      <c r="C1173">
        <v>16</v>
      </c>
      <c r="D1173">
        <v>23</v>
      </c>
      <c r="E1173">
        <f t="shared" si="18"/>
        <v>1.3227611435506784E-29</v>
      </c>
    </row>
    <row r="1174" spans="1:5" x14ac:dyDescent="0.25">
      <c r="A1174">
        <v>1</v>
      </c>
      <c r="B1174">
        <v>8</v>
      </c>
      <c r="C1174">
        <v>17</v>
      </c>
      <c r="D1174">
        <v>22</v>
      </c>
      <c r="E1174">
        <f t="shared" si="18"/>
        <v>2.923042762316893E-28</v>
      </c>
    </row>
    <row r="1175" spans="1:5" x14ac:dyDescent="0.25">
      <c r="A1175">
        <v>1</v>
      </c>
      <c r="B1175">
        <v>8</v>
      </c>
      <c r="C1175">
        <v>18</v>
      </c>
      <c r="D1175">
        <v>21</v>
      </c>
      <c r="E1175">
        <f t="shared" si="18"/>
        <v>4.2871293847314383E-27</v>
      </c>
    </row>
    <row r="1176" spans="1:5" x14ac:dyDescent="0.25">
      <c r="A1176">
        <v>1</v>
      </c>
      <c r="B1176">
        <v>8</v>
      </c>
      <c r="C1176">
        <v>19</v>
      </c>
      <c r="D1176">
        <v>20</v>
      </c>
      <c r="E1176">
        <f t="shared" si="18"/>
        <v>4.454101792347296E-26</v>
      </c>
    </row>
    <row r="1177" spans="1:5" x14ac:dyDescent="0.25">
      <c r="A1177">
        <v>1</v>
      </c>
      <c r="B1177">
        <v>8</v>
      </c>
      <c r="C1177">
        <v>20</v>
      </c>
      <c r="D1177">
        <v>19</v>
      </c>
      <c r="E1177">
        <f t="shared" si="18"/>
        <v>3.4148113741329287E-25</v>
      </c>
    </row>
    <row r="1178" spans="1:5" x14ac:dyDescent="0.25">
      <c r="A1178">
        <v>1</v>
      </c>
      <c r="B1178">
        <v>8</v>
      </c>
      <c r="C1178">
        <v>21</v>
      </c>
      <c r="D1178">
        <v>18</v>
      </c>
      <c r="E1178">
        <f t="shared" si="18"/>
        <v>1.9861657992405799E-24</v>
      </c>
    </row>
    <row r="1179" spans="1:5" x14ac:dyDescent="0.25">
      <c r="A1179">
        <v>1</v>
      </c>
      <c r="B1179">
        <v>8</v>
      </c>
      <c r="C1179">
        <v>22</v>
      </c>
      <c r="D1179">
        <v>17</v>
      </c>
      <c r="E1179">
        <f t="shared" si="18"/>
        <v>8.9377460965826123E-24</v>
      </c>
    </row>
    <row r="1180" spans="1:5" x14ac:dyDescent="0.25">
      <c r="A1180">
        <v>1</v>
      </c>
      <c r="B1180">
        <v>8</v>
      </c>
      <c r="C1180">
        <v>23</v>
      </c>
      <c r="D1180">
        <v>16</v>
      </c>
      <c r="E1180">
        <f t="shared" si="18"/>
        <v>3.1562765200975303E-23</v>
      </c>
    </row>
    <row r="1181" spans="1:5" x14ac:dyDescent="0.25">
      <c r="A1181">
        <v>1</v>
      </c>
      <c r="B1181">
        <v>8</v>
      </c>
      <c r="C1181">
        <v>24</v>
      </c>
      <c r="D1181">
        <v>15</v>
      </c>
      <c r="E1181">
        <f t="shared" si="18"/>
        <v>8.8375742562730845E-23</v>
      </c>
    </row>
    <row r="1182" spans="1:5" x14ac:dyDescent="0.25">
      <c r="A1182">
        <v>1</v>
      </c>
      <c r="B1182">
        <v>8</v>
      </c>
      <c r="C1182">
        <v>25</v>
      </c>
      <c r="D1182">
        <v>14</v>
      </c>
      <c r="E1182">
        <f t="shared" si="18"/>
        <v>1.9764029700392545E-22</v>
      </c>
    </row>
    <row r="1183" spans="1:5" x14ac:dyDescent="0.25">
      <c r="A1183">
        <v>1</v>
      </c>
      <c r="B1183">
        <v>8</v>
      </c>
      <c r="C1183">
        <v>26</v>
      </c>
      <c r="D1183">
        <v>13</v>
      </c>
      <c r="E1183">
        <f t="shared" si="18"/>
        <v>3.547389946224301E-22</v>
      </c>
    </row>
    <row r="1184" spans="1:5" x14ac:dyDescent="0.25">
      <c r="A1184">
        <v>1</v>
      </c>
      <c r="B1184">
        <v>8</v>
      </c>
      <c r="C1184">
        <v>27</v>
      </c>
      <c r="D1184">
        <v>12</v>
      </c>
      <c r="E1184">
        <f t="shared" si="18"/>
        <v>5.1240077001017685E-22</v>
      </c>
    </row>
    <row r="1185" spans="1:5" x14ac:dyDescent="0.25">
      <c r="A1185">
        <v>1</v>
      </c>
      <c r="B1185">
        <v>8</v>
      </c>
      <c r="C1185">
        <v>28</v>
      </c>
      <c r="D1185">
        <v>11</v>
      </c>
      <c r="E1185">
        <f t="shared" si="18"/>
        <v>5.9605803858326687E-22</v>
      </c>
    </row>
    <row r="1186" spans="1:5" x14ac:dyDescent="0.25">
      <c r="A1186">
        <v>1</v>
      </c>
      <c r="B1186">
        <v>8</v>
      </c>
      <c r="C1186">
        <v>29</v>
      </c>
      <c r="D1186">
        <v>10</v>
      </c>
      <c r="E1186">
        <f t="shared" si="18"/>
        <v>5.5769108437560831E-22</v>
      </c>
    </row>
    <row r="1187" spans="1:5" x14ac:dyDescent="0.25">
      <c r="A1187">
        <v>1</v>
      </c>
      <c r="B1187">
        <v>8</v>
      </c>
      <c r="C1187">
        <v>30</v>
      </c>
      <c r="D1187">
        <v>9</v>
      </c>
      <c r="E1187">
        <f t="shared" si="18"/>
        <v>4.1826831328170624E-22</v>
      </c>
    </row>
    <row r="1188" spans="1:5" x14ac:dyDescent="0.25">
      <c r="A1188">
        <v>1</v>
      </c>
      <c r="B1188">
        <v>8</v>
      </c>
      <c r="C1188">
        <v>31</v>
      </c>
      <c r="D1188">
        <v>8</v>
      </c>
      <c r="E1188">
        <f t="shared" si="18"/>
        <v>2.5000857435244305E-22</v>
      </c>
    </row>
    <row r="1189" spans="1:5" x14ac:dyDescent="0.25">
      <c r="A1189">
        <v>1</v>
      </c>
      <c r="B1189">
        <v>8</v>
      </c>
      <c r="C1189">
        <v>32</v>
      </c>
      <c r="D1189">
        <v>7</v>
      </c>
      <c r="E1189">
        <f t="shared" si="18"/>
        <v>1.1805960455532035E-22</v>
      </c>
    </row>
    <row r="1190" spans="1:5" x14ac:dyDescent="0.25">
      <c r="A1190">
        <v>1</v>
      </c>
      <c r="B1190">
        <v>8</v>
      </c>
      <c r="C1190">
        <v>33</v>
      </c>
      <c r="D1190">
        <v>6</v>
      </c>
      <c r="E1190">
        <f t="shared" si="18"/>
        <v>4.3495643783539053E-23</v>
      </c>
    </row>
    <row r="1191" spans="1:5" x14ac:dyDescent="0.25">
      <c r="A1191">
        <v>1</v>
      </c>
      <c r="B1191">
        <v>8</v>
      </c>
      <c r="C1191">
        <v>34</v>
      </c>
      <c r="D1191">
        <v>5</v>
      </c>
      <c r="E1191">
        <f t="shared" si="18"/>
        <v>1.2281122950646323E-23</v>
      </c>
    </row>
    <row r="1192" spans="1:5" x14ac:dyDescent="0.25">
      <c r="A1192">
        <v>1</v>
      </c>
      <c r="B1192">
        <v>8</v>
      </c>
      <c r="C1192">
        <v>35</v>
      </c>
      <c r="D1192">
        <v>4</v>
      </c>
      <c r="E1192">
        <f t="shared" si="18"/>
        <v>2.5898966766669119E-24</v>
      </c>
    </row>
    <row r="1193" spans="1:5" x14ac:dyDescent="0.25">
      <c r="A1193">
        <v>1</v>
      </c>
      <c r="B1193">
        <v>8</v>
      </c>
      <c r="C1193">
        <v>36</v>
      </c>
      <c r="D1193">
        <v>3</v>
      </c>
      <c r="E1193">
        <f t="shared" si="18"/>
        <v>3.9240858737377459E-25</v>
      </c>
    </row>
    <row r="1194" spans="1:5" x14ac:dyDescent="0.25">
      <c r="A1194">
        <v>1</v>
      </c>
      <c r="B1194">
        <v>8</v>
      </c>
      <c r="C1194">
        <v>37</v>
      </c>
      <c r="D1194">
        <v>2</v>
      </c>
      <c r="E1194">
        <f t="shared" si="18"/>
        <v>4.0116976617530415E-26</v>
      </c>
    </row>
    <row r="1195" spans="1:5" x14ac:dyDescent="0.25">
      <c r="A1195">
        <v>1</v>
      </c>
      <c r="B1195">
        <v>8</v>
      </c>
      <c r="C1195">
        <v>38</v>
      </c>
      <c r="D1195">
        <v>1</v>
      </c>
      <c r="E1195">
        <f t="shared" si="18"/>
        <v>2.463323125637832E-27</v>
      </c>
    </row>
    <row r="1196" spans="1:5" x14ac:dyDescent="0.25">
      <c r="A1196">
        <v>1</v>
      </c>
      <c r="B1196">
        <v>8</v>
      </c>
      <c r="C1196">
        <v>39</v>
      </c>
      <c r="D1196">
        <v>0</v>
      </c>
      <c r="E1196">
        <f t="shared" si="18"/>
        <v>6.8215101940739964E-29</v>
      </c>
    </row>
    <row r="1197" spans="1:5" x14ac:dyDescent="0.25">
      <c r="A1197">
        <v>1</v>
      </c>
      <c r="B1197">
        <v>9</v>
      </c>
      <c r="C1197">
        <v>13</v>
      </c>
      <c r="D1197">
        <v>25</v>
      </c>
      <c r="E1197">
        <f t="shared" si="18"/>
        <v>3.4883474702385585E-32</v>
      </c>
    </row>
    <row r="1198" spans="1:5" x14ac:dyDescent="0.25">
      <c r="A1198">
        <v>1</v>
      </c>
      <c r="B1198">
        <v>9</v>
      </c>
      <c r="C1198">
        <v>14</v>
      </c>
      <c r="D1198">
        <v>24</v>
      </c>
      <c r="E1198">
        <f t="shared" si="18"/>
        <v>3.239179793792948E-30</v>
      </c>
    </row>
    <row r="1199" spans="1:5" x14ac:dyDescent="0.25">
      <c r="A1199">
        <v>1</v>
      </c>
      <c r="B1199">
        <v>9</v>
      </c>
      <c r="C1199">
        <v>15</v>
      </c>
      <c r="D1199">
        <v>23</v>
      </c>
      <c r="E1199">
        <f t="shared" si="18"/>
        <v>1.3215853558675219E-28</v>
      </c>
    </row>
    <row r="1200" spans="1:5" x14ac:dyDescent="0.25">
      <c r="A1200">
        <v>1</v>
      </c>
      <c r="B1200">
        <v>9</v>
      </c>
      <c r="C1200">
        <v>16</v>
      </c>
      <c r="D1200">
        <v>22</v>
      </c>
      <c r="E1200">
        <f t="shared" si="18"/>
        <v>3.1662982484326056E-27</v>
      </c>
    </row>
    <row r="1201" spans="1:5" x14ac:dyDescent="0.25">
      <c r="A1201">
        <v>1</v>
      </c>
      <c r="B1201">
        <v>9</v>
      </c>
      <c r="C1201">
        <v>17</v>
      </c>
      <c r="D1201">
        <v>21</v>
      </c>
      <c r="E1201">
        <f t="shared" si="18"/>
        <v>5.019513987956398E-26</v>
      </c>
    </row>
    <row r="1202" spans="1:5" x14ac:dyDescent="0.25">
      <c r="A1202">
        <v>1</v>
      </c>
      <c r="B1202">
        <v>9</v>
      </c>
      <c r="C1202">
        <v>18</v>
      </c>
      <c r="D1202">
        <v>20</v>
      </c>
      <c r="E1202">
        <f t="shared" si="18"/>
        <v>5.6218556665111597E-25</v>
      </c>
    </row>
    <row r="1203" spans="1:5" x14ac:dyDescent="0.25">
      <c r="A1203">
        <v>1</v>
      </c>
      <c r="B1203">
        <v>9</v>
      </c>
      <c r="C1203">
        <v>19</v>
      </c>
      <c r="D1203">
        <v>19</v>
      </c>
      <c r="E1203">
        <f t="shared" si="18"/>
        <v>4.6355651987021852E-24</v>
      </c>
    </row>
    <row r="1204" spans="1:5" x14ac:dyDescent="0.25">
      <c r="A1204">
        <v>1</v>
      </c>
      <c r="B1204">
        <v>9</v>
      </c>
      <c r="C1204">
        <v>20</v>
      </c>
      <c r="D1204">
        <v>18</v>
      </c>
      <c r="E1204">
        <f t="shared" si="18"/>
        <v>2.8939171311897967E-23</v>
      </c>
    </row>
    <row r="1205" spans="1:5" x14ac:dyDescent="0.25">
      <c r="A1205">
        <v>1</v>
      </c>
      <c r="B1205">
        <v>9</v>
      </c>
      <c r="C1205">
        <v>21</v>
      </c>
      <c r="D1205">
        <v>17</v>
      </c>
      <c r="E1205">
        <f t="shared" si="18"/>
        <v>1.395281473966507E-22</v>
      </c>
    </row>
    <row r="1206" spans="1:5" x14ac:dyDescent="0.25">
      <c r="A1206">
        <v>1</v>
      </c>
      <c r="B1206">
        <v>9</v>
      </c>
      <c r="C1206">
        <v>22</v>
      </c>
      <c r="D1206">
        <v>16</v>
      </c>
      <c r="E1206">
        <f t="shared" si="18"/>
        <v>5.2710633460956974E-22</v>
      </c>
    </row>
    <row r="1207" spans="1:5" x14ac:dyDescent="0.25">
      <c r="A1207">
        <v>1</v>
      </c>
      <c r="B1207">
        <v>9</v>
      </c>
      <c r="C1207">
        <v>23</v>
      </c>
      <c r="D1207">
        <v>15</v>
      </c>
      <c r="E1207">
        <f t="shared" si="18"/>
        <v>1.5767354704842775E-21</v>
      </c>
    </row>
    <row r="1208" spans="1:5" x14ac:dyDescent="0.25">
      <c r="A1208">
        <v>1</v>
      </c>
      <c r="B1208">
        <v>9</v>
      </c>
      <c r="C1208">
        <v>24</v>
      </c>
      <c r="D1208">
        <v>14</v>
      </c>
      <c r="E1208">
        <f t="shared" si="18"/>
        <v>3.7626641909283893E-21</v>
      </c>
    </row>
    <row r="1209" spans="1:5" x14ac:dyDescent="0.25">
      <c r="A1209">
        <v>1</v>
      </c>
      <c r="B1209">
        <v>9</v>
      </c>
      <c r="C1209">
        <v>25</v>
      </c>
      <c r="D1209">
        <v>13</v>
      </c>
      <c r="E1209">
        <f t="shared" si="18"/>
        <v>7.1992308186429894E-21</v>
      </c>
    </row>
    <row r="1210" spans="1:5" x14ac:dyDescent="0.25">
      <c r="A1210">
        <v>1</v>
      </c>
      <c r="B1210">
        <v>9</v>
      </c>
      <c r="C1210">
        <v>26</v>
      </c>
      <c r="D1210">
        <v>12</v>
      </c>
      <c r="E1210">
        <f t="shared" si="18"/>
        <v>1.1075739720989206E-20</v>
      </c>
    </row>
    <row r="1211" spans="1:5" x14ac:dyDescent="0.25">
      <c r="A1211">
        <v>1</v>
      </c>
      <c r="B1211">
        <v>9</v>
      </c>
      <c r="C1211">
        <v>27</v>
      </c>
      <c r="D1211">
        <v>11</v>
      </c>
      <c r="E1211">
        <f t="shared" si="18"/>
        <v>1.3712820606939015E-20</v>
      </c>
    </row>
    <row r="1212" spans="1:5" x14ac:dyDescent="0.25">
      <c r="A1212">
        <v>1</v>
      </c>
      <c r="B1212">
        <v>9</v>
      </c>
      <c r="C1212">
        <v>28</v>
      </c>
      <c r="D1212">
        <v>10</v>
      </c>
      <c r="E1212">
        <f t="shared" si="18"/>
        <v>1.364752146119169E-20</v>
      </c>
    </row>
    <row r="1213" spans="1:5" x14ac:dyDescent="0.25">
      <c r="A1213">
        <v>1</v>
      </c>
      <c r="B1213">
        <v>9</v>
      </c>
      <c r="C1213">
        <v>29</v>
      </c>
      <c r="D1213">
        <v>9</v>
      </c>
      <c r="E1213">
        <f t="shared" si="18"/>
        <v>1.0882721854829582E-20</v>
      </c>
    </row>
    <row r="1214" spans="1:5" x14ac:dyDescent="0.25">
      <c r="A1214">
        <v>1</v>
      </c>
      <c r="B1214">
        <v>9</v>
      </c>
      <c r="C1214">
        <v>30</v>
      </c>
      <c r="D1214">
        <v>8</v>
      </c>
      <c r="E1214">
        <f t="shared" si="18"/>
        <v>6.9137291783623217E-21</v>
      </c>
    </row>
    <row r="1215" spans="1:5" x14ac:dyDescent="0.25">
      <c r="A1215">
        <v>1</v>
      </c>
      <c r="B1215">
        <v>9</v>
      </c>
      <c r="C1215">
        <v>31</v>
      </c>
      <c r="D1215">
        <v>7</v>
      </c>
      <c r="E1215">
        <f t="shared" si="18"/>
        <v>3.4692547848413092E-21</v>
      </c>
    </row>
    <row r="1216" spans="1:5" x14ac:dyDescent="0.25">
      <c r="A1216">
        <v>1</v>
      </c>
      <c r="B1216">
        <v>9</v>
      </c>
      <c r="C1216">
        <v>32</v>
      </c>
      <c r="D1216">
        <v>6</v>
      </c>
      <c r="E1216">
        <f t="shared" si="18"/>
        <v>1.3580306559082749E-21</v>
      </c>
    </row>
    <row r="1217" spans="1:5" x14ac:dyDescent="0.25">
      <c r="A1217">
        <v>1</v>
      </c>
      <c r="B1217">
        <v>9</v>
      </c>
      <c r="C1217">
        <v>33</v>
      </c>
      <c r="D1217">
        <v>5</v>
      </c>
      <c r="E1217">
        <f t="shared" si="18"/>
        <v>4.0740919677248249E-22</v>
      </c>
    </row>
    <row r="1218" spans="1:5" x14ac:dyDescent="0.25">
      <c r="A1218">
        <v>1</v>
      </c>
      <c r="B1218">
        <v>9</v>
      </c>
      <c r="C1218">
        <v>34</v>
      </c>
      <c r="D1218">
        <v>4</v>
      </c>
      <c r="E1218">
        <f t="shared" si="18"/>
        <v>9.1296178548455495E-23</v>
      </c>
    </row>
    <row r="1219" spans="1:5" x14ac:dyDescent="0.25">
      <c r="A1219">
        <v>1</v>
      </c>
      <c r="B1219">
        <v>9</v>
      </c>
      <c r="C1219">
        <v>35</v>
      </c>
      <c r="D1219">
        <v>3</v>
      </c>
      <c r="E1219">
        <f t="shared" si="18"/>
        <v>1.4702241740270752E-23</v>
      </c>
    </row>
    <row r="1220" spans="1:5" x14ac:dyDescent="0.25">
      <c r="A1220">
        <v>1</v>
      </c>
      <c r="B1220">
        <v>9</v>
      </c>
      <c r="C1220">
        <v>36</v>
      </c>
      <c r="D1220">
        <v>2</v>
      </c>
      <c r="E1220">
        <f t="shared" si="18"/>
        <v>1.598069754377256E-24</v>
      </c>
    </row>
    <row r="1221" spans="1:5" x14ac:dyDescent="0.25">
      <c r="A1221">
        <v>1</v>
      </c>
      <c r="B1221">
        <v>9</v>
      </c>
      <c r="C1221">
        <v>37</v>
      </c>
      <c r="D1221">
        <v>1</v>
      </c>
      <c r="E1221">
        <f t="shared" si="18"/>
        <v>1.0437842990301896E-25</v>
      </c>
    </row>
    <row r="1222" spans="1:5" x14ac:dyDescent="0.25">
      <c r="A1222">
        <v>1</v>
      </c>
      <c r="B1222">
        <v>9</v>
      </c>
      <c r="C1222">
        <v>38</v>
      </c>
      <c r="D1222">
        <v>0</v>
      </c>
      <c r="E1222">
        <f t="shared" si="18"/>
        <v>3.076416881352137E-27</v>
      </c>
    </row>
    <row r="1223" spans="1:5" x14ac:dyDescent="0.25">
      <c r="A1223">
        <v>1</v>
      </c>
      <c r="B1223">
        <v>10</v>
      </c>
      <c r="C1223">
        <v>12</v>
      </c>
      <c r="D1223">
        <v>25</v>
      </c>
      <c r="E1223">
        <f t="shared" si="18"/>
        <v>2.395770715409122E-31</v>
      </c>
    </row>
    <row r="1224" spans="1:5" x14ac:dyDescent="0.25">
      <c r="A1224">
        <v>1</v>
      </c>
      <c r="B1224">
        <v>10</v>
      </c>
      <c r="C1224">
        <v>13</v>
      </c>
      <c r="D1224">
        <v>24</v>
      </c>
      <c r="E1224">
        <f t="shared" si="18"/>
        <v>2.4418432291669905E-29</v>
      </c>
    </row>
    <row r="1225" spans="1:5" x14ac:dyDescent="0.25">
      <c r="A1225">
        <v>1</v>
      </c>
      <c r="B1225">
        <v>10</v>
      </c>
      <c r="C1225">
        <v>14</v>
      </c>
      <c r="D1225">
        <v>23</v>
      </c>
      <c r="E1225">
        <f t="shared" si="18"/>
        <v>1.0883644107144304E-27</v>
      </c>
    </row>
    <row r="1226" spans="1:5" x14ac:dyDescent="0.25">
      <c r="A1226">
        <v>1</v>
      </c>
      <c r="B1226">
        <v>10</v>
      </c>
      <c r="C1226">
        <v>15</v>
      </c>
      <c r="D1226">
        <v>22</v>
      </c>
      <c r="E1226">
        <f t="shared" si="18"/>
        <v>2.8370032305956137E-26</v>
      </c>
    </row>
    <row r="1227" spans="1:5" x14ac:dyDescent="0.25">
      <c r="A1227">
        <v>1</v>
      </c>
      <c r="B1227">
        <v>10</v>
      </c>
      <c r="C1227">
        <v>16</v>
      </c>
      <c r="D1227">
        <v>21</v>
      </c>
      <c r="E1227">
        <f t="shared" si="18"/>
        <v>4.8760993025862126E-25</v>
      </c>
    </row>
    <row r="1228" spans="1:5" x14ac:dyDescent="0.25">
      <c r="A1228">
        <v>1</v>
      </c>
      <c r="B1228">
        <v>10</v>
      </c>
      <c r="C1228">
        <v>17</v>
      </c>
      <c r="D1228">
        <v>20</v>
      </c>
      <c r="E1228">
        <f t="shared" si="18"/>
        <v>5.9029484498367232E-24</v>
      </c>
    </row>
    <row r="1229" spans="1:5" x14ac:dyDescent="0.25">
      <c r="A1229">
        <v>1</v>
      </c>
      <c r="B1229">
        <v>10</v>
      </c>
      <c r="C1229">
        <v>18</v>
      </c>
      <c r="D1229">
        <v>19</v>
      </c>
      <c r="E1229">
        <f t="shared" si="18"/>
        <v>5.2470652887437481E-23</v>
      </c>
    </row>
    <row r="1230" spans="1:5" x14ac:dyDescent="0.25">
      <c r="A1230">
        <v>1</v>
      </c>
      <c r="B1230">
        <v>10</v>
      </c>
      <c r="C1230">
        <v>19</v>
      </c>
      <c r="D1230">
        <v>18</v>
      </c>
      <c r="E1230">
        <f t="shared" ref="E1230:E1293" si="19">COMBIN(A$4,A1230)*COMBIN(B$4,B1230)*COMBIN(C$4,C1230)*COMBIN(D$4,D1230)/COMBIN($G$4,$F$4)</f>
        <v>3.5230295510136629E-22</v>
      </c>
    </row>
    <row r="1231" spans="1:5" x14ac:dyDescent="0.25">
      <c r="A1231">
        <v>1</v>
      </c>
      <c r="B1231">
        <v>10</v>
      </c>
      <c r="C1231">
        <v>20</v>
      </c>
      <c r="D1231">
        <v>17</v>
      </c>
      <c r="E1231">
        <f t="shared" si="19"/>
        <v>1.8231677926495715E-21</v>
      </c>
    </row>
    <row r="1232" spans="1:5" x14ac:dyDescent="0.25">
      <c r="A1232">
        <v>1</v>
      </c>
      <c r="B1232">
        <v>10</v>
      </c>
      <c r="C1232">
        <v>21</v>
      </c>
      <c r="D1232">
        <v>16</v>
      </c>
      <c r="E1232">
        <f t="shared" si="19"/>
        <v>7.3794886845339713E-21</v>
      </c>
    </row>
    <row r="1233" spans="1:5" x14ac:dyDescent="0.25">
      <c r="A1233">
        <v>1</v>
      </c>
      <c r="B1233">
        <v>10</v>
      </c>
      <c r="C1233">
        <v>22</v>
      </c>
      <c r="D1233">
        <v>15</v>
      </c>
      <c r="E1233">
        <f t="shared" si="19"/>
        <v>2.3614363790508718E-20</v>
      </c>
    </row>
    <row r="1234" spans="1:5" x14ac:dyDescent="0.25">
      <c r="A1234">
        <v>1</v>
      </c>
      <c r="B1234">
        <v>10</v>
      </c>
      <c r="C1234">
        <v>23</v>
      </c>
      <c r="D1234">
        <v>14</v>
      </c>
      <c r="E1234">
        <f t="shared" si="19"/>
        <v>6.0202627054854229E-20</v>
      </c>
    </row>
    <row r="1235" spans="1:5" x14ac:dyDescent="0.25">
      <c r="A1235">
        <v>1</v>
      </c>
      <c r="B1235">
        <v>10</v>
      </c>
      <c r="C1235">
        <v>24</v>
      </c>
      <c r="D1235">
        <v>13</v>
      </c>
      <c r="E1235">
        <f t="shared" si="19"/>
        <v>1.2291369690366076E-19</v>
      </c>
    </row>
    <row r="1236" spans="1:5" x14ac:dyDescent="0.25">
      <c r="A1236">
        <v>1</v>
      </c>
      <c r="B1236">
        <v>10</v>
      </c>
      <c r="C1236">
        <v>25</v>
      </c>
      <c r="D1236">
        <v>12</v>
      </c>
      <c r="E1236">
        <f t="shared" si="19"/>
        <v>2.0157846292200372E-19</v>
      </c>
    </row>
    <row r="1237" spans="1:5" x14ac:dyDescent="0.25">
      <c r="A1237">
        <v>1</v>
      </c>
      <c r="B1237">
        <v>10</v>
      </c>
      <c r="C1237">
        <v>26</v>
      </c>
      <c r="D1237">
        <v>11</v>
      </c>
      <c r="E1237">
        <f t="shared" si="19"/>
        <v>2.6581775330374096E-19</v>
      </c>
    </row>
    <row r="1238" spans="1:5" x14ac:dyDescent="0.25">
      <c r="A1238">
        <v>1</v>
      </c>
      <c r="B1238">
        <v>10</v>
      </c>
      <c r="C1238">
        <v>27</v>
      </c>
      <c r="D1238">
        <v>10</v>
      </c>
      <c r="E1238">
        <f t="shared" si="19"/>
        <v>2.8156991646248111E-19</v>
      </c>
    </row>
    <row r="1239" spans="1:5" x14ac:dyDescent="0.25">
      <c r="A1239">
        <v>1</v>
      </c>
      <c r="B1239">
        <v>10</v>
      </c>
      <c r="C1239">
        <v>28</v>
      </c>
      <c r="D1239">
        <v>9</v>
      </c>
      <c r="E1239">
        <f t="shared" si="19"/>
        <v>2.3883162557085454E-19</v>
      </c>
    </row>
    <row r="1240" spans="1:5" x14ac:dyDescent="0.25">
      <c r="A1240">
        <v>1</v>
      </c>
      <c r="B1240">
        <v>10</v>
      </c>
      <c r="C1240">
        <v>29</v>
      </c>
      <c r="D1240">
        <v>8</v>
      </c>
      <c r="E1240">
        <f t="shared" si="19"/>
        <v>1.6132034749512088E-19</v>
      </c>
    </row>
    <row r="1241" spans="1:5" x14ac:dyDescent="0.25">
      <c r="A1241">
        <v>1</v>
      </c>
      <c r="B1241">
        <v>10</v>
      </c>
      <c r="C1241">
        <v>30</v>
      </c>
      <c r="D1241">
        <v>7</v>
      </c>
      <c r="E1241">
        <f t="shared" si="19"/>
        <v>8.6037518664064473E-20</v>
      </c>
    </row>
    <row r="1242" spans="1:5" x14ac:dyDescent="0.25">
      <c r="A1242">
        <v>1</v>
      </c>
      <c r="B1242">
        <v>10</v>
      </c>
      <c r="C1242">
        <v>31</v>
      </c>
      <c r="D1242">
        <v>6</v>
      </c>
      <c r="E1242">
        <f t="shared" si="19"/>
        <v>3.5788101990994548E-20</v>
      </c>
    </row>
    <row r="1243" spans="1:5" x14ac:dyDescent="0.25">
      <c r="A1243">
        <v>1</v>
      </c>
      <c r="B1243">
        <v>10</v>
      </c>
      <c r="C1243">
        <v>32</v>
      </c>
      <c r="D1243">
        <v>5</v>
      </c>
      <c r="E1243">
        <f t="shared" si="19"/>
        <v>1.1407457509629509E-20</v>
      </c>
    </row>
    <row r="1244" spans="1:5" x14ac:dyDescent="0.25">
      <c r="A1244">
        <v>1</v>
      </c>
      <c r="B1244">
        <v>10</v>
      </c>
      <c r="C1244">
        <v>33</v>
      </c>
      <c r="D1244">
        <v>4</v>
      </c>
      <c r="E1244">
        <f t="shared" si="19"/>
        <v>2.7160613118165506E-21</v>
      </c>
    </row>
    <row r="1245" spans="1:5" x14ac:dyDescent="0.25">
      <c r="A1245">
        <v>1</v>
      </c>
      <c r="B1245">
        <v>10</v>
      </c>
      <c r="C1245">
        <v>34</v>
      </c>
      <c r="D1245">
        <v>3</v>
      </c>
      <c r="E1245">
        <f t="shared" si="19"/>
        <v>4.6478054533759161E-22</v>
      </c>
    </row>
    <row r="1246" spans="1:5" x14ac:dyDescent="0.25">
      <c r="A1246">
        <v>1</v>
      </c>
      <c r="B1246">
        <v>10</v>
      </c>
      <c r="C1246">
        <v>35</v>
      </c>
      <c r="D1246">
        <v>2</v>
      </c>
      <c r="E1246">
        <f t="shared" si="19"/>
        <v>5.3695143747075794E-23</v>
      </c>
    </row>
    <row r="1247" spans="1:5" x14ac:dyDescent="0.25">
      <c r="A1247">
        <v>1</v>
      </c>
      <c r="B1247">
        <v>10</v>
      </c>
      <c r="C1247">
        <v>36</v>
      </c>
      <c r="D1247">
        <v>1</v>
      </c>
      <c r="E1247">
        <f t="shared" si="19"/>
        <v>3.7288294268802642E-24</v>
      </c>
    </row>
    <row r="1248" spans="1:5" x14ac:dyDescent="0.25">
      <c r="A1248">
        <v>1</v>
      </c>
      <c r="B1248">
        <v>10</v>
      </c>
      <c r="C1248">
        <v>37</v>
      </c>
      <c r="D1248">
        <v>0</v>
      </c>
      <c r="E1248">
        <f t="shared" si="19"/>
        <v>1.1690384149138122E-25</v>
      </c>
    </row>
    <row r="1249" spans="1:5" x14ac:dyDescent="0.25">
      <c r="A1249">
        <v>1</v>
      </c>
      <c r="B1249">
        <v>11</v>
      </c>
      <c r="C1249">
        <v>11</v>
      </c>
      <c r="D1249">
        <v>25</v>
      </c>
      <c r="E1249">
        <f t="shared" si="19"/>
        <v>1.3503434941396876E-30</v>
      </c>
    </row>
    <row r="1250" spans="1:5" x14ac:dyDescent="0.25">
      <c r="A1250">
        <v>1</v>
      </c>
      <c r="B1250">
        <v>11</v>
      </c>
      <c r="C1250">
        <v>12</v>
      </c>
      <c r="D1250">
        <v>24</v>
      </c>
      <c r="E1250">
        <f t="shared" si="19"/>
        <v>1.5191364309071476E-28</v>
      </c>
    </row>
    <row r="1251" spans="1:5" x14ac:dyDescent="0.25">
      <c r="A1251">
        <v>1</v>
      </c>
      <c r="B1251">
        <v>11</v>
      </c>
      <c r="C1251">
        <v>13</v>
      </c>
      <c r="D1251">
        <v>23</v>
      </c>
      <c r="E1251">
        <f t="shared" si="19"/>
        <v>7.4320828465918946E-27</v>
      </c>
    </row>
    <row r="1252" spans="1:5" x14ac:dyDescent="0.25">
      <c r="A1252">
        <v>1</v>
      </c>
      <c r="B1252">
        <v>11</v>
      </c>
      <c r="C1252">
        <v>14</v>
      </c>
      <c r="D1252">
        <v>22</v>
      </c>
      <c r="E1252">
        <f t="shared" si="19"/>
        <v>2.1163740677437876E-25</v>
      </c>
    </row>
    <row r="1253" spans="1:5" x14ac:dyDescent="0.25">
      <c r="A1253">
        <v>1</v>
      </c>
      <c r="B1253">
        <v>11</v>
      </c>
      <c r="C1253">
        <v>15</v>
      </c>
      <c r="D1253">
        <v>21</v>
      </c>
      <c r="E1253">
        <f t="shared" si="19"/>
        <v>3.9576195066808817E-24</v>
      </c>
    </row>
    <row r="1254" spans="1:5" x14ac:dyDescent="0.25">
      <c r="A1254">
        <v>1</v>
      </c>
      <c r="B1254">
        <v>11</v>
      </c>
      <c r="C1254">
        <v>16</v>
      </c>
      <c r="D1254">
        <v>20</v>
      </c>
      <c r="E1254">
        <f t="shared" si="19"/>
        <v>5.1943756025186563E-23</v>
      </c>
    </row>
    <row r="1255" spans="1:5" x14ac:dyDescent="0.25">
      <c r="A1255">
        <v>1</v>
      </c>
      <c r="B1255">
        <v>11</v>
      </c>
      <c r="C1255">
        <v>17</v>
      </c>
      <c r="D1255">
        <v>19</v>
      </c>
      <c r="E1255">
        <f t="shared" si="19"/>
        <v>4.9906745984983197E-22</v>
      </c>
    </row>
    <row r="1256" spans="1:5" x14ac:dyDescent="0.25">
      <c r="A1256">
        <v>1</v>
      </c>
      <c r="B1256">
        <v>11</v>
      </c>
      <c r="C1256">
        <v>18</v>
      </c>
      <c r="D1256">
        <v>18</v>
      </c>
      <c r="E1256">
        <f t="shared" si="19"/>
        <v>3.612297804627353E-21</v>
      </c>
    </row>
    <row r="1257" spans="1:5" x14ac:dyDescent="0.25">
      <c r="A1257">
        <v>1</v>
      </c>
      <c r="B1257">
        <v>11</v>
      </c>
      <c r="C1257">
        <v>19</v>
      </c>
      <c r="D1257">
        <v>17</v>
      </c>
      <c r="E1257">
        <f t="shared" si="19"/>
        <v>2.010528909680751E-20</v>
      </c>
    </row>
    <row r="1258" spans="1:5" x14ac:dyDescent="0.25">
      <c r="A1258">
        <v>1</v>
      </c>
      <c r="B1258">
        <v>11</v>
      </c>
      <c r="C1258">
        <v>20</v>
      </c>
      <c r="D1258">
        <v>16</v>
      </c>
      <c r="E1258">
        <f t="shared" si="19"/>
        <v>8.7346311520574905E-20</v>
      </c>
    </row>
    <row r="1259" spans="1:5" x14ac:dyDescent="0.25">
      <c r="A1259">
        <v>1</v>
      </c>
      <c r="B1259">
        <v>11</v>
      </c>
      <c r="C1259">
        <v>21</v>
      </c>
      <c r="D1259">
        <v>15</v>
      </c>
      <c r="E1259">
        <f t="shared" si="19"/>
        <v>2.9947306807054213E-19</v>
      </c>
    </row>
    <row r="1260" spans="1:5" x14ac:dyDescent="0.25">
      <c r="A1260">
        <v>1</v>
      </c>
      <c r="B1260">
        <v>11</v>
      </c>
      <c r="C1260">
        <v>22</v>
      </c>
      <c r="D1260">
        <v>14</v>
      </c>
      <c r="E1260">
        <f t="shared" si="19"/>
        <v>8.167447311014793E-19</v>
      </c>
    </row>
    <row r="1261" spans="1:5" x14ac:dyDescent="0.25">
      <c r="A1261">
        <v>1</v>
      </c>
      <c r="B1261">
        <v>11</v>
      </c>
      <c r="C1261">
        <v>23</v>
      </c>
      <c r="D1261">
        <v>13</v>
      </c>
      <c r="E1261">
        <f t="shared" si="19"/>
        <v>1.7814504642140958E-18</v>
      </c>
    </row>
    <row r="1262" spans="1:5" x14ac:dyDescent="0.25">
      <c r="A1262">
        <v>1</v>
      </c>
      <c r="B1262">
        <v>11</v>
      </c>
      <c r="C1262">
        <v>24</v>
      </c>
      <c r="D1262">
        <v>12</v>
      </c>
      <c r="E1262">
        <f t="shared" si="19"/>
        <v>3.1175383123746678E-18</v>
      </c>
    </row>
    <row r="1263" spans="1:5" x14ac:dyDescent="0.25">
      <c r="A1263">
        <v>1</v>
      </c>
      <c r="B1263">
        <v>11</v>
      </c>
      <c r="C1263">
        <v>25</v>
      </c>
      <c r="D1263">
        <v>11</v>
      </c>
      <c r="E1263">
        <f t="shared" si="19"/>
        <v>4.3823681419666765E-18</v>
      </c>
    </row>
    <row r="1264" spans="1:5" x14ac:dyDescent="0.25">
      <c r="A1264">
        <v>1</v>
      </c>
      <c r="B1264">
        <v>11</v>
      </c>
      <c r="C1264">
        <v>26</v>
      </c>
      <c r="D1264">
        <v>10</v>
      </c>
      <c r="E1264">
        <f t="shared" si="19"/>
        <v>4.9442102114495804E-18</v>
      </c>
    </row>
    <row r="1265" spans="1:5" x14ac:dyDescent="0.25">
      <c r="A1265">
        <v>1</v>
      </c>
      <c r="B1265">
        <v>11</v>
      </c>
      <c r="C1265">
        <v>27</v>
      </c>
      <c r="D1265">
        <v>9</v>
      </c>
      <c r="E1265">
        <f t="shared" si="19"/>
        <v>4.4635231075586496E-18</v>
      </c>
    </row>
    <row r="1266" spans="1:5" x14ac:dyDescent="0.25">
      <c r="A1266">
        <v>1</v>
      </c>
      <c r="B1266">
        <v>11</v>
      </c>
      <c r="C1266">
        <v>28</v>
      </c>
      <c r="D1266">
        <v>8</v>
      </c>
      <c r="E1266">
        <f t="shared" si="19"/>
        <v>3.2069850898845757E-18</v>
      </c>
    </row>
    <row r="1267" spans="1:5" x14ac:dyDescent="0.25">
      <c r="A1267">
        <v>1</v>
      </c>
      <c r="B1267">
        <v>11</v>
      </c>
      <c r="C1267">
        <v>29</v>
      </c>
      <c r="D1267">
        <v>7</v>
      </c>
      <c r="E1267">
        <f t="shared" si="19"/>
        <v>1.81852028085409E-18</v>
      </c>
    </row>
    <row r="1268" spans="1:5" x14ac:dyDescent="0.25">
      <c r="A1268">
        <v>1</v>
      </c>
      <c r="B1268">
        <v>11</v>
      </c>
      <c r="C1268">
        <v>30</v>
      </c>
      <c r="D1268">
        <v>6</v>
      </c>
      <c r="E1268">
        <f t="shared" si="19"/>
        <v>8.0397738732496575E-19</v>
      </c>
    </row>
    <row r="1269" spans="1:5" x14ac:dyDescent="0.25">
      <c r="A1269">
        <v>1</v>
      </c>
      <c r="B1269">
        <v>11</v>
      </c>
      <c r="C1269">
        <v>31</v>
      </c>
      <c r="D1269">
        <v>5</v>
      </c>
      <c r="E1269">
        <f t="shared" si="19"/>
        <v>2.7231492151329485E-19</v>
      </c>
    </row>
    <row r="1270" spans="1:5" x14ac:dyDescent="0.25">
      <c r="A1270">
        <v>1</v>
      </c>
      <c r="B1270">
        <v>11</v>
      </c>
      <c r="C1270">
        <v>32</v>
      </c>
      <c r="D1270">
        <v>4</v>
      </c>
      <c r="E1270">
        <f t="shared" si="19"/>
        <v>6.8889191454256138E-20</v>
      </c>
    </row>
    <row r="1271" spans="1:5" x14ac:dyDescent="0.25">
      <c r="A1271">
        <v>1</v>
      </c>
      <c r="B1271">
        <v>11</v>
      </c>
      <c r="C1271">
        <v>33</v>
      </c>
      <c r="D1271">
        <v>3</v>
      </c>
      <c r="E1271">
        <f t="shared" si="19"/>
        <v>1.2525307537137478E-20</v>
      </c>
    </row>
    <row r="1272" spans="1:5" x14ac:dyDescent="0.25">
      <c r="A1272">
        <v>1</v>
      </c>
      <c r="B1272">
        <v>11</v>
      </c>
      <c r="C1272">
        <v>34</v>
      </c>
      <c r="D1272">
        <v>2</v>
      </c>
      <c r="E1272">
        <f t="shared" si="19"/>
        <v>1.5376336618480793E-21</v>
      </c>
    </row>
    <row r="1273" spans="1:5" x14ac:dyDescent="0.25">
      <c r="A1273">
        <v>1</v>
      </c>
      <c r="B1273">
        <v>11</v>
      </c>
      <c r="C1273">
        <v>35</v>
      </c>
      <c r="D1273">
        <v>1</v>
      </c>
      <c r="E1273">
        <f t="shared" si="19"/>
        <v>1.1349200837450109E-22</v>
      </c>
    </row>
    <row r="1274" spans="1:5" x14ac:dyDescent="0.25">
      <c r="A1274">
        <v>1</v>
      </c>
      <c r="B1274">
        <v>11</v>
      </c>
      <c r="C1274">
        <v>36</v>
      </c>
      <c r="D1274">
        <v>0</v>
      </c>
      <c r="E1274">
        <f t="shared" si="19"/>
        <v>3.7830669458167041E-24</v>
      </c>
    </row>
    <row r="1275" spans="1:5" x14ac:dyDescent="0.25">
      <c r="A1275">
        <v>1</v>
      </c>
      <c r="B1275">
        <v>12</v>
      </c>
      <c r="C1275">
        <v>10</v>
      </c>
      <c r="D1275">
        <v>25</v>
      </c>
      <c r="E1275">
        <f t="shared" si="19"/>
        <v>6.2565915228472182E-30</v>
      </c>
    </row>
    <row r="1276" spans="1:5" x14ac:dyDescent="0.25">
      <c r="A1276">
        <v>1</v>
      </c>
      <c r="B1276">
        <v>12</v>
      </c>
      <c r="C1276">
        <v>11</v>
      </c>
      <c r="D1276">
        <v>24</v>
      </c>
      <c r="E1276">
        <f t="shared" si="19"/>
        <v>7.8207394035590216E-28</v>
      </c>
    </row>
    <row r="1277" spans="1:5" x14ac:dyDescent="0.25">
      <c r="A1277">
        <v>1</v>
      </c>
      <c r="B1277">
        <v>12</v>
      </c>
      <c r="C1277">
        <v>12</v>
      </c>
      <c r="D1277">
        <v>23</v>
      </c>
      <c r="E1277">
        <f t="shared" si="19"/>
        <v>4.2231992779218694E-26</v>
      </c>
    </row>
    <row r="1278" spans="1:5" x14ac:dyDescent="0.25">
      <c r="A1278">
        <v>1</v>
      </c>
      <c r="B1278">
        <v>12</v>
      </c>
      <c r="C1278">
        <v>13</v>
      </c>
      <c r="D1278">
        <v>22</v>
      </c>
      <c r="E1278">
        <f t="shared" si="19"/>
        <v>1.3200204922530159E-24</v>
      </c>
    </row>
    <row r="1279" spans="1:5" x14ac:dyDescent="0.25">
      <c r="A1279">
        <v>1</v>
      </c>
      <c r="B1279">
        <v>12</v>
      </c>
      <c r="C1279">
        <v>14</v>
      </c>
      <c r="D1279">
        <v>21</v>
      </c>
      <c r="E1279">
        <f t="shared" si="19"/>
        <v>2.6966132913168756E-23</v>
      </c>
    </row>
    <row r="1280" spans="1:5" x14ac:dyDescent="0.25">
      <c r="A1280">
        <v>1</v>
      </c>
      <c r="B1280">
        <v>12</v>
      </c>
      <c r="C1280">
        <v>15</v>
      </c>
      <c r="D1280">
        <v>20</v>
      </c>
      <c r="E1280">
        <f t="shared" si="19"/>
        <v>3.8507637800004962E-22</v>
      </c>
    </row>
    <row r="1281" spans="1:5" x14ac:dyDescent="0.25">
      <c r="A1281">
        <v>1</v>
      </c>
      <c r="B1281">
        <v>12</v>
      </c>
      <c r="C1281">
        <v>16</v>
      </c>
      <c r="D1281">
        <v>19</v>
      </c>
      <c r="E1281">
        <f t="shared" si="19"/>
        <v>4.0112122708338511E-21</v>
      </c>
    </row>
    <row r="1282" spans="1:5" x14ac:dyDescent="0.25">
      <c r="A1282">
        <v>1</v>
      </c>
      <c r="B1282">
        <v>12</v>
      </c>
      <c r="C1282">
        <v>17</v>
      </c>
      <c r="D1282">
        <v>18</v>
      </c>
      <c r="E1282">
        <f t="shared" si="19"/>
        <v>3.1381837177700154E-20</v>
      </c>
    </row>
    <row r="1283" spans="1:5" x14ac:dyDescent="0.25">
      <c r="A1283">
        <v>1</v>
      </c>
      <c r="B1283">
        <v>12</v>
      </c>
      <c r="C1283">
        <v>18</v>
      </c>
      <c r="D1283">
        <v>17</v>
      </c>
      <c r="E1283">
        <f t="shared" si="19"/>
        <v>1.8829102306620072E-19</v>
      </c>
    </row>
    <row r="1284" spans="1:5" x14ac:dyDescent="0.25">
      <c r="A1284">
        <v>1</v>
      </c>
      <c r="B1284">
        <v>12</v>
      </c>
      <c r="C1284">
        <v>19</v>
      </c>
      <c r="D1284">
        <v>16</v>
      </c>
      <c r="E1284">
        <f t="shared" si="19"/>
        <v>8.7979255806955802E-19</v>
      </c>
    </row>
    <row r="1285" spans="1:5" x14ac:dyDescent="0.25">
      <c r="A1285">
        <v>1</v>
      </c>
      <c r="B1285">
        <v>12</v>
      </c>
      <c r="C1285">
        <v>20</v>
      </c>
      <c r="D1285">
        <v>15</v>
      </c>
      <c r="E1285">
        <f t="shared" si="19"/>
        <v>3.2376366136959757E-18</v>
      </c>
    </row>
    <row r="1286" spans="1:5" x14ac:dyDescent="0.25">
      <c r="A1286">
        <v>1</v>
      </c>
      <c r="B1286">
        <v>12</v>
      </c>
      <c r="C1286">
        <v>21</v>
      </c>
      <c r="D1286">
        <v>14</v>
      </c>
      <c r="E1286">
        <f t="shared" si="19"/>
        <v>9.4606264685921276E-18</v>
      </c>
    </row>
    <row r="1287" spans="1:5" x14ac:dyDescent="0.25">
      <c r="A1287">
        <v>1</v>
      </c>
      <c r="B1287">
        <v>12</v>
      </c>
      <c r="C1287">
        <v>22</v>
      </c>
      <c r="D1287">
        <v>13</v>
      </c>
      <c r="E1287">
        <f t="shared" si="19"/>
        <v>2.2074795093381647E-17</v>
      </c>
    </row>
    <row r="1288" spans="1:5" x14ac:dyDescent="0.25">
      <c r="A1288">
        <v>1</v>
      </c>
      <c r="B1288">
        <v>12</v>
      </c>
      <c r="C1288">
        <v>23</v>
      </c>
      <c r="D1288">
        <v>12</v>
      </c>
      <c r="E1288">
        <f t="shared" si="19"/>
        <v>4.1270269087626549E-17</v>
      </c>
    </row>
    <row r="1289" spans="1:5" x14ac:dyDescent="0.25">
      <c r="A1289">
        <v>1</v>
      </c>
      <c r="B1289">
        <v>12</v>
      </c>
      <c r="C1289">
        <v>24</v>
      </c>
      <c r="D1289">
        <v>11</v>
      </c>
      <c r="E1289">
        <f t="shared" si="19"/>
        <v>6.190540363143982E-17</v>
      </c>
    </row>
    <row r="1290" spans="1:5" x14ac:dyDescent="0.25">
      <c r="A1290">
        <v>1</v>
      </c>
      <c r="B1290">
        <v>12</v>
      </c>
      <c r="C1290">
        <v>25</v>
      </c>
      <c r="D1290">
        <v>10</v>
      </c>
      <c r="E1290">
        <f t="shared" si="19"/>
        <v>7.4451565434078314E-17</v>
      </c>
    </row>
    <row r="1291" spans="1:5" x14ac:dyDescent="0.25">
      <c r="A1291">
        <v>1</v>
      </c>
      <c r="B1291">
        <v>12</v>
      </c>
      <c r="C1291">
        <v>26</v>
      </c>
      <c r="D1291">
        <v>9</v>
      </c>
      <c r="E1291">
        <f t="shared" si="19"/>
        <v>7.158804368661371E-17</v>
      </c>
    </row>
    <row r="1292" spans="1:5" x14ac:dyDescent="0.25">
      <c r="A1292">
        <v>1</v>
      </c>
      <c r="B1292">
        <v>12</v>
      </c>
      <c r="C1292">
        <v>27</v>
      </c>
      <c r="D1292">
        <v>8</v>
      </c>
      <c r="E1292">
        <f t="shared" si="19"/>
        <v>5.4743798113292839E-17</v>
      </c>
    </row>
    <row r="1293" spans="1:5" x14ac:dyDescent="0.25">
      <c r="A1293">
        <v>1</v>
      </c>
      <c r="B1293">
        <v>12</v>
      </c>
      <c r="C1293">
        <v>28</v>
      </c>
      <c r="D1293">
        <v>7</v>
      </c>
      <c r="E1293">
        <f t="shared" si="19"/>
        <v>3.3020068703256008E-17</v>
      </c>
    </row>
    <row r="1294" spans="1:5" x14ac:dyDescent="0.25">
      <c r="A1294">
        <v>1</v>
      </c>
      <c r="B1294">
        <v>12</v>
      </c>
      <c r="C1294">
        <v>29</v>
      </c>
      <c r="D1294">
        <v>6</v>
      </c>
      <c r="E1294">
        <f t="shared" ref="E1294:E1357" si="20">COMBIN(A$4,A1294)*COMBIN(B$4,B1294)*COMBIN(C$4,C1294)*COMBIN(D$4,D1294)/COMBIN($G$4,$F$4)</f>
        <v>1.5521230116412531E-17</v>
      </c>
    </row>
    <row r="1295" spans="1:5" x14ac:dyDescent="0.25">
      <c r="A1295">
        <v>1</v>
      </c>
      <c r="B1295">
        <v>12</v>
      </c>
      <c r="C1295">
        <v>30</v>
      </c>
      <c r="D1295">
        <v>5</v>
      </c>
      <c r="E1295">
        <f t="shared" si="20"/>
        <v>5.5876428419085106E-18</v>
      </c>
    </row>
    <row r="1296" spans="1:5" x14ac:dyDescent="0.25">
      <c r="A1296">
        <v>1</v>
      </c>
      <c r="B1296">
        <v>12</v>
      </c>
      <c r="C1296">
        <v>31</v>
      </c>
      <c r="D1296">
        <v>4</v>
      </c>
      <c r="E1296">
        <f t="shared" si="20"/>
        <v>1.5020545273947616E-18</v>
      </c>
    </row>
    <row r="1297" spans="1:5" x14ac:dyDescent="0.25">
      <c r="A1297">
        <v>1</v>
      </c>
      <c r="B1297">
        <v>12</v>
      </c>
      <c r="C1297">
        <v>32</v>
      </c>
      <c r="D1297">
        <v>3</v>
      </c>
      <c r="E1297">
        <f t="shared" si="20"/>
        <v>2.9016962461035159E-19</v>
      </c>
    </row>
    <row r="1298" spans="1:5" x14ac:dyDescent="0.25">
      <c r="A1298">
        <v>1</v>
      </c>
      <c r="B1298">
        <v>12</v>
      </c>
      <c r="C1298">
        <v>33</v>
      </c>
      <c r="D1298">
        <v>2</v>
      </c>
      <c r="E1298">
        <f t="shared" si="20"/>
        <v>3.7848211905698036E-20</v>
      </c>
    </row>
    <row r="1299" spans="1:5" x14ac:dyDescent="0.25">
      <c r="A1299">
        <v>1</v>
      </c>
      <c r="B1299">
        <v>12</v>
      </c>
      <c r="C1299">
        <v>34</v>
      </c>
      <c r="D1299">
        <v>1</v>
      </c>
      <c r="E1299">
        <f t="shared" si="20"/>
        <v>2.9684872082900423E-21</v>
      </c>
    </row>
    <row r="1300" spans="1:5" x14ac:dyDescent="0.25">
      <c r="A1300">
        <v>1</v>
      </c>
      <c r="B1300">
        <v>12</v>
      </c>
      <c r="C1300">
        <v>35</v>
      </c>
      <c r="D1300">
        <v>0</v>
      </c>
      <c r="E1300">
        <f t="shared" si="20"/>
        <v>1.0516926109370433E-22</v>
      </c>
    </row>
    <row r="1301" spans="1:5" x14ac:dyDescent="0.25">
      <c r="A1301">
        <v>1</v>
      </c>
      <c r="B1301">
        <v>13</v>
      </c>
      <c r="C1301">
        <v>9</v>
      </c>
      <c r="D1301">
        <v>25</v>
      </c>
      <c r="E1301">
        <f t="shared" si="20"/>
        <v>2.3805986975668675E-29</v>
      </c>
    </row>
    <row r="1302" spans="1:5" x14ac:dyDescent="0.25">
      <c r="A1302">
        <v>1</v>
      </c>
      <c r="B1302">
        <v>13</v>
      </c>
      <c r="C1302">
        <v>10</v>
      </c>
      <c r="D1302">
        <v>24</v>
      </c>
      <c r="E1302">
        <f t="shared" si="20"/>
        <v>3.332838176593615E-27</v>
      </c>
    </row>
    <row r="1303" spans="1:5" x14ac:dyDescent="0.25">
      <c r="A1303">
        <v>1</v>
      </c>
      <c r="B1303">
        <v>13</v>
      </c>
      <c r="C1303">
        <v>11</v>
      </c>
      <c r="D1303">
        <v>23</v>
      </c>
      <c r="E1303">
        <f t="shared" si="20"/>
        <v>1.999702905956169E-25</v>
      </c>
    </row>
    <row r="1304" spans="1:5" x14ac:dyDescent="0.25">
      <c r="A1304">
        <v>1</v>
      </c>
      <c r="B1304">
        <v>13</v>
      </c>
      <c r="C1304">
        <v>12</v>
      </c>
      <c r="D1304">
        <v>22</v>
      </c>
      <c r="E1304">
        <f t="shared" si="20"/>
        <v>6.8989750255487792E-24</v>
      </c>
    </row>
    <row r="1305" spans="1:5" x14ac:dyDescent="0.25">
      <c r="A1305">
        <v>1</v>
      </c>
      <c r="B1305">
        <v>13</v>
      </c>
      <c r="C1305">
        <v>13</v>
      </c>
      <c r="D1305">
        <v>21</v>
      </c>
      <c r="E1305">
        <f t="shared" si="20"/>
        <v>1.5469624768826695E-22</v>
      </c>
    </row>
    <row r="1306" spans="1:5" x14ac:dyDescent="0.25">
      <c r="A1306">
        <v>1</v>
      </c>
      <c r="B1306">
        <v>13</v>
      </c>
      <c r="C1306">
        <v>14</v>
      </c>
      <c r="D1306">
        <v>20</v>
      </c>
      <c r="E1306">
        <f t="shared" si="20"/>
        <v>2.4132614639369639E-21</v>
      </c>
    </row>
    <row r="1307" spans="1:5" x14ac:dyDescent="0.25">
      <c r="A1307">
        <v>1</v>
      </c>
      <c r="B1307">
        <v>13</v>
      </c>
      <c r="C1307">
        <v>15</v>
      </c>
      <c r="D1307">
        <v>19</v>
      </c>
      <c r="E1307">
        <f t="shared" si="20"/>
        <v>2.7350296591285583E-20</v>
      </c>
    </row>
    <row r="1308" spans="1:5" x14ac:dyDescent="0.25">
      <c r="A1308">
        <v>1</v>
      </c>
      <c r="B1308">
        <v>13</v>
      </c>
      <c r="C1308">
        <v>16</v>
      </c>
      <c r="D1308">
        <v>18</v>
      </c>
      <c r="E1308">
        <f t="shared" si="20"/>
        <v>2.3198912287251177E-19</v>
      </c>
    </row>
    <row r="1309" spans="1:5" x14ac:dyDescent="0.25">
      <c r="A1309">
        <v>1</v>
      </c>
      <c r="B1309">
        <v>13</v>
      </c>
      <c r="C1309">
        <v>17</v>
      </c>
      <c r="D1309">
        <v>17</v>
      </c>
      <c r="E1309">
        <f t="shared" si="20"/>
        <v>1.5045176939232018E-18</v>
      </c>
    </row>
    <row r="1310" spans="1:5" x14ac:dyDescent="0.25">
      <c r="A1310">
        <v>1</v>
      </c>
      <c r="B1310">
        <v>13</v>
      </c>
      <c r="C1310">
        <v>18</v>
      </c>
      <c r="D1310">
        <v>16</v>
      </c>
      <c r="E1310">
        <f t="shared" si="20"/>
        <v>7.5783113471687126E-18</v>
      </c>
    </row>
    <row r="1311" spans="1:5" x14ac:dyDescent="0.25">
      <c r="A1311">
        <v>1</v>
      </c>
      <c r="B1311">
        <v>13</v>
      </c>
      <c r="C1311">
        <v>19</v>
      </c>
      <c r="D1311">
        <v>15</v>
      </c>
      <c r="E1311">
        <f t="shared" si="20"/>
        <v>2.9994158595109859E-17</v>
      </c>
    </row>
    <row r="1312" spans="1:5" x14ac:dyDescent="0.25">
      <c r="A1312">
        <v>1</v>
      </c>
      <c r="B1312">
        <v>13</v>
      </c>
      <c r="C1312">
        <v>20</v>
      </c>
      <c r="D1312">
        <v>14</v>
      </c>
      <c r="E1312">
        <f t="shared" si="20"/>
        <v>9.407258832102647E-17</v>
      </c>
    </row>
    <row r="1313" spans="1:5" x14ac:dyDescent="0.25">
      <c r="A1313">
        <v>1</v>
      </c>
      <c r="B1313">
        <v>13</v>
      </c>
      <c r="C1313">
        <v>21</v>
      </c>
      <c r="D1313">
        <v>13</v>
      </c>
      <c r="E1313">
        <f t="shared" si="20"/>
        <v>2.3518147080256592E-16</v>
      </c>
    </row>
    <row r="1314" spans="1:5" x14ac:dyDescent="0.25">
      <c r="A1314">
        <v>1</v>
      </c>
      <c r="B1314">
        <v>13</v>
      </c>
      <c r="C1314">
        <v>22</v>
      </c>
      <c r="D1314">
        <v>12</v>
      </c>
      <c r="E1314">
        <f t="shared" si="20"/>
        <v>4.7036294160513214E-16</v>
      </c>
    </row>
    <row r="1315" spans="1:5" x14ac:dyDescent="0.25">
      <c r="A1315">
        <v>1</v>
      </c>
      <c r="B1315">
        <v>13</v>
      </c>
      <c r="C1315">
        <v>23</v>
      </c>
      <c r="D1315">
        <v>11</v>
      </c>
      <c r="E1315">
        <f t="shared" si="20"/>
        <v>7.537493101498387E-16</v>
      </c>
    </row>
    <row r="1316" spans="1:5" x14ac:dyDescent="0.25">
      <c r="A1316">
        <v>1</v>
      </c>
      <c r="B1316">
        <v>13</v>
      </c>
      <c r="C1316">
        <v>24</v>
      </c>
      <c r="D1316">
        <v>10</v>
      </c>
      <c r="E1316">
        <f t="shared" si="20"/>
        <v>9.6731161469229301E-16</v>
      </c>
    </row>
    <row r="1317" spans="1:5" x14ac:dyDescent="0.25">
      <c r="A1317">
        <v>1</v>
      </c>
      <c r="B1317">
        <v>13</v>
      </c>
      <c r="C1317">
        <v>25</v>
      </c>
      <c r="D1317">
        <v>9</v>
      </c>
      <c r="E1317">
        <f t="shared" si="20"/>
        <v>9.9149440505960087E-16</v>
      </c>
    </row>
    <row r="1318" spans="1:5" x14ac:dyDescent="0.25">
      <c r="A1318">
        <v>1</v>
      </c>
      <c r="B1318">
        <v>13</v>
      </c>
      <c r="C1318">
        <v>26</v>
      </c>
      <c r="D1318">
        <v>8</v>
      </c>
      <c r="E1318">
        <f t="shared" si="20"/>
        <v>8.0755200412094124E-16</v>
      </c>
    </row>
    <row r="1319" spans="1:5" x14ac:dyDescent="0.25">
      <c r="A1319">
        <v>1</v>
      </c>
      <c r="B1319">
        <v>13</v>
      </c>
      <c r="C1319">
        <v>27</v>
      </c>
      <c r="D1319">
        <v>7</v>
      </c>
      <c r="E1319">
        <f t="shared" si="20"/>
        <v>5.1842844708998719E-16</v>
      </c>
    </row>
    <row r="1320" spans="1:5" x14ac:dyDescent="0.25">
      <c r="A1320">
        <v>1</v>
      </c>
      <c r="B1320">
        <v>13</v>
      </c>
      <c r="C1320">
        <v>28</v>
      </c>
      <c r="D1320">
        <v>6</v>
      </c>
      <c r="E1320">
        <f t="shared" si="20"/>
        <v>2.5921422354499349E-16</v>
      </c>
    </row>
    <row r="1321" spans="1:5" x14ac:dyDescent="0.25">
      <c r="A1321">
        <v>1</v>
      </c>
      <c r="B1321">
        <v>13</v>
      </c>
      <c r="C1321">
        <v>29</v>
      </c>
      <c r="D1321">
        <v>5</v>
      </c>
      <c r="E1321">
        <f t="shared" si="20"/>
        <v>9.9216478667221676E-17</v>
      </c>
    </row>
    <row r="1322" spans="1:5" x14ac:dyDescent="0.25">
      <c r="A1322">
        <v>1</v>
      </c>
      <c r="B1322">
        <v>13</v>
      </c>
      <c r="C1322">
        <v>30</v>
      </c>
      <c r="D1322">
        <v>4</v>
      </c>
      <c r="E1322">
        <f t="shared" si="20"/>
        <v>2.8347565333491911E-17</v>
      </c>
    </row>
    <row r="1323" spans="1:5" x14ac:dyDescent="0.25">
      <c r="A1323">
        <v>1</v>
      </c>
      <c r="B1323">
        <v>13</v>
      </c>
      <c r="C1323">
        <v>31</v>
      </c>
      <c r="D1323">
        <v>3</v>
      </c>
      <c r="E1323">
        <f t="shared" si="20"/>
        <v>5.8191483089279567E-18</v>
      </c>
    </row>
    <row r="1324" spans="1:5" x14ac:dyDescent="0.25">
      <c r="A1324">
        <v>1</v>
      </c>
      <c r="B1324">
        <v>13</v>
      </c>
      <c r="C1324">
        <v>32</v>
      </c>
      <c r="D1324">
        <v>2</v>
      </c>
      <c r="E1324">
        <f t="shared" si="20"/>
        <v>8.0645805368295045E-19</v>
      </c>
    </row>
    <row r="1325" spans="1:5" x14ac:dyDescent="0.25">
      <c r="A1325">
        <v>1</v>
      </c>
      <c r="B1325">
        <v>13</v>
      </c>
      <c r="C1325">
        <v>33</v>
      </c>
      <c r="D1325">
        <v>1</v>
      </c>
      <c r="E1325">
        <f t="shared" si="20"/>
        <v>6.7204837806912534E-20</v>
      </c>
    </row>
    <row r="1326" spans="1:5" x14ac:dyDescent="0.25">
      <c r="A1326">
        <v>1</v>
      </c>
      <c r="B1326">
        <v>13</v>
      </c>
      <c r="C1326">
        <v>34</v>
      </c>
      <c r="D1326">
        <v>0</v>
      </c>
      <c r="E1326">
        <f t="shared" si="20"/>
        <v>2.53006448214259E-21</v>
      </c>
    </row>
    <row r="1327" spans="1:5" x14ac:dyDescent="0.25">
      <c r="A1327">
        <v>1</v>
      </c>
      <c r="B1327">
        <v>14</v>
      </c>
      <c r="C1327">
        <v>8</v>
      </c>
      <c r="D1327">
        <v>25</v>
      </c>
      <c r="E1327">
        <f t="shared" si="20"/>
        <v>7.410284667614159E-29</v>
      </c>
    </row>
    <row r="1328" spans="1:5" x14ac:dyDescent="0.25">
      <c r="A1328">
        <v>1</v>
      </c>
      <c r="B1328">
        <v>14</v>
      </c>
      <c r="C1328">
        <v>9</v>
      </c>
      <c r="D1328">
        <v>24</v>
      </c>
      <c r="E1328">
        <f t="shared" si="20"/>
        <v>1.1732950723722417E-26</v>
      </c>
    </row>
    <row r="1329" spans="1:5" x14ac:dyDescent="0.25">
      <c r="A1329">
        <v>1</v>
      </c>
      <c r="B1329">
        <v>14</v>
      </c>
      <c r="C1329">
        <v>10</v>
      </c>
      <c r="D1329">
        <v>23</v>
      </c>
      <c r="E1329">
        <f t="shared" si="20"/>
        <v>7.884542886341464E-25</v>
      </c>
    </row>
    <row r="1330" spans="1:5" x14ac:dyDescent="0.25">
      <c r="A1330">
        <v>1</v>
      </c>
      <c r="B1330">
        <v>14</v>
      </c>
      <c r="C1330">
        <v>11</v>
      </c>
      <c r="D1330">
        <v>22</v>
      </c>
      <c r="E1330">
        <f t="shared" si="20"/>
        <v>3.0224081064308955E-23</v>
      </c>
    </row>
    <row r="1331" spans="1:5" x14ac:dyDescent="0.25">
      <c r="A1331">
        <v>1</v>
      </c>
      <c r="B1331">
        <v>14</v>
      </c>
      <c r="C1331">
        <v>12</v>
      </c>
      <c r="D1331">
        <v>21</v>
      </c>
      <c r="E1331">
        <f t="shared" si="20"/>
        <v>7.4804600634164613E-22</v>
      </c>
    </row>
    <row r="1332" spans="1:5" x14ac:dyDescent="0.25">
      <c r="A1332">
        <v>1</v>
      </c>
      <c r="B1332">
        <v>14</v>
      </c>
      <c r="C1332">
        <v>13</v>
      </c>
      <c r="D1332">
        <v>20</v>
      </c>
      <c r="E1332">
        <f t="shared" si="20"/>
        <v>1.2808849308588499E-20</v>
      </c>
    </row>
    <row r="1333" spans="1:5" x14ac:dyDescent="0.25">
      <c r="A1333">
        <v>1</v>
      </c>
      <c r="B1333">
        <v>14</v>
      </c>
      <c r="C1333">
        <v>14</v>
      </c>
      <c r="D1333">
        <v>19</v>
      </c>
      <c r="E1333">
        <f t="shared" si="20"/>
        <v>1.5858575334442903E-19</v>
      </c>
    </row>
    <row r="1334" spans="1:5" x14ac:dyDescent="0.25">
      <c r="A1334">
        <v>1</v>
      </c>
      <c r="B1334">
        <v>14</v>
      </c>
      <c r="C1334">
        <v>15</v>
      </c>
      <c r="D1334">
        <v>18</v>
      </c>
      <c r="E1334">
        <f t="shared" si="20"/>
        <v>1.4635199522928739E-18</v>
      </c>
    </row>
    <row r="1335" spans="1:5" x14ac:dyDescent="0.25">
      <c r="A1335">
        <v>1</v>
      </c>
      <c r="B1335">
        <v>14</v>
      </c>
      <c r="C1335">
        <v>16</v>
      </c>
      <c r="D1335">
        <v>17</v>
      </c>
      <c r="E1335">
        <f t="shared" si="20"/>
        <v>1.0290374664559267E-17</v>
      </c>
    </row>
    <row r="1336" spans="1:5" x14ac:dyDescent="0.25">
      <c r="A1336">
        <v>1</v>
      </c>
      <c r="B1336">
        <v>14</v>
      </c>
      <c r="C1336">
        <v>17</v>
      </c>
      <c r="D1336">
        <v>16</v>
      </c>
      <c r="E1336">
        <f t="shared" si="20"/>
        <v>5.6025373173711596E-17</v>
      </c>
    </row>
    <row r="1337" spans="1:5" x14ac:dyDescent="0.25">
      <c r="A1337">
        <v>1</v>
      </c>
      <c r="B1337">
        <v>14</v>
      </c>
      <c r="C1337">
        <v>18</v>
      </c>
      <c r="D1337">
        <v>15</v>
      </c>
      <c r="E1337">
        <f t="shared" si="20"/>
        <v>2.3904159220783589E-16</v>
      </c>
    </row>
    <row r="1338" spans="1:5" x14ac:dyDescent="0.25">
      <c r="A1338">
        <v>1</v>
      </c>
      <c r="B1338">
        <v>14</v>
      </c>
      <c r="C1338">
        <v>19</v>
      </c>
      <c r="D1338">
        <v>14</v>
      </c>
      <c r="E1338">
        <f t="shared" si="20"/>
        <v>8.0633647132308318E-16</v>
      </c>
    </row>
    <row r="1339" spans="1:5" x14ac:dyDescent="0.25">
      <c r="A1339">
        <v>1</v>
      </c>
      <c r="B1339">
        <v>14</v>
      </c>
      <c r="C1339">
        <v>20</v>
      </c>
      <c r="D1339">
        <v>13</v>
      </c>
      <c r="E1339">
        <f t="shared" si="20"/>
        <v>2.1636695313836088E-15</v>
      </c>
    </row>
    <row r="1340" spans="1:5" x14ac:dyDescent="0.25">
      <c r="A1340">
        <v>1</v>
      </c>
      <c r="B1340">
        <v>14</v>
      </c>
      <c r="C1340">
        <v>21</v>
      </c>
      <c r="D1340">
        <v>12</v>
      </c>
      <c r="E1340">
        <f t="shared" si="20"/>
        <v>4.6364347101077271E-15</v>
      </c>
    </row>
    <row r="1341" spans="1:5" x14ac:dyDescent="0.25">
      <c r="A1341">
        <v>1</v>
      </c>
      <c r="B1341">
        <v>14</v>
      </c>
      <c r="C1341">
        <v>22</v>
      </c>
      <c r="D1341">
        <v>11</v>
      </c>
      <c r="E1341">
        <f t="shared" si="20"/>
        <v>7.9481737887561076E-15</v>
      </c>
    </row>
    <row r="1342" spans="1:5" x14ac:dyDescent="0.25">
      <c r="A1342">
        <v>1</v>
      </c>
      <c r="B1342">
        <v>14</v>
      </c>
      <c r="C1342">
        <v>23</v>
      </c>
      <c r="D1342">
        <v>10</v>
      </c>
      <c r="E1342">
        <f t="shared" si="20"/>
        <v>1.0897061455309094E-14</v>
      </c>
    </row>
    <row r="1343" spans="1:5" x14ac:dyDescent="0.25">
      <c r="A1343">
        <v>1</v>
      </c>
      <c r="B1343">
        <v>14</v>
      </c>
      <c r="C1343">
        <v>24</v>
      </c>
      <c r="D1343">
        <v>9</v>
      </c>
      <c r="E1343">
        <f t="shared" si="20"/>
        <v>1.1918660966744323E-14</v>
      </c>
    </row>
    <row r="1344" spans="1:5" x14ac:dyDescent="0.25">
      <c r="A1344">
        <v>1</v>
      </c>
      <c r="B1344">
        <v>14</v>
      </c>
      <c r="C1344">
        <v>25</v>
      </c>
      <c r="D1344">
        <v>8</v>
      </c>
      <c r="E1344">
        <f t="shared" si="20"/>
        <v>1.0348202109949781E-14</v>
      </c>
    </row>
    <row r="1345" spans="1:5" x14ac:dyDescent="0.25">
      <c r="A1345">
        <v>1</v>
      </c>
      <c r="B1345">
        <v>14</v>
      </c>
      <c r="C1345">
        <v>26</v>
      </c>
      <c r="D1345">
        <v>7</v>
      </c>
      <c r="E1345">
        <f t="shared" si="20"/>
        <v>7.0756937503930102E-15</v>
      </c>
    </row>
    <row r="1346" spans="1:5" x14ac:dyDescent="0.25">
      <c r="A1346">
        <v>1</v>
      </c>
      <c r="B1346">
        <v>14</v>
      </c>
      <c r="C1346">
        <v>27</v>
      </c>
      <c r="D1346">
        <v>6</v>
      </c>
      <c r="E1346">
        <f t="shared" si="20"/>
        <v>3.7654276683377996E-15</v>
      </c>
    </row>
    <row r="1347" spans="1:5" x14ac:dyDescent="0.25">
      <c r="A1347">
        <v>1</v>
      </c>
      <c r="B1347">
        <v>14</v>
      </c>
      <c r="C1347">
        <v>28</v>
      </c>
      <c r="D1347">
        <v>5</v>
      </c>
      <c r="E1347">
        <f t="shared" si="20"/>
        <v>1.5330669792518185E-15</v>
      </c>
    </row>
    <row r="1348" spans="1:5" x14ac:dyDescent="0.25">
      <c r="A1348">
        <v>1</v>
      </c>
      <c r="B1348">
        <v>14</v>
      </c>
      <c r="C1348">
        <v>29</v>
      </c>
      <c r="D1348">
        <v>4</v>
      </c>
      <c r="E1348">
        <f t="shared" si="20"/>
        <v>4.6571000190736719E-16</v>
      </c>
    </row>
    <row r="1349" spans="1:5" x14ac:dyDescent="0.25">
      <c r="A1349">
        <v>1</v>
      </c>
      <c r="B1349">
        <v>14</v>
      </c>
      <c r="C1349">
        <v>30</v>
      </c>
      <c r="D1349">
        <v>3</v>
      </c>
      <c r="E1349">
        <f t="shared" si="20"/>
        <v>1.0160945496160732E-16</v>
      </c>
    </row>
    <row r="1350" spans="1:5" x14ac:dyDescent="0.25">
      <c r="A1350">
        <v>1</v>
      </c>
      <c r="B1350">
        <v>14</v>
      </c>
      <c r="C1350">
        <v>31</v>
      </c>
      <c r="D1350">
        <v>2</v>
      </c>
      <c r="E1350">
        <f t="shared" si="20"/>
        <v>1.4963524222957603E-17</v>
      </c>
    </row>
    <row r="1351" spans="1:5" x14ac:dyDescent="0.25">
      <c r="A1351">
        <v>1</v>
      </c>
      <c r="B1351">
        <v>14</v>
      </c>
      <c r="C1351">
        <v>32</v>
      </c>
      <c r="D1351">
        <v>1</v>
      </c>
      <c r="E1351">
        <f t="shared" si="20"/>
        <v>1.3248953739077043E-18</v>
      </c>
    </row>
    <row r="1352" spans="1:5" x14ac:dyDescent="0.25">
      <c r="A1352">
        <v>1</v>
      </c>
      <c r="B1352">
        <v>14</v>
      </c>
      <c r="C1352">
        <v>33</v>
      </c>
      <c r="D1352">
        <v>0</v>
      </c>
      <c r="E1352">
        <f t="shared" si="20"/>
        <v>5.2995814956308169E-20</v>
      </c>
    </row>
    <row r="1353" spans="1:5" x14ac:dyDescent="0.25">
      <c r="A1353">
        <v>1</v>
      </c>
      <c r="B1353">
        <v>15</v>
      </c>
      <c r="C1353">
        <v>7</v>
      </c>
      <c r="D1353">
        <v>25</v>
      </c>
      <c r="E1353">
        <f t="shared" si="20"/>
        <v>1.8738650883622007E-28</v>
      </c>
    </row>
    <row r="1354" spans="1:5" x14ac:dyDescent="0.25">
      <c r="A1354">
        <v>1</v>
      </c>
      <c r="B1354">
        <v>15</v>
      </c>
      <c r="C1354">
        <v>8</v>
      </c>
      <c r="D1354">
        <v>24</v>
      </c>
      <c r="E1354">
        <f t="shared" si="20"/>
        <v>3.3963804726564898E-26</v>
      </c>
    </row>
    <row r="1355" spans="1:5" x14ac:dyDescent="0.25">
      <c r="A1355">
        <v>1</v>
      </c>
      <c r="B1355">
        <v>15</v>
      </c>
      <c r="C1355">
        <v>9</v>
      </c>
      <c r="D1355">
        <v>23</v>
      </c>
      <c r="E1355">
        <f t="shared" si="20"/>
        <v>2.5812491592189316E-24</v>
      </c>
    </row>
    <row r="1356" spans="1:5" x14ac:dyDescent="0.25">
      <c r="A1356">
        <v>1</v>
      </c>
      <c r="B1356">
        <v>15</v>
      </c>
      <c r="C1356">
        <v>10</v>
      </c>
      <c r="D1356">
        <v>22</v>
      </c>
      <c r="E1356">
        <f t="shared" si="20"/>
        <v>1.1082163056913282E-22</v>
      </c>
    </row>
    <row r="1357" spans="1:5" x14ac:dyDescent="0.25">
      <c r="A1357">
        <v>1</v>
      </c>
      <c r="B1357">
        <v>15</v>
      </c>
      <c r="C1357">
        <v>11</v>
      </c>
      <c r="D1357">
        <v>21</v>
      </c>
      <c r="E1357">
        <f t="shared" si="20"/>
        <v>3.0475948406511533E-21</v>
      </c>
    </row>
    <row r="1358" spans="1:5" x14ac:dyDescent="0.25">
      <c r="A1358">
        <v>1</v>
      </c>
      <c r="B1358">
        <v>15</v>
      </c>
      <c r="C1358">
        <v>12</v>
      </c>
      <c r="D1358">
        <v>20</v>
      </c>
      <c r="E1358">
        <f t="shared" ref="E1358:E1421" si="21">COMBIN(A$4,A1358)*COMBIN(B$4,B1358)*COMBIN(C$4,C1358)*COMBIN(D$4,D1358)/COMBIN($G$4,$F$4)</f>
        <v>5.7599542488306744E-20</v>
      </c>
    </row>
    <row r="1359" spans="1:5" x14ac:dyDescent="0.25">
      <c r="A1359">
        <v>1</v>
      </c>
      <c r="B1359">
        <v>15</v>
      </c>
      <c r="C1359">
        <v>13</v>
      </c>
      <c r="D1359">
        <v>19</v>
      </c>
      <c r="E1359">
        <f t="shared" si="21"/>
        <v>7.8276301330263053E-19</v>
      </c>
    </row>
    <row r="1360" spans="1:5" x14ac:dyDescent="0.25">
      <c r="A1360">
        <v>1</v>
      </c>
      <c r="B1360">
        <v>15</v>
      </c>
      <c r="C1360">
        <v>14</v>
      </c>
      <c r="D1360">
        <v>18</v>
      </c>
      <c r="E1360">
        <f t="shared" si="21"/>
        <v>7.8915291545204021E-18</v>
      </c>
    </row>
    <row r="1361" spans="1:5" x14ac:dyDescent="0.25">
      <c r="A1361">
        <v>1</v>
      </c>
      <c r="B1361">
        <v>15</v>
      </c>
      <c r="C1361">
        <v>15</v>
      </c>
      <c r="D1361">
        <v>17</v>
      </c>
      <c r="E1361">
        <f t="shared" si="21"/>
        <v>6.0370198032081032E-17</v>
      </c>
    </row>
    <row r="1362" spans="1:5" x14ac:dyDescent="0.25">
      <c r="A1362">
        <v>1</v>
      </c>
      <c r="B1362">
        <v>15</v>
      </c>
      <c r="C1362">
        <v>16</v>
      </c>
      <c r="D1362">
        <v>16</v>
      </c>
      <c r="E1362">
        <f t="shared" si="21"/>
        <v>3.5635186338381173E-16</v>
      </c>
    </row>
    <row r="1363" spans="1:5" x14ac:dyDescent="0.25">
      <c r="A1363">
        <v>1</v>
      </c>
      <c r="B1363">
        <v>15</v>
      </c>
      <c r="C1363">
        <v>17</v>
      </c>
      <c r="D1363">
        <v>15</v>
      </c>
      <c r="E1363">
        <f t="shared" si="21"/>
        <v>1.6434109464288733E-15</v>
      </c>
    </row>
    <row r="1364" spans="1:5" x14ac:dyDescent="0.25">
      <c r="A1364">
        <v>1</v>
      </c>
      <c r="B1364">
        <v>15</v>
      </c>
      <c r="C1364">
        <v>18</v>
      </c>
      <c r="D1364">
        <v>14</v>
      </c>
      <c r="E1364">
        <f t="shared" si="21"/>
        <v>5.9760398051958986E-15</v>
      </c>
    </row>
    <row r="1365" spans="1:5" x14ac:dyDescent="0.25">
      <c r="A1365">
        <v>1</v>
      </c>
      <c r="B1365">
        <v>15</v>
      </c>
      <c r="C1365">
        <v>19</v>
      </c>
      <c r="D1365">
        <v>13</v>
      </c>
      <c r="E1365">
        <f t="shared" si="21"/>
        <v>1.7246641192188173E-14</v>
      </c>
    </row>
    <row r="1366" spans="1:5" x14ac:dyDescent="0.25">
      <c r="A1366">
        <v>1</v>
      </c>
      <c r="B1366">
        <v>15</v>
      </c>
      <c r="C1366">
        <v>20</v>
      </c>
      <c r="D1366">
        <v>12</v>
      </c>
      <c r="E1366">
        <f t="shared" si="21"/>
        <v>3.9667274742032823E-14</v>
      </c>
    </row>
    <row r="1367" spans="1:5" x14ac:dyDescent="0.25">
      <c r="A1367">
        <v>1</v>
      </c>
      <c r="B1367">
        <v>15</v>
      </c>
      <c r="C1367">
        <v>21</v>
      </c>
      <c r="D1367">
        <v>11</v>
      </c>
      <c r="E1367">
        <f t="shared" si="21"/>
        <v>7.2858259730264275E-14</v>
      </c>
    </row>
    <row r="1368" spans="1:5" x14ac:dyDescent="0.25">
      <c r="A1368">
        <v>1</v>
      </c>
      <c r="B1368">
        <v>15</v>
      </c>
      <c r="C1368">
        <v>22</v>
      </c>
      <c r="D1368">
        <v>10</v>
      </c>
      <c r="E1368">
        <f t="shared" si="21"/>
        <v>1.0685878093772099E-13</v>
      </c>
    </row>
    <row r="1369" spans="1:5" x14ac:dyDescent="0.25">
      <c r="A1369">
        <v>1</v>
      </c>
      <c r="B1369">
        <v>15</v>
      </c>
      <c r="C1369">
        <v>23</v>
      </c>
      <c r="D1369">
        <v>9</v>
      </c>
      <c r="E1369">
        <f t="shared" si="21"/>
        <v>1.2486216250875007E-13</v>
      </c>
    </row>
    <row r="1370" spans="1:5" x14ac:dyDescent="0.25">
      <c r="A1370">
        <v>1</v>
      </c>
      <c r="B1370">
        <v>15</v>
      </c>
      <c r="C1370">
        <v>24</v>
      </c>
      <c r="D1370">
        <v>8</v>
      </c>
      <c r="E1370">
        <f t="shared" si="21"/>
        <v>1.1568112114781255E-13</v>
      </c>
    </row>
    <row r="1371" spans="1:5" x14ac:dyDescent="0.25">
      <c r="A1371">
        <v>1</v>
      </c>
      <c r="B1371">
        <v>15</v>
      </c>
      <c r="C1371">
        <v>25</v>
      </c>
      <c r="D1371">
        <v>7</v>
      </c>
      <c r="E1371">
        <f t="shared" si="21"/>
        <v>8.4318683858850088E-14</v>
      </c>
    </row>
    <row r="1372" spans="1:5" x14ac:dyDescent="0.25">
      <c r="A1372">
        <v>1</v>
      </c>
      <c r="B1372">
        <v>15</v>
      </c>
      <c r="C1372">
        <v>26</v>
      </c>
      <c r="D1372">
        <v>6</v>
      </c>
      <c r="E1372">
        <f t="shared" si="21"/>
        <v>4.7791966559672064E-14</v>
      </c>
    </row>
    <row r="1373" spans="1:5" x14ac:dyDescent="0.25">
      <c r="A1373">
        <v>1</v>
      </c>
      <c r="B1373">
        <v>15</v>
      </c>
      <c r="C1373">
        <v>27</v>
      </c>
      <c r="D1373">
        <v>5</v>
      </c>
      <c r="E1373">
        <f t="shared" si="21"/>
        <v>2.0709852175857899E-14</v>
      </c>
    </row>
    <row r="1374" spans="1:5" x14ac:dyDescent="0.25">
      <c r="A1374">
        <v>1</v>
      </c>
      <c r="B1374">
        <v>15</v>
      </c>
      <c r="C1374">
        <v>28</v>
      </c>
      <c r="D1374">
        <v>4</v>
      </c>
      <c r="E1374">
        <f t="shared" si="21"/>
        <v>6.6919590364166697E-15</v>
      </c>
    </row>
    <row r="1375" spans="1:5" x14ac:dyDescent="0.25">
      <c r="A1375">
        <v>1</v>
      </c>
      <c r="B1375">
        <v>15</v>
      </c>
      <c r="C1375">
        <v>29</v>
      </c>
      <c r="D1375">
        <v>3</v>
      </c>
      <c r="E1375">
        <f t="shared" si="21"/>
        <v>1.5523666730245566E-15</v>
      </c>
    </row>
    <row r="1376" spans="1:5" x14ac:dyDescent="0.25">
      <c r="A1376">
        <v>1</v>
      </c>
      <c r="B1376">
        <v>15</v>
      </c>
      <c r="C1376">
        <v>30</v>
      </c>
      <c r="D1376">
        <v>2</v>
      </c>
      <c r="E1376">
        <f t="shared" si="21"/>
        <v>2.4297913142993056E-16</v>
      </c>
    </row>
    <row r="1377" spans="1:5" x14ac:dyDescent="0.25">
      <c r="A1377">
        <v>1</v>
      </c>
      <c r="B1377">
        <v>15</v>
      </c>
      <c r="C1377">
        <v>31</v>
      </c>
      <c r="D1377">
        <v>1</v>
      </c>
      <c r="E1377">
        <f t="shared" si="21"/>
        <v>2.2860939785074116E-17</v>
      </c>
    </row>
    <row r="1378" spans="1:5" x14ac:dyDescent="0.25">
      <c r="A1378">
        <v>1</v>
      </c>
      <c r="B1378">
        <v>15</v>
      </c>
      <c r="C1378">
        <v>32</v>
      </c>
      <c r="D1378">
        <v>0</v>
      </c>
      <c r="E1378">
        <f t="shared" si="21"/>
        <v>9.7158994086564972E-19</v>
      </c>
    </row>
    <row r="1379" spans="1:5" x14ac:dyDescent="0.25">
      <c r="A1379">
        <v>1</v>
      </c>
      <c r="B1379">
        <v>16</v>
      </c>
      <c r="C1379">
        <v>6</v>
      </c>
      <c r="D1379">
        <v>25</v>
      </c>
      <c r="E1379">
        <f t="shared" si="21"/>
        <v>3.8072809740240474E-28</v>
      </c>
    </row>
    <row r="1380" spans="1:5" x14ac:dyDescent="0.25">
      <c r="A1380">
        <v>1</v>
      </c>
      <c r="B1380">
        <v>16</v>
      </c>
      <c r="C1380">
        <v>7</v>
      </c>
      <c r="D1380">
        <v>24</v>
      </c>
      <c r="E1380">
        <f t="shared" si="21"/>
        <v>8.0224849095506699E-26</v>
      </c>
    </row>
    <row r="1381" spans="1:5" x14ac:dyDescent="0.25">
      <c r="A1381">
        <v>1</v>
      </c>
      <c r="B1381">
        <v>16</v>
      </c>
      <c r="C1381">
        <v>8</v>
      </c>
      <c r="D1381">
        <v>23</v>
      </c>
      <c r="E1381">
        <f t="shared" si="21"/>
        <v>6.9795618713090852E-24</v>
      </c>
    </row>
    <row r="1382" spans="1:5" x14ac:dyDescent="0.25">
      <c r="A1382">
        <v>1</v>
      </c>
      <c r="B1382">
        <v>16</v>
      </c>
      <c r="C1382">
        <v>9</v>
      </c>
      <c r="D1382">
        <v>22</v>
      </c>
      <c r="E1382">
        <f t="shared" si="21"/>
        <v>3.3889650419578547E-22</v>
      </c>
    </row>
    <row r="1383" spans="1:5" x14ac:dyDescent="0.25">
      <c r="A1383">
        <v>1</v>
      </c>
      <c r="B1383">
        <v>16</v>
      </c>
      <c r="C1383">
        <v>10</v>
      </c>
      <c r="D1383">
        <v>21</v>
      </c>
      <c r="E1383">
        <f t="shared" si="21"/>
        <v>1.0438012329230197E-20</v>
      </c>
    </row>
    <row r="1384" spans="1:5" x14ac:dyDescent="0.25">
      <c r="A1384">
        <v>1</v>
      </c>
      <c r="B1384">
        <v>16</v>
      </c>
      <c r="C1384">
        <v>11</v>
      </c>
      <c r="D1384">
        <v>20</v>
      </c>
      <c r="E1384">
        <f t="shared" si="21"/>
        <v>2.1919825891383409E-19</v>
      </c>
    </row>
    <row r="1385" spans="1:5" x14ac:dyDescent="0.25">
      <c r="A1385">
        <v>1</v>
      </c>
      <c r="B1385">
        <v>16</v>
      </c>
      <c r="C1385">
        <v>12</v>
      </c>
      <c r="D1385">
        <v>19</v>
      </c>
      <c r="E1385">
        <f t="shared" si="21"/>
        <v>3.2879738837075091E-18</v>
      </c>
    </row>
    <row r="1386" spans="1:5" x14ac:dyDescent="0.25">
      <c r="A1386">
        <v>1</v>
      </c>
      <c r="B1386">
        <v>16</v>
      </c>
      <c r="C1386">
        <v>13</v>
      </c>
      <c r="D1386">
        <v>18</v>
      </c>
      <c r="E1386">
        <f t="shared" si="21"/>
        <v>3.6384502207620485E-17</v>
      </c>
    </row>
    <row r="1387" spans="1:5" x14ac:dyDescent="0.25">
      <c r="A1387">
        <v>1</v>
      </c>
      <c r="B1387">
        <v>16</v>
      </c>
      <c r="C1387">
        <v>14</v>
      </c>
      <c r="D1387">
        <v>17</v>
      </c>
      <c r="E1387">
        <f t="shared" si="21"/>
        <v>3.0407048273511407E-16</v>
      </c>
    </row>
    <row r="1388" spans="1:5" x14ac:dyDescent="0.25">
      <c r="A1388">
        <v>1</v>
      </c>
      <c r="B1388">
        <v>16</v>
      </c>
      <c r="C1388">
        <v>15</v>
      </c>
      <c r="D1388">
        <v>16</v>
      </c>
      <c r="E1388">
        <f t="shared" si="21"/>
        <v>1.9528082113432875E-15</v>
      </c>
    </row>
    <row r="1389" spans="1:5" x14ac:dyDescent="0.25">
      <c r="A1389">
        <v>1</v>
      </c>
      <c r="B1389">
        <v>16</v>
      </c>
      <c r="C1389">
        <v>16</v>
      </c>
      <c r="D1389">
        <v>15</v>
      </c>
      <c r="E1389">
        <f t="shared" si="21"/>
        <v>9.7640410567164365E-15</v>
      </c>
    </row>
    <row r="1390" spans="1:5" x14ac:dyDescent="0.25">
      <c r="A1390">
        <v>1</v>
      </c>
      <c r="B1390">
        <v>16</v>
      </c>
      <c r="C1390">
        <v>17</v>
      </c>
      <c r="D1390">
        <v>14</v>
      </c>
      <c r="E1390">
        <f t="shared" si="21"/>
        <v>3.8377380623992436E-14</v>
      </c>
    </row>
    <row r="1391" spans="1:5" x14ac:dyDescent="0.25">
      <c r="A1391">
        <v>1</v>
      </c>
      <c r="B1391">
        <v>16</v>
      </c>
      <c r="C1391">
        <v>18</v>
      </c>
      <c r="D1391">
        <v>13</v>
      </c>
      <c r="E1391">
        <f t="shared" si="21"/>
        <v>1.1939629527464304E-13</v>
      </c>
    </row>
    <row r="1392" spans="1:5" x14ac:dyDescent="0.25">
      <c r="A1392">
        <v>1</v>
      </c>
      <c r="B1392">
        <v>16</v>
      </c>
      <c r="C1392">
        <v>19</v>
      </c>
      <c r="D1392">
        <v>12</v>
      </c>
      <c r="E1392">
        <f t="shared" si="21"/>
        <v>2.9534873041622241E-13</v>
      </c>
    </row>
    <row r="1393" spans="1:5" x14ac:dyDescent="0.25">
      <c r="A1393">
        <v>1</v>
      </c>
      <c r="B1393">
        <v>16</v>
      </c>
      <c r="C1393">
        <v>20</v>
      </c>
      <c r="D1393">
        <v>11</v>
      </c>
      <c r="E1393">
        <f t="shared" si="21"/>
        <v>5.8225892567769596E-13</v>
      </c>
    </row>
    <row r="1394" spans="1:5" x14ac:dyDescent="0.25">
      <c r="A1394">
        <v>1</v>
      </c>
      <c r="B1394">
        <v>16</v>
      </c>
      <c r="C1394">
        <v>21</v>
      </c>
      <c r="D1394">
        <v>10</v>
      </c>
      <c r="E1394">
        <f t="shared" si="21"/>
        <v>9.1497831177923533E-13</v>
      </c>
    </row>
    <row r="1395" spans="1:5" x14ac:dyDescent="0.25">
      <c r="A1395">
        <v>1</v>
      </c>
      <c r="B1395">
        <v>16</v>
      </c>
      <c r="C1395">
        <v>22</v>
      </c>
      <c r="D1395">
        <v>9</v>
      </c>
      <c r="E1395">
        <f t="shared" si="21"/>
        <v>1.1437228897240449E-12</v>
      </c>
    </row>
    <row r="1396" spans="1:5" x14ac:dyDescent="0.25">
      <c r="A1396">
        <v>1</v>
      </c>
      <c r="B1396">
        <v>16</v>
      </c>
      <c r="C1396">
        <v>23</v>
      </c>
      <c r="D1396">
        <v>8</v>
      </c>
      <c r="E1396">
        <f t="shared" si="21"/>
        <v>1.1320223998035943E-12</v>
      </c>
    </row>
    <row r="1397" spans="1:5" x14ac:dyDescent="0.25">
      <c r="A1397">
        <v>1</v>
      </c>
      <c r="B1397">
        <v>16</v>
      </c>
      <c r="C1397">
        <v>24</v>
      </c>
      <c r="D1397">
        <v>7</v>
      </c>
      <c r="E1397">
        <f t="shared" si="21"/>
        <v>8.8046186651390668E-13</v>
      </c>
    </row>
    <row r="1398" spans="1:5" x14ac:dyDescent="0.25">
      <c r="A1398">
        <v>1</v>
      </c>
      <c r="B1398">
        <v>16</v>
      </c>
      <c r="C1398">
        <v>25</v>
      </c>
      <c r="D1398">
        <v>6</v>
      </c>
      <c r="E1398">
        <f t="shared" si="21"/>
        <v>5.319843277673499E-13</v>
      </c>
    </row>
    <row r="1399" spans="1:5" x14ac:dyDescent="0.25">
      <c r="A1399">
        <v>1</v>
      </c>
      <c r="B1399">
        <v>16</v>
      </c>
      <c r="C1399">
        <v>26</v>
      </c>
      <c r="D1399">
        <v>5</v>
      </c>
      <c r="E1399">
        <f t="shared" si="21"/>
        <v>2.4553122820031521E-13</v>
      </c>
    </row>
    <row r="1400" spans="1:5" x14ac:dyDescent="0.25">
      <c r="A1400">
        <v>1</v>
      </c>
      <c r="B1400">
        <v>16</v>
      </c>
      <c r="C1400">
        <v>27</v>
      </c>
      <c r="D1400">
        <v>4</v>
      </c>
      <c r="E1400">
        <f t="shared" si="21"/>
        <v>8.4441956788468209E-14</v>
      </c>
    </row>
    <row r="1401" spans="1:5" x14ac:dyDescent="0.25">
      <c r="A1401">
        <v>1</v>
      </c>
      <c r="B1401">
        <v>16</v>
      </c>
      <c r="C1401">
        <v>28</v>
      </c>
      <c r="D1401">
        <v>3</v>
      </c>
      <c r="E1401">
        <f t="shared" si="21"/>
        <v>2.0836326999751898E-14</v>
      </c>
    </row>
    <row r="1402" spans="1:5" x14ac:dyDescent="0.25">
      <c r="A1402">
        <v>1</v>
      </c>
      <c r="B1402">
        <v>16</v>
      </c>
      <c r="C1402">
        <v>29</v>
      </c>
      <c r="D1402">
        <v>2</v>
      </c>
      <c r="E1402">
        <f t="shared" si="21"/>
        <v>3.4675146881146344E-15</v>
      </c>
    </row>
    <row r="1403" spans="1:5" x14ac:dyDescent="0.25">
      <c r="A1403">
        <v>1</v>
      </c>
      <c r="B1403">
        <v>16</v>
      </c>
      <c r="C1403">
        <v>30</v>
      </c>
      <c r="D1403">
        <v>1</v>
      </c>
      <c r="E1403">
        <f t="shared" si="21"/>
        <v>3.4675146881146335E-16</v>
      </c>
    </row>
    <row r="1404" spans="1:5" x14ac:dyDescent="0.25">
      <c r="A1404">
        <v>1</v>
      </c>
      <c r="B1404">
        <v>16</v>
      </c>
      <c r="C1404">
        <v>31</v>
      </c>
      <c r="D1404">
        <v>0</v>
      </c>
      <c r="E1404">
        <f t="shared" si="21"/>
        <v>1.5659743752775766E-17</v>
      </c>
    </row>
    <row r="1405" spans="1:5" x14ac:dyDescent="0.25">
      <c r="A1405">
        <v>1</v>
      </c>
      <c r="B1405">
        <v>17</v>
      </c>
      <c r="C1405">
        <v>5</v>
      </c>
      <c r="D1405">
        <v>25</v>
      </c>
      <c r="E1405">
        <f t="shared" si="21"/>
        <v>6.1140453288739139E-28</v>
      </c>
    </row>
    <row r="1406" spans="1:5" x14ac:dyDescent="0.25">
      <c r="A1406">
        <v>1</v>
      </c>
      <c r="B1406">
        <v>17</v>
      </c>
      <c r="C1406">
        <v>6</v>
      </c>
      <c r="D1406">
        <v>24</v>
      </c>
      <c r="E1406">
        <f t="shared" si="21"/>
        <v>1.5285113322184785E-25</v>
      </c>
    </row>
    <row r="1407" spans="1:5" x14ac:dyDescent="0.25">
      <c r="A1407">
        <v>1</v>
      </c>
      <c r="B1407">
        <v>17</v>
      </c>
      <c r="C1407">
        <v>7</v>
      </c>
      <c r="D1407">
        <v>23</v>
      </c>
      <c r="E1407">
        <f t="shared" si="21"/>
        <v>1.5459800331581182E-23</v>
      </c>
    </row>
    <row r="1408" spans="1:5" x14ac:dyDescent="0.25">
      <c r="A1408">
        <v>1</v>
      </c>
      <c r="B1408">
        <v>17</v>
      </c>
      <c r="C1408">
        <v>8</v>
      </c>
      <c r="D1408">
        <v>22</v>
      </c>
      <c r="E1408">
        <f t="shared" si="21"/>
        <v>8.593072350970543E-22</v>
      </c>
    </row>
    <row r="1409" spans="1:5" x14ac:dyDescent="0.25">
      <c r="A1409">
        <v>1</v>
      </c>
      <c r="B1409">
        <v>17</v>
      </c>
      <c r="C1409">
        <v>9</v>
      </c>
      <c r="D1409">
        <v>21</v>
      </c>
      <c r="E1409">
        <f t="shared" si="21"/>
        <v>2.9932535355880721E-20</v>
      </c>
    </row>
    <row r="1410" spans="1:5" x14ac:dyDescent="0.25">
      <c r="A1410">
        <v>1</v>
      </c>
      <c r="B1410">
        <v>17</v>
      </c>
      <c r="C1410">
        <v>10</v>
      </c>
      <c r="D1410">
        <v>20</v>
      </c>
      <c r="E1410">
        <f t="shared" si="21"/>
        <v>7.0401323157031438E-19</v>
      </c>
    </row>
    <row r="1411" spans="1:5" x14ac:dyDescent="0.25">
      <c r="A1411">
        <v>1</v>
      </c>
      <c r="B1411">
        <v>17</v>
      </c>
      <c r="C1411">
        <v>11</v>
      </c>
      <c r="D1411">
        <v>19</v>
      </c>
      <c r="E1411">
        <f t="shared" si="21"/>
        <v>1.1733553859505241E-17</v>
      </c>
    </row>
    <row r="1412" spans="1:5" x14ac:dyDescent="0.25">
      <c r="A1412">
        <v>1</v>
      </c>
      <c r="B1412">
        <v>17</v>
      </c>
      <c r="C1412">
        <v>12</v>
      </c>
      <c r="D1412">
        <v>18</v>
      </c>
      <c r="E1412">
        <f t="shared" si="21"/>
        <v>1.4331697928395685E-16</v>
      </c>
    </row>
    <row r="1413" spans="1:5" x14ac:dyDescent="0.25">
      <c r="A1413">
        <v>1</v>
      </c>
      <c r="B1413">
        <v>17</v>
      </c>
      <c r="C1413">
        <v>13</v>
      </c>
      <c r="D1413">
        <v>17</v>
      </c>
      <c r="E1413">
        <f t="shared" si="21"/>
        <v>1.3146576753547582E-15</v>
      </c>
    </row>
    <row r="1414" spans="1:5" x14ac:dyDescent="0.25">
      <c r="A1414">
        <v>1</v>
      </c>
      <c r="B1414">
        <v>17</v>
      </c>
      <c r="C1414">
        <v>14</v>
      </c>
      <c r="D1414">
        <v>16</v>
      </c>
      <c r="E1414">
        <f t="shared" si="21"/>
        <v>9.2234713096317965E-15</v>
      </c>
    </row>
    <row r="1415" spans="1:5" x14ac:dyDescent="0.25">
      <c r="A1415">
        <v>1</v>
      </c>
      <c r="B1415">
        <v>17</v>
      </c>
      <c r="C1415">
        <v>15</v>
      </c>
      <c r="D1415">
        <v>15</v>
      </c>
      <c r="E1415">
        <f t="shared" si="21"/>
        <v>5.0175683924396954E-14</v>
      </c>
    </row>
    <row r="1416" spans="1:5" x14ac:dyDescent="0.25">
      <c r="A1416">
        <v>1</v>
      </c>
      <c r="B1416">
        <v>17</v>
      </c>
      <c r="C1416">
        <v>16</v>
      </c>
      <c r="D1416">
        <v>14</v>
      </c>
      <c r="E1416">
        <f t="shared" si="21"/>
        <v>2.138168349051007E-13</v>
      </c>
    </row>
    <row r="1417" spans="1:5" x14ac:dyDescent="0.25">
      <c r="A1417">
        <v>1</v>
      </c>
      <c r="B1417">
        <v>17</v>
      </c>
      <c r="C1417">
        <v>17</v>
      </c>
      <c r="D1417">
        <v>13</v>
      </c>
      <c r="E1417">
        <f t="shared" si="21"/>
        <v>7.190115134553882E-13</v>
      </c>
    </row>
    <row r="1418" spans="1:5" x14ac:dyDescent="0.25">
      <c r="A1418">
        <v>1</v>
      </c>
      <c r="B1418">
        <v>17</v>
      </c>
      <c r="C1418">
        <v>18</v>
      </c>
      <c r="D1418">
        <v>12</v>
      </c>
      <c r="E1418">
        <f t="shared" si="21"/>
        <v>1.9173640358810332E-12</v>
      </c>
    </row>
    <row r="1419" spans="1:5" x14ac:dyDescent="0.25">
      <c r="A1419">
        <v>1</v>
      </c>
      <c r="B1419">
        <v>17</v>
      </c>
      <c r="C1419">
        <v>19</v>
      </c>
      <c r="D1419">
        <v>11</v>
      </c>
      <c r="E1419">
        <f t="shared" si="21"/>
        <v>4.0653884069056509E-12</v>
      </c>
    </row>
    <row r="1420" spans="1:5" x14ac:dyDescent="0.25">
      <c r="A1420">
        <v>1</v>
      </c>
      <c r="B1420">
        <v>17</v>
      </c>
      <c r="C1420">
        <v>20</v>
      </c>
      <c r="D1420">
        <v>10</v>
      </c>
      <c r="E1420">
        <f t="shared" si="21"/>
        <v>6.8569551129808689E-12</v>
      </c>
    </row>
    <row r="1421" spans="1:5" x14ac:dyDescent="0.25">
      <c r="A1421">
        <v>1</v>
      </c>
      <c r="B1421">
        <v>17</v>
      </c>
      <c r="C1421">
        <v>21</v>
      </c>
      <c r="D1421">
        <v>9</v>
      </c>
      <c r="E1421">
        <f t="shared" si="21"/>
        <v>9.1834220263136529E-12</v>
      </c>
    </row>
    <row r="1422" spans="1:5" x14ac:dyDescent="0.25">
      <c r="A1422">
        <v>1</v>
      </c>
      <c r="B1422">
        <v>17</v>
      </c>
      <c r="C1422">
        <v>22</v>
      </c>
      <c r="D1422">
        <v>8</v>
      </c>
      <c r="E1422">
        <f t="shared" ref="E1422:E1485" si="22">COMBIN(A$4,A1422)*COMBIN(B$4,B1422)*COMBIN(C$4,C1422)*COMBIN(D$4,D1422)/COMBIN($G$4,$F$4)</f>
        <v>9.7236233219791687E-12</v>
      </c>
    </row>
    <row r="1423" spans="1:5" x14ac:dyDescent="0.25">
      <c r="A1423">
        <v>1</v>
      </c>
      <c r="B1423">
        <v>17</v>
      </c>
      <c r="C1423">
        <v>23</v>
      </c>
      <c r="D1423">
        <v>7</v>
      </c>
      <c r="E1423">
        <f t="shared" si="22"/>
        <v>8.0795324221276187E-12</v>
      </c>
    </row>
    <row r="1424" spans="1:5" x14ac:dyDescent="0.25">
      <c r="A1424">
        <v>1</v>
      </c>
      <c r="B1424">
        <v>17</v>
      </c>
      <c r="C1424">
        <v>24</v>
      </c>
      <c r="D1424">
        <v>6</v>
      </c>
      <c r="E1424">
        <f t="shared" si="22"/>
        <v>5.2091722195296472E-12</v>
      </c>
    </row>
    <row r="1425" spans="1:5" x14ac:dyDescent="0.25">
      <c r="A1425">
        <v>1</v>
      </c>
      <c r="B1425">
        <v>17</v>
      </c>
      <c r="C1425">
        <v>25</v>
      </c>
      <c r="D1425">
        <v>5</v>
      </c>
      <c r="E1425">
        <f t="shared" si="22"/>
        <v>2.5629127320085874E-12</v>
      </c>
    </row>
    <row r="1426" spans="1:5" x14ac:dyDescent="0.25">
      <c r="A1426">
        <v>1</v>
      </c>
      <c r="B1426">
        <v>17</v>
      </c>
      <c r="C1426">
        <v>26</v>
      </c>
      <c r="D1426">
        <v>4</v>
      </c>
      <c r="E1426">
        <f t="shared" si="22"/>
        <v>9.3879587253061772E-13</v>
      </c>
    </row>
    <row r="1427" spans="1:5" x14ac:dyDescent="0.25">
      <c r="A1427">
        <v>1</v>
      </c>
      <c r="B1427">
        <v>17</v>
      </c>
      <c r="C1427">
        <v>27</v>
      </c>
      <c r="D1427">
        <v>3</v>
      </c>
      <c r="E1427">
        <f t="shared" si="22"/>
        <v>2.4655245137167735E-13</v>
      </c>
    </row>
    <row r="1428" spans="1:5" x14ac:dyDescent="0.25">
      <c r="A1428">
        <v>1</v>
      </c>
      <c r="B1428">
        <v>17</v>
      </c>
      <c r="C1428">
        <v>28</v>
      </c>
      <c r="D1428">
        <v>2</v>
      </c>
      <c r="E1428">
        <f t="shared" si="22"/>
        <v>4.3644378037843511E-14</v>
      </c>
    </row>
    <row r="1429" spans="1:5" x14ac:dyDescent="0.25">
      <c r="A1429">
        <v>1</v>
      </c>
      <c r="B1429">
        <v>17</v>
      </c>
      <c r="C1429">
        <v>29</v>
      </c>
      <c r="D1429">
        <v>1</v>
      </c>
      <c r="E1429">
        <f t="shared" si="22"/>
        <v>4.6403505385063507E-15</v>
      </c>
    </row>
    <row r="1430" spans="1:5" x14ac:dyDescent="0.25">
      <c r="A1430">
        <v>1</v>
      </c>
      <c r="B1430">
        <v>17</v>
      </c>
      <c r="C1430">
        <v>30</v>
      </c>
      <c r="D1430">
        <v>0</v>
      </c>
      <c r="E1430">
        <f t="shared" si="22"/>
        <v>2.2273682584830481E-16</v>
      </c>
    </row>
    <row r="1431" spans="1:5" x14ac:dyDescent="0.25">
      <c r="A1431">
        <v>1</v>
      </c>
      <c r="B1431">
        <v>18</v>
      </c>
      <c r="C1431">
        <v>4</v>
      </c>
      <c r="D1431">
        <v>25</v>
      </c>
      <c r="E1431">
        <f t="shared" si="22"/>
        <v>7.5729523199166869E-28</v>
      </c>
    </row>
    <row r="1432" spans="1:5" x14ac:dyDescent="0.25">
      <c r="A1432">
        <v>1</v>
      </c>
      <c r="B1432">
        <v>18</v>
      </c>
      <c r="C1432">
        <v>5</v>
      </c>
      <c r="D1432">
        <v>24</v>
      </c>
      <c r="E1432">
        <f t="shared" si="22"/>
        <v>2.3097504575745901E-25</v>
      </c>
    </row>
    <row r="1433" spans="1:5" x14ac:dyDescent="0.25">
      <c r="A1433">
        <v>1</v>
      </c>
      <c r="B1433">
        <v>18</v>
      </c>
      <c r="C1433">
        <v>6</v>
      </c>
      <c r="D1433">
        <v>23</v>
      </c>
      <c r="E1433">
        <f t="shared" si="22"/>
        <v>2.7717005490895075E-23</v>
      </c>
    </row>
    <row r="1434" spans="1:5" x14ac:dyDescent="0.25">
      <c r="A1434">
        <v>1</v>
      </c>
      <c r="B1434">
        <v>18</v>
      </c>
      <c r="C1434">
        <v>7</v>
      </c>
      <c r="D1434">
        <v>22</v>
      </c>
      <c r="E1434">
        <f t="shared" si="22"/>
        <v>1.7910464976735531E-21</v>
      </c>
    </row>
    <row r="1435" spans="1:5" x14ac:dyDescent="0.25">
      <c r="A1435">
        <v>1</v>
      </c>
      <c r="B1435">
        <v>18</v>
      </c>
      <c r="C1435">
        <v>8</v>
      </c>
      <c r="D1435">
        <v>21</v>
      </c>
      <c r="E1435">
        <f t="shared" si="22"/>
        <v>7.1417979094732959E-20</v>
      </c>
    </row>
    <row r="1436" spans="1:5" x14ac:dyDescent="0.25">
      <c r="A1436">
        <v>1</v>
      </c>
      <c r="B1436">
        <v>18</v>
      </c>
      <c r="C1436">
        <v>9</v>
      </c>
      <c r="D1436">
        <v>20</v>
      </c>
      <c r="E1436">
        <f t="shared" si="22"/>
        <v>1.8997182439198957E-18</v>
      </c>
    </row>
    <row r="1437" spans="1:5" x14ac:dyDescent="0.25">
      <c r="A1437">
        <v>1</v>
      </c>
      <c r="B1437">
        <v>18</v>
      </c>
      <c r="C1437">
        <v>10</v>
      </c>
      <c r="D1437">
        <v>19</v>
      </c>
      <c r="E1437">
        <f t="shared" si="22"/>
        <v>3.5461407219838065E-17</v>
      </c>
    </row>
    <row r="1438" spans="1:5" x14ac:dyDescent="0.25">
      <c r="A1438">
        <v>1</v>
      </c>
      <c r="B1438">
        <v>18</v>
      </c>
      <c r="C1438">
        <v>11</v>
      </c>
      <c r="D1438">
        <v>18</v>
      </c>
      <c r="E1438">
        <f t="shared" si="22"/>
        <v>4.8126195512637394E-16</v>
      </c>
    </row>
    <row r="1439" spans="1:5" x14ac:dyDescent="0.25">
      <c r="A1439">
        <v>1</v>
      </c>
      <c r="B1439">
        <v>18</v>
      </c>
      <c r="C1439">
        <v>12</v>
      </c>
      <c r="D1439">
        <v>17</v>
      </c>
      <c r="E1439">
        <f t="shared" si="22"/>
        <v>4.8727772956545321E-15</v>
      </c>
    </row>
    <row r="1440" spans="1:5" x14ac:dyDescent="0.25">
      <c r="A1440">
        <v>1</v>
      </c>
      <c r="B1440">
        <v>18</v>
      </c>
      <c r="C1440">
        <v>13</v>
      </c>
      <c r="D1440">
        <v>16</v>
      </c>
      <c r="E1440">
        <f t="shared" si="22"/>
        <v>3.7524549943459267E-14</v>
      </c>
    </row>
    <row r="1441" spans="1:5" x14ac:dyDescent="0.25">
      <c r="A1441">
        <v>1</v>
      </c>
      <c r="B1441">
        <v>18</v>
      </c>
      <c r="C1441">
        <v>14</v>
      </c>
      <c r="D1441">
        <v>15</v>
      </c>
      <c r="E1441">
        <f t="shared" si="22"/>
        <v>2.2300303966398654E-13</v>
      </c>
    </row>
    <row r="1442" spans="1:5" x14ac:dyDescent="0.25">
      <c r="A1442">
        <v>1</v>
      </c>
      <c r="B1442">
        <v>18</v>
      </c>
      <c r="C1442">
        <v>15</v>
      </c>
      <c r="D1442">
        <v>14</v>
      </c>
      <c r="E1442">
        <f t="shared" si="22"/>
        <v>1.0339231838966647E-12</v>
      </c>
    </row>
    <row r="1443" spans="1:5" x14ac:dyDescent="0.25">
      <c r="A1443">
        <v>1</v>
      </c>
      <c r="B1443">
        <v>18</v>
      </c>
      <c r="C1443">
        <v>16</v>
      </c>
      <c r="D1443">
        <v>13</v>
      </c>
      <c r="E1443">
        <f t="shared" si="22"/>
        <v>3.7695116079565908E-12</v>
      </c>
    </row>
    <row r="1444" spans="1:5" x14ac:dyDescent="0.25">
      <c r="A1444">
        <v>1</v>
      </c>
      <c r="B1444">
        <v>18</v>
      </c>
      <c r="C1444">
        <v>17</v>
      </c>
      <c r="D1444">
        <v>12</v>
      </c>
      <c r="E1444">
        <f t="shared" si="22"/>
        <v>1.0865062869992532E-11</v>
      </c>
    </row>
    <row r="1445" spans="1:5" x14ac:dyDescent="0.25">
      <c r="A1445">
        <v>1</v>
      </c>
      <c r="B1445">
        <v>18</v>
      </c>
      <c r="C1445">
        <v>18</v>
      </c>
      <c r="D1445">
        <v>11</v>
      </c>
      <c r="E1445">
        <f t="shared" si="22"/>
        <v>2.4834429417125761E-11</v>
      </c>
    </row>
    <row r="1446" spans="1:5" x14ac:dyDescent="0.25">
      <c r="A1446">
        <v>1</v>
      </c>
      <c r="B1446">
        <v>18</v>
      </c>
      <c r="C1446">
        <v>19</v>
      </c>
      <c r="D1446">
        <v>10</v>
      </c>
      <c r="E1446">
        <f t="shared" si="22"/>
        <v>4.5050526346154467E-11</v>
      </c>
    </row>
    <row r="1447" spans="1:5" x14ac:dyDescent="0.25">
      <c r="A1447">
        <v>1</v>
      </c>
      <c r="B1447">
        <v>18</v>
      </c>
      <c r="C1447">
        <v>20</v>
      </c>
      <c r="D1447">
        <v>9</v>
      </c>
      <c r="E1447">
        <f t="shared" si="22"/>
        <v>6.4760131622597104E-11</v>
      </c>
    </row>
    <row r="1448" spans="1:5" x14ac:dyDescent="0.25">
      <c r="A1448">
        <v>1</v>
      </c>
      <c r="B1448">
        <v>18</v>
      </c>
      <c r="C1448">
        <v>21</v>
      </c>
      <c r="D1448">
        <v>8</v>
      </c>
      <c r="E1448">
        <f t="shared" si="22"/>
        <v>7.3467376210509223E-11</v>
      </c>
    </row>
    <row r="1449" spans="1:5" x14ac:dyDescent="0.25">
      <c r="A1449">
        <v>1</v>
      </c>
      <c r="B1449">
        <v>18</v>
      </c>
      <c r="C1449">
        <v>22</v>
      </c>
      <c r="D1449">
        <v>7</v>
      </c>
      <c r="E1449">
        <f t="shared" si="22"/>
        <v>6.5304334409341601E-11</v>
      </c>
    </row>
    <row r="1450" spans="1:5" x14ac:dyDescent="0.25">
      <c r="A1450">
        <v>1</v>
      </c>
      <c r="B1450">
        <v>18</v>
      </c>
      <c r="C1450">
        <v>23</v>
      </c>
      <c r="D1450">
        <v>6</v>
      </c>
      <c r="E1450">
        <f t="shared" si="22"/>
        <v>4.498078868927187E-11</v>
      </c>
    </row>
    <row r="1451" spans="1:5" x14ac:dyDescent="0.25">
      <c r="A1451">
        <v>1</v>
      </c>
      <c r="B1451">
        <v>18</v>
      </c>
      <c r="C1451">
        <v>24</v>
      </c>
      <c r="D1451">
        <v>5</v>
      </c>
      <c r="E1451">
        <f t="shared" si="22"/>
        <v>2.3614914061867733E-11</v>
      </c>
    </row>
    <row r="1452" spans="1:5" x14ac:dyDescent="0.25">
      <c r="A1452">
        <v>1</v>
      </c>
      <c r="B1452">
        <v>18</v>
      </c>
      <c r="C1452">
        <v>25</v>
      </c>
      <c r="D1452">
        <v>4</v>
      </c>
      <c r="E1452">
        <f t="shared" si="22"/>
        <v>9.221061681300741E-12</v>
      </c>
    </row>
    <row r="1453" spans="1:5" x14ac:dyDescent="0.25">
      <c r="A1453">
        <v>1</v>
      </c>
      <c r="B1453">
        <v>18</v>
      </c>
      <c r="C1453">
        <v>26</v>
      </c>
      <c r="D1453">
        <v>3</v>
      </c>
      <c r="E1453">
        <f t="shared" si="22"/>
        <v>2.5793179528113934E-12</v>
      </c>
    </row>
    <row r="1454" spans="1:5" x14ac:dyDescent="0.25">
      <c r="A1454">
        <v>1</v>
      </c>
      <c r="B1454">
        <v>18</v>
      </c>
      <c r="C1454">
        <v>27</v>
      </c>
      <c r="D1454">
        <v>2</v>
      </c>
      <c r="E1454">
        <f t="shared" si="22"/>
        <v>4.8595845487750895E-13</v>
      </c>
    </row>
    <row r="1455" spans="1:5" x14ac:dyDescent="0.25">
      <c r="A1455">
        <v>1</v>
      </c>
      <c r="B1455">
        <v>18</v>
      </c>
      <c r="C1455">
        <v>28</v>
      </c>
      <c r="D1455">
        <v>1</v>
      </c>
      <c r="E1455">
        <f t="shared" si="22"/>
        <v>5.4959587158765898E-14</v>
      </c>
    </row>
    <row r="1456" spans="1:5" x14ac:dyDescent="0.25">
      <c r="A1456">
        <v>1</v>
      </c>
      <c r="B1456">
        <v>18</v>
      </c>
      <c r="C1456">
        <v>29</v>
      </c>
      <c r="D1456">
        <v>0</v>
      </c>
      <c r="E1456">
        <f t="shared" si="22"/>
        <v>2.80483410327495E-15</v>
      </c>
    </row>
    <row r="1457" spans="1:5" x14ac:dyDescent="0.25">
      <c r="A1457">
        <v>1</v>
      </c>
      <c r="B1457">
        <v>19</v>
      </c>
      <c r="C1457">
        <v>3</v>
      </c>
      <c r="D1457">
        <v>25</v>
      </c>
      <c r="E1457">
        <f t="shared" si="22"/>
        <v>6.9686590108571191E-28</v>
      </c>
    </row>
    <row r="1458" spans="1:5" x14ac:dyDescent="0.25">
      <c r="A1458">
        <v>1</v>
      </c>
      <c r="B1458">
        <v>19</v>
      </c>
      <c r="C1458">
        <v>4</v>
      </c>
      <c r="D1458">
        <v>24</v>
      </c>
      <c r="E1458">
        <f t="shared" si="22"/>
        <v>2.7003553667071336E-25</v>
      </c>
    </row>
    <row r="1459" spans="1:5" x14ac:dyDescent="0.25">
      <c r="A1459">
        <v>1</v>
      </c>
      <c r="B1459">
        <v>19</v>
      </c>
      <c r="C1459">
        <v>5</v>
      </c>
      <c r="D1459">
        <v>23</v>
      </c>
      <c r="E1459">
        <f t="shared" si="22"/>
        <v>3.9533202568592435E-23</v>
      </c>
    </row>
    <row r="1460" spans="1:5" x14ac:dyDescent="0.25">
      <c r="A1460">
        <v>1</v>
      </c>
      <c r="B1460">
        <v>19</v>
      </c>
      <c r="C1460">
        <v>6</v>
      </c>
      <c r="D1460">
        <v>22</v>
      </c>
      <c r="E1460">
        <f t="shared" si="22"/>
        <v>3.0308788635920868E-21</v>
      </c>
    </row>
    <row r="1461" spans="1:5" x14ac:dyDescent="0.25">
      <c r="A1461">
        <v>1</v>
      </c>
      <c r="B1461">
        <v>19</v>
      </c>
      <c r="C1461">
        <v>7</v>
      </c>
      <c r="D1461">
        <v>21</v>
      </c>
      <c r="E1461">
        <f t="shared" si="22"/>
        <v>1.4050288446223319E-19</v>
      </c>
    </row>
    <row r="1462" spans="1:5" x14ac:dyDescent="0.25">
      <c r="A1462">
        <v>1</v>
      </c>
      <c r="B1462">
        <v>19</v>
      </c>
      <c r="C1462">
        <v>8</v>
      </c>
      <c r="D1462">
        <v>20</v>
      </c>
      <c r="E1462">
        <f t="shared" si="22"/>
        <v>4.2783128318749999E-18</v>
      </c>
    </row>
    <row r="1463" spans="1:5" x14ac:dyDescent="0.25">
      <c r="A1463">
        <v>1</v>
      </c>
      <c r="B1463">
        <v>19</v>
      </c>
      <c r="C1463">
        <v>9</v>
      </c>
      <c r="D1463">
        <v>19</v>
      </c>
      <c r="E1463">
        <f t="shared" si="22"/>
        <v>9.0319937561805531E-17</v>
      </c>
    </row>
    <row r="1464" spans="1:5" x14ac:dyDescent="0.25">
      <c r="A1464">
        <v>1</v>
      </c>
      <c r="B1464">
        <v>19</v>
      </c>
      <c r="C1464">
        <v>10</v>
      </c>
      <c r="D1464">
        <v>18</v>
      </c>
      <c r="E1464">
        <f t="shared" si="22"/>
        <v>1.372863050939445E-15</v>
      </c>
    </row>
    <row r="1465" spans="1:5" x14ac:dyDescent="0.25">
      <c r="A1465">
        <v>1</v>
      </c>
      <c r="B1465">
        <v>19</v>
      </c>
      <c r="C1465">
        <v>11</v>
      </c>
      <c r="D1465">
        <v>17</v>
      </c>
      <c r="E1465">
        <f t="shared" si="22"/>
        <v>1.5444709323068754E-14</v>
      </c>
    </row>
    <row r="1466" spans="1:5" x14ac:dyDescent="0.25">
      <c r="A1466">
        <v>1</v>
      </c>
      <c r="B1466">
        <v>19</v>
      </c>
      <c r="C1466">
        <v>12</v>
      </c>
      <c r="D1466">
        <v>16</v>
      </c>
      <c r="E1466">
        <f t="shared" si="22"/>
        <v>1.3128002924608432E-13</v>
      </c>
    </row>
    <row r="1467" spans="1:5" x14ac:dyDescent="0.25">
      <c r="A1467">
        <v>1</v>
      </c>
      <c r="B1467">
        <v>19</v>
      </c>
      <c r="C1467">
        <v>13</v>
      </c>
      <c r="D1467">
        <v>15</v>
      </c>
      <c r="E1467">
        <f t="shared" si="22"/>
        <v>8.5634972923599649E-13</v>
      </c>
    </row>
    <row r="1468" spans="1:5" x14ac:dyDescent="0.25">
      <c r="A1468">
        <v>1</v>
      </c>
      <c r="B1468">
        <v>19</v>
      </c>
      <c r="C1468">
        <v>14</v>
      </c>
      <c r="D1468">
        <v>14</v>
      </c>
      <c r="E1468">
        <f t="shared" si="22"/>
        <v>4.3373557714550488E-12</v>
      </c>
    </row>
    <row r="1469" spans="1:5" x14ac:dyDescent="0.25">
      <c r="A1469">
        <v>1</v>
      </c>
      <c r="B1469">
        <v>19</v>
      </c>
      <c r="C1469">
        <v>15</v>
      </c>
      <c r="D1469">
        <v>13</v>
      </c>
      <c r="E1469">
        <f t="shared" si="22"/>
        <v>1.7204844560105022E-11</v>
      </c>
    </row>
    <row r="1470" spans="1:5" x14ac:dyDescent="0.25">
      <c r="A1470">
        <v>1</v>
      </c>
      <c r="B1470">
        <v>19</v>
      </c>
      <c r="C1470">
        <v>16</v>
      </c>
      <c r="D1470">
        <v>12</v>
      </c>
      <c r="E1470">
        <f t="shared" si="22"/>
        <v>5.3765139250328193E-11</v>
      </c>
    </row>
    <row r="1471" spans="1:5" x14ac:dyDescent="0.25">
      <c r="A1471">
        <v>1</v>
      </c>
      <c r="B1471">
        <v>19</v>
      </c>
      <c r="C1471">
        <v>17</v>
      </c>
      <c r="D1471">
        <v>11</v>
      </c>
      <c r="E1471">
        <f t="shared" si="22"/>
        <v>1.3283152050081089E-10</v>
      </c>
    </row>
    <row r="1472" spans="1:5" x14ac:dyDescent="0.25">
      <c r="A1472">
        <v>1</v>
      </c>
      <c r="B1472">
        <v>19</v>
      </c>
      <c r="C1472">
        <v>18</v>
      </c>
      <c r="D1472">
        <v>10</v>
      </c>
      <c r="E1472">
        <f t="shared" si="22"/>
        <v>2.597594178682521E-10</v>
      </c>
    </row>
    <row r="1473" spans="1:5" x14ac:dyDescent="0.25">
      <c r="A1473">
        <v>1</v>
      </c>
      <c r="B1473">
        <v>19</v>
      </c>
      <c r="C1473">
        <v>19</v>
      </c>
      <c r="D1473">
        <v>9</v>
      </c>
      <c r="E1473">
        <f t="shared" si="22"/>
        <v>4.0160173157262683E-10</v>
      </c>
    </row>
    <row r="1474" spans="1:5" x14ac:dyDescent="0.25">
      <c r="A1474">
        <v>1</v>
      </c>
      <c r="B1474">
        <v>19</v>
      </c>
      <c r="C1474">
        <v>20</v>
      </c>
      <c r="D1474">
        <v>8</v>
      </c>
      <c r="E1474">
        <f t="shared" si="22"/>
        <v>4.8900916726784609E-10</v>
      </c>
    </row>
    <row r="1475" spans="1:5" x14ac:dyDescent="0.25">
      <c r="A1475">
        <v>1</v>
      </c>
      <c r="B1475">
        <v>19</v>
      </c>
      <c r="C1475">
        <v>21</v>
      </c>
      <c r="D1475">
        <v>7</v>
      </c>
      <c r="E1475">
        <f t="shared" si="22"/>
        <v>4.657230164455672E-10</v>
      </c>
    </row>
    <row r="1476" spans="1:5" x14ac:dyDescent="0.25">
      <c r="A1476">
        <v>1</v>
      </c>
      <c r="B1476">
        <v>19</v>
      </c>
      <c r="C1476">
        <v>22</v>
      </c>
      <c r="D1476">
        <v>6</v>
      </c>
      <c r="E1476">
        <f t="shared" si="22"/>
        <v>3.4316432790726018E-10</v>
      </c>
    </row>
    <row r="1477" spans="1:5" x14ac:dyDescent="0.25">
      <c r="A1477">
        <v>1</v>
      </c>
      <c r="B1477">
        <v>19</v>
      </c>
      <c r="C1477">
        <v>23</v>
      </c>
      <c r="D1477">
        <v>5</v>
      </c>
      <c r="E1477">
        <f t="shared" si="22"/>
        <v>1.9247042739146325E-10</v>
      </c>
    </row>
    <row r="1478" spans="1:5" x14ac:dyDescent="0.25">
      <c r="A1478">
        <v>1</v>
      </c>
      <c r="B1478">
        <v>19</v>
      </c>
      <c r="C1478">
        <v>24</v>
      </c>
      <c r="D1478">
        <v>4</v>
      </c>
      <c r="E1478">
        <f t="shared" si="22"/>
        <v>8.0196011413109711E-11</v>
      </c>
    </row>
    <row r="1479" spans="1:5" x14ac:dyDescent="0.25">
      <c r="A1479">
        <v>1</v>
      </c>
      <c r="B1479">
        <v>19</v>
      </c>
      <c r="C1479">
        <v>25</v>
      </c>
      <c r="D1479">
        <v>3</v>
      </c>
      <c r="E1479">
        <f t="shared" si="22"/>
        <v>2.39129924940909E-11</v>
      </c>
    </row>
    <row r="1480" spans="1:5" x14ac:dyDescent="0.25">
      <c r="A1480">
        <v>1</v>
      </c>
      <c r="B1480">
        <v>19</v>
      </c>
      <c r="C1480">
        <v>26</v>
      </c>
      <c r="D1480">
        <v>2</v>
      </c>
      <c r="E1480">
        <f t="shared" si="22"/>
        <v>4.7985938115232542E-12</v>
      </c>
    </row>
    <row r="1481" spans="1:5" x14ac:dyDescent="0.25">
      <c r="A1481">
        <v>1</v>
      </c>
      <c r="B1481">
        <v>19</v>
      </c>
      <c r="C1481">
        <v>27</v>
      </c>
      <c r="D1481">
        <v>1</v>
      </c>
      <c r="E1481">
        <f t="shared" si="22"/>
        <v>5.776085143500214E-13</v>
      </c>
    </row>
    <row r="1482" spans="1:5" x14ac:dyDescent="0.25">
      <c r="A1482">
        <v>1</v>
      </c>
      <c r="B1482">
        <v>19</v>
      </c>
      <c r="C1482">
        <v>28</v>
      </c>
      <c r="D1482">
        <v>0</v>
      </c>
      <c r="E1482">
        <f t="shared" si="22"/>
        <v>3.1355890779001166E-14</v>
      </c>
    </row>
    <row r="1483" spans="1:5" x14ac:dyDescent="0.25">
      <c r="A1483">
        <v>1</v>
      </c>
      <c r="B1483">
        <v>20</v>
      </c>
      <c r="C1483">
        <v>2</v>
      </c>
      <c r="D1483">
        <v>25</v>
      </c>
      <c r="E1483">
        <f t="shared" si="22"/>
        <v>4.4798522212652908E-28</v>
      </c>
    </row>
    <row r="1484" spans="1:5" x14ac:dyDescent="0.25">
      <c r="A1484">
        <v>1</v>
      </c>
      <c r="B1484">
        <v>20</v>
      </c>
      <c r="C1484">
        <v>3</v>
      </c>
      <c r="D1484">
        <v>24</v>
      </c>
      <c r="E1484">
        <f t="shared" si="22"/>
        <v>2.3519224161642775E-25</v>
      </c>
    </row>
    <row r="1485" spans="1:5" x14ac:dyDescent="0.25">
      <c r="A1485">
        <v>1</v>
      </c>
      <c r="B1485">
        <v>20</v>
      </c>
      <c r="C1485">
        <v>4</v>
      </c>
      <c r="D1485">
        <v>23</v>
      </c>
      <c r="E1485">
        <f t="shared" si="22"/>
        <v>4.3745756940655573E-23</v>
      </c>
    </row>
    <row r="1486" spans="1:5" x14ac:dyDescent="0.25">
      <c r="A1486">
        <v>1</v>
      </c>
      <c r="B1486">
        <v>20</v>
      </c>
      <c r="C1486">
        <v>5</v>
      </c>
      <c r="D1486">
        <v>22</v>
      </c>
      <c r="E1486">
        <f t="shared" ref="E1486:E1549" si="23">COMBIN(A$4,A1486)*COMBIN(B$4,B1486)*COMBIN(C$4,C1486)*COMBIN(D$4,D1486)/COMBIN($G$4,$F$4)</f>
        <v>4.0916864658493183E-21</v>
      </c>
    </row>
    <row r="1487" spans="1:5" x14ac:dyDescent="0.25">
      <c r="A1487">
        <v>1</v>
      </c>
      <c r="B1487">
        <v>20</v>
      </c>
      <c r="C1487">
        <v>6</v>
      </c>
      <c r="D1487">
        <v>21</v>
      </c>
      <c r="E1487">
        <f t="shared" si="23"/>
        <v>2.250427556217125E-19</v>
      </c>
    </row>
    <row r="1488" spans="1:5" x14ac:dyDescent="0.25">
      <c r="A1488">
        <v>1</v>
      </c>
      <c r="B1488">
        <v>20</v>
      </c>
      <c r="C1488">
        <v>7</v>
      </c>
      <c r="D1488">
        <v>20</v>
      </c>
      <c r="E1488">
        <f t="shared" si="23"/>
        <v>7.9665135490086203E-18</v>
      </c>
    </row>
    <row r="1489" spans="1:5" x14ac:dyDescent="0.25">
      <c r="A1489">
        <v>1</v>
      </c>
      <c r="B1489">
        <v>20</v>
      </c>
      <c r="C1489">
        <v>8</v>
      </c>
      <c r="D1489">
        <v>19</v>
      </c>
      <c r="E1489">
        <f t="shared" si="23"/>
        <v>1.9252407743437501E-16</v>
      </c>
    </row>
    <row r="1490" spans="1:5" x14ac:dyDescent="0.25">
      <c r="A1490">
        <v>1</v>
      </c>
      <c r="B1490">
        <v>20</v>
      </c>
      <c r="C1490">
        <v>9</v>
      </c>
      <c r="D1490">
        <v>18</v>
      </c>
      <c r="E1490">
        <f t="shared" si="23"/>
        <v>3.3095805692290189E-15</v>
      </c>
    </row>
    <row r="1491" spans="1:5" x14ac:dyDescent="0.25">
      <c r="A1491">
        <v>1</v>
      </c>
      <c r="B1491">
        <v>20</v>
      </c>
      <c r="C1491">
        <v>10</v>
      </c>
      <c r="D1491">
        <v>17</v>
      </c>
      <c r="E1491">
        <f t="shared" si="23"/>
        <v>4.1700715172285637E-14</v>
      </c>
    </row>
    <row r="1492" spans="1:5" x14ac:dyDescent="0.25">
      <c r="A1492">
        <v>1</v>
      </c>
      <c r="B1492">
        <v>20</v>
      </c>
      <c r="C1492">
        <v>11</v>
      </c>
      <c r="D1492">
        <v>16</v>
      </c>
      <c r="E1492">
        <f t="shared" si="23"/>
        <v>3.9384008773825328E-13</v>
      </c>
    </row>
    <row r="1493" spans="1:5" x14ac:dyDescent="0.25">
      <c r="A1493">
        <v>1</v>
      </c>
      <c r="B1493">
        <v>20</v>
      </c>
      <c r="C1493">
        <v>12</v>
      </c>
      <c r="D1493">
        <v>15</v>
      </c>
      <c r="E1493">
        <f t="shared" si="23"/>
        <v>2.8356486317154209E-12</v>
      </c>
    </row>
    <row r="1494" spans="1:5" x14ac:dyDescent="0.25">
      <c r="A1494">
        <v>1</v>
      </c>
      <c r="B1494">
        <v>20</v>
      </c>
      <c r="C1494">
        <v>13</v>
      </c>
      <c r="D1494">
        <v>14</v>
      </c>
      <c r="E1494">
        <f t="shared" si="23"/>
        <v>1.576462001548085E-11</v>
      </c>
    </row>
    <row r="1495" spans="1:5" x14ac:dyDescent="0.25">
      <c r="A1495">
        <v>1</v>
      </c>
      <c r="B1495">
        <v>20</v>
      </c>
      <c r="C1495">
        <v>14</v>
      </c>
      <c r="D1495">
        <v>13</v>
      </c>
      <c r="E1495">
        <f t="shared" si="23"/>
        <v>6.8313353400417027E-11</v>
      </c>
    </row>
    <row r="1496" spans="1:5" x14ac:dyDescent="0.25">
      <c r="A1496">
        <v>1</v>
      </c>
      <c r="B1496">
        <v>20</v>
      </c>
      <c r="C1496">
        <v>15</v>
      </c>
      <c r="D1496">
        <v>12</v>
      </c>
      <c r="E1496">
        <f t="shared" si="23"/>
        <v>2.3226540156141781E-10</v>
      </c>
    </row>
    <row r="1497" spans="1:5" x14ac:dyDescent="0.25">
      <c r="A1497">
        <v>1</v>
      </c>
      <c r="B1497">
        <v>20</v>
      </c>
      <c r="C1497">
        <v>16</v>
      </c>
      <c r="D1497">
        <v>11</v>
      </c>
      <c r="E1497">
        <f t="shared" si="23"/>
        <v>6.2213946846808332E-10</v>
      </c>
    </row>
    <row r="1498" spans="1:5" x14ac:dyDescent="0.25">
      <c r="A1498">
        <v>1</v>
      </c>
      <c r="B1498">
        <v>20</v>
      </c>
      <c r="C1498">
        <v>17</v>
      </c>
      <c r="D1498">
        <v>10</v>
      </c>
      <c r="E1498">
        <f t="shared" si="23"/>
        <v>1.3150320529580278E-9</v>
      </c>
    </row>
    <row r="1499" spans="1:5" x14ac:dyDescent="0.25">
      <c r="A1499">
        <v>1</v>
      </c>
      <c r="B1499">
        <v>20</v>
      </c>
      <c r="C1499">
        <v>18</v>
      </c>
      <c r="D1499">
        <v>9</v>
      </c>
      <c r="E1499">
        <f t="shared" si="23"/>
        <v>2.1917200882633779E-9</v>
      </c>
    </row>
    <row r="1500" spans="1:5" x14ac:dyDescent="0.25">
      <c r="A1500">
        <v>1</v>
      </c>
      <c r="B1500">
        <v>20</v>
      </c>
      <c r="C1500">
        <v>19</v>
      </c>
      <c r="D1500">
        <v>8</v>
      </c>
      <c r="E1500">
        <f t="shared" si="23"/>
        <v>2.8702711991808333E-9</v>
      </c>
    </row>
    <row r="1501" spans="1:5" x14ac:dyDescent="0.25">
      <c r="A1501">
        <v>1</v>
      </c>
      <c r="B1501">
        <v>20</v>
      </c>
      <c r="C1501">
        <v>20</v>
      </c>
      <c r="D1501">
        <v>7</v>
      </c>
      <c r="E1501">
        <f t="shared" si="23"/>
        <v>2.9340550036070771E-9</v>
      </c>
    </row>
    <row r="1502" spans="1:5" x14ac:dyDescent="0.25">
      <c r="A1502">
        <v>1</v>
      </c>
      <c r="B1502">
        <v>20</v>
      </c>
      <c r="C1502">
        <v>21</v>
      </c>
      <c r="D1502">
        <v>6</v>
      </c>
      <c r="E1502">
        <f t="shared" si="23"/>
        <v>2.3163592133740048E-9</v>
      </c>
    </row>
    <row r="1503" spans="1:5" x14ac:dyDescent="0.25">
      <c r="A1503">
        <v>1</v>
      </c>
      <c r="B1503">
        <v>20</v>
      </c>
      <c r="C1503">
        <v>22</v>
      </c>
      <c r="D1503">
        <v>5</v>
      </c>
      <c r="E1503">
        <f t="shared" si="23"/>
        <v>1.3898155280244038E-9</v>
      </c>
    </row>
    <row r="1504" spans="1:5" x14ac:dyDescent="0.25">
      <c r="A1504">
        <v>1</v>
      </c>
      <c r="B1504">
        <v>20</v>
      </c>
      <c r="C1504">
        <v>23</v>
      </c>
      <c r="D1504">
        <v>4</v>
      </c>
      <c r="E1504">
        <f t="shared" si="23"/>
        <v>6.1865494518684638E-10</v>
      </c>
    </row>
    <row r="1505" spans="1:5" x14ac:dyDescent="0.25">
      <c r="A1505">
        <v>1</v>
      </c>
      <c r="B1505">
        <v>20</v>
      </c>
      <c r="C1505">
        <v>24</v>
      </c>
      <c r="D1505">
        <v>3</v>
      </c>
      <c r="E1505">
        <f t="shared" si="23"/>
        <v>1.9684475528672381E-10</v>
      </c>
    </row>
    <row r="1506" spans="1:5" x14ac:dyDescent="0.25">
      <c r="A1506">
        <v>1</v>
      </c>
      <c r="B1506">
        <v>20</v>
      </c>
      <c r="C1506">
        <v>25</v>
      </c>
      <c r="D1506">
        <v>2</v>
      </c>
      <c r="E1506">
        <f t="shared" si="23"/>
        <v>4.2107660696116588E-11</v>
      </c>
    </row>
    <row r="1507" spans="1:5" x14ac:dyDescent="0.25">
      <c r="A1507">
        <v>1</v>
      </c>
      <c r="B1507">
        <v>20</v>
      </c>
      <c r="C1507">
        <v>26</v>
      </c>
      <c r="D1507">
        <v>1</v>
      </c>
      <c r="E1507">
        <f t="shared" si="23"/>
        <v>5.3984180379636618E-12</v>
      </c>
    </row>
    <row r="1508" spans="1:5" x14ac:dyDescent="0.25">
      <c r="A1508">
        <v>1</v>
      </c>
      <c r="B1508">
        <v>20</v>
      </c>
      <c r="C1508">
        <v>27</v>
      </c>
      <c r="D1508">
        <v>0</v>
      </c>
      <c r="E1508">
        <f t="shared" si="23"/>
        <v>3.1190859774901156E-13</v>
      </c>
    </row>
    <row r="1509" spans="1:5" x14ac:dyDescent="0.25">
      <c r="A1509">
        <v>1</v>
      </c>
      <c r="B1509">
        <v>21</v>
      </c>
      <c r="C1509">
        <v>1</v>
      </c>
      <c r="D1509">
        <v>25</v>
      </c>
      <c r="E1509">
        <f t="shared" si="23"/>
        <v>1.7932741778576839E-28</v>
      </c>
    </row>
    <row r="1510" spans="1:5" x14ac:dyDescent="0.25">
      <c r="A1510">
        <v>1</v>
      </c>
      <c r="B1510">
        <v>21</v>
      </c>
      <c r="C1510">
        <v>2</v>
      </c>
      <c r="D1510">
        <v>24</v>
      </c>
      <c r="E1510">
        <f t="shared" si="23"/>
        <v>1.4346193422861472E-25</v>
      </c>
    </row>
    <row r="1511" spans="1:5" x14ac:dyDescent="0.25">
      <c r="A1511">
        <v>1</v>
      </c>
      <c r="B1511">
        <v>21</v>
      </c>
      <c r="C1511">
        <v>3</v>
      </c>
      <c r="D1511">
        <v>23</v>
      </c>
      <c r="E1511">
        <f t="shared" si="23"/>
        <v>3.6152407425610904E-23</v>
      </c>
    </row>
    <row r="1512" spans="1:5" x14ac:dyDescent="0.25">
      <c r="A1512">
        <v>1</v>
      </c>
      <c r="B1512">
        <v>21</v>
      </c>
      <c r="C1512">
        <v>4</v>
      </c>
      <c r="D1512">
        <v>22</v>
      </c>
      <c r="E1512">
        <f t="shared" si="23"/>
        <v>4.2961110824100972E-21</v>
      </c>
    </row>
    <row r="1513" spans="1:5" x14ac:dyDescent="0.25">
      <c r="A1513">
        <v>1</v>
      </c>
      <c r="B1513">
        <v>21</v>
      </c>
      <c r="C1513">
        <v>5</v>
      </c>
      <c r="D1513">
        <v>21</v>
      </c>
      <c r="E1513">
        <f t="shared" si="23"/>
        <v>2.8826905362971751E-19</v>
      </c>
    </row>
    <row r="1514" spans="1:5" x14ac:dyDescent="0.25">
      <c r="A1514">
        <v>1</v>
      </c>
      <c r="B1514">
        <v>21</v>
      </c>
      <c r="C1514">
        <v>6</v>
      </c>
      <c r="D1514">
        <v>20</v>
      </c>
      <c r="E1514">
        <f t="shared" si="23"/>
        <v>1.210730025244813E-17</v>
      </c>
    </row>
    <row r="1515" spans="1:5" x14ac:dyDescent="0.25">
      <c r="A1515">
        <v>1</v>
      </c>
      <c r="B1515">
        <v>21</v>
      </c>
      <c r="C1515">
        <v>7</v>
      </c>
      <c r="D1515">
        <v>19</v>
      </c>
      <c r="E1515">
        <f t="shared" si="23"/>
        <v>3.4015748328306657E-16</v>
      </c>
    </row>
    <row r="1516" spans="1:5" x14ac:dyDescent="0.25">
      <c r="A1516">
        <v>1</v>
      </c>
      <c r="B1516">
        <v>21</v>
      </c>
      <c r="C1516">
        <v>8</v>
      </c>
      <c r="D1516">
        <v>18</v>
      </c>
      <c r="E1516">
        <f t="shared" si="23"/>
        <v>6.6938133317489204E-15</v>
      </c>
    </row>
    <row r="1517" spans="1:5" x14ac:dyDescent="0.25">
      <c r="A1517">
        <v>1</v>
      </c>
      <c r="B1517">
        <v>21</v>
      </c>
      <c r="C1517">
        <v>9</v>
      </c>
      <c r="D1517">
        <v>17</v>
      </c>
      <c r="E1517">
        <f t="shared" si="23"/>
        <v>9.538683997742208E-14</v>
      </c>
    </row>
    <row r="1518" spans="1:5" x14ac:dyDescent="0.25">
      <c r="A1518">
        <v>1</v>
      </c>
      <c r="B1518">
        <v>21</v>
      </c>
      <c r="C1518">
        <v>10</v>
      </c>
      <c r="D1518">
        <v>16</v>
      </c>
      <c r="E1518">
        <f t="shared" si="23"/>
        <v>1.0089807962056204E-12</v>
      </c>
    </row>
    <row r="1519" spans="1:5" x14ac:dyDescent="0.25">
      <c r="A1519">
        <v>1</v>
      </c>
      <c r="B1519">
        <v>21</v>
      </c>
      <c r="C1519">
        <v>11</v>
      </c>
      <c r="D1519">
        <v>15</v>
      </c>
      <c r="E1519">
        <f t="shared" si="23"/>
        <v>8.0718463696449617E-12</v>
      </c>
    </row>
    <row r="1520" spans="1:5" x14ac:dyDescent="0.25">
      <c r="A1520">
        <v>1</v>
      </c>
      <c r="B1520">
        <v>21</v>
      </c>
      <c r="C1520">
        <v>12</v>
      </c>
      <c r="D1520">
        <v>14</v>
      </c>
      <c r="E1520">
        <f t="shared" si="23"/>
        <v>4.9531784541003157E-11</v>
      </c>
    </row>
    <row r="1521" spans="1:5" x14ac:dyDescent="0.25">
      <c r="A1521">
        <v>1</v>
      </c>
      <c r="B1521">
        <v>21</v>
      </c>
      <c r="C1521">
        <v>13</v>
      </c>
      <c r="D1521">
        <v>13</v>
      </c>
      <c r="E1521">
        <f t="shared" si="23"/>
        <v>2.3559348800913053E-10</v>
      </c>
    </row>
    <row r="1522" spans="1:5" x14ac:dyDescent="0.25">
      <c r="A1522">
        <v>1</v>
      </c>
      <c r="B1522">
        <v>21</v>
      </c>
      <c r="C1522">
        <v>14</v>
      </c>
      <c r="D1522">
        <v>12</v>
      </c>
      <c r="E1522">
        <f t="shared" si="23"/>
        <v>8.7506152689105642E-10</v>
      </c>
    </row>
    <row r="1523" spans="1:5" x14ac:dyDescent="0.25">
      <c r="A1523">
        <v>1</v>
      </c>
      <c r="B1523">
        <v>21</v>
      </c>
      <c r="C1523">
        <v>15</v>
      </c>
      <c r="D1523">
        <v>11</v>
      </c>
      <c r="E1523">
        <f t="shared" si="23"/>
        <v>2.5501793069396489E-9</v>
      </c>
    </row>
    <row r="1524" spans="1:5" x14ac:dyDescent="0.25">
      <c r="A1524">
        <v>1</v>
      </c>
      <c r="B1524">
        <v>21</v>
      </c>
      <c r="C1524">
        <v>16</v>
      </c>
      <c r="D1524">
        <v>10</v>
      </c>
      <c r="E1524">
        <f t="shared" si="23"/>
        <v>5.8441609117366954E-9</v>
      </c>
    </row>
    <row r="1525" spans="1:5" x14ac:dyDescent="0.25">
      <c r="A1525">
        <v>1</v>
      </c>
      <c r="B1525">
        <v>21</v>
      </c>
      <c r="C1525">
        <v>17</v>
      </c>
      <c r="D1525">
        <v>9</v>
      </c>
      <c r="E1525">
        <f t="shared" si="23"/>
        <v>1.0528083995408025E-8</v>
      </c>
    </row>
    <row r="1526" spans="1:5" x14ac:dyDescent="0.25">
      <c r="A1526">
        <v>1</v>
      </c>
      <c r="B1526">
        <v>21</v>
      </c>
      <c r="C1526">
        <v>18</v>
      </c>
      <c r="D1526">
        <v>8</v>
      </c>
      <c r="E1526">
        <f t="shared" si="23"/>
        <v>1.4863177405281901E-8</v>
      </c>
    </row>
    <row r="1527" spans="1:5" x14ac:dyDescent="0.25">
      <c r="A1527">
        <v>1</v>
      </c>
      <c r="B1527">
        <v>21</v>
      </c>
      <c r="C1527">
        <v>19</v>
      </c>
      <c r="D1527">
        <v>7</v>
      </c>
      <c r="E1527">
        <f t="shared" si="23"/>
        <v>1.6340803229198828E-8</v>
      </c>
    </row>
    <row r="1528" spans="1:5" x14ac:dyDescent="0.25">
      <c r="A1528">
        <v>1</v>
      </c>
      <c r="B1528">
        <v>21</v>
      </c>
      <c r="C1528">
        <v>20</v>
      </c>
      <c r="D1528">
        <v>6</v>
      </c>
      <c r="E1528">
        <f t="shared" si="23"/>
        <v>1.3846680631057961E-8</v>
      </c>
    </row>
    <row r="1529" spans="1:5" x14ac:dyDescent="0.25">
      <c r="A1529">
        <v>1</v>
      </c>
      <c r="B1529">
        <v>21</v>
      </c>
      <c r="C1529">
        <v>21</v>
      </c>
      <c r="D1529">
        <v>5</v>
      </c>
      <c r="E1529">
        <f t="shared" si="23"/>
        <v>8.901437548537248E-9</v>
      </c>
    </row>
    <row r="1530" spans="1:5" x14ac:dyDescent="0.25">
      <c r="A1530">
        <v>1</v>
      </c>
      <c r="B1530">
        <v>21</v>
      </c>
      <c r="C1530">
        <v>22</v>
      </c>
      <c r="D1530">
        <v>4</v>
      </c>
      <c r="E1530">
        <f t="shared" si="23"/>
        <v>4.2387797850177417E-9</v>
      </c>
    </row>
    <row r="1531" spans="1:5" x14ac:dyDescent="0.25">
      <c r="A1531">
        <v>1</v>
      </c>
      <c r="B1531">
        <v>21</v>
      </c>
      <c r="C1531">
        <v>23</v>
      </c>
      <c r="D1531">
        <v>3</v>
      </c>
      <c r="E1531">
        <f t="shared" si="23"/>
        <v>1.4408500455001013E-9</v>
      </c>
    </row>
    <row r="1532" spans="1:5" x14ac:dyDescent="0.25">
      <c r="A1532">
        <v>1</v>
      </c>
      <c r="B1532">
        <v>21</v>
      </c>
      <c r="C1532">
        <v>24</v>
      </c>
      <c r="D1532">
        <v>2</v>
      </c>
      <c r="E1532">
        <f t="shared" si="23"/>
        <v>3.2888968429893618E-10</v>
      </c>
    </row>
    <row r="1533" spans="1:5" x14ac:dyDescent="0.25">
      <c r="A1533">
        <v>1</v>
      </c>
      <c r="B1533">
        <v>21</v>
      </c>
      <c r="C1533">
        <v>25</v>
      </c>
      <c r="D1533">
        <v>1</v>
      </c>
      <c r="E1533">
        <f t="shared" si="23"/>
        <v>4.4948256854187955E-11</v>
      </c>
    </row>
    <row r="1534" spans="1:5" x14ac:dyDescent="0.25">
      <c r="A1534">
        <v>1</v>
      </c>
      <c r="B1534">
        <v>21</v>
      </c>
      <c r="C1534">
        <v>26</v>
      </c>
      <c r="D1534">
        <v>0</v>
      </c>
      <c r="E1534">
        <f t="shared" si="23"/>
        <v>2.766046575642334E-12</v>
      </c>
    </row>
    <row r="1535" spans="1:5" x14ac:dyDescent="0.25">
      <c r="A1535">
        <v>1</v>
      </c>
      <c r="B1535">
        <v>22</v>
      </c>
      <c r="C1535">
        <v>0</v>
      </c>
      <c r="D1535">
        <v>25</v>
      </c>
      <c r="E1535">
        <f t="shared" si="23"/>
        <v>3.3608215361248898E-29</v>
      </c>
    </row>
    <row r="1536" spans="1:5" x14ac:dyDescent="0.25">
      <c r="A1536">
        <v>1</v>
      </c>
      <c r="B1536">
        <v>22</v>
      </c>
      <c r="C1536">
        <v>1</v>
      </c>
      <c r="D1536">
        <v>24</v>
      </c>
      <c r="E1536">
        <f t="shared" si="23"/>
        <v>5.4613349962029461E-26</v>
      </c>
    </row>
    <row r="1537" spans="1:5" x14ac:dyDescent="0.25">
      <c r="A1537">
        <v>1</v>
      </c>
      <c r="B1537">
        <v>22</v>
      </c>
      <c r="C1537">
        <v>2</v>
      </c>
      <c r="D1537">
        <v>23</v>
      </c>
      <c r="E1537">
        <f t="shared" si="23"/>
        <v>2.0971526385419313E-23</v>
      </c>
    </row>
    <row r="1538" spans="1:5" x14ac:dyDescent="0.25">
      <c r="A1538">
        <v>1</v>
      </c>
      <c r="B1538">
        <v>22</v>
      </c>
      <c r="C1538">
        <v>3</v>
      </c>
      <c r="D1538">
        <v>22</v>
      </c>
      <c r="E1538">
        <f t="shared" si="23"/>
        <v>3.3764157480525094E-21</v>
      </c>
    </row>
    <row r="1539" spans="1:5" x14ac:dyDescent="0.25">
      <c r="A1539">
        <v>1</v>
      </c>
      <c r="B1539">
        <v>22</v>
      </c>
      <c r="C1539">
        <v>4</v>
      </c>
      <c r="D1539">
        <v>21</v>
      </c>
      <c r="E1539">
        <f t="shared" si="23"/>
        <v>2.878394425214765E-19</v>
      </c>
    </row>
    <row r="1540" spans="1:5" x14ac:dyDescent="0.25">
      <c r="A1540">
        <v>1</v>
      </c>
      <c r="B1540">
        <v>22</v>
      </c>
      <c r="C1540">
        <v>5</v>
      </c>
      <c r="D1540">
        <v>20</v>
      </c>
      <c r="E1540">
        <f t="shared" si="23"/>
        <v>1.4748893034800453E-17</v>
      </c>
    </row>
    <row r="1541" spans="1:5" x14ac:dyDescent="0.25">
      <c r="A1541">
        <v>1</v>
      </c>
      <c r="B1541">
        <v>22</v>
      </c>
      <c r="C1541">
        <v>6</v>
      </c>
      <c r="D1541">
        <v>19</v>
      </c>
      <c r="E1541">
        <f t="shared" si="23"/>
        <v>4.916297678266817E-16</v>
      </c>
    </row>
    <row r="1542" spans="1:5" x14ac:dyDescent="0.25">
      <c r="A1542">
        <v>1</v>
      </c>
      <c r="B1542">
        <v>22</v>
      </c>
      <c r="C1542">
        <v>7</v>
      </c>
      <c r="D1542">
        <v>18</v>
      </c>
      <c r="E1542">
        <f t="shared" si="23"/>
        <v>1.1247285096606334E-14</v>
      </c>
    </row>
    <row r="1543" spans="1:5" x14ac:dyDescent="0.25">
      <c r="A1543">
        <v>1</v>
      </c>
      <c r="B1543">
        <v>22</v>
      </c>
      <c r="C1543">
        <v>8</v>
      </c>
      <c r="D1543">
        <v>17</v>
      </c>
      <c r="E1543">
        <f t="shared" si="23"/>
        <v>1.8347133813839081E-13</v>
      </c>
    </row>
    <row r="1544" spans="1:5" x14ac:dyDescent="0.25">
      <c r="A1544">
        <v>1</v>
      </c>
      <c r="B1544">
        <v>22</v>
      </c>
      <c r="C1544">
        <v>9</v>
      </c>
      <c r="D1544">
        <v>16</v>
      </c>
      <c r="E1544">
        <f t="shared" si="23"/>
        <v>2.1948608229148229E-12</v>
      </c>
    </row>
    <row r="1545" spans="1:5" x14ac:dyDescent="0.25">
      <c r="A1545">
        <v>1</v>
      </c>
      <c r="B1545">
        <v>22</v>
      </c>
      <c r="C1545">
        <v>10</v>
      </c>
      <c r="D1545">
        <v>15</v>
      </c>
      <c r="E1545">
        <f t="shared" si="23"/>
        <v>1.9665952973316816E-11</v>
      </c>
    </row>
    <row r="1546" spans="1:5" x14ac:dyDescent="0.25">
      <c r="A1546">
        <v>1</v>
      </c>
      <c r="B1546">
        <v>22</v>
      </c>
      <c r="C1546">
        <v>11</v>
      </c>
      <c r="D1546">
        <v>14</v>
      </c>
      <c r="E1546">
        <f t="shared" si="23"/>
        <v>1.3408604299988742E-10</v>
      </c>
    </row>
    <row r="1547" spans="1:5" x14ac:dyDescent="0.25">
      <c r="A1547">
        <v>1</v>
      </c>
      <c r="B1547">
        <v>22</v>
      </c>
      <c r="C1547">
        <v>12</v>
      </c>
      <c r="D1547">
        <v>13</v>
      </c>
      <c r="E1547">
        <f t="shared" si="23"/>
        <v>7.0395172574940854E-10</v>
      </c>
    </row>
    <row r="1548" spans="1:5" x14ac:dyDescent="0.25">
      <c r="A1548">
        <v>1</v>
      </c>
      <c r="B1548">
        <v>22</v>
      </c>
      <c r="C1548">
        <v>13</v>
      </c>
      <c r="D1548">
        <v>12</v>
      </c>
      <c r="E1548">
        <f t="shared" si="23"/>
        <v>2.8699570357475901E-9</v>
      </c>
    </row>
    <row r="1549" spans="1:5" x14ac:dyDescent="0.25">
      <c r="A1549">
        <v>1</v>
      </c>
      <c r="B1549">
        <v>22</v>
      </c>
      <c r="C1549">
        <v>14</v>
      </c>
      <c r="D1549">
        <v>11</v>
      </c>
      <c r="E1549">
        <f t="shared" si="23"/>
        <v>9.1370060729923277E-9</v>
      </c>
    </row>
    <row r="1550" spans="1:5" x14ac:dyDescent="0.25">
      <c r="A1550">
        <v>1</v>
      </c>
      <c r="B1550">
        <v>22</v>
      </c>
      <c r="C1550">
        <v>15</v>
      </c>
      <c r="D1550">
        <v>10</v>
      </c>
      <c r="E1550">
        <f t="shared" ref="E1550:E1613" si="24">COMBIN(A$4,A1550)*COMBIN(B$4,B1550)*COMBIN(C$4,C1550)*COMBIN(D$4,D1550)/COMBIN($G$4,$F$4)</f>
        <v>2.2781601808660856E-8</v>
      </c>
    </row>
    <row r="1551" spans="1:5" x14ac:dyDescent="0.25">
      <c r="A1551">
        <v>1</v>
      </c>
      <c r="B1551">
        <v>22</v>
      </c>
      <c r="C1551">
        <v>16</v>
      </c>
      <c r="D1551">
        <v>9</v>
      </c>
      <c r="E1551">
        <f t="shared" si="24"/>
        <v>4.4495316032540747E-8</v>
      </c>
    </row>
    <row r="1552" spans="1:5" x14ac:dyDescent="0.25">
      <c r="A1552">
        <v>1</v>
      </c>
      <c r="B1552">
        <v>22</v>
      </c>
      <c r="C1552">
        <v>17</v>
      </c>
      <c r="D1552">
        <v>8</v>
      </c>
      <c r="E1552">
        <f t="shared" si="24"/>
        <v>6.7897696783219655E-8</v>
      </c>
    </row>
    <row r="1553" spans="1:5" x14ac:dyDescent="0.25">
      <c r="A1553">
        <v>1</v>
      </c>
      <c r="B1553">
        <v>22</v>
      </c>
      <c r="C1553">
        <v>18</v>
      </c>
      <c r="D1553">
        <v>7</v>
      </c>
      <c r="E1553">
        <f t="shared" si="24"/>
        <v>8.0471344335667692E-8</v>
      </c>
    </row>
    <row r="1554" spans="1:5" x14ac:dyDescent="0.25">
      <c r="A1554">
        <v>1</v>
      </c>
      <c r="B1554">
        <v>22</v>
      </c>
      <c r="C1554">
        <v>19</v>
      </c>
      <c r="D1554">
        <v>6</v>
      </c>
      <c r="E1554">
        <f t="shared" si="24"/>
        <v>7.333815037793536E-8</v>
      </c>
    </row>
    <row r="1555" spans="1:5" x14ac:dyDescent="0.25">
      <c r="A1555">
        <v>1</v>
      </c>
      <c r="B1555">
        <v>22</v>
      </c>
      <c r="C1555">
        <v>20</v>
      </c>
      <c r="D1555">
        <v>5</v>
      </c>
      <c r="E1555">
        <f t="shared" si="24"/>
        <v>5.0603323760775447E-8</v>
      </c>
    </row>
    <row r="1556" spans="1:5" x14ac:dyDescent="0.25">
      <c r="A1556">
        <v>1</v>
      </c>
      <c r="B1556">
        <v>22</v>
      </c>
      <c r="C1556">
        <v>21</v>
      </c>
      <c r="D1556">
        <v>4</v>
      </c>
      <c r="E1556">
        <f t="shared" si="24"/>
        <v>2.5818022326926227E-8</v>
      </c>
    </row>
    <row r="1557" spans="1:5" x14ac:dyDescent="0.25">
      <c r="A1557">
        <v>1</v>
      </c>
      <c r="B1557">
        <v>22</v>
      </c>
      <c r="C1557">
        <v>22</v>
      </c>
      <c r="D1557">
        <v>3</v>
      </c>
      <c r="E1557">
        <f t="shared" si="24"/>
        <v>9.3883717552459046E-9</v>
      </c>
    </row>
    <row r="1558" spans="1:5" x14ac:dyDescent="0.25">
      <c r="A1558">
        <v>1</v>
      </c>
      <c r="B1558">
        <v>22</v>
      </c>
      <c r="C1558">
        <v>23</v>
      </c>
      <c r="D1558">
        <v>2</v>
      </c>
      <c r="E1558">
        <f t="shared" si="24"/>
        <v>2.2894139062886984E-9</v>
      </c>
    </row>
    <row r="1559" spans="1:5" x14ac:dyDescent="0.25">
      <c r="A1559">
        <v>1</v>
      </c>
      <c r="B1559">
        <v>22</v>
      </c>
      <c r="C1559">
        <v>24</v>
      </c>
      <c r="D1559">
        <v>1</v>
      </c>
      <c r="E1559">
        <f t="shared" si="24"/>
        <v>3.3387286133376849E-10</v>
      </c>
    </row>
    <row r="1560" spans="1:5" x14ac:dyDescent="0.25">
      <c r="A1560">
        <v>1</v>
      </c>
      <c r="B1560">
        <v>22</v>
      </c>
      <c r="C1560">
        <v>25</v>
      </c>
      <c r="D1560">
        <v>0</v>
      </c>
      <c r="E1560">
        <f t="shared" si="24"/>
        <v>2.1902059703495223E-11</v>
      </c>
    </row>
    <row r="1561" spans="1:5" x14ac:dyDescent="0.25">
      <c r="A1561">
        <v>1</v>
      </c>
      <c r="B1561">
        <v>23</v>
      </c>
      <c r="C1561">
        <v>0</v>
      </c>
      <c r="D1561">
        <v>24</v>
      </c>
      <c r="E1561">
        <f t="shared" si="24"/>
        <v>9.7536885885363596E-27</v>
      </c>
    </row>
    <row r="1562" spans="1:5" x14ac:dyDescent="0.25">
      <c r="A1562">
        <v>1</v>
      </c>
      <c r="B1562">
        <v>23</v>
      </c>
      <c r="C1562">
        <v>1</v>
      </c>
      <c r="D1562">
        <v>23</v>
      </c>
      <c r="E1562">
        <f t="shared" si="24"/>
        <v>7.6078770990583607E-24</v>
      </c>
    </row>
    <row r="1563" spans="1:5" x14ac:dyDescent="0.25">
      <c r="A1563">
        <v>1</v>
      </c>
      <c r="B1563">
        <v>23</v>
      </c>
      <c r="C1563">
        <v>2</v>
      </c>
      <c r="D1563">
        <v>22</v>
      </c>
      <c r="E1563">
        <f t="shared" si="24"/>
        <v>1.866465848302318E-21</v>
      </c>
    </row>
    <row r="1564" spans="1:5" x14ac:dyDescent="0.25">
      <c r="A1564">
        <v>1</v>
      </c>
      <c r="B1564">
        <v>23</v>
      </c>
      <c r="C1564">
        <v>3</v>
      </c>
      <c r="D1564">
        <v>21</v>
      </c>
      <c r="E1564">
        <f t="shared" si="24"/>
        <v>2.1557680547891775E-19</v>
      </c>
    </row>
    <row r="1565" spans="1:5" x14ac:dyDescent="0.25">
      <c r="A1565">
        <v>1</v>
      </c>
      <c r="B1565">
        <v>23</v>
      </c>
      <c r="C1565">
        <v>4</v>
      </c>
      <c r="D1565">
        <v>20</v>
      </c>
      <c r="E1565">
        <f t="shared" si="24"/>
        <v>1.4034050036677541E-17</v>
      </c>
    </row>
    <row r="1566" spans="1:5" x14ac:dyDescent="0.25">
      <c r="A1566">
        <v>1</v>
      </c>
      <c r="B1566">
        <v>23</v>
      </c>
      <c r="C1566">
        <v>5</v>
      </c>
      <c r="D1566">
        <v>19</v>
      </c>
      <c r="E1566">
        <f t="shared" si="24"/>
        <v>5.7071803482488668E-16</v>
      </c>
    </row>
    <row r="1567" spans="1:5" x14ac:dyDescent="0.25">
      <c r="A1567">
        <v>1</v>
      </c>
      <c r="B1567">
        <v>23</v>
      </c>
      <c r="C1567">
        <v>6</v>
      </c>
      <c r="D1567">
        <v>18</v>
      </c>
      <c r="E1567">
        <f t="shared" si="24"/>
        <v>1.5490918088104073E-14</v>
      </c>
    </row>
    <row r="1568" spans="1:5" x14ac:dyDescent="0.25">
      <c r="A1568">
        <v>1</v>
      </c>
      <c r="B1568">
        <v>23</v>
      </c>
      <c r="C1568">
        <v>7</v>
      </c>
      <c r="D1568">
        <v>17</v>
      </c>
      <c r="E1568">
        <f t="shared" si="24"/>
        <v>2.9377419659940221E-13</v>
      </c>
    </row>
    <row r="1569" spans="1:5" x14ac:dyDescent="0.25">
      <c r="A1569">
        <v>1</v>
      </c>
      <c r="B1569">
        <v>23</v>
      </c>
      <c r="C1569">
        <v>8</v>
      </c>
      <c r="D1569">
        <v>16</v>
      </c>
      <c r="E1569">
        <f t="shared" si="24"/>
        <v>4.0230744145418136E-12</v>
      </c>
    </row>
    <row r="1570" spans="1:5" x14ac:dyDescent="0.25">
      <c r="A1570">
        <v>1</v>
      </c>
      <c r="B1570">
        <v>23</v>
      </c>
      <c r="C1570">
        <v>9</v>
      </c>
      <c r="D1570">
        <v>15</v>
      </c>
      <c r="E1570">
        <f t="shared" si="24"/>
        <v>4.0767154067357036E-11</v>
      </c>
    </row>
    <row r="1571" spans="1:5" x14ac:dyDescent="0.25">
      <c r="A1571">
        <v>1</v>
      </c>
      <c r="B1571">
        <v>23</v>
      </c>
      <c r="C1571">
        <v>10</v>
      </c>
      <c r="D1571">
        <v>14</v>
      </c>
      <c r="E1571">
        <f t="shared" si="24"/>
        <v>3.1131281287799926E-10</v>
      </c>
    </row>
    <row r="1572" spans="1:5" x14ac:dyDescent="0.25">
      <c r="A1572">
        <v>1</v>
      </c>
      <c r="B1572">
        <v>23</v>
      </c>
      <c r="C1572">
        <v>11</v>
      </c>
      <c r="D1572">
        <v>13</v>
      </c>
      <c r="E1572">
        <f t="shared" si="24"/>
        <v>1.8159914084549963E-9</v>
      </c>
    </row>
    <row r="1573" spans="1:5" x14ac:dyDescent="0.25">
      <c r="A1573">
        <v>1</v>
      </c>
      <c r="B1573">
        <v>23</v>
      </c>
      <c r="C1573">
        <v>12</v>
      </c>
      <c r="D1573">
        <v>12</v>
      </c>
      <c r="E1573">
        <f t="shared" si="24"/>
        <v>8.1719613380474771E-9</v>
      </c>
    </row>
    <row r="1574" spans="1:5" x14ac:dyDescent="0.25">
      <c r="A1574">
        <v>1</v>
      </c>
      <c r="B1574">
        <v>23</v>
      </c>
      <c r="C1574">
        <v>13</v>
      </c>
      <c r="D1574">
        <v>11</v>
      </c>
      <c r="E1574">
        <f t="shared" si="24"/>
        <v>2.8556963796693392E-8</v>
      </c>
    </row>
    <row r="1575" spans="1:5" x14ac:dyDescent="0.25">
      <c r="A1575">
        <v>1</v>
      </c>
      <c r="B1575">
        <v>23</v>
      </c>
      <c r="C1575">
        <v>14</v>
      </c>
      <c r="D1575">
        <v>10</v>
      </c>
      <c r="E1575">
        <f t="shared" si="24"/>
        <v>7.7783729960517243E-8</v>
      </c>
    </row>
    <row r="1576" spans="1:5" x14ac:dyDescent="0.25">
      <c r="A1576">
        <v>1</v>
      </c>
      <c r="B1576">
        <v>23</v>
      </c>
      <c r="C1576">
        <v>15</v>
      </c>
      <c r="D1576">
        <v>9</v>
      </c>
      <c r="E1576">
        <f t="shared" si="24"/>
        <v>1.6529042616609906E-7</v>
      </c>
    </row>
    <row r="1577" spans="1:5" x14ac:dyDescent="0.25">
      <c r="A1577">
        <v>1</v>
      </c>
      <c r="B1577">
        <v>23</v>
      </c>
      <c r="C1577">
        <v>16</v>
      </c>
      <c r="D1577">
        <v>8</v>
      </c>
      <c r="E1577">
        <f t="shared" si="24"/>
        <v>2.7345842564244338E-7</v>
      </c>
    </row>
    <row r="1578" spans="1:5" x14ac:dyDescent="0.25">
      <c r="A1578">
        <v>1</v>
      </c>
      <c r="B1578">
        <v>23</v>
      </c>
      <c r="C1578">
        <v>17</v>
      </c>
      <c r="D1578">
        <v>7</v>
      </c>
      <c r="E1578">
        <f t="shared" si="24"/>
        <v>3.5031275441777089E-7</v>
      </c>
    </row>
    <row r="1579" spans="1:5" x14ac:dyDescent="0.25">
      <c r="A1579">
        <v>1</v>
      </c>
      <c r="B1579">
        <v>23</v>
      </c>
      <c r="C1579">
        <v>18</v>
      </c>
      <c r="D1579">
        <v>6</v>
      </c>
      <c r="E1579">
        <f t="shared" si="24"/>
        <v>3.4416691662096745E-7</v>
      </c>
    </row>
    <row r="1580" spans="1:5" x14ac:dyDescent="0.25">
      <c r="A1580">
        <v>1</v>
      </c>
      <c r="B1580">
        <v>23</v>
      </c>
      <c r="C1580">
        <v>19</v>
      </c>
      <c r="D1580">
        <v>5</v>
      </c>
      <c r="E1580">
        <f t="shared" si="24"/>
        <v>2.5540808022924434E-7</v>
      </c>
    </row>
    <row r="1581" spans="1:5" x14ac:dyDescent="0.25">
      <c r="A1581">
        <v>1</v>
      </c>
      <c r="B1581">
        <v>23</v>
      </c>
      <c r="C1581">
        <v>20</v>
      </c>
      <c r="D1581">
        <v>4</v>
      </c>
      <c r="E1581">
        <f t="shared" si="24"/>
        <v>1.3986632964934823E-7</v>
      </c>
    </row>
    <row r="1582" spans="1:5" x14ac:dyDescent="0.25">
      <c r="A1582">
        <v>1</v>
      </c>
      <c r="B1582">
        <v>23</v>
      </c>
      <c r="C1582">
        <v>21</v>
      </c>
      <c r="D1582">
        <v>3</v>
      </c>
      <c r="E1582">
        <f t="shared" si="24"/>
        <v>5.4493375188057687E-8</v>
      </c>
    </row>
    <row r="1583" spans="1:5" x14ac:dyDescent="0.25">
      <c r="A1583">
        <v>1</v>
      </c>
      <c r="B1583">
        <v>23</v>
      </c>
      <c r="C1583">
        <v>22</v>
      </c>
      <c r="D1583">
        <v>2</v>
      </c>
      <c r="E1583">
        <f t="shared" si="24"/>
        <v>1.4215663092536796E-8</v>
      </c>
    </row>
    <row r="1584" spans="1:5" x14ac:dyDescent="0.25">
      <c r="A1584">
        <v>1</v>
      </c>
      <c r="B1584">
        <v>23</v>
      </c>
      <c r="C1584">
        <v>23</v>
      </c>
      <c r="D1584">
        <v>1</v>
      </c>
      <c r="E1584">
        <f t="shared" si="24"/>
        <v>2.2147591049966743E-9</v>
      </c>
    </row>
    <row r="1585" spans="1:5" x14ac:dyDescent="0.25">
      <c r="A1585">
        <v>1</v>
      </c>
      <c r="B1585">
        <v>23</v>
      </c>
      <c r="C1585">
        <v>24</v>
      </c>
      <c r="D1585">
        <v>0</v>
      </c>
      <c r="E1585">
        <f t="shared" si="24"/>
        <v>1.550331373497672E-10</v>
      </c>
    </row>
    <row r="1586" spans="1:5" x14ac:dyDescent="0.25">
      <c r="A1586">
        <v>1</v>
      </c>
      <c r="B1586">
        <v>24</v>
      </c>
      <c r="C1586">
        <v>0</v>
      </c>
      <c r="D1586">
        <v>23</v>
      </c>
      <c r="E1586">
        <f t="shared" si="24"/>
        <v>1.2972405822753367E-24</v>
      </c>
    </row>
    <row r="1587" spans="1:5" x14ac:dyDescent="0.25">
      <c r="A1587">
        <v>1</v>
      </c>
      <c r="B1587">
        <v>24</v>
      </c>
      <c r="C1587">
        <v>1</v>
      </c>
      <c r="D1587">
        <v>22</v>
      </c>
      <c r="E1587">
        <f t="shared" si="24"/>
        <v>6.4645822350054274E-22</v>
      </c>
    </row>
    <row r="1588" spans="1:5" x14ac:dyDescent="0.25">
      <c r="A1588">
        <v>1</v>
      </c>
      <c r="B1588">
        <v>24</v>
      </c>
      <c r="C1588">
        <v>2</v>
      </c>
      <c r="D1588">
        <v>21</v>
      </c>
      <c r="E1588">
        <f t="shared" si="24"/>
        <v>1.1377664733609552E-19</v>
      </c>
    </row>
    <row r="1589" spans="1:5" x14ac:dyDescent="0.25">
      <c r="A1589">
        <v>1</v>
      </c>
      <c r="B1589">
        <v>24</v>
      </c>
      <c r="C1589">
        <v>3</v>
      </c>
      <c r="D1589">
        <v>20</v>
      </c>
      <c r="E1589">
        <f t="shared" si="24"/>
        <v>1.0035100295043625E-17</v>
      </c>
    </row>
    <row r="1590" spans="1:5" x14ac:dyDescent="0.25">
      <c r="A1590">
        <v>1</v>
      </c>
      <c r="B1590">
        <v>24</v>
      </c>
      <c r="C1590">
        <v>4</v>
      </c>
      <c r="D1590">
        <v>19</v>
      </c>
      <c r="E1590">
        <f t="shared" si="24"/>
        <v>5.1848018191058725E-16</v>
      </c>
    </row>
    <row r="1591" spans="1:5" x14ac:dyDescent="0.25">
      <c r="A1591">
        <v>1</v>
      </c>
      <c r="B1591">
        <v>24</v>
      </c>
      <c r="C1591">
        <v>5</v>
      </c>
      <c r="D1591">
        <v>18</v>
      </c>
      <c r="E1591">
        <f t="shared" si="24"/>
        <v>1.7169100880982026E-14</v>
      </c>
    </row>
    <row r="1592" spans="1:5" x14ac:dyDescent="0.25">
      <c r="A1592">
        <v>1</v>
      </c>
      <c r="B1592">
        <v>24</v>
      </c>
      <c r="C1592">
        <v>6</v>
      </c>
      <c r="D1592">
        <v>17</v>
      </c>
      <c r="E1592">
        <f t="shared" si="24"/>
        <v>3.8630476982209545E-13</v>
      </c>
    </row>
    <row r="1593" spans="1:5" x14ac:dyDescent="0.25">
      <c r="A1593">
        <v>1</v>
      </c>
      <c r="B1593">
        <v>24</v>
      </c>
      <c r="C1593">
        <v>7</v>
      </c>
      <c r="D1593">
        <v>16</v>
      </c>
      <c r="E1593">
        <f t="shared" si="24"/>
        <v>6.1502172084374882E-12</v>
      </c>
    </row>
    <row r="1594" spans="1:5" x14ac:dyDescent="0.25">
      <c r="A1594">
        <v>1</v>
      </c>
      <c r="B1594">
        <v>24</v>
      </c>
      <c r="C1594">
        <v>8</v>
      </c>
      <c r="D1594">
        <v>15</v>
      </c>
      <c r="E1594">
        <f t="shared" si="24"/>
        <v>7.1342519617874859E-11</v>
      </c>
    </row>
    <row r="1595" spans="1:5" x14ac:dyDescent="0.25">
      <c r="A1595">
        <v>1</v>
      </c>
      <c r="B1595">
        <v>24</v>
      </c>
      <c r="C1595">
        <v>9</v>
      </c>
      <c r="D1595">
        <v>14</v>
      </c>
      <c r="E1595">
        <f t="shared" si="24"/>
        <v>6.1613994215437375E-10</v>
      </c>
    </row>
    <row r="1596" spans="1:5" x14ac:dyDescent="0.25">
      <c r="A1596">
        <v>1</v>
      </c>
      <c r="B1596">
        <v>24</v>
      </c>
      <c r="C1596">
        <v>10</v>
      </c>
      <c r="D1596">
        <v>13</v>
      </c>
      <c r="E1596">
        <f t="shared" si="24"/>
        <v>4.0254476220752437E-9</v>
      </c>
    </row>
    <row r="1597" spans="1:5" x14ac:dyDescent="0.25">
      <c r="A1597">
        <v>1</v>
      </c>
      <c r="B1597">
        <v>24</v>
      </c>
      <c r="C1597">
        <v>11</v>
      </c>
      <c r="D1597">
        <v>12</v>
      </c>
      <c r="E1597">
        <f t="shared" si="24"/>
        <v>2.012723811037622E-8</v>
      </c>
    </row>
    <row r="1598" spans="1:5" x14ac:dyDescent="0.25">
      <c r="A1598">
        <v>1</v>
      </c>
      <c r="B1598">
        <v>24</v>
      </c>
      <c r="C1598">
        <v>12</v>
      </c>
      <c r="D1598">
        <v>11</v>
      </c>
      <c r="E1598">
        <f t="shared" si="24"/>
        <v>7.7633632711451077E-8</v>
      </c>
    </row>
    <row r="1599" spans="1:5" x14ac:dyDescent="0.25">
      <c r="A1599">
        <v>1</v>
      </c>
      <c r="B1599">
        <v>24</v>
      </c>
      <c r="C1599">
        <v>13</v>
      </c>
      <c r="D1599">
        <v>10</v>
      </c>
      <c r="E1599">
        <f t="shared" si="24"/>
        <v>2.3210465574756917E-7</v>
      </c>
    </row>
    <row r="1600" spans="1:5" x14ac:dyDescent="0.25">
      <c r="A1600">
        <v>1</v>
      </c>
      <c r="B1600">
        <v>24</v>
      </c>
      <c r="C1600">
        <v>14</v>
      </c>
      <c r="D1600">
        <v>9</v>
      </c>
      <c r="E1600">
        <f t="shared" si="24"/>
        <v>5.3881437941400005E-7</v>
      </c>
    </row>
    <row r="1601" spans="1:5" x14ac:dyDescent="0.25">
      <c r="A1601">
        <v>1</v>
      </c>
      <c r="B1601">
        <v>24</v>
      </c>
      <c r="C1601">
        <v>15</v>
      </c>
      <c r="D1601">
        <v>8</v>
      </c>
      <c r="E1601">
        <f t="shared" si="24"/>
        <v>9.6986588294519976E-7</v>
      </c>
    </row>
    <row r="1602" spans="1:5" x14ac:dyDescent="0.25">
      <c r="A1602">
        <v>1</v>
      </c>
      <c r="B1602">
        <v>24</v>
      </c>
      <c r="C1602">
        <v>16</v>
      </c>
      <c r="D1602">
        <v>7</v>
      </c>
      <c r="E1602">
        <f t="shared" si="24"/>
        <v>1.3470359485350001E-6</v>
      </c>
    </row>
    <row r="1603" spans="1:5" x14ac:dyDescent="0.25">
      <c r="A1603">
        <v>1</v>
      </c>
      <c r="B1603">
        <v>24</v>
      </c>
      <c r="C1603">
        <v>17</v>
      </c>
      <c r="D1603">
        <v>6</v>
      </c>
      <c r="E1603">
        <f t="shared" si="24"/>
        <v>1.4304437472058981E-6</v>
      </c>
    </row>
    <row r="1604" spans="1:5" x14ac:dyDescent="0.25">
      <c r="A1604">
        <v>1</v>
      </c>
      <c r="B1604">
        <v>24</v>
      </c>
      <c r="C1604">
        <v>18</v>
      </c>
      <c r="D1604">
        <v>5</v>
      </c>
      <c r="E1604">
        <f t="shared" si="24"/>
        <v>1.1443549977647174E-6</v>
      </c>
    </row>
    <row r="1605" spans="1:5" x14ac:dyDescent="0.25">
      <c r="A1605">
        <v>1</v>
      </c>
      <c r="B1605">
        <v>24</v>
      </c>
      <c r="C1605">
        <v>19</v>
      </c>
      <c r="D1605">
        <v>4</v>
      </c>
      <c r="E1605">
        <f t="shared" si="24"/>
        <v>6.7399354504939548E-7</v>
      </c>
    </row>
    <row r="1606" spans="1:5" x14ac:dyDescent="0.25">
      <c r="A1606">
        <v>1</v>
      </c>
      <c r="B1606">
        <v>24</v>
      </c>
      <c r="C1606">
        <v>20</v>
      </c>
      <c r="D1606">
        <v>3</v>
      </c>
      <c r="E1606">
        <f t="shared" si="24"/>
        <v>2.8185184611156554E-7</v>
      </c>
    </row>
    <row r="1607" spans="1:5" x14ac:dyDescent="0.25">
      <c r="A1607">
        <v>1</v>
      </c>
      <c r="B1607">
        <v>24</v>
      </c>
      <c r="C1607">
        <v>21</v>
      </c>
      <c r="D1607">
        <v>2</v>
      </c>
      <c r="E1607">
        <f t="shared" si="24"/>
        <v>7.8778466304474743E-8</v>
      </c>
    </row>
    <row r="1608" spans="1:5" x14ac:dyDescent="0.25">
      <c r="A1608">
        <v>1</v>
      </c>
      <c r="B1608">
        <v>24</v>
      </c>
      <c r="C1608">
        <v>22</v>
      </c>
      <c r="D1608">
        <v>1</v>
      </c>
      <c r="E1608">
        <f t="shared" si="24"/>
        <v>1.3129744384079134E-8</v>
      </c>
    </row>
    <row r="1609" spans="1:5" x14ac:dyDescent="0.25">
      <c r="A1609">
        <v>1</v>
      </c>
      <c r="B1609">
        <v>24</v>
      </c>
      <c r="C1609">
        <v>23</v>
      </c>
      <c r="D1609">
        <v>0</v>
      </c>
      <c r="E1609">
        <f t="shared" si="24"/>
        <v>9.8187653654852625E-10</v>
      </c>
    </row>
    <row r="1610" spans="1:5" x14ac:dyDescent="0.25">
      <c r="A1610">
        <v>1</v>
      </c>
      <c r="B1610">
        <v>25</v>
      </c>
      <c r="C1610">
        <v>0</v>
      </c>
      <c r="D1610">
        <v>22</v>
      </c>
      <c r="E1610">
        <f t="shared" si="24"/>
        <v>1.0542241798624239E-22</v>
      </c>
    </row>
    <row r="1611" spans="1:5" x14ac:dyDescent="0.25">
      <c r="A1611">
        <v>1</v>
      </c>
      <c r="B1611">
        <v>25</v>
      </c>
      <c r="C1611">
        <v>1</v>
      </c>
      <c r="D1611">
        <v>21</v>
      </c>
      <c r="E1611">
        <f t="shared" si="24"/>
        <v>3.7688514430081662E-20</v>
      </c>
    </row>
    <row r="1612" spans="1:5" x14ac:dyDescent="0.25">
      <c r="A1612">
        <v>1</v>
      </c>
      <c r="B1612">
        <v>25</v>
      </c>
      <c r="C1612">
        <v>2</v>
      </c>
      <c r="D1612">
        <v>20</v>
      </c>
      <c r="E1612">
        <f t="shared" si="24"/>
        <v>5.0653363394029737E-18</v>
      </c>
    </row>
    <row r="1613" spans="1:5" x14ac:dyDescent="0.25">
      <c r="A1613">
        <v>1</v>
      </c>
      <c r="B1613">
        <v>25</v>
      </c>
      <c r="C1613">
        <v>3</v>
      </c>
      <c r="D1613">
        <v>19</v>
      </c>
      <c r="E1613">
        <f t="shared" si="24"/>
        <v>3.5457354375820811E-16</v>
      </c>
    </row>
    <row r="1614" spans="1:5" x14ac:dyDescent="0.25">
      <c r="A1614">
        <v>1</v>
      </c>
      <c r="B1614">
        <v>25</v>
      </c>
      <c r="C1614">
        <v>4</v>
      </c>
      <c r="D1614">
        <v>18</v>
      </c>
      <c r="E1614">
        <f t="shared" ref="E1614:E1677" si="25">COMBIN(A$4,A1614)*COMBIN(B$4,B1614)*COMBIN(C$4,C1614)*COMBIN(D$4,D1614)/COMBIN($G$4,$F$4)</f>
        <v>1.4917415519541766E-14</v>
      </c>
    </row>
    <row r="1615" spans="1:5" x14ac:dyDescent="0.25">
      <c r="A1615">
        <v>1</v>
      </c>
      <c r="B1615">
        <v>25</v>
      </c>
      <c r="C1615">
        <v>5</v>
      </c>
      <c r="D1615">
        <v>17</v>
      </c>
      <c r="E1615">
        <f t="shared" si="25"/>
        <v>4.0948305601142134E-13</v>
      </c>
    </row>
    <row r="1616" spans="1:5" x14ac:dyDescent="0.25">
      <c r="A1616">
        <v>1</v>
      </c>
      <c r="B1616">
        <v>25</v>
      </c>
      <c r="C1616">
        <v>6</v>
      </c>
      <c r="D1616">
        <v>16</v>
      </c>
      <c r="E1616">
        <f t="shared" si="25"/>
        <v>7.7346799468824022E-12</v>
      </c>
    </row>
    <row r="1617" spans="1:5" x14ac:dyDescent="0.25">
      <c r="A1617">
        <v>1</v>
      </c>
      <c r="B1617">
        <v>25</v>
      </c>
      <c r="C1617">
        <v>7</v>
      </c>
      <c r="D1617">
        <v>15</v>
      </c>
      <c r="E1617">
        <f t="shared" si="25"/>
        <v>1.0430768385509981E-10</v>
      </c>
    </row>
    <row r="1618" spans="1:5" x14ac:dyDescent="0.25">
      <c r="A1618">
        <v>1</v>
      </c>
      <c r="B1618">
        <v>25</v>
      </c>
      <c r="C1618">
        <v>8</v>
      </c>
      <c r="D1618">
        <v>14</v>
      </c>
      <c r="E1618">
        <f t="shared" si="25"/>
        <v>1.0312236926583736E-9</v>
      </c>
    </row>
    <row r="1619" spans="1:5" x14ac:dyDescent="0.25">
      <c r="A1619">
        <v>1</v>
      </c>
      <c r="B1619">
        <v>25</v>
      </c>
      <c r="C1619">
        <v>9</v>
      </c>
      <c r="D1619">
        <v>13</v>
      </c>
      <c r="E1619">
        <f t="shared" si="25"/>
        <v>7.6195972846424262E-9</v>
      </c>
    </row>
    <row r="1620" spans="1:5" x14ac:dyDescent="0.25">
      <c r="A1620">
        <v>1</v>
      </c>
      <c r="B1620">
        <v>25</v>
      </c>
      <c r="C1620">
        <v>10</v>
      </c>
      <c r="D1620">
        <v>12</v>
      </c>
      <c r="E1620">
        <f t="shared" si="25"/>
        <v>4.2669744793997596E-8</v>
      </c>
    </row>
    <row r="1621" spans="1:5" x14ac:dyDescent="0.25">
      <c r="A1621">
        <v>1</v>
      </c>
      <c r="B1621">
        <v>25</v>
      </c>
      <c r="C1621">
        <v>11</v>
      </c>
      <c r="D1621">
        <v>11</v>
      </c>
      <c r="E1621">
        <f t="shared" si="25"/>
        <v>1.8287033483141826E-7</v>
      </c>
    </row>
    <row r="1622" spans="1:5" x14ac:dyDescent="0.25">
      <c r="A1622">
        <v>1</v>
      </c>
      <c r="B1622">
        <v>25</v>
      </c>
      <c r="C1622">
        <v>12</v>
      </c>
      <c r="D1622">
        <v>10</v>
      </c>
      <c r="E1622">
        <f t="shared" si="25"/>
        <v>6.0347210494367978E-7</v>
      </c>
    </row>
    <row r="1623" spans="1:5" x14ac:dyDescent="0.25">
      <c r="A1623">
        <v>1</v>
      </c>
      <c r="B1623">
        <v>25</v>
      </c>
      <c r="C1623">
        <v>13</v>
      </c>
      <c r="D1623">
        <v>9</v>
      </c>
      <c r="E1623">
        <f t="shared" si="25"/>
        <v>1.5376933443276464E-6</v>
      </c>
    </row>
    <row r="1624" spans="1:5" x14ac:dyDescent="0.25">
      <c r="A1624">
        <v>1</v>
      </c>
      <c r="B1624">
        <v>25</v>
      </c>
      <c r="C1624">
        <v>14</v>
      </c>
      <c r="D1624">
        <v>8</v>
      </c>
      <c r="E1624">
        <f t="shared" si="25"/>
        <v>3.0236995174173888E-6</v>
      </c>
    </row>
    <row r="1625" spans="1:5" x14ac:dyDescent="0.25">
      <c r="A1625">
        <v>1</v>
      </c>
      <c r="B1625">
        <v>25</v>
      </c>
      <c r="C1625">
        <v>15</v>
      </c>
      <c r="D1625">
        <v>7</v>
      </c>
      <c r="E1625">
        <f t="shared" si="25"/>
        <v>4.5691459374307206E-6</v>
      </c>
    </row>
    <row r="1626" spans="1:5" x14ac:dyDescent="0.25">
      <c r="A1626">
        <v>1</v>
      </c>
      <c r="B1626">
        <v>25</v>
      </c>
      <c r="C1626">
        <v>16</v>
      </c>
      <c r="D1626">
        <v>6</v>
      </c>
      <c r="E1626">
        <f t="shared" si="25"/>
        <v>5.2605298621735257E-6</v>
      </c>
    </row>
    <row r="1627" spans="1:5" x14ac:dyDescent="0.25">
      <c r="A1627">
        <v>1</v>
      </c>
      <c r="B1627">
        <v>25</v>
      </c>
      <c r="C1627">
        <v>17</v>
      </c>
      <c r="D1627">
        <v>5</v>
      </c>
      <c r="E1627">
        <f t="shared" si="25"/>
        <v>4.5488111161147565E-6</v>
      </c>
    </row>
    <row r="1628" spans="1:5" x14ac:dyDescent="0.25">
      <c r="A1628">
        <v>1</v>
      </c>
      <c r="B1628">
        <v>25</v>
      </c>
      <c r="C1628">
        <v>18</v>
      </c>
      <c r="D1628">
        <v>4</v>
      </c>
      <c r="E1628">
        <f t="shared" si="25"/>
        <v>2.8881340419776222E-6</v>
      </c>
    </row>
    <row r="1629" spans="1:5" x14ac:dyDescent="0.25">
      <c r="A1629">
        <v>1</v>
      </c>
      <c r="B1629">
        <v>25</v>
      </c>
      <c r="C1629">
        <v>19</v>
      </c>
      <c r="D1629">
        <v>3</v>
      </c>
      <c r="E1629">
        <f t="shared" si="25"/>
        <v>1.2989693777315624E-6</v>
      </c>
    </row>
    <row r="1630" spans="1:5" x14ac:dyDescent="0.25">
      <c r="A1630">
        <v>1</v>
      </c>
      <c r="B1630">
        <v>25</v>
      </c>
      <c r="C1630">
        <v>20</v>
      </c>
      <c r="D1630">
        <v>2</v>
      </c>
      <c r="E1630">
        <f t="shared" si="25"/>
        <v>3.8969081331946904E-7</v>
      </c>
    </row>
    <row r="1631" spans="1:5" x14ac:dyDescent="0.25">
      <c r="A1631">
        <v>1</v>
      </c>
      <c r="B1631">
        <v>25</v>
      </c>
      <c r="C1631">
        <v>21</v>
      </c>
      <c r="D1631">
        <v>1</v>
      </c>
      <c r="E1631">
        <f t="shared" si="25"/>
        <v>6.9587645235619377E-8</v>
      </c>
    </row>
    <row r="1632" spans="1:5" x14ac:dyDescent="0.25">
      <c r="A1632">
        <v>1</v>
      </c>
      <c r="B1632">
        <v>25</v>
      </c>
      <c r="C1632">
        <v>22</v>
      </c>
      <c r="D1632">
        <v>0</v>
      </c>
      <c r="E1632">
        <f t="shared" si="25"/>
        <v>5.5670116188495535E-9</v>
      </c>
    </row>
    <row r="1633" spans="1:5" x14ac:dyDescent="0.25">
      <c r="A1633">
        <v>1</v>
      </c>
      <c r="B1633">
        <v>26</v>
      </c>
      <c r="C1633">
        <v>0</v>
      </c>
      <c r="D1633">
        <v>21</v>
      </c>
      <c r="E1633">
        <f t="shared" si="25"/>
        <v>5.887436573693226E-21</v>
      </c>
    </row>
    <row r="1634" spans="1:5" x14ac:dyDescent="0.25">
      <c r="A1634">
        <v>1</v>
      </c>
      <c r="B1634">
        <v>26</v>
      </c>
      <c r="C1634">
        <v>1</v>
      </c>
      <c r="D1634">
        <v>20</v>
      </c>
      <c r="E1634">
        <f t="shared" si="25"/>
        <v>1.60727018461825E-18</v>
      </c>
    </row>
    <row r="1635" spans="1:5" x14ac:dyDescent="0.25">
      <c r="A1635">
        <v>1</v>
      </c>
      <c r="B1635">
        <v>26</v>
      </c>
      <c r="C1635">
        <v>2</v>
      </c>
      <c r="D1635">
        <v>19</v>
      </c>
      <c r="E1635">
        <f t="shared" si="25"/>
        <v>1.7144215302594667E-16</v>
      </c>
    </row>
    <row r="1636" spans="1:5" x14ac:dyDescent="0.25">
      <c r="A1636">
        <v>1</v>
      </c>
      <c r="B1636">
        <v>26</v>
      </c>
      <c r="C1636">
        <v>3</v>
      </c>
      <c r="D1636">
        <v>18</v>
      </c>
      <c r="E1636">
        <f t="shared" si="25"/>
        <v>9.7722027224789639E-15</v>
      </c>
    </row>
    <row r="1637" spans="1:5" x14ac:dyDescent="0.25">
      <c r="A1637">
        <v>1</v>
      </c>
      <c r="B1637">
        <v>26</v>
      </c>
      <c r="C1637">
        <v>4</v>
      </c>
      <c r="D1637">
        <v>17</v>
      </c>
      <c r="E1637">
        <f t="shared" si="25"/>
        <v>3.408055699464538E-13</v>
      </c>
    </row>
    <row r="1638" spans="1:5" x14ac:dyDescent="0.25">
      <c r="A1638">
        <v>1</v>
      </c>
      <c r="B1638">
        <v>26</v>
      </c>
      <c r="C1638">
        <v>5</v>
      </c>
      <c r="D1638">
        <v>16</v>
      </c>
      <c r="E1638">
        <f t="shared" si="25"/>
        <v>7.8536750229882823E-12</v>
      </c>
    </row>
    <row r="1639" spans="1:5" x14ac:dyDescent="0.25">
      <c r="A1639">
        <v>1</v>
      </c>
      <c r="B1639">
        <v>26</v>
      </c>
      <c r="C1639">
        <v>6</v>
      </c>
      <c r="D1639">
        <v>15</v>
      </c>
      <c r="E1639">
        <f t="shared" si="25"/>
        <v>1.2565880036781246E-10</v>
      </c>
    </row>
    <row r="1640" spans="1:5" x14ac:dyDescent="0.25">
      <c r="A1640">
        <v>1</v>
      </c>
      <c r="B1640">
        <v>26</v>
      </c>
      <c r="C1640">
        <v>7</v>
      </c>
      <c r="D1640">
        <v>14</v>
      </c>
      <c r="E1640">
        <f t="shared" si="25"/>
        <v>1.4442602379936889E-9</v>
      </c>
    </row>
    <row r="1641" spans="1:5" x14ac:dyDescent="0.25">
      <c r="A1641">
        <v>1</v>
      </c>
      <c r="B1641">
        <v>26</v>
      </c>
      <c r="C1641">
        <v>8</v>
      </c>
      <c r="D1641">
        <v>13</v>
      </c>
      <c r="E1641">
        <f t="shared" si="25"/>
        <v>1.2216034513029957E-8</v>
      </c>
    </row>
    <row r="1642" spans="1:5" x14ac:dyDescent="0.25">
      <c r="A1642">
        <v>1</v>
      </c>
      <c r="B1642">
        <v>26</v>
      </c>
      <c r="C1642">
        <v>9</v>
      </c>
      <c r="D1642">
        <v>12</v>
      </c>
      <c r="E1642">
        <f t="shared" si="25"/>
        <v>7.7368218582523039E-8</v>
      </c>
    </row>
    <row r="1643" spans="1:5" x14ac:dyDescent="0.25">
      <c r="A1643">
        <v>1</v>
      </c>
      <c r="B1643">
        <v>26</v>
      </c>
      <c r="C1643">
        <v>10</v>
      </c>
      <c r="D1643">
        <v>11</v>
      </c>
      <c r="E1643">
        <f t="shared" si="25"/>
        <v>3.7136744919611061E-7</v>
      </c>
    </row>
    <row r="1644" spans="1:5" x14ac:dyDescent="0.25">
      <c r="A1644">
        <v>1</v>
      </c>
      <c r="B1644">
        <v>26</v>
      </c>
      <c r="C1644">
        <v>11</v>
      </c>
      <c r="D1644">
        <v>10</v>
      </c>
      <c r="E1644">
        <f t="shared" si="25"/>
        <v>1.3616806470524055E-6</v>
      </c>
    </row>
    <row r="1645" spans="1:5" x14ac:dyDescent="0.25">
      <c r="A1645">
        <v>1</v>
      </c>
      <c r="B1645">
        <v>26</v>
      </c>
      <c r="C1645">
        <v>12</v>
      </c>
      <c r="D1645">
        <v>9</v>
      </c>
      <c r="E1645">
        <f t="shared" si="25"/>
        <v>3.8297268198348881E-6</v>
      </c>
    </row>
    <row r="1646" spans="1:5" x14ac:dyDescent="0.25">
      <c r="A1646">
        <v>1</v>
      </c>
      <c r="B1646">
        <v>26</v>
      </c>
      <c r="C1646">
        <v>13</v>
      </c>
      <c r="D1646">
        <v>8</v>
      </c>
      <c r="E1646">
        <f t="shared" si="25"/>
        <v>8.2659714618155774E-6</v>
      </c>
    </row>
    <row r="1647" spans="1:5" x14ac:dyDescent="0.25">
      <c r="A1647">
        <v>1</v>
      </c>
      <c r="B1647">
        <v>26</v>
      </c>
      <c r="C1647">
        <v>14</v>
      </c>
      <c r="D1647">
        <v>7</v>
      </c>
      <c r="E1647">
        <f t="shared" si="25"/>
        <v>1.3645413206806672E-5</v>
      </c>
    </row>
    <row r="1648" spans="1:5" x14ac:dyDescent="0.25">
      <c r="A1648">
        <v>1</v>
      </c>
      <c r="B1648">
        <v>26</v>
      </c>
      <c r="C1648">
        <v>15</v>
      </c>
      <c r="D1648">
        <v>6</v>
      </c>
      <c r="E1648">
        <f t="shared" si="25"/>
        <v>1.7092675490631503E-5</v>
      </c>
    </row>
    <row r="1649" spans="1:5" x14ac:dyDescent="0.25">
      <c r="A1649">
        <v>1</v>
      </c>
      <c r="B1649">
        <v>26</v>
      </c>
      <c r="C1649">
        <v>16</v>
      </c>
      <c r="D1649">
        <v>5</v>
      </c>
      <c r="E1649">
        <f t="shared" si="25"/>
        <v>1.6024383272467038E-5</v>
      </c>
    </row>
    <row r="1650" spans="1:5" x14ac:dyDescent="0.25">
      <c r="A1650">
        <v>1</v>
      </c>
      <c r="B1650">
        <v>26</v>
      </c>
      <c r="C1650">
        <v>17</v>
      </c>
      <c r="D1650">
        <v>4</v>
      </c>
      <c r="E1650">
        <f t="shared" si="25"/>
        <v>1.0997125775222485E-5</v>
      </c>
    </row>
    <row r="1651" spans="1:5" x14ac:dyDescent="0.25">
      <c r="A1651">
        <v>1</v>
      </c>
      <c r="B1651">
        <v>26</v>
      </c>
      <c r="C1651">
        <v>18</v>
      </c>
      <c r="D1651">
        <v>3</v>
      </c>
      <c r="E1651">
        <f t="shared" si="25"/>
        <v>5.3319397698048358E-6</v>
      </c>
    </row>
    <row r="1652" spans="1:5" x14ac:dyDescent="0.25">
      <c r="A1652">
        <v>1</v>
      </c>
      <c r="B1652">
        <v>26</v>
      </c>
      <c r="C1652">
        <v>19</v>
      </c>
      <c r="D1652">
        <v>2</v>
      </c>
      <c r="E1652">
        <f t="shared" si="25"/>
        <v>1.7203741591361144E-6</v>
      </c>
    </row>
    <row r="1653" spans="1:5" x14ac:dyDescent="0.25">
      <c r="A1653">
        <v>1</v>
      </c>
      <c r="B1653">
        <v>26</v>
      </c>
      <c r="C1653">
        <v>20</v>
      </c>
      <c r="D1653">
        <v>1</v>
      </c>
      <c r="E1653">
        <f t="shared" si="25"/>
        <v>3.2973838050108896E-7</v>
      </c>
    </row>
    <row r="1654" spans="1:5" x14ac:dyDescent="0.25">
      <c r="A1654">
        <v>1</v>
      </c>
      <c r="B1654">
        <v>26</v>
      </c>
      <c r="C1654">
        <v>21</v>
      </c>
      <c r="D1654">
        <v>0</v>
      </c>
      <c r="E1654">
        <f t="shared" si="25"/>
        <v>2.8263289757236158E-8</v>
      </c>
    </row>
    <row r="1655" spans="1:5" x14ac:dyDescent="0.25">
      <c r="A1655">
        <v>1</v>
      </c>
      <c r="B1655">
        <v>27</v>
      </c>
      <c r="C1655">
        <v>0</v>
      </c>
      <c r="D1655">
        <v>20</v>
      </c>
      <c r="E1655">
        <f t="shared" si="25"/>
        <v>2.4086157182598275E-19</v>
      </c>
    </row>
    <row r="1656" spans="1:5" x14ac:dyDescent="0.25">
      <c r="A1656">
        <v>1</v>
      </c>
      <c r="B1656">
        <v>27</v>
      </c>
      <c r="C1656">
        <v>1</v>
      </c>
      <c r="D1656">
        <v>19</v>
      </c>
      <c r="E1656">
        <f t="shared" si="25"/>
        <v>5.2186673895629595E-17</v>
      </c>
    </row>
    <row r="1657" spans="1:5" x14ac:dyDescent="0.25">
      <c r="A1657">
        <v>1</v>
      </c>
      <c r="B1657">
        <v>27</v>
      </c>
      <c r="C1657">
        <v>2</v>
      </c>
      <c r="D1657">
        <v>18</v>
      </c>
      <c r="E1657">
        <f t="shared" si="25"/>
        <v>4.5327853897918292E-15</v>
      </c>
    </row>
    <row r="1658" spans="1:5" x14ac:dyDescent="0.25">
      <c r="A1658">
        <v>1</v>
      </c>
      <c r="B1658">
        <v>27</v>
      </c>
      <c r="C1658">
        <v>3</v>
      </c>
      <c r="D1658">
        <v>17</v>
      </c>
      <c r="E1658">
        <f t="shared" si="25"/>
        <v>2.141741096676639E-13</v>
      </c>
    </row>
    <row r="1659" spans="1:5" x14ac:dyDescent="0.25">
      <c r="A1659">
        <v>1</v>
      </c>
      <c r="B1659">
        <v>27</v>
      </c>
      <c r="C1659">
        <v>4</v>
      </c>
      <c r="D1659">
        <v>16</v>
      </c>
      <c r="E1659">
        <f t="shared" si="25"/>
        <v>6.2705419886032703E-12</v>
      </c>
    </row>
    <row r="1660" spans="1:5" x14ac:dyDescent="0.25">
      <c r="A1660">
        <v>1</v>
      </c>
      <c r="B1660">
        <v>27</v>
      </c>
      <c r="C1660">
        <v>5</v>
      </c>
      <c r="D1660">
        <v>15</v>
      </c>
      <c r="E1660">
        <f t="shared" si="25"/>
        <v>1.2240097961753584E-10</v>
      </c>
    </row>
    <row r="1661" spans="1:5" x14ac:dyDescent="0.25">
      <c r="A1661">
        <v>1</v>
      </c>
      <c r="B1661">
        <v>27</v>
      </c>
      <c r="C1661">
        <v>6</v>
      </c>
      <c r="D1661">
        <v>14</v>
      </c>
      <c r="E1661">
        <f t="shared" si="25"/>
        <v>1.6691042675118522E-9</v>
      </c>
    </row>
    <row r="1662" spans="1:5" x14ac:dyDescent="0.25">
      <c r="A1662">
        <v>1</v>
      </c>
      <c r="B1662">
        <v>27</v>
      </c>
      <c r="C1662">
        <v>7</v>
      </c>
      <c r="D1662">
        <v>13</v>
      </c>
      <c r="E1662">
        <f t="shared" si="25"/>
        <v>1.6412858630533216E-8</v>
      </c>
    </row>
    <row r="1663" spans="1:5" x14ac:dyDescent="0.25">
      <c r="A1663">
        <v>1</v>
      </c>
      <c r="B1663">
        <v>27</v>
      </c>
      <c r="C1663">
        <v>8</v>
      </c>
      <c r="D1663">
        <v>12</v>
      </c>
      <c r="E1663">
        <f t="shared" si="25"/>
        <v>1.1899322507136584E-7</v>
      </c>
    </row>
    <row r="1664" spans="1:5" x14ac:dyDescent="0.25">
      <c r="A1664">
        <v>1</v>
      </c>
      <c r="B1664">
        <v>27</v>
      </c>
      <c r="C1664">
        <v>9</v>
      </c>
      <c r="D1664">
        <v>11</v>
      </c>
      <c r="E1664">
        <f t="shared" si="25"/>
        <v>6.4596322181598573E-7</v>
      </c>
    </row>
    <row r="1665" spans="1:5" x14ac:dyDescent="0.25">
      <c r="A1665">
        <v>1</v>
      </c>
      <c r="B1665">
        <v>27</v>
      </c>
      <c r="C1665">
        <v>10</v>
      </c>
      <c r="D1665">
        <v>10</v>
      </c>
      <c r="E1665">
        <f t="shared" si="25"/>
        <v>2.652755630924315E-6</v>
      </c>
    </row>
    <row r="1666" spans="1:5" x14ac:dyDescent="0.25">
      <c r="A1666">
        <v>1</v>
      </c>
      <c r="B1666">
        <v>27</v>
      </c>
      <c r="C1666">
        <v>11</v>
      </c>
      <c r="D1666">
        <v>9</v>
      </c>
      <c r="E1666">
        <f t="shared" si="25"/>
        <v>8.289861346638486E-6</v>
      </c>
    </row>
    <row r="1667" spans="1:5" x14ac:dyDescent="0.25">
      <c r="A1667">
        <v>1</v>
      </c>
      <c r="B1667">
        <v>27</v>
      </c>
      <c r="C1667">
        <v>12</v>
      </c>
      <c r="D1667">
        <v>8</v>
      </c>
      <c r="E1667">
        <f t="shared" si="25"/>
        <v>1.9749375561109325E-5</v>
      </c>
    </row>
    <row r="1668" spans="1:5" x14ac:dyDescent="0.25">
      <c r="A1668">
        <v>1</v>
      </c>
      <c r="B1668">
        <v>27</v>
      </c>
      <c r="C1668">
        <v>13</v>
      </c>
      <c r="D1668">
        <v>7</v>
      </c>
      <c r="E1668">
        <f t="shared" si="25"/>
        <v>3.5785193324403243E-5</v>
      </c>
    </row>
    <row r="1669" spans="1:5" x14ac:dyDescent="0.25">
      <c r="A1669">
        <v>1</v>
      </c>
      <c r="B1669">
        <v>27</v>
      </c>
      <c r="C1669">
        <v>14</v>
      </c>
      <c r="D1669">
        <v>6</v>
      </c>
      <c r="E1669">
        <f t="shared" si="25"/>
        <v>4.8969211917604428E-5</v>
      </c>
    </row>
    <row r="1670" spans="1:5" x14ac:dyDescent="0.25">
      <c r="A1670">
        <v>1</v>
      </c>
      <c r="B1670">
        <v>27</v>
      </c>
      <c r="C1670">
        <v>15</v>
      </c>
      <c r="D1670">
        <v>5</v>
      </c>
      <c r="E1670">
        <f t="shared" si="25"/>
        <v>4.9948596155956493E-5</v>
      </c>
    </row>
    <row r="1671" spans="1:5" x14ac:dyDescent="0.25">
      <c r="A1671">
        <v>1</v>
      </c>
      <c r="B1671">
        <v>27</v>
      </c>
      <c r="C1671">
        <v>16</v>
      </c>
      <c r="D1671">
        <v>4</v>
      </c>
      <c r="E1671">
        <f t="shared" si="25"/>
        <v>3.7164134044610507E-5</v>
      </c>
    </row>
    <row r="1672" spans="1:5" x14ac:dyDescent="0.25">
      <c r="A1672">
        <v>1</v>
      </c>
      <c r="B1672">
        <v>27</v>
      </c>
      <c r="C1672">
        <v>17</v>
      </c>
      <c r="D1672">
        <v>3</v>
      </c>
      <c r="E1672">
        <f t="shared" si="25"/>
        <v>1.9476391103592679E-5</v>
      </c>
    </row>
    <row r="1673" spans="1:5" x14ac:dyDescent="0.25">
      <c r="A1673">
        <v>1</v>
      </c>
      <c r="B1673">
        <v>27</v>
      </c>
      <c r="C1673">
        <v>18</v>
      </c>
      <c r="D1673">
        <v>2</v>
      </c>
      <c r="E1673">
        <f t="shared" si="25"/>
        <v>6.7743969055974479E-6</v>
      </c>
    </row>
    <row r="1674" spans="1:5" x14ac:dyDescent="0.25">
      <c r="A1674">
        <v>1</v>
      </c>
      <c r="B1674">
        <v>27</v>
      </c>
      <c r="C1674">
        <v>19</v>
      </c>
      <c r="D1674">
        <v>1</v>
      </c>
      <c r="E1674">
        <f t="shared" si="25"/>
        <v>1.3964765551012286E-6</v>
      </c>
    </row>
    <row r="1675" spans="1:5" x14ac:dyDescent="0.25">
      <c r="A1675">
        <v>1</v>
      </c>
      <c r="B1675">
        <v>27</v>
      </c>
      <c r="C1675">
        <v>20</v>
      </c>
      <c r="D1675">
        <v>0</v>
      </c>
      <c r="E1675">
        <f t="shared" si="25"/>
        <v>1.2847584306931313E-7</v>
      </c>
    </row>
    <row r="1676" spans="1:5" x14ac:dyDescent="0.25">
      <c r="A1676">
        <v>1</v>
      </c>
      <c r="B1676">
        <v>28</v>
      </c>
      <c r="C1676">
        <v>0</v>
      </c>
      <c r="D1676">
        <v>19</v>
      </c>
      <c r="E1676">
        <f t="shared" si="25"/>
        <v>7.5125871212389939E-18</v>
      </c>
    </row>
    <row r="1677" spans="1:5" x14ac:dyDescent="0.25">
      <c r="A1677">
        <v>1</v>
      </c>
      <c r="B1677">
        <v>28</v>
      </c>
      <c r="C1677">
        <v>1</v>
      </c>
      <c r="D1677">
        <v>18</v>
      </c>
      <c r="E1677">
        <f t="shared" si="25"/>
        <v>1.32543501353288E-15</v>
      </c>
    </row>
    <row r="1678" spans="1:5" x14ac:dyDescent="0.25">
      <c r="A1678">
        <v>1</v>
      </c>
      <c r="B1678">
        <v>28</v>
      </c>
      <c r="C1678">
        <v>2</v>
      </c>
      <c r="D1678">
        <v>17</v>
      </c>
      <c r="E1678">
        <f t="shared" ref="E1678:E1741" si="26">COMBIN(A$4,A1678)*COMBIN(B$4,B1678)*COMBIN(C$4,C1678)*COMBIN(D$4,D1678)/COMBIN($G$4,$F$4)</f>
        <v>9.5431320974367346E-14</v>
      </c>
    </row>
    <row r="1679" spans="1:5" x14ac:dyDescent="0.25">
      <c r="A1679">
        <v>1</v>
      </c>
      <c r="B1679">
        <v>28</v>
      </c>
      <c r="C1679">
        <v>3</v>
      </c>
      <c r="D1679">
        <v>16</v>
      </c>
      <c r="E1679">
        <f t="shared" si="26"/>
        <v>3.7854423986499046E-12</v>
      </c>
    </row>
    <row r="1680" spans="1:5" x14ac:dyDescent="0.25">
      <c r="A1680">
        <v>1</v>
      </c>
      <c r="B1680">
        <v>28</v>
      </c>
      <c r="C1680">
        <v>4</v>
      </c>
      <c r="D1680">
        <v>15</v>
      </c>
      <c r="E1680">
        <f t="shared" si="26"/>
        <v>9.3878971486517622E-11</v>
      </c>
    </row>
    <row r="1681" spans="1:5" x14ac:dyDescent="0.25">
      <c r="A1681">
        <v>1</v>
      </c>
      <c r="B1681">
        <v>28</v>
      </c>
      <c r="C1681">
        <v>5</v>
      </c>
      <c r="D1681">
        <v>14</v>
      </c>
      <c r="E1681">
        <f t="shared" si="26"/>
        <v>1.561804707457521E-9</v>
      </c>
    </row>
    <row r="1682" spans="1:5" x14ac:dyDescent="0.25">
      <c r="A1682">
        <v>1</v>
      </c>
      <c r="B1682">
        <v>28</v>
      </c>
      <c r="C1682">
        <v>6</v>
      </c>
      <c r="D1682">
        <v>13</v>
      </c>
      <c r="E1682">
        <f t="shared" si="26"/>
        <v>1.8221054920337742E-8</v>
      </c>
    </row>
    <row r="1683" spans="1:5" x14ac:dyDescent="0.25">
      <c r="A1683">
        <v>1</v>
      </c>
      <c r="B1683">
        <v>28</v>
      </c>
      <c r="C1683">
        <v>7</v>
      </c>
      <c r="D1683">
        <v>12</v>
      </c>
      <c r="E1683">
        <f t="shared" si="26"/>
        <v>1.5357746289998953E-7</v>
      </c>
    </row>
    <row r="1684" spans="1:5" x14ac:dyDescent="0.25">
      <c r="A1684">
        <v>1</v>
      </c>
      <c r="B1684">
        <v>28</v>
      </c>
      <c r="C1684">
        <v>8</v>
      </c>
      <c r="D1684">
        <v>11</v>
      </c>
      <c r="E1684">
        <f t="shared" si="26"/>
        <v>9.5437423373564932E-7</v>
      </c>
    </row>
    <row r="1685" spans="1:5" x14ac:dyDescent="0.25">
      <c r="A1685">
        <v>1</v>
      </c>
      <c r="B1685">
        <v>28</v>
      </c>
      <c r="C1685">
        <v>9</v>
      </c>
      <c r="D1685">
        <v>10</v>
      </c>
      <c r="E1685">
        <f t="shared" si="26"/>
        <v>4.4325381077944591E-6</v>
      </c>
    </row>
    <row r="1686" spans="1:5" x14ac:dyDescent="0.25">
      <c r="A1686">
        <v>1</v>
      </c>
      <c r="B1686">
        <v>28</v>
      </c>
      <c r="C1686">
        <v>10</v>
      </c>
      <c r="D1686">
        <v>9</v>
      </c>
      <c r="E1686">
        <f t="shared" si="26"/>
        <v>1.5513883377280612E-5</v>
      </c>
    </row>
    <row r="1687" spans="1:5" x14ac:dyDescent="0.25">
      <c r="A1687">
        <v>1</v>
      </c>
      <c r="B1687">
        <v>28</v>
      </c>
      <c r="C1687">
        <v>11</v>
      </c>
      <c r="D1687">
        <v>8</v>
      </c>
      <c r="E1687">
        <f t="shared" si="26"/>
        <v>4.1066161881036919E-5</v>
      </c>
    </row>
    <row r="1688" spans="1:5" x14ac:dyDescent="0.25">
      <c r="A1688">
        <v>1</v>
      </c>
      <c r="B1688">
        <v>28</v>
      </c>
      <c r="C1688">
        <v>12</v>
      </c>
      <c r="D1688">
        <v>7</v>
      </c>
      <c r="E1688">
        <f t="shared" si="26"/>
        <v>8.2132323762073811E-5</v>
      </c>
    </row>
    <row r="1689" spans="1:5" x14ac:dyDescent="0.25">
      <c r="A1689">
        <v>1</v>
      </c>
      <c r="B1689">
        <v>28</v>
      </c>
      <c r="C1689">
        <v>13</v>
      </c>
      <c r="D1689">
        <v>6</v>
      </c>
      <c r="E1689">
        <f t="shared" si="26"/>
        <v>1.2336474540781126E-4</v>
      </c>
    </row>
    <row r="1690" spans="1:5" x14ac:dyDescent="0.25">
      <c r="A1690">
        <v>1</v>
      </c>
      <c r="B1690">
        <v>28</v>
      </c>
      <c r="C1690">
        <v>14</v>
      </c>
      <c r="D1690">
        <v>5</v>
      </c>
      <c r="E1690">
        <f t="shared" si="26"/>
        <v>1.3746357345441828E-4</v>
      </c>
    </row>
    <row r="1691" spans="1:5" x14ac:dyDescent="0.25">
      <c r="A1691">
        <v>1</v>
      </c>
      <c r="B1691">
        <v>28</v>
      </c>
      <c r="C1691">
        <v>15</v>
      </c>
      <c r="D1691">
        <v>4</v>
      </c>
      <c r="E1691">
        <f t="shared" si="26"/>
        <v>1.1128003565357668E-4</v>
      </c>
    </row>
    <row r="1692" spans="1:5" x14ac:dyDescent="0.25">
      <c r="A1692">
        <v>1</v>
      </c>
      <c r="B1692">
        <v>28</v>
      </c>
      <c r="C1692">
        <v>16</v>
      </c>
      <c r="D1692">
        <v>3</v>
      </c>
      <c r="E1692">
        <f t="shared" si="26"/>
        <v>6.3227292984986759E-5</v>
      </c>
    </row>
    <row r="1693" spans="1:5" x14ac:dyDescent="0.25">
      <c r="A1693">
        <v>1</v>
      </c>
      <c r="B1693">
        <v>28</v>
      </c>
      <c r="C1693">
        <v>17</v>
      </c>
      <c r="D1693">
        <v>2</v>
      </c>
      <c r="E1693">
        <f t="shared" si="26"/>
        <v>2.3770874856248234E-5</v>
      </c>
    </row>
    <row r="1694" spans="1:5" x14ac:dyDescent="0.25">
      <c r="A1694">
        <v>1</v>
      </c>
      <c r="B1694">
        <v>28</v>
      </c>
      <c r="C1694">
        <v>18</v>
      </c>
      <c r="D1694">
        <v>1</v>
      </c>
      <c r="E1694">
        <f t="shared" si="26"/>
        <v>5.2824166347218241E-6</v>
      </c>
    </row>
    <row r="1695" spans="1:5" x14ac:dyDescent="0.25">
      <c r="A1695">
        <v>1</v>
      </c>
      <c r="B1695">
        <v>28</v>
      </c>
      <c r="C1695">
        <v>19</v>
      </c>
      <c r="D1695">
        <v>0</v>
      </c>
      <c r="E1695">
        <f t="shared" si="26"/>
        <v>5.2268122490931757E-7</v>
      </c>
    </row>
    <row r="1696" spans="1:5" x14ac:dyDescent="0.25">
      <c r="A1696">
        <v>1</v>
      </c>
      <c r="B1696">
        <v>29</v>
      </c>
      <c r="C1696">
        <v>0</v>
      </c>
      <c r="D1696">
        <v>18</v>
      </c>
      <c r="E1696">
        <f t="shared" si="26"/>
        <v>1.8352177110455244E-16</v>
      </c>
    </row>
    <row r="1697" spans="1:5" x14ac:dyDescent="0.25">
      <c r="A1697">
        <v>1</v>
      </c>
      <c r="B1697">
        <v>29</v>
      </c>
      <c r="C1697">
        <v>1</v>
      </c>
      <c r="D1697">
        <v>17</v>
      </c>
      <c r="E1697">
        <f t="shared" si="26"/>
        <v>2.6840059024040786E-14</v>
      </c>
    </row>
    <row r="1698" spans="1:5" x14ac:dyDescent="0.25">
      <c r="A1698">
        <v>1</v>
      </c>
      <c r="B1698">
        <v>29</v>
      </c>
      <c r="C1698">
        <v>2</v>
      </c>
      <c r="D1698">
        <v>16</v>
      </c>
      <c r="E1698">
        <f t="shared" si="26"/>
        <v>1.6223324565642432E-12</v>
      </c>
    </row>
    <row r="1699" spans="1:5" x14ac:dyDescent="0.25">
      <c r="A1699">
        <v>1</v>
      </c>
      <c r="B1699">
        <v>29</v>
      </c>
      <c r="C1699">
        <v>3</v>
      </c>
      <c r="D1699">
        <v>15</v>
      </c>
      <c r="E1699">
        <f t="shared" si="26"/>
        <v>5.4510370540558564E-11</v>
      </c>
    </row>
    <row r="1700" spans="1:5" x14ac:dyDescent="0.25">
      <c r="A1700">
        <v>1</v>
      </c>
      <c r="B1700">
        <v>29</v>
      </c>
      <c r="C1700">
        <v>4</v>
      </c>
      <c r="D1700">
        <v>14</v>
      </c>
      <c r="E1700">
        <f t="shared" si="26"/>
        <v>1.1521510136981698E-9</v>
      </c>
    </row>
    <row r="1701" spans="1:5" x14ac:dyDescent="0.25">
      <c r="A1701">
        <v>1</v>
      </c>
      <c r="B1701">
        <v>29</v>
      </c>
      <c r="C1701">
        <v>5</v>
      </c>
      <c r="D1701">
        <v>13</v>
      </c>
      <c r="E1701">
        <f t="shared" si="26"/>
        <v>1.6398949428303954E-8</v>
      </c>
    </row>
    <row r="1702" spans="1:5" x14ac:dyDescent="0.25">
      <c r="A1702">
        <v>1</v>
      </c>
      <c r="B1702">
        <v>29</v>
      </c>
      <c r="C1702">
        <v>6</v>
      </c>
      <c r="D1702">
        <v>12</v>
      </c>
      <c r="E1702">
        <f t="shared" si="26"/>
        <v>1.6398949428303952E-7</v>
      </c>
    </row>
    <row r="1703" spans="1:5" x14ac:dyDescent="0.25">
      <c r="A1703">
        <v>1</v>
      </c>
      <c r="B1703">
        <v>29</v>
      </c>
      <c r="C1703">
        <v>7</v>
      </c>
      <c r="D1703">
        <v>11</v>
      </c>
      <c r="E1703">
        <f t="shared" si="26"/>
        <v>1.1847404280856322E-6</v>
      </c>
    </row>
    <row r="1704" spans="1:5" x14ac:dyDescent="0.25">
      <c r="A1704">
        <v>1</v>
      </c>
      <c r="B1704">
        <v>29</v>
      </c>
      <c r="C1704">
        <v>8</v>
      </c>
      <c r="D1704">
        <v>10</v>
      </c>
      <c r="E1704">
        <f t="shared" si="26"/>
        <v>6.2988699426552786E-6</v>
      </c>
    </row>
    <row r="1705" spans="1:5" x14ac:dyDescent="0.25">
      <c r="A1705">
        <v>1</v>
      </c>
      <c r="B1705">
        <v>29</v>
      </c>
      <c r="C1705">
        <v>9</v>
      </c>
      <c r="D1705">
        <v>9</v>
      </c>
      <c r="E1705">
        <f t="shared" si="26"/>
        <v>2.4933026856343812E-5</v>
      </c>
    </row>
    <row r="1706" spans="1:5" x14ac:dyDescent="0.25">
      <c r="A1706">
        <v>1</v>
      </c>
      <c r="B1706">
        <v>29</v>
      </c>
      <c r="C1706">
        <v>10</v>
      </c>
      <c r="D1706">
        <v>8</v>
      </c>
      <c r="E1706">
        <f t="shared" si="26"/>
        <v>7.3919091385866371E-5</v>
      </c>
    </row>
    <row r="1707" spans="1:5" x14ac:dyDescent="0.25">
      <c r="A1707">
        <v>1</v>
      </c>
      <c r="B1707">
        <v>29</v>
      </c>
      <c r="C1707">
        <v>11</v>
      </c>
      <c r="D1707">
        <v>7</v>
      </c>
      <c r="E1707">
        <f t="shared" si="26"/>
        <v>1.6426464752414754E-4</v>
      </c>
    </row>
    <row r="1708" spans="1:5" x14ac:dyDescent="0.25">
      <c r="A1708">
        <v>1</v>
      </c>
      <c r="B1708">
        <v>29</v>
      </c>
      <c r="C1708">
        <v>12</v>
      </c>
      <c r="D1708">
        <v>6</v>
      </c>
      <c r="E1708">
        <f t="shared" si="26"/>
        <v>2.7233349457950743E-4</v>
      </c>
    </row>
    <row r="1709" spans="1:5" x14ac:dyDescent="0.25">
      <c r="A1709">
        <v>1</v>
      </c>
      <c r="B1709">
        <v>29</v>
      </c>
      <c r="C1709">
        <v>13</v>
      </c>
      <c r="D1709">
        <v>5</v>
      </c>
      <c r="E1709">
        <f t="shared" si="26"/>
        <v>3.3308481260109008E-4</v>
      </c>
    </row>
    <row r="1710" spans="1:5" x14ac:dyDescent="0.25">
      <c r="A1710">
        <v>1</v>
      </c>
      <c r="B1710">
        <v>29</v>
      </c>
      <c r="C1710">
        <v>14</v>
      </c>
      <c r="D1710">
        <v>4</v>
      </c>
      <c r="E1710">
        <f t="shared" si="26"/>
        <v>2.9456480025946756E-4</v>
      </c>
    </row>
    <row r="1711" spans="1:5" x14ac:dyDescent="0.25">
      <c r="A1711">
        <v>1</v>
      </c>
      <c r="B1711">
        <v>29</v>
      </c>
      <c r="C1711">
        <v>15</v>
      </c>
      <c r="D1711">
        <v>3</v>
      </c>
      <c r="E1711">
        <f t="shared" si="26"/>
        <v>1.8209460379676163E-4</v>
      </c>
    </row>
    <row r="1712" spans="1:5" x14ac:dyDescent="0.25">
      <c r="A1712">
        <v>1</v>
      </c>
      <c r="B1712">
        <v>29</v>
      </c>
      <c r="C1712">
        <v>16</v>
      </c>
      <c r="D1712">
        <v>2</v>
      </c>
      <c r="E1712">
        <f t="shared" si="26"/>
        <v>7.422334393889742E-5</v>
      </c>
    </row>
    <row r="1713" spans="1:5" x14ac:dyDescent="0.25">
      <c r="A1713">
        <v>1</v>
      </c>
      <c r="B1713">
        <v>29</v>
      </c>
      <c r="C1713">
        <v>17</v>
      </c>
      <c r="D1713">
        <v>1</v>
      </c>
      <c r="E1713">
        <f t="shared" si="26"/>
        <v>1.7828156142186155E-5</v>
      </c>
    </row>
    <row r="1714" spans="1:5" x14ac:dyDescent="0.25">
      <c r="A1714">
        <v>1</v>
      </c>
      <c r="B1714">
        <v>29</v>
      </c>
      <c r="C1714">
        <v>18</v>
      </c>
      <c r="D1714">
        <v>0</v>
      </c>
      <c r="E1714">
        <f t="shared" si="26"/>
        <v>1.9016699884998548E-6</v>
      </c>
    </row>
    <row r="1715" spans="1:5" x14ac:dyDescent="0.25">
      <c r="A1715">
        <v>1</v>
      </c>
      <c r="B1715">
        <v>30</v>
      </c>
      <c r="C1715">
        <v>0</v>
      </c>
      <c r="D1715">
        <v>17</v>
      </c>
      <c r="E1715">
        <f t="shared" si="26"/>
        <v>3.5786745365387712E-15</v>
      </c>
    </row>
    <row r="1716" spans="1:5" x14ac:dyDescent="0.25">
      <c r="A1716">
        <v>1</v>
      </c>
      <c r="B1716">
        <v>30</v>
      </c>
      <c r="C1716">
        <v>1</v>
      </c>
      <c r="D1716">
        <v>16</v>
      </c>
      <c r="E1716">
        <f t="shared" si="26"/>
        <v>4.3938170698614911E-13</v>
      </c>
    </row>
    <row r="1717" spans="1:5" x14ac:dyDescent="0.25">
      <c r="A1717">
        <v>1</v>
      </c>
      <c r="B1717">
        <v>30</v>
      </c>
      <c r="C1717">
        <v>2</v>
      </c>
      <c r="D1717">
        <v>15</v>
      </c>
      <c r="E1717">
        <f t="shared" si="26"/>
        <v>2.2496343397690831E-11</v>
      </c>
    </row>
    <row r="1718" spans="1:5" x14ac:dyDescent="0.25">
      <c r="A1718">
        <v>1</v>
      </c>
      <c r="B1718">
        <v>30</v>
      </c>
      <c r="C1718">
        <v>3</v>
      </c>
      <c r="D1718">
        <v>14</v>
      </c>
      <c r="E1718">
        <f t="shared" si="26"/>
        <v>6.4421347002478299E-10</v>
      </c>
    </row>
    <row r="1719" spans="1:5" x14ac:dyDescent="0.25">
      <c r="A1719">
        <v>1</v>
      </c>
      <c r="B1719">
        <v>30</v>
      </c>
      <c r="C1719">
        <v>4</v>
      </c>
      <c r="D1719">
        <v>13</v>
      </c>
      <c r="E1719">
        <f t="shared" si="26"/>
        <v>1.1649526916281493E-8</v>
      </c>
    </row>
    <row r="1720" spans="1:5" x14ac:dyDescent="0.25">
      <c r="A1720">
        <v>1</v>
      </c>
      <c r="B1720">
        <v>30</v>
      </c>
      <c r="C1720">
        <v>5</v>
      </c>
      <c r="D1720">
        <v>12</v>
      </c>
      <c r="E1720">
        <f t="shared" si="26"/>
        <v>1.4212422837863425E-7</v>
      </c>
    </row>
    <row r="1721" spans="1:5" x14ac:dyDescent="0.25">
      <c r="A1721">
        <v>1</v>
      </c>
      <c r="B1721">
        <v>30</v>
      </c>
      <c r="C1721">
        <v>6</v>
      </c>
      <c r="D1721">
        <v>11</v>
      </c>
      <c r="E1721">
        <f t="shared" si="26"/>
        <v>1.2182076718168646E-6</v>
      </c>
    </row>
    <row r="1722" spans="1:5" x14ac:dyDescent="0.25">
      <c r="A1722">
        <v>1</v>
      </c>
      <c r="B1722">
        <v>30</v>
      </c>
      <c r="C1722">
        <v>7</v>
      </c>
      <c r="D1722">
        <v>10</v>
      </c>
      <c r="E1722">
        <f t="shared" si="26"/>
        <v>7.5296836096109058E-6</v>
      </c>
    </row>
    <row r="1723" spans="1:5" x14ac:dyDescent="0.25">
      <c r="A1723">
        <v>1</v>
      </c>
      <c r="B1723">
        <v>30</v>
      </c>
      <c r="C1723">
        <v>8</v>
      </c>
      <c r="D1723">
        <v>9</v>
      </c>
      <c r="E1723">
        <f t="shared" si="26"/>
        <v>3.4118878856049426E-5</v>
      </c>
    </row>
    <row r="1724" spans="1:5" x14ac:dyDescent="0.25">
      <c r="A1724">
        <v>1</v>
      </c>
      <c r="B1724">
        <v>30</v>
      </c>
      <c r="C1724">
        <v>9</v>
      </c>
      <c r="D1724">
        <v>8</v>
      </c>
      <c r="E1724">
        <f t="shared" si="26"/>
        <v>1.1439859381145981E-4</v>
      </c>
    </row>
    <row r="1725" spans="1:5" x14ac:dyDescent="0.25">
      <c r="A1725">
        <v>1</v>
      </c>
      <c r="B1725">
        <v>30</v>
      </c>
      <c r="C1725">
        <v>10</v>
      </c>
      <c r="D1725">
        <v>7</v>
      </c>
      <c r="E1725">
        <f t="shared" si="26"/>
        <v>2.8472538904185564E-4</v>
      </c>
    </row>
    <row r="1726" spans="1:5" x14ac:dyDescent="0.25">
      <c r="A1726">
        <v>1</v>
      </c>
      <c r="B1726">
        <v>30</v>
      </c>
      <c r="C1726">
        <v>11</v>
      </c>
      <c r="D1726">
        <v>6</v>
      </c>
      <c r="E1726">
        <f t="shared" si="26"/>
        <v>5.244941377086814E-4</v>
      </c>
    </row>
    <row r="1727" spans="1:5" x14ac:dyDescent="0.25">
      <c r="A1727">
        <v>1</v>
      </c>
      <c r="B1727">
        <v>30</v>
      </c>
      <c r="C1727">
        <v>12</v>
      </c>
      <c r="D1727">
        <v>5</v>
      </c>
      <c r="E1727">
        <f t="shared" si="26"/>
        <v>7.080670859067194E-4</v>
      </c>
    </row>
    <row r="1728" spans="1:5" x14ac:dyDescent="0.25">
      <c r="A1728">
        <v>1</v>
      </c>
      <c r="B1728">
        <v>30</v>
      </c>
      <c r="C1728">
        <v>13</v>
      </c>
      <c r="D1728">
        <v>4</v>
      </c>
      <c r="E1728">
        <f t="shared" si="26"/>
        <v>6.8731786727209074E-4</v>
      </c>
    </row>
    <row r="1729" spans="1:5" x14ac:dyDescent="0.25">
      <c r="A1729">
        <v>1</v>
      </c>
      <c r="B1729">
        <v>30</v>
      </c>
      <c r="C1729">
        <v>14</v>
      </c>
      <c r="D1729">
        <v>3</v>
      </c>
      <c r="E1729">
        <f t="shared" si="26"/>
        <v>4.64162715560373E-4</v>
      </c>
    </row>
    <row r="1730" spans="1:5" x14ac:dyDescent="0.25">
      <c r="A1730">
        <v>1</v>
      </c>
      <c r="B1730">
        <v>30</v>
      </c>
      <c r="C1730">
        <v>15</v>
      </c>
      <c r="D1730">
        <v>2</v>
      </c>
      <c r="E1730">
        <f t="shared" si="26"/>
        <v>2.0584607385720877E-4</v>
      </c>
    </row>
    <row r="1731" spans="1:5" x14ac:dyDescent="0.25">
      <c r="A1731">
        <v>1</v>
      </c>
      <c r="B1731">
        <v>30</v>
      </c>
      <c r="C1731">
        <v>16</v>
      </c>
      <c r="D1731">
        <v>1</v>
      </c>
      <c r="E1731">
        <f t="shared" si="26"/>
        <v>5.3605748400314797E-5</v>
      </c>
    </row>
    <row r="1732" spans="1:5" x14ac:dyDescent="0.25">
      <c r="A1732">
        <v>1</v>
      </c>
      <c r="B1732">
        <v>30</v>
      </c>
      <c r="C1732">
        <v>17</v>
      </c>
      <c r="D1732">
        <v>0</v>
      </c>
      <c r="E1732">
        <f t="shared" si="26"/>
        <v>6.1804274626245335E-6</v>
      </c>
    </row>
    <row r="1733" spans="1:5" x14ac:dyDescent="0.25">
      <c r="A1733">
        <v>1</v>
      </c>
      <c r="B1733">
        <v>31</v>
      </c>
      <c r="C1733">
        <v>0</v>
      </c>
      <c r="D1733">
        <v>16</v>
      </c>
      <c r="E1733">
        <f t="shared" si="26"/>
        <v>5.6476358366954221E-14</v>
      </c>
    </row>
    <row r="1734" spans="1:5" x14ac:dyDescent="0.25">
      <c r="A1734">
        <v>1</v>
      </c>
      <c r="B1734">
        <v>31</v>
      </c>
      <c r="C1734">
        <v>1</v>
      </c>
      <c r="D1734">
        <v>15</v>
      </c>
      <c r="E1734">
        <f t="shared" si="26"/>
        <v>5.8735412701632378E-12</v>
      </c>
    </row>
    <row r="1735" spans="1:5" x14ac:dyDescent="0.25">
      <c r="A1735">
        <v>1</v>
      </c>
      <c r="B1735">
        <v>31</v>
      </c>
      <c r="C1735">
        <v>2</v>
      </c>
      <c r="D1735">
        <v>14</v>
      </c>
      <c r="E1735">
        <f t="shared" si="26"/>
        <v>2.5629998269803222E-10</v>
      </c>
    </row>
    <row r="1736" spans="1:5" x14ac:dyDescent="0.25">
      <c r="A1736">
        <v>1</v>
      </c>
      <c r="B1736">
        <v>31</v>
      </c>
      <c r="C1736">
        <v>3</v>
      </c>
      <c r="D1736">
        <v>13</v>
      </c>
      <c r="E1736">
        <f t="shared" si="26"/>
        <v>6.279349576101791E-9</v>
      </c>
    </row>
    <row r="1737" spans="1:5" x14ac:dyDescent="0.25">
      <c r="A1737">
        <v>1</v>
      </c>
      <c r="B1737">
        <v>31</v>
      </c>
      <c r="C1737">
        <v>4</v>
      </c>
      <c r="D1737">
        <v>12</v>
      </c>
      <c r="E1737">
        <f t="shared" si="26"/>
        <v>9.7329918429577768E-8</v>
      </c>
    </row>
    <row r="1738" spans="1:5" x14ac:dyDescent="0.25">
      <c r="A1738">
        <v>1</v>
      </c>
      <c r="B1738">
        <v>31</v>
      </c>
      <c r="C1738">
        <v>5</v>
      </c>
      <c r="D1738">
        <v>11</v>
      </c>
      <c r="E1738">
        <f t="shared" si="26"/>
        <v>1.0177928612921559E-6</v>
      </c>
    </row>
    <row r="1739" spans="1:5" x14ac:dyDescent="0.25">
      <c r="A1739">
        <v>1</v>
      </c>
      <c r="B1739">
        <v>31</v>
      </c>
      <c r="C1739">
        <v>6</v>
      </c>
      <c r="D1739">
        <v>10</v>
      </c>
      <c r="E1739">
        <f t="shared" si="26"/>
        <v>7.4638143161424755E-6</v>
      </c>
    </row>
    <row r="1740" spans="1:5" x14ac:dyDescent="0.25">
      <c r="A1740">
        <v>1</v>
      </c>
      <c r="B1740">
        <v>31</v>
      </c>
      <c r="C1740">
        <v>7</v>
      </c>
      <c r="D1740">
        <v>9</v>
      </c>
      <c r="E1740">
        <f t="shared" si="26"/>
        <v>3.931830755825054E-5</v>
      </c>
    </row>
    <row r="1741" spans="1:5" x14ac:dyDescent="0.25">
      <c r="A1741">
        <v>1</v>
      </c>
      <c r="B1741">
        <v>31</v>
      </c>
      <c r="C1741">
        <v>8</v>
      </c>
      <c r="D1741">
        <v>8</v>
      </c>
      <c r="E1741">
        <f t="shared" si="26"/>
        <v>1.509129157750499E-4</v>
      </c>
    </row>
    <row r="1742" spans="1:5" x14ac:dyDescent="0.25">
      <c r="A1742">
        <v>1</v>
      </c>
      <c r="B1742">
        <v>31</v>
      </c>
      <c r="C1742">
        <v>9</v>
      </c>
      <c r="D1742">
        <v>7</v>
      </c>
      <c r="E1742">
        <f t="shared" ref="E1742:E1805" si="27">COMBIN(A$4,A1742)*COMBIN(B$4,B1742)*COMBIN(C$4,C1742)*COMBIN(D$4,D1742)/COMBIN($G$4,$F$4)</f>
        <v>4.2479191107051086E-4</v>
      </c>
    </row>
    <row r="1743" spans="1:5" x14ac:dyDescent="0.25">
      <c r="A1743">
        <v>1</v>
      </c>
      <c r="B1743">
        <v>31</v>
      </c>
      <c r="C1743">
        <v>10</v>
      </c>
      <c r="D1743">
        <v>6</v>
      </c>
      <c r="E1743">
        <f t="shared" si="27"/>
        <v>8.7641278494547475E-4</v>
      </c>
    </row>
    <row r="1744" spans="1:5" x14ac:dyDescent="0.25">
      <c r="A1744">
        <v>1</v>
      </c>
      <c r="B1744">
        <v>31</v>
      </c>
      <c r="C1744">
        <v>11</v>
      </c>
      <c r="D1744">
        <v>5</v>
      </c>
      <c r="E1744">
        <f t="shared" si="27"/>
        <v>1.3146191774182122E-3</v>
      </c>
    </row>
    <row r="1745" spans="1:5" x14ac:dyDescent="0.25">
      <c r="A1745">
        <v>1</v>
      </c>
      <c r="B1745">
        <v>31</v>
      </c>
      <c r="C1745">
        <v>12</v>
      </c>
      <c r="D1745">
        <v>4</v>
      </c>
      <c r="E1745">
        <f t="shared" si="27"/>
        <v>1.4085205472337983E-3</v>
      </c>
    </row>
    <row r="1746" spans="1:5" x14ac:dyDescent="0.25">
      <c r="A1746">
        <v>1</v>
      </c>
      <c r="B1746">
        <v>31</v>
      </c>
      <c r="C1746">
        <v>13</v>
      </c>
      <c r="D1746">
        <v>3</v>
      </c>
      <c r="E1746">
        <f t="shared" si="27"/>
        <v>1.0440781678795993E-3</v>
      </c>
    </row>
    <row r="1747" spans="1:5" x14ac:dyDescent="0.25">
      <c r="A1747">
        <v>1</v>
      </c>
      <c r="B1747">
        <v>31</v>
      </c>
      <c r="C1747">
        <v>14</v>
      </c>
      <c r="D1747">
        <v>2</v>
      </c>
      <c r="E1747">
        <f t="shared" si="27"/>
        <v>5.0582669002862573E-4</v>
      </c>
    </row>
    <row r="1748" spans="1:5" x14ac:dyDescent="0.25">
      <c r="A1748">
        <v>1</v>
      </c>
      <c r="B1748">
        <v>31</v>
      </c>
      <c r="C1748">
        <v>15</v>
      </c>
      <c r="D1748">
        <v>1</v>
      </c>
      <c r="E1748">
        <f t="shared" si="27"/>
        <v>1.4331756217477725E-4</v>
      </c>
    </row>
    <row r="1749" spans="1:5" x14ac:dyDescent="0.25">
      <c r="A1749">
        <v>1</v>
      </c>
      <c r="B1749">
        <v>31</v>
      </c>
      <c r="C1749">
        <v>16</v>
      </c>
      <c r="D1749">
        <v>0</v>
      </c>
      <c r="E1749">
        <f t="shared" si="27"/>
        <v>1.791469527184716E-5</v>
      </c>
    </row>
    <row r="1750" spans="1:5" x14ac:dyDescent="0.25">
      <c r="A1750">
        <v>1</v>
      </c>
      <c r="B1750">
        <v>32</v>
      </c>
      <c r="C1750">
        <v>0</v>
      </c>
      <c r="D1750">
        <v>15</v>
      </c>
      <c r="E1750">
        <f t="shared" si="27"/>
        <v>7.285450229337086E-13</v>
      </c>
    </row>
    <row r="1751" spans="1:5" x14ac:dyDescent="0.25">
      <c r="A1751">
        <v>1</v>
      </c>
      <c r="B1751">
        <v>32</v>
      </c>
      <c r="C1751">
        <v>1</v>
      </c>
      <c r="D1751">
        <v>14</v>
      </c>
      <c r="E1751">
        <f t="shared" si="27"/>
        <v>6.4575581578215081E-11</v>
      </c>
    </row>
    <row r="1752" spans="1:5" x14ac:dyDescent="0.25">
      <c r="A1752">
        <v>1</v>
      </c>
      <c r="B1752">
        <v>32</v>
      </c>
      <c r="C1752">
        <v>2</v>
      </c>
      <c r="D1752">
        <v>13</v>
      </c>
      <c r="E1752">
        <f t="shared" si="27"/>
        <v>2.4108217122533638E-9</v>
      </c>
    </row>
    <row r="1753" spans="1:5" x14ac:dyDescent="0.25">
      <c r="A1753">
        <v>1</v>
      </c>
      <c r="B1753">
        <v>32</v>
      </c>
      <c r="C1753">
        <v>3</v>
      </c>
      <c r="D1753">
        <v>12</v>
      </c>
      <c r="E1753">
        <f t="shared" si="27"/>
        <v>5.062725595732064E-8</v>
      </c>
    </row>
    <row r="1754" spans="1:5" x14ac:dyDescent="0.25">
      <c r="A1754">
        <v>1</v>
      </c>
      <c r="B1754">
        <v>32</v>
      </c>
      <c r="C1754">
        <v>4</v>
      </c>
      <c r="D1754">
        <v>11</v>
      </c>
      <c r="E1754">
        <f t="shared" si="27"/>
        <v>6.726192577186884E-7</v>
      </c>
    </row>
    <row r="1755" spans="1:5" x14ac:dyDescent="0.25">
      <c r="A1755">
        <v>1</v>
      </c>
      <c r="B1755">
        <v>32</v>
      </c>
      <c r="C1755">
        <v>5</v>
      </c>
      <c r="D1755">
        <v>10</v>
      </c>
      <c r="E1755">
        <f t="shared" si="27"/>
        <v>6.0177002923898653E-6</v>
      </c>
    </row>
    <row r="1756" spans="1:5" x14ac:dyDescent="0.25">
      <c r="A1756">
        <v>1</v>
      </c>
      <c r="B1756">
        <v>32</v>
      </c>
      <c r="C1756">
        <v>6</v>
      </c>
      <c r="D1756">
        <v>9</v>
      </c>
      <c r="E1756">
        <f t="shared" si="27"/>
        <v>3.761062682743665E-5</v>
      </c>
    </row>
    <row r="1757" spans="1:5" x14ac:dyDescent="0.25">
      <c r="A1757">
        <v>1</v>
      </c>
      <c r="B1757">
        <v>32</v>
      </c>
      <c r="C1757">
        <v>7</v>
      </c>
      <c r="D1757">
        <v>8</v>
      </c>
      <c r="E1757">
        <f t="shared" si="27"/>
        <v>1.6782557012915011E-4</v>
      </c>
    </row>
    <row r="1758" spans="1:5" x14ac:dyDescent="0.25">
      <c r="A1758">
        <v>1</v>
      </c>
      <c r="B1758">
        <v>32</v>
      </c>
      <c r="C1758">
        <v>8</v>
      </c>
      <c r="D1758">
        <v>7</v>
      </c>
      <c r="E1758">
        <f t="shared" si="27"/>
        <v>5.4077128152726179E-4</v>
      </c>
    </row>
    <row r="1759" spans="1:5" x14ac:dyDescent="0.25">
      <c r="A1759">
        <v>1</v>
      </c>
      <c r="B1759">
        <v>32</v>
      </c>
      <c r="C1759">
        <v>9</v>
      </c>
      <c r="D1759">
        <v>6</v>
      </c>
      <c r="E1759">
        <f t="shared" si="27"/>
        <v>1.2617996568969434E-3</v>
      </c>
    </row>
    <row r="1760" spans="1:5" x14ac:dyDescent="0.25">
      <c r="A1760">
        <v>1</v>
      </c>
      <c r="B1760">
        <v>32</v>
      </c>
      <c r="C1760">
        <v>10</v>
      </c>
      <c r="D1760">
        <v>5</v>
      </c>
      <c r="E1760">
        <f t="shared" si="27"/>
        <v>2.1198234235868651E-3</v>
      </c>
    </row>
    <row r="1761" spans="1:5" x14ac:dyDescent="0.25">
      <c r="A1761">
        <v>1</v>
      </c>
      <c r="B1761">
        <v>32</v>
      </c>
      <c r="C1761">
        <v>11</v>
      </c>
      <c r="D1761">
        <v>4</v>
      </c>
      <c r="E1761">
        <f t="shared" si="27"/>
        <v>2.5235993137938881E-3</v>
      </c>
    </row>
    <row r="1762" spans="1:5" x14ac:dyDescent="0.25">
      <c r="A1762">
        <v>1</v>
      </c>
      <c r="B1762">
        <v>32</v>
      </c>
      <c r="C1762">
        <v>12</v>
      </c>
      <c r="D1762">
        <v>3</v>
      </c>
      <c r="E1762">
        <f t="shared" si="27"/>
        <v>2.0647630749222705E-3</v>
      </c>
    </row>
    <row r="1763" spans="1:5" x14ac:dyDescent="0.25">
      <c r="A1763">
        <v>1</v>
      </c>
      <c r="B1763">
        <v>32</v>
      </c>
      <c r="C1763">
        <v>13</v>
      </c>
      <c r="D1763">
        <v>2</v>
      </c>
      <c r="E1763">
        <f t="shared" si="27"/>
        <v>1.0979843776342513E-3</v>
      </c>
    </row>
    <row r="1764" spans="1:5" x14ac:dyDescent="0.25">
      <c r="A1764">
        <v>1</v>
      </c>
      <c r="B1764">
        <v>32</v>
      </c>
      <c r="C1764">
        <v>14</v>
      </c>
      <c r="D1764">
        <v>1</v>
      </c>
      <c r="E1764">
        <f t="shared" si="27"/>
        <v>3.3985230736298264E-4</v>
      </c>
    </row>
    <row r="1765" spans="1:5" x14ac:dyDescent="0.25">
      <c r="A1765">
        <v>1</v>
      </c>
      <c r="B1765">
        <v>32</v>
      </c>
      <c r="C1765">
        <v>15</v>
      </c>
      <c r="D1765">
        <v>0</v>
      </c>
      <c r="E1765">
        <f t="shared" si="27"/>
        <v>4.6219913801365616E-5</v>
      </c>
    </row>
    <row r="1766" spans="1:5" x14ac:dyDescent="0.25">
      <c r="A1766">
        <v>1</v>
      </c>
      <c r="B1766">
        <v>33</v>
      </c>
      <c r="C1766">
        <v>0</v>
      </c>
      <c r="D1766">
        <v>14</v>
      </c>
      <c r="E1766">
        <f t="shared" si="27"/>
        <v>7.7370277228910446E-12</v>
      </c>
    </row>
    <row r="1767" spans="1:5" x14ac:dyDescent="0.25">
      <c r="A1767">
        <v>1</v>
      </c>
      <c r="B1767">
        <v>33</v>
      </c>
      <c r="C1767">
        <v>1</v>
      </c>
      <c r="D1767">
        <v>13</v>
      </c>
      <c r="E1767">
        <f t="shared" si="27"/>
        <v>5.8672460231923766E-10</v>
      </c>
    </row>
    <row r="1768" spans="1:5" x14ac:dyDescent="0.25">
      <c r="A1768">
        <v>1</v>
      </c>
      <c r="B1768">
        <v>33</v>
      </c>
      <c r="C1768">
        <v>2</v>
      </c>
      <c r="D1768">
        <v>12</v>
      </c>
      <c r="E1768">
        <f t="shared" si="27"/>
        <v>1.8775187274215605E-8</v>
      </c>
    </row>
    <row r="1769" spans="1:5" x14ac:dyDescent="0.25">
      <c r="A1769">
        <v>1</v>
      </c>
      <c r="B1769">
        <v>33</v>
      </c>
      <c r="C1769">
        <v>3</v>
      </c>
      <c r="D1769">
        <v>11</v>
      </c>
      <c r="E1769">
        <f t="shared" si="27"/>
        <v>3.3795337093588085E-7</v>
      </c>
    </row>
    <row r="1770" spans="1:5" x14ac:dyDescent="0.25">
      <c r="A1770">
        <v>1</v>
      </c>
      <c r="B1770">
        <v>33</v>
      </c>
      <c r="C1770">
        <v>4</v>
      </c>
      <c r="D1770">
        <v>10</v>
      </c>
      <c r="E1770">
        <f t="shared" si="27"/>
        <v>3.8414033163045117E-6</v>
      </c>
    </row>
    <row r="1771" spans="1:5" x14ac:dyDescent="0.25">
      <c r="A1771">
        <v>1</v>
      </c>
      <c r="B1771">
        <v>33</v>
      </c>
      <c r="C1771">
        <v>5</v>
      </c>
      <c r="D1771">
        <v>9</v>
      </c>
      <c r="E1771">
        <f t="shared" si="27"/>
        <v>2.9290700286821911E-5</v>
      </c>
    </row>
    <row r="1772" spans="1:5" x14ac:dyDescent="0.25">
      <c r="A1772">
        <v>1</v>
      </c>
      <c r="B1772">
        <v>33</v>
      </c>
      <c r="C1772">
        <v>6</v>
      </c>
      <c r="D1772">
        <v>8</v>
      </c>
      <c r="E1772">
        <f t="shared" si="27"/>
        <v>1.5506841328317479E-4</v>
      </c>
    </row>
    <row r="1773" spans="1:5" x14ac:dyDescent="0.25">
      <c r="A1773">
        <v>1</v>
      </c>
      <c r="B1773">
        <v>33</v>
      </c>
      <c r="C1773">
        <v>7</v>
      </c>
      <c r="D1773">
        <v>7</v>
      </c>
      <c r="E1773">
        <f t="shared" si="27"/>
        <v>5.8089119896554385E-4</v>
      </c>
    </row>
    <row r="1774" spans="1:5" x14ac:dyDescent="0.25">
      <c r="A1774">
        <v>1</v>
      </c>
      <c r="B1774">
        <v>33</v>
      </c>
      <c r="C1774">
        <v>8</v>
      </c>
      <c r="D1774">
        <v>6</v>
      </c>
      <c r="E1774">
        <f t="shared" si="27"/>
        <v>1.5515909656579653E-3</v>
      </c>
    </row>
    <row r="1775" spans="1:5" x14ac:dyDescent="0.25">
      <c r="A1775">
        <v>1</v>
      </c>
      <c r="B1775">
        <v>33</v>
      </c>
      <c r="C1775">
        <v>9</v>
      </c>
      <c r="D1775">
        <v>5</v>
      </c>
      <c r="E1775">
        <f t="shared" si="27"/>
        <v>2.9480228347501338E-3</v>
      </c>
    </row>
    <row r="1776" spans="1:5" x14ac:dyDescent="0.25">
      <c r="A1776">
        <v>1</v>
      </c>
      <c r="B1776">
        <v>33</v>
      </c>
      <c r="C1776">
        <v>10</v>
      </c>
      <c r="D1776">
        <v>4</v>
      </c>
      <c r="E1776">
        <f t="shared" si="27"/>
        <v>3.9306971130001799E-3</v>
      </c>
    </row>
    <row r="1777" spans="1:5" x14ac:dyDescent="0.25">
      <c r="A1777">
        <v>1</v>
      </c>
      <c r="B1777">
        <v>33</v>
      </c>
      <c r="C1777">
        <v>11</v>
      </c>
      <c r="D1777">
        <v>3</v>
      </c>
      <c r="E1777">
        <f t="shared" si="27"/>
        <v>3.5733610118183455E-3</v>
      </c>
    </row>
    <row r="1778" spans="1:5" x14ac:dyDescent="0.25">
      <c r="A1778">
        <v>1</v>
      </c>
      <c r="B1778">
        <v>33</v>
      </c>
      <c r="C1778">
        <v>12</v>
      </c>
      <c r="D1778">
        <v>2</v>
      </c>
      <c r="E1778">
        <f t="shared" si="27"/>
        <v>2.0974075504151144E-3</v>
      </c>
    </row>
    <row r="1779" spans="1:5" x14ac:dyDescent="0.25">
      <c r="A1779">
        <v>1</v>
      </c>
      <c r="B1779">
        <v>33</v>
      </c>
      <c r="C1779">
        <v>13</v>
      </c>
      <c r="D1779">
        <v>1</v>
      </c>
      <c r="E1779">
        <f t="shared" si="27"/>
        <v>7.1258077033334061E-4</v>
      </c>
    </row>
    <row r="1780" spans="1:5" x14ac:dyDescent="0.25">
      <c r="A1780">
        <v>1</v>
      </c>
      <c r="B1780">
        <v>33</v>
      </c>
      <c r="C1780">
        <v>14</v>
      </c>
      <c r="D1780">
        <v>0</v>
      </c>
      <c r="E1780">
        <f t="shared" si="27"/>
        <v>1.0586914302095346E-4</v>
      </c>
    </row>
    <row r="1781" spans="1:5" x14ac:dyDescent="0.25">
      <c r="A1781">
        <v>1</v>
      </c>
      <c r="B1781">
        <v>34</v>
      </c>
      <c r="C1781">
        <v>0</v>
      </c>
      <c r="D1781">
        <v>13</v>
      </c>
      <c r="E1781">
        <f t="shared" si="27"/>
        <v>6.7964478820689937E-11</v>
      </c>
    </row>
    <row r="1782" spans="1:5" x14ac:dyDescent="0.25">
      <c r="A1782">
        <v>1</v>
      </c>
      <c r="B1782">
        <v>34</v>
      </c>
      <c r="C1782">
        <v>1</v>
      </c>
      <c r="D1782">
        <v>12</v>
      </c>
      <c r="E1782">
        <f t="shared" si="27"/>
        <v>4.4176911233448461E-9</v>
      </c>
    </row>
    <row r="1783" spans="1:5" x14ac:dyDescent="0.25">
      <c r="A1783">
        <v>1</v>
      </c>
      <c r="B1783">
        <v>34</v>
      </c>
      <c r="C1783">
        <v>2</v>
      </c>
      <c r="D1783">
        <v>11</v>
      </c>
      <c r="E1783">
        <f t="shared" si="27"/>
        <v>1.2117095652603003E-7</v>
      </c>
    </row>
    <row r="1784" spans="1:5" x14ac:dyDescent="0.25">
      <c r="A1784">
        <v>1</v>
      </c>
      <c r="B1784">
        <v>34</v>
      </c>
      <c r="C1784">
        <v>3</v>
      </c>
      <c r="D1784">
        <v>10</v>
      </c>
      <c r="E1784">
        <f t="shared" si="27"/>
        <v>1.8660327305008624E-6</v>
      </c>
    </row>
    <row r="1785" spans="1:5" x14ac:dyDescent="0.25">
      <c r="A1785">
        <v>1</v>
      </c>
      <c r="B1785">
        <v>34</v>
      </c>
      <c r="C1785">
        <v>4</v>
      </c>
      <c r="D1785">
        <v>9</v>
      </c>
      <c r="E1785">
        <f t="shared" si="27"/>
        <v>1.8077192076727106E-5</v>
      </c>
    </row>
    <row r="1786" spans="1:5" x14ac:dyDescent="0.25">
      <c r="A1786">
        <v>1</v>
      </c>
      <c r="B1786">
        <v>34</v>
      </c>
      <c r="C1786">
        <v>5</v>
      </c>
      <c r="D1786">
        <v>8</v>
      </c>
      <c r="E1786">
        <f t="shared" si="27"/>
        <v>1.1675739353086098E-4</v>
      </c>
    </row>
    <row r="1787" spans="1:5" x14ac:dyDescent="0.25">
      <c r="A1787">
        <v>1</v>
      </c>
      <c r="B1787">
        <v>34</v>
      </c>
      <c r="C1787">
        <v>6</v>
      </c>
      <c r="D1787">
        <v>7</v>
      </c>
      <c r="E1787">
        <f t="shared" si="27"/>
        <v>5.1892174902604885E-4</v>
      </c>
    </row>
    <row r="1788" spans="1:5" x14ac:dyDescent="0.25">
      <c r="A1788">
        <v>1</v>
      </c>
      <c r="B1788">
        <v>34</v>
      </c>
      <c r="C1788">
        <v>7</v>
      </c>
      <c r="D1788">
        <v>6</v>
      </c>
      <c r="E1788">
        <f t="shared" si="27"/>
        <v>1.6113885890808876E-3</v>
      </c>
    </row>
    <row r="1789" spans="1:5" x14ac:dyDescent="0.25">
      <c r="A1789">
        <v>1</v>
      </c>
      <c r="B1789">
        <v>34</v>
      </c>
      <c r="C1789">
        <v>8</v>
      </c>
      <c r="D1789">
        <v>5</v>
      </c>
      <c r="E1789">
        <f t="shared" si="27"/>
        <v>3.5047701812509317E-3</v>
      </c>
    </row>
    <row r="1790" spans="1:5" x14ac:dyDescent="0.25">
      <c r="A1790">
        <v>1</v>
      </c>
      <c r="B1790">
        <v>34</v>
      </c>
      <c r="C1790">
        <v>9</v>
      </c>
      <c r="D1790">
        <v>4</v>
      </c>
      <c r="E1790">
        <f t="shared" si="27"/>
        <v>5.2849709082355319E-3</v>
      </c>
    </row>
    <row r="1791" spans="1:5" x14ac:dyDescent="0.25">
      <c r="A1791">
        <v>1</v>
      </c>
      <c r="B1791">
        <v>34</v>
      </c>
      <c r="C1791">
        <v>10</v>
      </c>
      <c r="D1791">
        <v>3</v>
      </c>
      <c r="E1791">
        <f t="shared" si="27"/>
        <v>5.38106128838527E-3</v>
      </c>
    </row>
    <row r="1792" spans="1:5" x14ac:dyDescent="0.25">
      <c r="A1792">
        <v>1</v>
      </c>
      <c r="B1792">
        <v>34</v>
      </c>
      <c r="C1792">
        <v>11</v>
      </c>
      <c r="D1792">
        <v>2</v>
      </c>
      <c r="E1792">
        <f t="shared" si="27"/>
        <v>3.5093877967730023E-3</v>
      </c>
    </row>
    <row r="1793" spans="1:5" x14ac:dyDescent="0.25">
      <c r="A1793">
        <v>1</v>
      </c>
      <c r="B1793">
        <v>34</v>
      </c>
      <c r="C1793">
        <v>12</v>
      </c>
      <c r="D1793">
        <v>1</v>
      </c>
      <c r="E1793">
        <f t="shared" si="27"/>
        <v>1.3160204237898749E-3</v>
      </c>
    </row>
    <row r="1794" spans="1:5" x14ac:dyDescent="0.25">
      <c r="A1794">
        <v>1</v>
      </c>
      <c r="B1794">
        <v>34</v>
      </c>
      <c r="C1794">
        <v>13</v>
      </c>
      <c r="D1794">
        <v>0</v>
      </c>
      <c r="E1794">
        <f t="shared" si="27"/>
        <v>2.1461256141804127E-4</v>
      </c>
    </row>
    <row r="1795" spans="1:5" x14ac:dyDescent="0.25">
      <c r="A1795">
        <v>1</v>
      </c>
      <c r="B1795">
        <v>35</v>
      </c>
      <c r="C1795">
        <v>0</v>
      </c>
      <c r="D1795">
        <v>12</v>
      </c>
      <c r="E1795">
        <f t="shared" si="27"/>
        <v>4.9516977426502665E-10</v>
      </c>
    </row>
    <row r="1796" spans="1:5" x14ac:dyDescent="0.25">
      <c r="A1796">
        <v>1</v>
      </c>
      <c r="B1796">
        <v>35</v>
      </c>
      <c r="C1796">
        <v>1</v>
      </c>
      <c r="D1796">
        <v>11</v>
      </c>
      <c r="E1796">
        <f t="shared" si="27"/>
        <v>2.7588030280480056E-8</v>
      </c>
    </row>
    <row r="1797" spans="1:5" x14ac:dyDescent="0.25">
      <c r="A1797">
        <v>1</v>
      </c>
      <c r="B1797">
        <v>35</v>
      </c>
      <c r="C1797">
        <v>2</v>
      </c>
      <c r="D1797">
        <v>10</v>
      </c>
      <c r="E1797">
        <f t="shared" si="27"/>
        <v>6.4739911058193174E-7</v>
      </c>
    </row>
    <row r="1798" spans="1:5" x14ac:dyDescent="0.25">
      <c r="A1798">
        <v>1</v>
      </c>
      <c r="B1798">
        <v>35</v>
      </c>
      <c r="C1798">
        <v>3</v>
      </c>
      <c r="D1798">
        <v>9</v>
      </c>
      <c r="E1798">
        <f t="shared" si="27"/>
        <v>8.497113326387857E-6</v>
      </c>
    </row>
    <row r="1799" spans="1:5" x14ac:dyDescent="0.25">
      <c r="A1799">
        <v>1</v>
      </c>
      <c r="B1799">
        <v>35</v>
      </c>
      <c r="C1799">
        <v>4</v>
      </c>
      <c r="D1799">
        <v>8</v>
      </c>
      <c r="E1799">
        <f t="shared" si="27"/>
        <v>6.9726312295947406E-5</v>
      </c>
    </row>
    <row r="1800" spans="1:5" x14ac:dyDescent="0.25">
      <c r="A1800">
        <v>1</v>
      </c>
      <c r="B1800">
        <v>35</v>
      </c>
      <c r="C1800">
        <v>5</v>
      </c>
      <c r="D1800">
        <v>7</v>
      </c>
      <c r="E1800">
        <f t="shared" si="27"/>
        <v>3.7807156000469274E-4</v>
      </c>
    </row>
    <row r="1801" spans="1:5" x14ac:dyDescent="0.25">
      <c r="A1801">
        <v>1</v>
      </c>
      <c r="B1801">
        <v>35</v>
      </c>
      <c r="C1801">
        <v>6</v>
      </c>
      <c r="D1801">
        <v>6</v>
      </c>
      <c r="E1801">
        <f t="shared" si="27"/>
        <v>1.3928952210699201E-3</v>
      </c>
    </row>
    <row r="1802" spans="1:5" x14ac:dyDescent="0.25">
      <c r="A1802">
        <v>1</v>
      </c>
      <c r="B1802">
        <v>35</v>
      </c>
      <c r="C1802">
        <v>7</v>
      </c>
      <c r="D1802">
        <v>5</v>
      </c>
      <c r="E1802">
        <f t="shared" si="27"/>
        <v>3.5220350589910835E-3</v>
      </c>
    </row>
    <row r="1803" spans="1:5" x14ac:dyDescent="0.25">
      <c r="A1803">
        <v>1</v>
      </c>
      <c r="B1803">
        <v>35</v>
      </c>
      <c r="C1803">
        <v>8</v>
      </c>
      <c r="D1803">
        <v>4</v>
      </c>
      <c r="E1803">
        <f t="shared" si="27"/>
        <v>6.0797033756393726E-3</v>
      </c>
    </row>
    <row r="1804" spans="1:5" x14ac:dyDescent="0.25">
      <c r="A1804">
        <v>1</v>
      </c>
      <c r="B1804">
        <v>35</v>
      </c>
      <c r="C1804">
        <v>9</v>
      </c>
      <c r="D1804">
        <v>3</v>
      </c>
      <c r="E1804">
        <f t="shared" si="27"/>
        <v>7.0008705537665484E-3</v>
      </c>
    </row>
    <row r="1805" spans="1:5" x14ac:dyDescent="0.25">
      <c r="A1805">
        <v>1</v>
      </c>
      <c r="B1805">
        <v>35</v>
      </c>
      <c r="C1805">
        <v>10</v>
      </c>
      <c r="D1805">
        <v>2</v>
      </c>
      <c r="E1805">
        <f t="shared" si="27"/>
        <v>5.1136793610120886E-3</v>
      </c>
    </row>
    <row r="1806" spans="1:5" x14ac:dyDescent="0.25">
      <c r="A1806">
        <v>1</v>
      </c>
      <c r="B1806">
        <v>35</v>
      </c>
      <c r="C1806">
        <v>11</v>
      </c>
      <c r="D1806">
        <v>1</v>
      </c>
      <c r="E1806">
        <f t="shared" ref="E1806:E1869" si="28">COMBIN(A$4,A1806)*COMBIN(B$4,B1806)*COMBIN(C$4,C1806)*COMBIN(D$4,D1806)/COMBIN($G$4,$F$4)</f>
        <v>2.130699733755037E-3</v>
      </c>
    </row>
    <row r="1807" spans="1:5" x14ac:dyDescent="0.25">
      <c r="A1807">
        <v>1</v>
      </c>
      <c r="B1807">
        <v>35</v>
      </c>
      <c r="C1807">
        <v>12</v>
      </c>
      <c r="D1807">
        <v>0</v>
      </c>
      <c r="E1807">
        <f t="shared" si="28"/>
        <v>3.8352595207590641E-4</v>
      </c>
    </row>
    <row r="1808" spans="1:5" x14ac:dyDescent="0.25">
      <c r="A1808">
        <v>1</v>
      </c>
      <c r="B1808">
        <v>36</v>
      </c>
      <c r="C1808">
        <v>0</v>
      </c>
      <c r="D1808">
        <v>11</v>
      </c>
      <c r="E1808">
        <f t="shared" si="28"/>
        <v>2.9945981586504003E-9</v>
      </c>
    </row>
    <row r="1809" spans="1:5" x14ac:dyDescent="0.25">
      <c r="A1809">
        <v>1</v>
      </c>
      <c r="B1809">
        <v>36</v>
      </c>
      <c r="C1809">
        <v>1</v>
      </c>
      <c r="D1809">
        <v>10</v>
      </c>
      <c r="E1809">
        <f t="shared" si="28"/>
        <v>1.427425122290024E-7</v>
      </c>
    </row>
    <row r="1810" spans="1:5" x14ac:dyDescent="0.25">
      <c r="A1810">
        <v>1</v>
      </c>
      <c r="B1810">
        <v>36</v>
      </c>
      <c r="C1810">
        <v>2</v>
      </c>
      <c r="D1810">
        <v>9</v>
      </c>
      <c r="E1810">
        <f t="shared" si="28"/>
        <v>2.8548502445800489E-6</v>
      </c>
    </row>
    <row r="1811" spans="1:5" x14ac:dyDescent="0.25">
      <c r="A1811">
        <v>1</v>
      </c>
      <c r="B1811">
        <v>36</v>
      </c>
      <c r="C1811">
        <v>3</v>
      </c>
      <c r="D1811">
        <v>8</v>
      </c>
      <c r="E1811">
        <f t="shared" si="28"/>
        <v>3.1739217425037015E-5</v>
      </c>
    </row>
    <row r="1812" spans="1:5" x14ac:dyDescent="0.25">
      <c r="A1812">
        <v>1</v>
      </c>
      <c r="B1812">
        <v>36</v>
      </c>
      <c r="C1812">
        <v>4</v>
      </c>
      <c r="D1812">
        <v>7</v>
      </c>
      <c r="E1812">
        <f t="shared" si="28"/>
        <v>2.1864794226136614E-4</v>
      </c>
    </row>
    <row r="1813" spans="1:5" x14ac:dyDescent="0.25">
      <c r="A1813">
        <v>1</v>
      </c>
      <c r="B1813">
        <v>36</v>
      </c>
      <c r="C1813">
        <v>5</v>
      </c>
      <c r="D1813">
        <v>6</v>
      </c>
      <c r="E1813">
        <f t="shared" si="28"/>
        <v>9.8276496153266654E-4</v>
      </c>
    </row>
    <row r="1814" spans="1:5" x14ac:dyDescent="0.25">
      <c r="A1814">
        <v>1</v>
      </c>
      <c r="B1814">
        <v>36</v>
      </c>
      <c r="C1814">
        <v>6</v>
      </c>
      <c r="D1814">
        <v>5</v>
      </c>
      <c r="E1814">
        <f t="shared" si="28"/>
        <v>2.9482948845979988E-3</v>
      </c>
    </row>
    <row r="1815" spans="1:5" x14ac:dyDescent="0.25">
      <c r="A1815">
        <v>1</v>
      </c>
      <c r="B1815">
        <v>36</v>
      </c>
      <c r="C1815">
        <v>7</v>
      </c>
      <c r="D1815">
        <v>4</v>
      </c>
      <c r="E1815">
        <f t="shared" si="28"/>
        <v>5.9166461969823803E-3</v>
      </c>
    </row>
    <row r="1816" spans="1:5" x14ac:dyDescent="0.25">
      <c r="A1816">
        <v>1</v>
      </c>
      <c r="B1816">
        <v>36</v>
      </c>
      <c r="C1816">
        <v>8</v>
      </c>
      <c r="D1816">
        <v>3</v>
      </c>
      <c r="E1816">
        <f t="shared" si="28"/>
        <v>7.7992154414767752E-3</v>
      </c>
    </row>
    <row r="1817" spans="1:5" x14ac:dyDescent="0.25">
      <c r="A1817">
        <v>1</v>
      </c>
      <c r="B1817">
        <v>36</v>
      </c>
      <c r="C1817">
        <v>9</v>
      </c>
      <c r="D1817">
        <v>2</v>
      </c>
      <c r="E1817">
        <f t="shared" si="28"/>
        <v>6.4428301473069003E-3</v>
      </c>
    </row>
    <row r="1818" spans="1:5" x14ac:dyDescent="0.25">
      <c r="A1818">
        <v>1</v>
      </c>
      <c r="B1818">
        <v>36</v>
      </c>
      <c r="C1818">
        <v>10</v>
      </c>
      <c r="D1818">
        <v>1</v>
      </c>
      <c r="E1818">
        <f t="shared" si="28"/>
        <v>3.0066540687432204E-3</v>
      </c>
    </row>
    <row r="1819" spans="1:5" x14ac:dyDescent="0.25">
      <c r="A1819">
        <v>1</v>
      </c>
      <c r="B1819">
        <v>36</v>
      </c>
      <c r="C1819">
        <v>11</v>
      </c>
      <c r="D1819">
        <v>0</v>
      </c>
      <c r="E1819">
        <f t="shared" si="28"/>
        <v>6.0133081374864406E-4</v>
      </c>
    </row>
    <row r="1820" spans="1:5" x14ac:dyDescent="0.25">
      <c r="A1820">
        <v>1</v>
      </c>
      <c r="B1820">
        <v>37</v>
      </c>
      <c r="C1820">
        <v>0</v>
      </c>
      <c r="D1820">
        <v>10</v>
      </c>
      <c r="E1820">
        <f t="shared" si="28"/>
        <v>1.5016156172115418E-8</v>
      </c>
    </row>
    <row r="1821" spans="1:5" x14ac:dyDescent="0.25">
      <c r="A1821">
        <v>1</v>
      </c>
      <c r="B1821">
        <v>37</v>
      </c>
      <c r="C1821">
        <v>1</v>
      </c>
      <c r="D1821">
        <v>9</v>
      </c>
      <c r="E1821">
        <f t="shared" si="28"/>
        <v>6.10031344492189E-7</v>
      </c>
    </row>
    <row r="1822" spans="1:5" x14ac:dyDescent="0.25">
      <c r="A1822">
        <v>1</v>
      </c>
      <c r="B1822">
        <v>37</v>
      </c>
      <c r="C1822">
        <v>2</v>
      </c>
      <c r="D1822">
        <v>8</v>
      </c>
      <c r="E1822">
        <f t="shared" si="28"/>
        <v>1.0334648659632378E-5</v>
      </c>
    </row>
    <row r="1823" spans="1:5" x14ac:dyDescent="0.25">
      <c r="A1823">
        <v>1</v>
      </c>
      <c r="B1823">
        <v>37</v>
      </c>
      <c r="C1823">
        <v>3</v>
      </c>
      <c r="D1823">
        <v>7</v>
      </c>
      <c r="E1823">
        <f t="shared" si="28"/>
        <v>9.6456720823235545E-5</v>
      </c>
    </row>
    <row r="1824" spans="1:5" x14ac:dyDescent="0.25">
      <c r="A1824">
        <v>1</v>
      </c>
      <c r="B1824">
        <v>37</v>
      </c>
      <c r="C1824">
        <v>4</v>
      </c>
      <c r="D1824">
        <v>6</v>
      </c>
      <c r="E1824">
        <f t="shared" si="28"/>
        <v>5.5081864259584482E-4</v>
      </c>
    </row>
    <row r="1825" spans="1:5" x14ac:dyDescent="0.25">
      <c r="A1825">
        <v>1</v>
      </c>
      <c r="B1825">
        <v>37</v>
      </c>
      <c r="C1825">
        <v>5</v>
      </c>
      <c r="D1825">
        <v>5</v>
      </c>
      <c r="E1825">
        <f t="shared" si="28"/>
        <v>2.0159962319007923E-3</v>
      </c>
    </row>
    <row r="1826" spans="1:5" x14ac:dyDescent="0.25">
      <c r="A1826">
        <v>1</v>
      </c>
      <c r="B1826">
        <v>37</v>
      </c>
      <c r="C1826">
        <v>6</v>
      </c>
      <c r="D1826">
        <v>4</v>
      </c>
      <c r="E1826">
        <f t="shared" si="28"/>
        <v>4.7999910283352204E-3</v>
      </c>
    </row>
    <row r="1827" spans="1:5" x14ac:dyDescent="0.25">
      <c r="A1827">
        <v>1</v>
      </c>
      <c r="B1827">
        <v>37</v>
      </c>
      <c r="C1827">
        <v>7</v>
      </c>
      <c r="D1827">
        <v>3</v>
      </c>
      <c r="E1827">
        <f t="shared" si="28"/>
        <v>7.3558304070591683E-3</v>
      </c>
    </row>
    <row r="1828" spans="1:5" x14ac:dyDescent="0.25">
      <c r="A1828">
        <v>1</v>
      </c>
      <c r="B1828">
        <v>37</v>
      </c>
      <c r="C1828">
        <v>8</v>
      </c>
      <c r="D1828">
        <v>2</v>
      </c>
      <c r="E1828">
        <f t="shared" si="28"/>
        <v>6.9560570153711721E-3</v>
      </c>
    </row>
    <row r="1829" spans="1:5" x14ac:dyDescent="0.25">
      <c r="A1829">
        <v>1</v>
      </c>
      <c r="B1829">
        <v>37</v>
      </c>
      <c r="C1829">
        <v>9</v>
      </c>
      <c r="D1829">
        <v>1</v>
      </c>
      <c r="E1829">
        <f t="shared" si="28"/>
        <v>3.6712523136681178E-3</v>
      </c>
    </row>
    <row r="1830" spans="1:5" x14ac:dyDescent="0.25">
      <c r="A1830">
        <v>1</v>
      </c>
      <c r="B1830">
        <v>37</v>
      </c>
      <c r="C1830">
        <v>10</v>
      </c>
      <c r="D1830">
        <v>0</v>
      </c>
      <c r="E1830">
        <f t="shared" si="28"/>
        <v>8.2236051826165848E-4</v>
      </c>
    </row>
    <row r="1831" spans="1:5" x14ac:dyDescent="0.25">
      <c r="A1831">
        <v>1</v>
      </c>
      <c r="B1831">
        <v>38</v>
      </c>
      <c r="C1831">
        <v>0</v>
      </c>
      <c r="D1831">
        <v>9</v>
      </c>
      <c r="E1831">
        <f t="shared" si="28"/>
        <v>6.2238015713373166E-8</v>
      </c>
    </row>
    <row r="1832" spans="1:5" x14ac:dyDescent="0.25">
      <c r="A1832">
        <v>1</v>
      </c>
      <c r="B1832">
        <v>38</v>
      </c>
      <c r="C1832">
        <v>1</v>
      </c>
      <c r="D1832">
        <v>8</v>
      </c>
      <c r="E1832">
        <f t="shared" si="28"/>
        <v>2.1417199524896059E-6</v>
      </c>
    </row>
    <row r="1833" spans="1:5" x14ac:dyDescent="0.25">
      <c r="A1833">
        <v>1</v>
      </c>
      <c r="B1833">
        <v>38</v>
      </c>
      <c r="C1833">
        <v>2</v>
      </c>
      <c r="D1833">
        <v>7</v>
      </c>
      <c r="E1833">
        <f t="shared" si="28"/>
        <v>3.0460017102074405E-5</v>
      </c>
    </row>
    <row r="1834" spans="1:5" x14ac:dyDescent="0.25">
      <c r="A1834">
        <v>1</v>
      </c>
      <c r="B1834">
        <v>38</v>
      </c>
      <c r="C1834">
        <v>3</v>
      </c>
      <c r="D1834">
        <v>6</v>
      </c>
      <c r="E1834">
        <f t="shared" si="28"/>
        <v>2.35664342842365E-4</v>
      </c>
    </row>
    <row r="1835" spans="1:5" x14ac:dyDescent="0.25">
      <c r="A1835">
        <v>1</v>
      </c>
      <c r="B1835">
        <v>38</v>
      </c>
      <c r="C1835">
        <v>4</v>
      </c>
      <c r="D1835">
        <v>5</v>
      </c>
      <c r="E1835">
        <f t="shared" si="28"/>
        <v>1.0958391942169974E-3</v>
      </c>
    </row>
    <row r="1836" spans="1:5" x14ac:dyDescent="0.25">
      <c r="A1836">
        <v>1</v>
      </c>
      <c r="B1836">
        <v>38</v>
      </c>
      <c r="C1836">
        <v>5</v>
      </c>
      <c r="D1836">
        <v>4</v>
      </c>
      <c r="E1836">
        <f t="shared" si="28"/>
        <v>3.1831519451065177E-3</v>
      </c>
    </row>
    <row r="1837" spans="1:5" x14ac:dyDescent="0.25">
      <c r="A1837">
        <v>1</v>
      </c>
      <c r="B1837">
        <v>38</v>
      </c>
      <c r="C1837">
        <v>6</v>
      </c>
      <c r="D1837">
        <v>3</v>
      </c>
      <c r="E1837">
        <f t="shared" si="28"/>
        <v>5.7875489911027572E-3</v>
      </c>
    </row>
    <row r="1838" spans="1:5" x14ac:dyDescent="0.25">
      <c r="A1838">
        <v>1</v>
      </c>
      <c r="B1838">
        <v>38</v>
      </c>
      <c r="C1838">
        <v>7</v>
      </c>
      <c r="D1838">
        <v>2</v>
      </c>
      <c r="E1838">
        <f t="shared" si="28"/>
        <v>6.3627091392868818E-3</v>
      </c>
    </row>
    <row r="1839" spans="1:5" x14ac:dyDescent="0.25">
      <c r="A1839">
        <v>1</v>
      </c>
      <c r="B1839">
        <v>38</v>
      </c>
      <c r="C1839">
        <v>8</v>
      </c>
      <c r="D1839">
        <v>1</v>
      </c>
      <c r="E1839">
        <f t="shared" si="28"/>
        <v>3.8441367716524921E-3</v>
      </c>
    </row>
    <row r="1840" spans="1:5" x14ac:dyDescent="0.25">
      <c r="A1840">
        <v>1</v>
      </c>
      <c r="B1840">
        <v>38</v>
      </c>
      <c r="C1840">
        <v>9</v>
      </c>
      <c r="D1840">
        <v>0</v>
      </c>
      <c r="E1840">
        <f t="shared" si="28"/>
        <v>9.7384798215196459E-4</v>
      </c>
    </row>
    <row r="1841" spans="1:5" x14ac:dyDescent="0.25">
      <c r="A1841">
        <v>1</v>
      </c>
      <c r="B1841">
        <v>39</v>
      </c>
      <c r="C1841">
        <v>0</v>
      </c>
      <c r="D1841">
        <v>8</v>
      </c>
      <c r="E1841">
        <f t="shared" si="28"/>
        <v>2.1205984539443431E-7</v>
      </c>
    </row>
    <row r="1842" spans="1:5" x14ac:dyDescent="0.25">
      <c r="A1842">
        <v>1</v>
      </c>
      <c r="B1842">
        <v>39</v>
      </c>
      <c r="C1842">
        <v>1</v>
      </c>
      <c r="D1842">
        <v>7</v>
      </c>
      <c r="E1842">
        <f t="shared" si="28"/>
        <v>6.12617331139477E-6</v>
      </c>
    </row>
    <row r="1843" spans="1:5" x14ac:dyDescent="0.25">
      <c r="A1843">
        <v>1</v>
      </c>
      <c r="B1843">
        <v>39</v>
      </c>
      <c r="C1843">
        <v>2</v>
      </c>
      <c r="D1843">
        <v>6</v>
      </c>
      <c r="E1843">
        <f t="shared" si="28"/>
        <v>7.2224359039601467E-5</v>
      </c>
    </row>
    <row r="1844" spans="1:5" x14ac:dyDescent="0.25">
      <c r="A1844">
        <v>1</v>
      </c>
      <c r="B1844">
        <v>39</v>
      </c>
      <c r="C1844">
        <v>3</v>
      </c>
      <c r="D1844">
        <v>5</v>
      </c>
      <c r="E1844">
        <f t="shared" si="28"/>
        <v>4.5501346194948934E-4</v>
      </c>
    </row>
    <row r="1845" spans="1:5" x14ac:dyDescent="0.25">
      <c r="A1845">
        <v>1</v>
      </c>
      <c r="B1845">
        <v>39</v>
      </c>
      <c r="C1845">
        <v>4</v>
      </c>
      <c r="D1845">
        <v>4</v>
      </c>
      <c r="E1845">
        <f t="shared" si="28"/>
        <v>1.679216347670735E-3</v>
      </c>
    </row>
    <row r="1846" spans="1:5" x14ac:dyDescent="0.25">
      <c r="A1846">
        <v>1</v>
      </c>
      <c r="B1846">
        <v>39</v>
      </c>
      <c r="C1846">
        <v>5</v>
      </c>
      <c r="D1846">
        <v>3</v>
      </c>
      <c r="E1846">
        <f t="shared" si="28"/>
        <v>3.7248071711969023E-3</v>
      </c>
    </row>
    <row r="1847" spans="1:5" x14ac:dyDescent="0.25">
      <c r="A1847">
        <v>1</v>
      </c>
      <c r="B1847">
        <v>39</v>
      </c>
      <c r="C1847">
        <v>6</v>
      </c>
      <c r="D1847">
        <v>2</v>
      </c>
      <c r="E1847">
        <f t="shared" si="28"/>
        <v>4.858444136343786E-3</v>
      </c>
    </row>
    <row r="1848" spans="1:5" x14ac:dyDescent="0.25">
      <c r="A1848">
        <v>1</v>
      </c>
      <c r="B1848">
        <v>39</v>
      </c>
      <c r="C1848">
        <v>7</v>
      </c>
      <c r="D1848">
        <v>1</v>
      </c>
      <c r="E1848">
        <f t="shared" si="28"/>
        <v>3.4124786195748012E-3</v>
      </c>
    </row>
    <row r="1849" spans="1:5" x14ac:dyDescent="0.25">
      <c r="A1849">
        <v>1</v>
      </c>
      <c r="B1849">
        <v>39</v>
      </c>
      <c r="C1849">
        <v>8</v>
      </c>
      <c r="D1849">
        <v>0</v>
      </c>
      <c r="E1849">
        <f t="shared" si="28"/>
        <v>9.8961879967669275E-4</v>
      </c>
    </row>
    <row r="1850" spans="1:5" x14ac:dyDescent="0.25">
      <c r="A1850">
        <v>1</v>
      </c>
      <c r="B1850">
        <v>40</v>
      </c>
      <c r="C1850">
        <v>0</v>
      </c>
      <c r="D1850">
        <v>7</v>
      </c>
      <c r="E1850">
        <f t="shared" si="28"/>
        <v>5.8905512609565158E-7</v>
      </c>
    </row>
    <row r="1851" spans="1:5" x14ac:dyDescent="0.25">
      <c r="A1851">
        <v>1</v>
      </c>
      <c r="B1851">
        <v>40</v>
      </c>
      <c r="C1851">
        <v>1</v>
      </c>
      <c r="D1851">
        <v>6</v>
      </c>
      <c r="E1851">
        <f t="shared" si="28"/>
        <v>1.4106320124922175E-5</v>
      </c>
    </row>
    <row r="1852" spans="1:5" x14ac:dyDescent="0.25">
      <c r="A1852">
        <v>1</v>
      </c>
      <c r="B1852">
        <v>40</v>
      </c>
      <c r="C1852">
        <v>2</v>
      </c>
      <c r="D1852">
        <v>5</v>
      </c>
      <c r="E1852">
        <f t="shared" si="28"/>
        <v>1.3542067319925288E-4</v>
      </c>
    </row>
    <row r="1853" spans="1:5" x14ac:dyDescent="0.25">
      <c r="A1853">
        <v>1</v>
      </c>
      <c r="B1853">
        <v>40</v>
      </c>
      <c r="C1853">
        <v>3</v>
      </c>
      <c r="D1853">
        <v>4</v>
      </c>
      <c r="E1853">
        <f t="shared" si="28"/>
        <v>6.7710336599626473E-4</v>
      </c>
    </row>
    <row r="1854" spans="1:5" x14ac:dyDescent="0.25">
      <c r="A1854">
        <v>1</v>
      </c>
      <c r="B1854">
        <v>40</v>
      </c>
      <c r="C1854">
        <v>4</v>
      </c>
      <c r="D1854">
        <v>3</v>
      </c>
      <c r="E1854">
        <f t="shared" si="28"/>
        <v>1.9082003950803821E-3</v>
      </c>
    </row>
    <row r="1855" spans="1:5" x14ac:dyDescent="0.25">
      <c r="A1855">
        <v>1</v>
      </c>
      <c r="B1855">
        <v>40</v>
      </c>
      <c r="C1855">
        <v>5</v>
      </c>
      <c r="D1855">
        <v>2</v>
      </c>
      <c r="E1855">
        <f t="shared" si="28"/>
        <v>3.0365275852148686E-3</v>
      </c>
    </row>
    <row r="1856" spans="1:5" x14ac:dyDescent="0.25">
      <c r="A1856">
        <v>1</v>
      </c>
      <c r="B1856">
        <v>40</v>
      </c>
      <c r="C1856">
        <v>6</v>
      </c>
      <c r="D1856">
        <v>1</v>
      </c>
      <c r="E1856">
        <f t="shared" si="28"/>
        <v>2.5304396543457237E-3</v>
      </c>
    </row>
    <row r="1857" spans="1:5" x14ac:dyDescent="0.25">
      <c r="A1857">
        <v>1</v>
      </c>
      <c r="B1857">
        <v>40</v>
      </c>
      <c r="C1857">
        <v>7</v>
      </c>
      <c r="D1857">
        <v>0</v>
      </c>
      <c r="E1857">
        <f t="shared" si="28"/>
        <v>8.5311965489370117E-4</v>
      </c>
    </row>
    <row r="1858" spans="1:5" x14ac:dyDescent="0.25">
      <c r="A1858">
        <v>1</v>
      </c>
      <c r="B1858">
        <v>41</v>
      </c>
      <c r="C1858">
        <v>0</v>
      </c>
      <c r="D1858">
        <v>6</v>
      </c>
      <c r="E1858">
        <f t="shared" si="28"/>
        <v>1.318001392534941E-6</v>
      </c>
    </row>
    <row r="1859" spans="1:5" x14ac:dyDescent="0.25">
      <c r="A1859">
        <v>1</v>
      </c>
      <c r="B1859">
        <v>41</v>
      </c>
      <c r="C1859">
        <v>1</v>
      </c>
      <c r="D1859">
        <v>5</v>
      </c>
      <c r="E1859">
        <f t="shared" si="28"/>
        <v>2.5701027154431349E-5</v>
      </c>
    </row>
    <row r="1860" spans="1:5" x14ac:dyDescent="0.25">
      <c r="A1860">
        <v>1</v>
      </c>
      <c r="B1860">
        <v>41</v>
      </c>
      <c r="C1860">
        <v>2</v>
      </c>
      <c r="D1860">
        <v>4</v>
      </c>
      <c r="E1860">
        <f t="shared" si="28"/>
        <v>1.9581734974804843E-4</v>
      </c>
    </row>
    <row r="1861" spans="1:5" x14ac:dyDescent="0.25">
      <c r="A1861">
        <v>1</v>
      </c>
      <c r="B1861">
        <v>41</v>
      </c>
      <c r="C1861">
        <v>3</v>
      </c>
      <c r="D1861">
        <v>3</v>
      </c>
      <c r="E1861">
        <f t="shared" si="28"/>
        <v>7.476662444925483E-4</v>
      </c>
    </row>
    <row r="1862" spans="1:5" x14ac:dyDescent="0.25">
      <c r="A1862">
        <v>1</v>
      </c>
      <c r="B1862">
        <v>41</v>
      </c>
      <c r="C1862">
        <v>4</v>
      </c>
      <c r="D1862">
        <v>2</v>
      </c>
      <c r="E1862">
        <f t="shared" si="28"/>
        <v>1.5115861029958043E-3</v>
      </c>
    </row>
    <row r="1863" spans="1:5" x14ac:dyDescent="0.25">
      <c r="A1863">
        <v>1</v>
      </c>
      <c r="B1863">
        <v>41</v>
      </c>
      <c r="C1863">
        <v>5</v>
      </c>
      <c r="D1863">
        <v>1</v>
      </c>
      <c r="E1863">
        <f t="shared" si="28"/>
        <v>1.5367792047124014E-3</v>
      </c>
    </row>
    <row r="1864" spans="1:5" x14ac:dyDescent="0.25">
      <c r="A1864">
        <v>1</v>
      </c>
      <c r="B1864">
        <v>41</v>
      </c>
      <c r="C1864">
        <v>6</v>
      </c>
      <c r="D1864">
        <v>0</v>
      </c>
      <c r="E1864">
        <f t="shared" si="28"/>
        <v>6.1471168188496038E-4</v>
      </c>
    </row>
    <row r="1865" spans="1:5" x14ac:dyDescent="0.25">
      <c r="A1865">
        <v>1</v>
      </c>
      <c r="B1865">
        <v>42</v>
      </c>
      <c r="C1865">
        <v>0</v>
      </c>
      <c r="D1865">
        <v>5</v>
      </c>
      <c r="E1865">
        <f t="shared" si="28"/>
        <v>2.3347453239190388E-6</v>
      </c>
    </row>
    <row r="1866" spans="1:5" x14ac:dyDescent="0.25">
      <c r="A1866">
        <v>1</v>
      </c>
      <c r="B1866">
        <v>42</v>
      </c>
      <c r="C1866">
        <v>1</v>
      </c>
      <c r="D1866">
        <v>4</v>
      </c>
      <c r="E1866">
        <f t="shared" si="28"/>
        <v>3.6132963346366077E-5</v>
      </c>
    </row>
    <row r="1867" spans="1:5" x14ac:dyDescent="0.25">
      <c r="A1867">
        <v>1</v>
      </c>
      <c r="B1867">
        <v>42</v>
      </c>
      <c r="C1867">
        <v>2</v>
      </c>
      <c r="D1867">
        <v>3</v>
      </c>
      <c r="E1867">
        <f t="shared" si="28"/>
        <v>2.1022815037885715E-4</v>
      </c>
    </row>
    <row r="1868" spans="1:5" x14ac:dyDescent="0.25">
      <c r="A1868">
        <v>1</v>
      </c>
      <c r="B1868">
        <v>42</v>
      </c>
      <c r="C1868">
        <v>3</v>
      </c>
      <c r="D1868">
        <v>2</v>
      </c>
      <c r="E1868">
        <f t="shared" si="28"/>
        <v>5.7584232495078267E-4</v>
      </c>
    </row>
    <row r="1869" spans="1:5" x14ac:dyDescent="0.25">
      <c r="A1869">
        <v>1</v>
      </c>
      <c r="B1869">
        <v>42</v>
      </c>
      <c r="C1869">
        <v>4</v>
      </c>
      <c r="D1869">
        <v>1</v>
      </c>
      <c r="E1869">
        <f t="shared" si="28"/>
        <v>7.4379633639476102E-4</v>
      </c>
    </row>
    <row r="1870" spans="1:5" x14ac:dyDescent="0.25">
      <c r="A1870">
        <v>1</v>
      </c>
      <c r="B1870">
        <v>42</v>
      </c>
      <c r="C1870">
        <v>5</v>
      </c>
      <c r="D1870">
        <v>0</v>
      </c>
      <c r="E1870">
        <f t="shared" ref="E1870:E1933" si="29">COMBIN(A$4,A1870)*COMBIN(B$4,B1870)*COMBIN(C$4,C1870)*COMBIN(D$4,D1870)/COMBIN($G$4,$F$4)</f>
        <v>3.6297261216064339E-4</v>
      </c>
    </row>
    <row r="1871" spans="1:5" x14ac:dyDescent="0.25">
      <c r="A1871">
        <v>1</v>
      </c>
      <c r="B1871">
        <v>43</v>
      </c>
      <c r="C1871">
        <v>0</v>
      </c>
      <c r="D1871">
        <v>4</v>
      </c>
      <c r="E1871">
        <f t="shared" si="29"/>
        <v>3.1931455980509571E-6</v>
      </c>
    </row>
    <row r="1872" spans="1:5" x14ac:dyDescent="0.25">
      <c r="A1872">
        <v>1</v>
      </c>
      <c r="B1872">
        <v>43</v>
      </c>
      <c r="C1872">
        <v>1</v>
      </c>
      <c r="D1872">
        <v>3</v>
      </c>
      <c r="E1872">
        <f t="shared" si="29"/>
        <v>3.7737175249693129E-5</v>
      </c>
    </row>
    <row r="1873" spans="1:5" x14ac:dyDescent="0.25">
      <c r="A1873">
        <v>1</v>
      </c>
      <c r="B1873">
        <v>43</v>
      </c>
      <c r="C1873">
        <v>2</v>
      </c>
      <c r="D1873">
        <v>2</v>
      </c>
      <c r="E1873">
        <f t="shared" si="29"/>
        <v>1.5751168799871913E-4</v>
      </c>
    </row>
    <row r="1874" spans="1:5" x14ac:dyDescent="0.25">
      <c r="A1874">
        <v>1</v>
      </c>
      <c r="B1874">
        <v>43</v>
      </c>
      <c r="C1874">
        <v>3</v>
      </c>
      <c r="D1874">
        <v>1</v>
      </c>
      <c r="E1874">
        <f t="shared" si="29"/>
        <v>2.7564545399775853E-4</v>
      </c>
    </row>
    <row r="1875" spans="1:5" x14ac:dyDescent="0.25">
      <c r="A1875">
        <v>1</v>
      </c>
      <c r="B1875">
        <v>43</v>
      </c>
      <c r="C1875">
        <v>4</v>
      </c>
      <c r="D1875">
        <v>0</v>
      </c>
      <c r="E1875">
        <f t="shared" si="29"/>
        <v>1.7090018147861025E-4</v>
      </c>
    </row>
    <row r="1876" spans="1:5" x14ac:dyDescent="0.25">
      <c r="A1876">
        <v>1</v>
      </c>
      <c r="B1876">
        <v>44</v>
      </c>
      <c r="C1876">
        <v>0</v>
      </c>
      <c r="D1876">
        <v>3</v>
      </c>
      <c r="E1876">
        <f t="shared" si="29"/>
        <v>3.2459248641344429E-6</v>
      </c>
    </row>
    <row r="1877" spans="1:5" x14ac:dyDescent="0.25">
      <c r="A1877">
        <v>1</v>
      </c>
      <c r="B1877">
        <v>44</v>
      </c>
      <c r="C1877">
        <v>1</v>
      </c>
      <c r="D1877">
        <v>2</v>
      </c>
      <c r="E1877">
        <f t="shared" si="29"/>
        <v>2.7519797761139841E-5</v>
      </c>
    </row>
    <row r="1878" spans="1:5" x14ac:dyDescent="0.25">
      <c r="A1878">
        <v>1</v>
      </c>
      <c r="B1878">
        <v>44</v>
      </c>
      <c r="C1878">
        <v>2</v>
      </c>
      <c r="D1878">
        <v>1</v>
      </c>
      <c r="E1878">
        <f t="shared" si="29"/>
        <v>7.3386127363039581E-5</v>
      </c>
    </row>
    <row r="1879" spans="1:5" x14ac:dyDescent="0.25">
      <c r="A1879">
        <v>1</v>
      </c>
      <c r="B1879">
        <v>44</v>
      </c>
      <c r="C1879">
        <v>3</v>
      </c>
      <c r="D1879">
        <v>0</v>
      </c>
      <c r="E1879">
        <f t="shared" si="29"/>
        <v>6.1644346984953243E-5</v>
      </c>
    </row>
    <row r="1880" spans="1:5" x14ac:dyDescent="0.25">
      <c r="A1880">
        <v>1</v>
      </c>
      <c r="B1880">
        <v>45</v>
      </c>
      <c r="C1880">
        <v>0</v>
      </c>
      <c r="D1880">
        <v>2</v>
      </c>
      <c r="E1880">
        <f t="shared" si="29"/>
        <v>2.3050770774288078E-6</v>
      </c>
    </row>
    <row r="1881" spans="1:5" x14ac:dyDescent="0.25">
      <c r="A1881">
        <v>1</v>
      </c>
      <c r="B1881">
        <v>45</v>
      </c>
      <c r="C1881">
        <v>1</v>
      </c>
      <c r="D1881">
        <v>1</v>
      </c>
      <c r="E1881">
        <f t="shared" si="29"/>
        <v>1.248583416940604E-5</v>
      </c>
    </row>
    <row r="1882" spans="1:5" x14ac:dyDescent="0.25">
      <c r="A1882">
        <v>1</v>
      </c>
      <c r="B1882">
        <v>45</v>
      </c>
      <c r="C1882">
        <v>2</v>
      </c>
      <c r="D1882">
        <v>0</v>
      </c>
      <c r="E1882">
        <f t="shared" si="29"/>
        <v>1.5981867736839734E-5</v>
      </c>
    </row>
    <row r="1883" spans="1:5" x14ac:dyDescent="0.25">
      <c r="A1883">
        <v>1</v>
      </c>
      <c r="B1883">
        <v>46</v>
      </c>
      <c r="C1883">
        <v>0</v>
      </c>
      <c r="D1883">
        <v>1</v>
      </c>
      <c r="E1883">
        <f t="shared" si="29"/>
        <v>1.0189108820518642E-6</v>
      </c>
    </row>
    <row r="1884" spans="1:5" x14ac:dyDescent="0.25">
      <c r="A1884">
        <v>1</v>
      </c>
      <c r="B1884">
        <v>46</v>
      </c>
      <c r="C1884">
        <v>1</v>
      </c>
      <c r="D1884">
        <v>0</v>
      </c>
      <c r="E1884">
        <f t="shared" si="29"/>
        <v>2.6491682933348474E-6</v>
      </c>
    </row>
    <row r="1885" spans="1:5" x14ac:dyDescent="0.25">
      <c r="A1885">
        <v>1</v>
      </c>
      <c r="B1885">
        <v>47</v>
      </c>
      <c r="C1885">
        <v>0</v>
      </c>
      <c r="D1885">
        <v>0</v>
      </c>
      <c r="E1885">
        <f t="shared" si="29"/>
        <v>2.1071944199030053E-7</v>
      </c>
    </row>
    <row r="1886" spans="1:5" x14ac:dyDescent="0.25">
      <c r="A1886">
        <v>2</v>
      </c>
      <c r="B1886">
        <v>0</v>
      </c>
      <c r="C1886">
        <v>21</v>
      </c>
      <c r="D1886">
        <v>25</v>
      </c>
      <c r="E1886">
        <f t="shared" si="29"/>
        <v>3.775069020257741E-44</v>
      </c>
    </row>
    <row r="1887" spans="1:5" x14ac:dyDescent="0.25">
      <c r="A1887">
        <v>2</v>
      </c>
      <c r="B1887">
        <v>0</v>
      </c>
      <c r="C1887">
        <v>22</v>
      </c>
      <c r="D1887">
        <v>24</v>
      </c>
      <c r="E1887">
        <f t="shared" si="29"/>
        <v>1.8875345101288719E-42</v>
      </c>
    </row>
    <row r="1888" spans="1:5" x14ac:dyDescent="0.25">
      <c r="A1888">
        <v>2</v>
      </c>
      <c r="B1888">
        <v>0</v>
      </c>
      <c r="C1888">
        <v>23</v>
      </c>
      <c r="D1888">
        <v>23</v>
      </c>
      <c r="E1888">
        <f t="shared" si="29"/>
        <v>4.2346426401152063E-41</v>
      </c>
    </row>
    <row r="1889" spans="1:5" x14ac:dyDescent="0.25">
      <c r="A1889">
        <v>2</v>
      </c>
      <c r="B1889">
        <v>0</v>
      </c>
      <c r="C1889">
        <v>24</v>
      </c>
      <c r="D1889">
        <v>22</v>
      </c>
      <c r="E1889">
        <f t="shared" si="29"/>
        <v>5.6814788754879024E-40</v>
      </c>
    </row>
    <row r="1890" spans="1:5" x14ac:dyDescent="0.25">
      <c r="A1890">
        <v>2</v>
      </c>
      <c r="B1890">
        <v>0</v>
      </c>
      <c r="C1890">
        <v>25</v>
      </c>
      <c r="D1890">
        <v>21</v>
      </c>
      <c r="E1890">
        <f t="shared" si="29"/>
        <v>5.124693945690091E-39</v>
      </c>
    </row>
    <row r="1891" spans="1:5" x14ac:dyDescent="0.25">
      <c r="A1891">
        <v>2</v>
      </c>
      <c r="B1891">
        <v>0</v>
      </c>
      <c r="C1891">
        <v>26</v>
      </c>
      <c r="D1891">
        <v>20</v>
      </c>
      <c r="E1891">
        <f t="shared" si="29"/>
        <v>3.3113407033689788E-38</v>
      </c>
    </row>
    <row r="1892" spans="1:5" x14ac:dyDescent="0.25">
      <c r="A1892">
        <v>2</v>
      </c>
      <c r="B1892">
        <v>0</v>
      </c>
      <c r="C1892">
        <v>27</v>
      </c>
      <c r="D1892">
        <v>19</v>
      </c>
      <c r="E1892">
        <f t="shared" si="29"/>
        <v>1.5943492275480268E-37</v>
      </c>
    </row>
    <row r="1893" spans="1:5" x14ac:dyDescent="0.25">
      <c r="A1893">
        <v>2</v>
      </c>
      <c r="B1893">
        <v>0</v>
      </c>
      <c r="C1893">
        <v>28</v>
      </c>
      <c r="D1893">
        <v>18</v>
      </c>
      <c r="E1893">
        <f t="shared" si="29"/>
        <v>5.8730619504575295E-37</v>
      </c>
    </row>
    <row r="1894" spans="1:5" x14ac:dyDescent="0.25">
      <c r="A1894">
        <v>2</v>
      </c>
      <c r="B1894">
        <v>0</v>
      </c>
      <c r="C1894">
        <v>29</v>
      </c>
      <c r="D1894">
        <v>17</v>
      </c>
      <c r="E1894">
        <f t="shared" si="29"/>
        <v>1.6859738185365147E-36</v>
      </c>
    </row>
    <row r="1895" spans="1:5" x14ac:dyDescent="0.25">
      <c r="A1895">
        <v>2</v>
      </c>
      <c r="B1895">
        <v>0</v>
      </c>
      <c r="C1895">
        <v>30</v>
      </c>
      <c r="D1895">
        <v>16</v>
      </c>
      <c r="E1895">
        <f t="shared" si="29"/>
        <v>3.8215406553494333E-36</v>
      </c>
    </row>
    <row r="1896" spans="1:5" x14ac:dyDescent="0.25">
      <c r="A1896">
        <v>2</v>
      </c>
      <c r="B1896">
        <v>0</v>
      </c>
      <c r="C1896">
        <v>31</v>
      </c>
      <c r="D1896">
        <v>15</v>
      </c>
      <c r="E1896">
        <f t="shared" si="29"/>
        <v>6.9034282806312349E-36</v>
      </c>
    </row>
    <row r="1897" spans="1:5" x14ac:dyDescent="0.25">
      <c r="A1897">
        <v>2</v>
      </c>
      <c r="B1897">
        <v>0</v>
      </c>
      <c r="C1897">
        <v>32</v>
      </c>
      <c r="D1897">
        <v>14</v>
      </c>
      <c r="E1897">
        <f t="shared" si="29"/>
        <v>1.0002126202050934E-35</v>
      </c>
    </row>
    <row r="1898" spans="1:5" x14ac:dyDescent="0.25">
      <c r="A1898">
        <v>2</v>
      </c>
      <c r="B1898">
        <v>0</v>
      </c>
      <c r="C1898">
        <v>33</v>
      </c>
      <c r="D1898">
        <v>13</v>
      </c>
      <c r="E1898">
        <f t="shared" si="29"/>
        <v>1.1669147235726094E-35</v>
      </c>
    </row>
    <row r="1899" spans="1:5" x14ac:dyDescent="0.25">
      <c r="A1899">
        <v>2</v>
      </c>
      <c r="B1899">
        <v>0</v>
      </c>
      <c r="C1899">
        <v>34</v>
      </c>
      <c r="D1899">
        <v>12</v>
      </c>
      <c r="E1899">
        <f t="shared" si="29"/>
        <v>1.0982726810095149E-35</v>
      </c>
    </row>
    <row r="1900" spans="1:5" x14ac:dyDescent="0.25">
      <c r="A1900">
        <v>2</v>
      </c>
      <c r="B1900">
        <v>0</v>
      </c>
      <c r="C1900">
        <v>35</v>
      </c>
      <c r="D1900">
        <v>11</v>
      </c>
      <c r="E1900">
        <f t="shared" si="29"/>
        <v>8.3379068843987649E-36</v>
      </c>
    </row>
    <row r="1901" spans="1:5" x14ac:dyDescent="0.25">
      <c r="A1901">
        <v>2</v>
      </c>
      <c r="B1901">
        <v>0</v>
      </c>
      <c r="C1901">
        <v>36</v>
      </c>
      <c r="D1901">
        <v>10</v>
      </c>
      <c r="E1901">
        <f t="shared" si="29"/>
        <v>5.0953875404659116E-36</v>
      </c>
    </row>
    <row r="1902" spans="1:5" x14ac:dyDescent="0.25">
      <c r="A1902">
        <v>2</v>
      </c>
      <c r="B1902">
        <v>0</v>
      </c>
      <c r="C1902">
        <v>37</v>
      </c>
      <c r="D1902">
        <v>9</v>
      </c>
      <c r="E1902">
        <f t="shared" si="29"/>
        <v>2.4960513289444495E-36</v>
      </c>
    </row>
    <row r="1903" spans="1:5" x14ac:dyDescent="0.25">
      <c r="A1903">
        <v>2</v>
      </c>
      <c r="B1903">
        <v>0</v>
      </c>
      <c r="C1903">
        <v>38</v>
      </c>
      <c r="D1903">
        <v>8</v>
      </c>
      <c r="E1903">
        <f t="shared" si="29"/>
        <v>9.7369184968111657E-37</v>
      </c>
    </row>
    <row r="1904" spans="1:5" x14ac:dyDescent="0.25">
      <c r="A1904">
        <v>2</v>
      </c>
      <c r="B1904">
        <v>0</v>
      </c>
      <c r="C1904">
        <v>39</v>
      </c>
      <c r="D1904">
        <v>7</v>
      </c>
      <c r="E1904">
        <f t="shared" si="29"/>
        <v>2.9959749220957438E-37</v>
      </c>
    </row>
    <row r="1905" spans="1:5" x14ac:dyDescent="0.25">
      <c r="A1905">
        <v>2</v>
      </c>
      <c r="B1905">
        <v>0</v>
      </c>
      <c r="C1905">
        <v>40</v>
      </c>
      <c r="D1905">
        <v>6</v>
      </c>
      <c r="E1905">
        <f t="shared" si="29"/>
        <v>7.1745715239661245E-38</v>
      </c>
    </row>
    <row r="1906" spans="1:5" x14ac:dyDescent="0.25">
      <c r="A1906">
        <v>2</v>
      </c>
      <c r="B1906">
        <v>0</v>
      </c>
      <c r="C1906">
        <v>41</v>
      </c>
      <c r="D1906">
        <v>5</v>
      </c>
      <c r="E1906">
        <f t="shared" si="29"/>
        <v>1.3124216202377053E-38</v>
      </c>
    </row>
    <row r="1907" spans="1:5" x14ac:dyDescent="0.25">
      <c r="A1907">
        <v>2</v>
      </c>
      <c r="B1907">
        <v>0</v>
      </c>
      <c r="C1907">
        <v>42</v>
      </c>
      <c r="D1907">
        <v>4</v>
      </c>
      <c r="E1907">
        <f t="shared" si="29"/>
        <v>1.7856076465819122E-39</v>
      </c>
    </row>
    <row r="1908" spans="1:5" x14ac:dyDescent="0.25">
      <c r="A1908">
        <v>2</v>
      </c>
      <c r="B1908">
        <v>0</v>
      </c>
      <c r="C1908">
        <v>43</v>
      </c>
      <c r="D1908">
        <v>3</v>
      </c>
      <c r="E1908">
        <f t="shared" si="29"/>
        <v>1.736531749318562E-40</v>
      </c>
    </row>
    <row r="1909" spans="1:5" x14ac:dyDescent="0.25">
      <c r="A1909">
        <v>2</v>
      </c>
      <c r="B1909">
        <v>0</v>
      </c>
      <c r="C1909">
        <v>44</v>
      </c>
      <c r="D1909">
        <v>2</v>
      </c>
      <c r="E1909">
        <f t="shared" si="29"/>
        <v>1.1325207060773224E-41</v>
      </c>
    </row>
    <row r="1910" spans="1:5" x14ac:dyDescent="0.25">
      <c r="A1910">
        <v>2</v>
      </c>
      <c r="B1910">
        <v>0</v>
      </c>
      <c r="C1910">
        <v>45</v>
      </c>
      <c r="D1910">
        <v>1</v>
      </c>
      <c r="E1910">
        <f t="shared" si="29"/>
        <v>4.4042471903007037E-43</v>
      </c>
    </row>
    <row r="1911" spans="1:5" x14ac:dyDescent="0.25">
      <c r="A1911">
        <v>2</v>
      </c>
      <c r="B1911">
        <v>0</v>
      </c>
      <c r="C1911">
        <v>46</v>
      </c>
      <c r="D1911">
        <v>0</v>
      </c>
      <c r="E1911">
        <f t="shared" si="29"/>
        <v>7.6595603309577381E-45</v>
      </c>
    </row>
    <row r="1912" spans="1:5" x14ac:dyDescent="0.25">
      <c r="A1912">
        <v>2</v>
      </c>
      <c r="B1912">
        <v>1</v>
      </c>
      <c r="C1912">
        <v>20</v>
      </c>
      <c r="D1912">
        <v>25</v>
      </c>
      <c r="E1912">
        <f t="shared" si="29"/>
        <v>5.0913097519876129E-42</v>
      </c>
    </row>
    <row r="1913" spans="1:5" x14ac:dyDescent="0.25">
      <c r="A1913">
        <v>2</v>
      </c>
      <c r="B1913">
        <v>1</v>
      </c>
      <c r="C1913">
        <v>21</v>
      </c>
      <c r="D1913">
        <v>24</v>
      </c>
      <c r="E1913">
        <f t="shared" si="29"/>
        <v>2.7274873671362179E-40</v>
      </c>
    </row>
    <row r="1914" spans="1:5" x14ac:dyDescent="0.25">
      <c r="A1914">
        <v>2</v>
      </c>
      <c r="B1914">
        <v>1</v>
      </c>
      <c r="C1914">
        <v>22</v>
      </c>
      <c r="D1914">
        <v>23</v>
      </c>
      <c r="E1914">
        <f t="shared" si="29"/>
        <v>6.545969681126927E-39</v>
      </c>
    </row>
    <row r="1915" spans="1:5" x14ac:dyDescent="0.25">
      <c r="A1915">
        <v>2</v>
      </c>
      <c r="B1915">
        <v>1</v>
      </c>
      <c r="C1915">
        <v>23</v>
      </c>
      <c r="D1915">
        <v>22</v>
      </c>
      <c r="E1915">
        <f t="shared" si="29"/>
        <v>9.3825565429485922E-38</v>
      </c>
    </row>
    <row r="1916" spans="1:5" x14ac:dyDescent="0.25">
      <c r="A1916">
        <v>2</v>
      </c>
      <c r="B1916">
        <v>1</v>
      </c>
      <c r="C1916">
        <v>24</v>
      </c>
      <c r="D1916">
        <v>21</v>
      </c>
      <c r="E1916">
        <f t="shared" si="29"/>
        <v>9.0307106725880213E-37</v>
      </c>
    </row>
    <row r="1917" spans="1:5" x14ac:dyDescent="0.25">
      <c r="A1917">
        <v>2</v>
      </c>
      <c r="B1917">
        <v>1</v>
      </c>
      <c r="C1917">
        <v>25</v>
      </c>
      <c r="D1917">
        <v>20</v>
      </c>
      <c r="E1917">
        <f t="shared" si="29"/>
        <v>6.2203535112786308E-36</v>
      </c>
    </row>
    <row r="1918" spans="1:5" x14ac:dyDescent="0.25">
      <c r="A1918">
        <v>2</v>
      </c>
      <c r="B1918">
        <v>1</v>
      </c>
      <c r="C1918">
        <v>26</v>
      </c>
      <c r="D1918">
        <v>19</v>
      </c>
      <c r="E1918">
        <f t="shared" si="29"/>
        <v>3.1899248775787823E-35</v>
      </c>
    </row>
    <row r="1919" spans="1:5" x14ac:dyDescent="0.25">
      <c r="A1919">
        <v>2</v>
      </c>
      <c r="B1919">
        <v>1</v>
      </c>
      <c r="C1919">
        <v>27</v>
      </c>
      <c r="D1919">
        <v>18</v>
      </c>
      <c r="E1919">
        <f t="shared" si="29"/>
        <v>1.2506530869237456E-34</v>
      </c>
    </row>
    <row r="1920" spans="1:5" x14ac:dyDescent="0.25">
      <c r="A1920">
        <v>2</v>
      </c>
      <c r="B1920">
        <v>1</v>
      </c>
      <c r="C1920">
        <v>28</v>
      </c>
      <c r="D1920">
        <v>17</v>
      </c>
      <c r="E1920">
        <f t="shared" si="29"/>
        <v>3.8189585332850083E-34</v>
      </c>
    </row>
    <row r="1921" spans="1:5" x14ac:dyDescent="0.25">
      <c r="A1921">
        <v>2</v>
      </c>
      <c r="B1921">
        <v>1</v>
      </c>
      <c r="C1921">
        <v>29</v>
      </c>
      <c r="D1921">
        <v>16</v>
      </c>
      <c r="E1921">
        <f t="shared" si="29"/>
        <v>9.2035437449665532E-34</v>
      </c>
    </row>
    <row r="1922" spans="1:5" x14ac:dyDescent="0.25">
      <c r="A1922">
        <v>2</v>
      </c>
      <c r="B1922">
        <v>1</v>
      </c>
      <c r="C1922">
        <v>30</v>
      </c>
      <c r="D1922">
        <v>15</v>
      </c>
      <c r="E1922">
        <f t="shared" si="29"/>
        <v>1.7670803990335776E-33</v>
      </c>
    </row>
    <row r="1923" spans="1:5" x14ac:dyDescent="0.25">
      <c r="A1923">
        <v>2</v>
      </c>
      <c r="B1923">
        <v>1</v>
      </c>
      <c r="C1923">
        <v>31</v>
      </c>
      <c r="D1923">
        <v>14</v>
      </c>
      <c r="E1923">
        <f t="shared" si="29"/>
        <v>2.7205783269578549E-33</v>
      </c>
    </row>
    <row r="1924" spans="1:5" x14ac:dyDescent="0.25">
      <c r="A1924">
        <v>2</v>
      </c>
      <c r="B1924">
        <v>1</v>
      </c>
      <c r="C1924">
        <v>32</v>
      </c>
      <c r="D1924">
        <v>13</v>
      </c>
      <c r="E1924">
        <f t="shared" si="29"/>
        <v>3.3723835511248411E-33</v>
      </c>
    </row>
    <row r="1925" spans="1:5" x14ac:dyDescent="0.25">
      <c r="A1925">
        <v>2</v>
      </c>
      <c r="B1925">
        <v>1</v>
      </c>
      <c r="C1925">
        <v>33</v>
      </c>
      <c r="D1925">
        <v>12</v>
      </c>
      <c r="E1925">
        <f t="shared" si="29"/>
        <v>3.3723835511248411E-33</v>
      </c>
    </row>
    <row r="1926" spans="1:5" x14ac:dyDescent="0.25">
      <c r="A1926">
        <v>2</v>
      </c>
      <c r="B1926">
        <v>1</v>
      </c>
      <c r="C1926">
        <v>34</v>
      </c>
      <c r="D1926">
        <v>11</v>
      </c>
      <c r="E1926">
        <f t="shared" si="29"/>
        <v>2.7205783269578549E-33</v>
      </c>
    </row>
    <row r="1927" spans="1:5" x14ac:dyDescent="0.25">
      <c r="A1927">
        <v>2</v>
      </c>
      <c r="B1927">
        <v>1</v>
      </c>
      <c r="C1927">
        <v>35</v>
      </c>
      <c r="D1927">
        <v>10</v>
      </c>
      <c r="E1927">
        <f t="shared" si="29"/>
        <v>1.7670803990335776E-33</v>
      </c>
    </row>
    <row r="1928" spans="1:5" x14ac:dyDescent="0.25">
      <c r="A1928">
        <v>2</v>
      </c>
      <c r="B1928">
        <v>1</v>
      </c>
      <c r="C1928">
        <v>36</v>
      </c>
      <c r="D1928">
        <v>9</v>
      </c>
      <c r="E1928">
        <f t="shared" si="29"/>
        <v>9.2035437449665532E-34</v>
      </c>
    </row>
    <row r="1929" spans="1:5" x14ac:dyDescent="0.25">
      <c r="A1929">
        <v>2</v>
      </c>
      <c r="B1929">
        <v>1</v>
      </c>
      <c r="C1929">
        <v>37</v>
      </c>
      <c r="D1929">
        <v>8</v>
      </c>
      <c r="E1929">
        <f t="shared" si="29"/>
        <v>3.8189585332850083E-34</v>
      </c>
    </row>
    <row r="1930" spans="1:5" x14ac:dyDescent="0.25">
      <c r="A1930">
        <v>2</v>
      </c>
      <c r="B1930">
        <v>1</v>
      </c>
      <c r="C1930">
        <v>38</v>
      </c>
      <c r="D1930">
        <v>7</v>
      </c>
      <c r="E1930">
        <f t="shared" si="29"/>
        <v>1.2506530869237456E-34</v>
      </c>
    </row>
    <row r="1931" spans="1:5" x14ac:dyDescent="0.25">
      <c r="A1931">
        <v>2</v>
      </c>
      <c r="B1931">
        <v>1</v>
      </c>
      <c r="C1931">
        <v>39</v>
      </c>
      <c r="D1931">
        <v>6</v>
      </c>
      <c r="E1931">
        <f t="shared" si="29"/>
        <v>3.1899248775787823E-35</v>
      </c>
    </row>
    <row r="1932" spans="1:5" x14ac:dyDescent="0.25">
      <c r="A1932">
        <v>2</v>
      </c>
      <c r="B1932">
        <v>1</v>
      </c>
      <c r="C1932">
        <v>40</v>
      </c>
      <c r="D1932">
        <v>5</v>
      </c>
      <c r="E1932">
        <f t="shared" si="29"/>
        <v>6.2203535112786308E-36</v>
      </c>
    </row>
    <row r="1933" spans="1:5" x14ac:dyDescent="0.25">
      <c r="A1933">
        <v>2</v>
      </c>
      <c r="B1933">
        <v>1</v>
      </c>
      <c r="C1933">
        <v>41</v>
      </c>
      <c r="D1933">
        <v>4</v>
      </c>
      <c r="E1933">
        <f t="shared" si="29"/>
        <v>9.0307106725880213E-37</v>
      </c>
    </row>
    <row r="1934" spans="1:5" x14ac:dyDescent="0.25">
      <c r="A1934">
        <v>2</v>
      </c>
      <c r="B1934">
        <v>1</v>
      </c>
      <c r="C1934">
        <v>42</v>
      </c>
      <c r="D1934">
        <v>3</v>
      </c>
      <c r="E1934">
        <f t="shared" ref="E1934:E1997" si="30">COMBIN(A$4,A1934)*COMBIN(B$4,B1934)*COMBIN(C$4,C1934)*COMBIN(D$4,D1934)/COMBIN($G$4,$F$4)</f>
        <v>9.3825565429485922E-38</v>
      </c>
    </row>
    <row r="1935" spans="1:5" x14ac:dyDescent="0.25">
      <c r="A1935">
        <v>2</v>
      </c>
      <c r="B1935">
        <v>1</v>
      </c>
      <c r="C1935">
        <v>43</v>
      </c>
      <c r="D1935">
        <v>2</v>
      </c>
      <c r="E1935">
        <f t="shared" si="30"/>
        <v>6.545969681126927E-39</v>
      </c>
    </row>
    <row r="1936" spans="1:5" x14ac:dyDescent="0.25">
      <c r="A1936">
        <v>2</v>
      </c>
      <c r="B1936">
        <v>1</v>
      </c>
      <c r="C1936">
        <v>44</v>
      </c>
      <c r="D1936">
        <v>1</v>
      </c>
      <c r="E1936">
        <f t="shared" si="30"/>
        <v>2.7274873671362179E-40</v>
      </c>
    </row>
    <row r="1937" spans="1:5" x14ac:dyDescent="0.25">
      <c r="A1937">
        <v>2</v>
      </c>
      <c r="B1937">
        <v>1</v>
      </c>
      <c r="C1937">
        <v>45</v>
      </c>
      <c r="D1937">
        <v>0</v>
      </c>
      <c r="E1937">
        <f t="shared" si="30"/>
        <v>5.0913097519876129E-42</v>
      </c>
    </row>
    <row r="1938" spans="1:5" x14ac:dyDescent="0.25">
      <c r="A1938">
        <v>2</v>
      </c>
      <c r="B1938">
        <v>2</v>
      </c>
      <c r="C1938">
        <v>19</v>
      </c>
      <c r="D1938">
        <v>25</v>
      </c>
      <c r="E1938">
        <f t="shared" si="30"/>
        <v>3.1876026273313721E-40</v>
      </c>
    </row>
    <row r="1939" spans="1:5" x14ac:dyDescent="0.25">
      <c r="A1939">
        <v>2</v>
      </c>
      <c r="B1939">
        <v>2</v>
      </c>
      <c r="C1939">
        <v>20</v>
      </c>
      <c r="D1939">
        <v>24</v>
      </c>
      <c r="E1939">
        <f t="shared" si="30"/>
        <v>1.8328715107155406E-38</v>
      </c>
    </row>
    <row r="1940" spans="1:5" x14ac:dyDescent="0.25">
      <c r="A1940">
        <v>2</v>
      </c>
      <c r="B1940">
        <v>2</v>
      </c>
      <c r="C1940">
        <v>21</v>
      </c>
      <c r="D1940">
        <v>23</v>
      </c>
      <c r="E1940">
        <f t="shared" si="30"/>
        <v>4.7130981704113849E-37</v>
      </c>
    </row>
    <row r="1941" spans="1:5" x14ac:dyDescent="0.25">
      <c r="A1941">
        <v>2</v>
      </c>
      <c r="B1941">
        <v>2</v>
      </c>
      <c r="C1941">
        <v>22</v>
      </c>
      <c r="D1941">
        <v>22</v>
      </c>
      <c r="E1941">
        <f t="shared" si="30"/>
        <v>7.2267505279641286E-36</v>
      </c>
    </row>
    <row r="1942" spans="1:5" x14ac:dyDescent="0.25">
      <c r="A1942">
        <v>2</v>
      </c>
      <c r="B1942">
        <v>2</v>
      </c>
      <c r="C1942">
        <v>23</v>
      </c>
      <c r="D1942">
        <v>21</v>
      </c>
      <c r="E1942">
        <f t="shared" si="30"/>
        <v>7.4309847820152866E-35</v>
      </c>
    </row>
    <row r="1943" spans="1:5" x14ac:dyDescent="0.25">
      <c r="A1943">
        <v>2</v>
      </c>
      <c r="B1943">
        <v>2</v>
      </c>
      <c r="C1943">
        <v>24</v>
      </c>
      <c r="D1943">
        <v>20</v>
      </c>
      <c r="E1943">
        <f t="shared" si="30"/>
        <v>5.4617738147812347E-34</v>
      </c>
    </row>
    <row r="1944" spans="1:5" x14ac:dyDescent="0.25">
      <c r="A1944">
        <v>2</v>
      </c>
      <c r="B1944">
        <v>2</v>
      </c>
      <c r="C1944">
        <v>25</v>
      </c>
      <c r="D1944">
        <v>19</v>
      </c>
      <c r="E1944">
        <f t="shared" si="30"/>
        <v>2.9857696854137421E-33</v>
      </c>
    </row>
    <row r="1945" spans="1:5" x14ac:dyDescent="0.25">
      <c r="A1945">
        <v>2</v>
      </c>
      <c r="B1945">
        <v>2</v>
      </c>
      <c r="C1945">
        <v>26</v>
      </c>
      <c r="D1945">
        <v>18</v>
      </c>
      <c r="E1945">
        <f t="shared" si="30"/>
        <v>1.2468049235793644E-32</v>
      </c>
    </row>
    <row r="1946" spans="1:5" x14ac:dyDescent="0.25">
      <c r="A1946">
        <v>2</v>
      </c>
      <c r="B1946">
        <v>2</v>
      </c>
      <c r="C1946">
        <v>27</v>
      </c>
      <c r="D1946">
        <v>17</v>
      </c>
      <c r="E1946">
        <f t="shared" si="30"/>
        <v>4.0521160016329341E-32</v>
      </c>
    </row>
    <row r="1947" spans="1:5" x14ac:dyDescent="0.25">
      <c r="A1947">
        <v>2</v>
      </c>
      <c r="B1947">
        <v>2</v>
      </c>
      <c r="C1947">
        <v>28</v>
      </c>
      <c r="D1947">
        <v>16</v>
      </c>
      <c r="E1947">
        <f t="shared" si="30"/>
        <v>1.0387567210535221E-31</v>
      </c>
    </row>
    <row r="1948" spans="1:5" x14ac:dyDescent="0.25">
      <c r="A1948">
        <v>2</v>
      </c>
      <c r="B1948">
        <v>2</v>
      </c>
      <c r="C1948">
        <v>29</v>
      </c>
      <c r="D1948">
        <v>15</v>
      </c>
      <c r="E1948">
        <f t="shared" si="30"/>
        <v>2.1204964788402936E-31</v>
      </c>
    </row>
    <row r="1949" spans="1:5" x14ac:dyDescent="0.25">
      <c r="A1949">
        <v>2</v>
      </c>
      <c r="B1949">
        <v>2</v>
      </c>
      <c r="C1949">
        <v>30</v>
      </c>
      <c r="D1949">
        <v>14</v>
      </c>
      <c r="E1949">
        <f t="shared" si="30"/>
        <v>3.4699033290113896E-31</v>
      </c>
    </row>
    <row r="1950" spans="1:5" x14ac:dyDescent="0.25">
      <c r="A1950">
        <v>2</v>
      </c>
      <c r="B1950">
        <v>2</v>
      </c>
      <c r="C1950">
        <v>31</v>
      </c>
      <c r="D1950">
        <v>13</v>
      </c>
      <c r="E1950">
        <f t="shared" si="30"/>
        <v>4.5705715892891972E-31</v>
      </c>
    </row>
    <row r="1951" spans="1:5" x14ac:dyDescent="0.25">
      <c r="A1951">
        <v>2</v>
      </c>
      <c r="B1951">
        <v>2</v>
      </c>
      <c r="C1951">
        <v>32</v>
      </c>
      <c r="D1951">
        <v>12</v>
      </c>
      <c r="E1951">
        <f t="shared" si="30"/>
        <v>4.8562323136197712E-31</v>
      </c>
    </row>
    <row r="1952" spans="1:5" x14ac:dyDescent="0.25">
      <c r="A1952">
        <v>2</v>
      </c>
      <c r="B1952">
        <v>2</v>
      </c>
      <c r="C1952">
        <v>33</v>
      </c>
      <c r="D1952">
        <v>11</v>
      </c>
      <c r="E1952">
        <f t="shared" si="30"/>
        <v>4.1624848402455178E-31</v>
      </c>
    </row>
    <row r="1953" spans="1:5" x14ac:dyDescent="0.25">
      <c r="A1953">
        <v>2</v>
      </c>
      <c r="B1953">
        <v>2</v>
      </c>
      <c r="C1953">
        <v>34</v>
      </c>
      <c r="D1953">
        <v>10</v>
      </c>
      <c r="E1953">
        <f t="shared" si="30"/>
        <v>2.8729307132674942E-31</v>
      </c>
    </row>
    <row r="1954" spans="1:5" x14ac:dyDescent="0.25">
      <c r="A1954">
        <v>2</v>
      </c>
      <c r="B1954">
        <v>2</v>
      </c>
      <c r="C1954">
        <v>35</v>
      </c>
      <c r="D1954">
        <v>9</v>
      </c>
      <c r="E1954">
        <f t="shared" si="30"/>
        <v>1.5903723591302202E-31</v>
      </c>
    </row>
    <row r="1955" spans="1:5" x14ac:dyDescent="0.25">
      <c r="A1955">
        <v>2</v>
      </c>
      <c r="B1955">
        <v>2</v>
      </c>
      <c r="C1955">
        <v>36</v>
      </c>
      <c r="D1955">
        <v>8</v>
      </c>
      <c r="E1955">
        <f t="shared" si="30"/>
        <v>7.0163486432215603E-32</v>
      </c>
    </row>
    <row r="1956" spans="1:5" x14ac:dyDescent="0.25">
      <c r="A1956">
        <v>2</v>
      </c>
      <c r="B1956">
        <v>2</v>
      </c>
      <c r="C1956">
        <v>37</v>
      </c>
      <c r="D1956">
        <v>7</v>
      </c>
      <c r="E1956">
        <f t="shared" si="30"/>
        <v>2.4441334613024056E-32</v>
      </c>
    </row>
    <row r="1957" spans="1:5" x14ac:dyDescent="0.25">
      <c r="A1957">
        <v>2</v>
      </c>
      <c r="B1957">
        <v>2</v>
      </c>
      <c r="C1957">
        <v>38</v>
      </c>
      <c r="D1957">
        <v>6</v>
      </c>
      <c r="E1957">
        <f t="shared" si="30"/>
        <v>6.6350437453638669E-33</v>
      </c>
    </row>
    <row r="1958" spans="1:5" x14ac:dyDescent="0.25">
      <c r="A1958">
        <v>2</v>
      </c>
      <c r="B1958">
        <v>2</v>
      </c>
      <c r="C1958">
        <v>39</v>
      </c>
      <c r="D1958">
        <v>5</v>
      </c>
      <c r="E1958">
        <f t="shared" si="30"/>
        <v>1.378047547114034E-33</v>
      </c>
    </row>
    <row r="1959" spans="1:5" x14ac:dyDescent="0.25">
      <c r="A1959">
        <v>2</v>
      </c>
      <c r="B1959">
        <v>2</v>
      </c>
      <c r="C1959">
        <v>40</v>
      </c>
      <c r="D1959">
        <v>4</v>
      </c>
      <c r="E1959">
        <f t="shared" si="30"/>
        <v>2.1326926324383879E-34</v>
      </c>
    </row>
    <row r="1960" spans="1:5" x14ac:dyDescent="0.25">
      <c r="A1960">
        <v>2</v>
      </c>
      <c r="B1960">
        <v>2</v>
      </c>
      <c r="C1960">
        <v>41</v>
      </c>
      <c r="D1960">
        <v>3</v>
      </c>
      <c r="E1960">
        <f t="shared" si="30"/>
        <v>2.3644042488230455E-35</v>
      </c>
    </row>
    <row r="1961" spans="1:5" x14ac:dyDescent="0.25">
      <c r="A1961">
        <v>2</v>
      </c>
      <c r="B1961">
        <v>2</v>
      </c>
      <c r="C1961">
        <v>42</v>
      </c>
      <c r="D1961">
        <v>2</v>
      </c>
      <c r="E1961">
        <f t="shared" si="30"/>
        <v>1.7622888811103446E-36</v>
      </c>
    </row>
    <row r="1962" spans="1:5" x14ac:dyDescent="0.25">
      <c r="A1962">
        <v>2</v>
      </c>
      <c r="B1962">
        <v>2</v>
      </c>
      <c r="C1962">
        <v>43</v>
      </c>
      <c r="D1962">
        <v>1</v>
      </c>
      <c r="E1962">
        <f t="shared" si="30"/>
        <v>7.8551636173523124E-38</v>
      </c>
    </row>
    <row r="1963" spans="1:5" x14ac:dyDescent="0.25">
      <c r="A1963">
        <v>2</v>
      </c>
      <c r="B1963">
        <v>2</v>
      </c>
      <c r="C1963">
        <v>44</v>
      </c>
      <c r="D1963">
        <v>0</v>
      </c>
      <c r="E1963">
        <f t="shared" si="30"/>
        <v>1.5710327234704616E-39</v>
      </c>
    </row>
    <row r="1964" spans="1:5" x14ac:dyDescent="0.25">
      <c r="A1964">
        <v>2</v>
      </c>
      <c r="B1964">
        <v>3</v>
      </c>
      <c r="C1964">
        <v>18</v>
      </c>
      <c r="D1964">
        <v>25</v>
      </c>
      <c r="E1964">
        <f t="shared" si="30"/>
        <v>1.2327657536764516E-38</v>
      </c>
    </row>
    <row r="1965" spans="1:5" x14ac:dyDescent="0.25">
      <c r="A1965">
        <v>2</v>
      </c>
      <c r="B1965">
        <v>3</v>
      </c>
      <c r="C1965">
        <v>19</v>
      </c>
      <c r="D1965">
        <v>24</v>
      </c>
      <c r="E1965">
        <f t="shared" si="30"/>
        <v>7.6236829503675311E-37</v>
      </c>
    </row>
    <row r="1966" spans="1:5" x14ac:dyDescent="0.25">
      <c r="A1966">
        <v>2</v>
      </c>
      <c r="B1966">
        <v>3</v>
      </c>
      <c r="C1966">
        <v>20</v>
      </c>
      <c r="D1966">
        <v>23</v>
      </c>
      <c r="E1966">
        <f t="shared" si="30"/>
        <v>2.1041364943014407E-35</v>
      </c>
    </row>
    <row r="1967" spans="1:5" x14ac:dyDescent="0.25">
      <c r="A1967">
        <v>2</v>
      </c>
      <c r="B1967">
        <v>3</v>
      </c>
      <c r="C1967">
        <v>21</v>
      </c>
      <c r="D1967">
        <v>22</v>
      </c>
      <c r="E1967">
        <f t="shared" si="30"/>
        <v>3.4567956692095057E-34</v>
      </c>
    </row>
    <row r="1968" spans="1:5" x14ac:dyDescent="0.25">
      <c r="A1968">
        <v>2</v>
      </c>
      <c r="B1968">
        <v>3</v>
      </c>
      <c r="C1968">
        <v>22</v>
      </c>
      <c r="D1968">
        <v>21</v>
      </c>
      <c r="E1968">
        <f t="shared" si="30"/>
        <v>3.8024752361304593E-33</v>
      </c>
    </row>
    <row r="1969" spans="1:5" x14ac:dyDescent="0.25">
      <c r="A1969">
        <v>2</v>
      </c>
      <c r="B1969">
        <v>3</v>
      </c>
      <c r="C1969">
        <v>23</v>
      </c>
      <c r="D1969">
        <v>20</v>
      </c>
      <c r="E1969">
        <f t="shared" si="30"/>
        <v>2.9857696854137417E-32</v>
      </c>
    </row>
    <row r="1970" spans="1:5" x14ac:dyDescent="0.25">
      <c r="A1970">
        <v>2</v>
      </c>
      <c r="B1970">
        <v>3</v>
      </c>
      <c r="C1970">
        <v>24</v>
      </c>
      <c r="D1970">
        <v>19</v>
      </c>
      <c r="E1970">
        <f t="shared" si="30"/>
        <v>1.7416989831580157E-31</v>
      </c>
    </row>
    <row r="1971" spans="1:5" x14ac:dyDescent="0.25">
      <c r="A1971">
        <v>2</v>
      </c>
      <c r="B1971">
        <v>3</v>
      </c>
      <c r="C1971">
        <v>25</v>
      </c>
      <c r="D1971">
        <v>18</v>
      </c>
      <c r="E1971">
        <f t="shared" si="30"/>
        <v>7.7530486164576873E-31</v>
      </c>
    </row>
    <row r="1972" spans="1:5" x14ac:dyDescent="0.25">
      <c r="A1972">
        <v>2</v>
      </c>
      <c r="B1972">
        <v>3</v>
      </c>
      <c r="C1972">
        <v>26</v>
      </c>
      <c r="D1972">
        <v>17</v>
      </c>
      <c r="E1972">
        <f t="shared" si="30"/>
        <v>2.6837475980045819E-30</v>
      </c>
    </row>
    <row r="1973" spans="1:5" x14ac:dyDescent="0.25">
      <c r="A1973">
        <v>2</v>
      </c>
      <c r="B1973">
        <v>3</v>
      </c>
      <c r="C1973">
        <v>27</v>
      </c>
      <c r="D1973">
        <v>16</v>
      </c>
      <c r="E1973">
        <f t="shared" si="30"/>
        <v>7.3223236933211431E-30</v>
      </c>
    </row>
    <row r="1974" spans="1:5" x14ac:dyDescent="0.25">
      <c r="A1974">
        <v>2</v>
      </c>
      <c r="B1974">
        <v>3</v>
      </c>
      <c r="C1974">
        <v>28</v>
      </c>
      <c r="D1974">
        <v>15</v>
      </c>
      <c r="E1974">
        <f t="shared" si="30"/>
        <v>1.5899902876925908E-29</v>
      </c>
    </row>
    <row r="1975" spans="1:5" x14ac:dyDescent="0.25">
      <c r="A1975">
        <v>2</v>
      </c>
      <c r="B1975">
        <v>3</v>
      </c>
      <c r="C1975">
        <v>29</v>
      </c>
      <c r="D1975">
        <v>14</v>
      </c>
      <c r="E1975">
        <f t="shared" si="30"/>
        <v>2.7662840428507469E-29</v>
      </c>
    </row>
    <row r="1976" spans="1:5" x14ac:dyDescent="0.25">
      <c r="A1976">
        <v>2</v>
      </c>
      <c r="B1976">
        <v>3</v>
      </c>
      <c r="C1976">
        <v>30</v>
      </c>
      <c r="D1976">
        <v>13</v>
      </c>
      <c r="E1976">
        <f t="shared" si="30"/>
        <v>3.8727976599910454E-29</v>
      </c>
    </row>
    <row r="1977" spans="1:5" x14ac:dyDescent="0.25">
      <c r="A1977">
        <v>2</v>
      </c>
      <c r="B1977">
        <v>3</v>
      </c>
      <c r="C1977">
        <v>31</v>
      </c>
      <c r="D1977">
        <v>12</v>
      </c>
      <c r="E1977">
        <f t="shared" si="30"/>
        <v>4.3725134870866651E-29</v>
      </c>
    </row>
    <row r="1978" spans="1:5" x14ac:dyDescent="0.25">
      <c r="A1978">
        <v>2</v>
      </c>
      <c r="B1978">
        <v>3</v>
      </c>
      <c r="C1978">
        <v>32</v>
      </c>
      <c r="D1978">
        <v>11</v>
      </c>
      <c r="E1978">
        <f t="shared" si="30"/>
        <v>3.9821104971682116E-29</v>
      </c>
    </row>
    <row r="1979" spans="1:5" x14ac:dyDescent="0.25">
      <c r="A1979">
        <v>2</v>
      </c>
      <c r="B1979">
        <v>3</v>
      </c>
      <c r="C1979">
        <v>33</v>
      </c>
      <c r="D1979">
        <v>10</v>
      </c>
      <c r="E1979">
        <f t="shared" si="30"/>
        <v>2.9202143645900214E-29</v>
      </c>
    </row>
    <row r="1980" spans="1:5" x14ac:dyDescent="0.25">
      <c r="A1980">
        <v>2</v>
      </c>
      <c r="B1980">
        <v>3</v>
      </c>
      <c r="C1980">
        <v>34</v>
      </c>
      <c r="D1980">
        <v>9</v>
      </c>
      <c r="E1980">
        <f t="shared" si="30"/>
        <v>1.7177731556411896E-29</v>
      </c>
    </row>
    <row r="1981" spans="1:5" x14ac:dyDescent="0.25">
      <c r="A1981">
        <v>2</v>
      </c>
      <c r="B1981">
        <v>3</v>
      </c>
      <c r="C1981">
        <v>35</v>
      </c>
      <c r="D1981">
        <v>8</v>
      </c>
      <c r="E1981">
        <f t="shared" si="30"/>
        <v>8.0547682424183502E-30</v>
      </c>
    </row>
    <row r="1982" spans="1:5" x14ac:dyDescent="0.25">
      <c r="A1982">
        <v>2</v>
      </c>
      <c r="B1982">
        <v>3</v>
      </c>
      <c r="C1982">
        <v>36</v>
      </c>
      <c r="D1982">
        <v>7</v>
      </c>
      <c r="E1982">
        <f t="shared" si="30"/>
        <v>2.9832474971919828E-30</v>
      </c>
    </row>
    <row r="1983" spans="1:5" x14ac:dyDescent="0.25">
      <c r="A1983">
        <v>2</v>
      </c>
      <c r="B1983">
        <v>3</v>
      </c>
      <c r="C1983">
        <v>37</v>
      </c>
      <c r="D1983">
        <v>6</v>
      </c>
      <c r="E1983">
        <f t="shared" si="30"/>
        <v>8.6144984627307561E-31</v>
      </c>
    </row>
    <row r="1984" spans="1:5" x14ac:dyDescent="0.25">
      <c r="A1984">
        <v>2</v>
      </c>
      <c r="B1984">
        <v>3</v>
      </c>
      <c r="C1984">
        <v>38</v>
      </c>
      <c r="D1984">
        <v>5</v>
      </c>
      <c r="E1984">
        <f t="shared" si="30"/>
        <v>1.9042575549194299E-31</v>
      </c>
    </row>
    <row r="1985" spans="1:5" x14ac:dyDescent="0.25">
      <c r="A1985">
        <v>2</v>
      </c>
      <c r="B1985">
        <v>3</v>
      </c>
      <c r="C1985">
        <v>39</v>
      </c>
      <c r="D1985">
        <v>4</v>
      </c>
      <c r="E1985">
        <f t="shared" si="30"/>
        <v>3.1388860795375231E-32</v>
      </c>
    </row>
    <row r="1986" spans="1:5" x14ac:dyDescent="0.25">
      <c r="A1986">
        <v>2</v>
      </c>
      <c r="B1986">
        <v>3</v>
      </c>
      <c r="C1986">
        <v>40</v>
      </c>
      <c r="D1986">
        <v>3</v>
      </c>
      <c r="E1986">
        <f t="shared" si="30"/>
        <v>3.7095926394534384E-33</v>
      </c>
    </row>
    <row r="1987" spans="1:5" x14ac:dyDescent="0.25">
      <c r="A1987">
        <v>2</v>
      </c>
      <c r="B1987">
        <v>3</v>
      </c>
      <c r="C1987">
        <v>41</v>
      </c>
      <c r="D1987">
        <v>2</v>
      </c>
      <c r="E1987">
        <f t="shared" si="30"/>
        <v>2.9503653017922346E-34</v>
      </c>
    </row>
    <row r="1988" spans="1:5" x14ac:dyDescent="0.25">
      <c r="A1988">
        <v>2</v>
      </c>
      <c r="B1988">
        <v>3</v>
      </c>
      <c r="C1988">
        <v>42</v>
      </c>
      <c r="D1988">
        <v>1</v>
      </c>
      <c r="E1988">
        <f t="shared" si="30"/>
        <v>1.4049358579963025E-35</v>
      </c>
    </row>
    <row r="1989" spans="1:5" x14ac:dyDescent="0.25">
      <c r="A1989">
        <v>2</v>
      </c>
      <c r="B1989">
        <v>3</v>
      </c>
      <c r="C1989">
        <v>43</v>
      </c>
      <c r="D1989">
        <v>0</v>
      </c>
      <c r="E1989">
        <f t="shared" si="30"/>
        <v>3.005909277573485E-37</v>
      </c>
    </row>
    <row r="1990" spans="1:5" x14ac:dyDescent="0.25">
      <c r="A1990">
        <v>2</v>
      </c>
      <c r="B1990">
        <v>4</v>
      </c>
      <c r="C1990">
        <v>17</v>
      </c>
      <c r="D1990">
        <v>25</v>
      </c>
      <c r="E1990">
        <f t="shared" si="30"/>
        <v>3.3053531770449889E-37</v>
      </c>
    </row>
    <row r="1991" spans="1:5" x14ac:dyDescent="0.25">
      <c r="A1991">
        <v>2</v>
      </c>
      <c r="B1991">
        <v>4</v>
      </c>
      <c r="C1991">
        <v>18</v>
      </c>
      <c r="D1991">
        <v>24</v>
      </c>
      <c r="E1991">
        <f t="shared" si="30"/>
        <v>2.203568784696657E-35</v>
      </c>
    </row>
    <row r="1992" spans="1:5" x14ac:dyDescent="0.25">
      <c r="A1992">
        <v>2</v>
      </c>
      <c r="B1992">
        <v>4</v>
      </c>
      <c r="C1992">
        <v>19</v>
      </c>
      <c r="D1992">
        <v>23</v>
      </c>
      <c r="E1992">
        <f t="shared" si="30"/>
        <v>6.5411199714153429E-34</v>
      </c>
    </row>
    <row r="1993" spans="1:5" x14ac:dyDescent="0.25">
      <c r="A1993">
        <v>2</v>
      </c>
      <c r="B1993">
        <v>4</v>
      </c>
      <c r="C1993">
        <v>20</v>
      </c>
      <c r="D1993">
        <v>22</v>
      </c>
      <c r="E1993">
        <f t="shared" si="30"/>
        <v>1.1534174882929064E-32</v>
      </c>
    </row>
    <row r="1994" spans="1:5" x14ac:dyDescent="0.25">
      <c r="A1994">
        <v>2</v>
      </c>
      <c r="B1994">
        <v>4</v>
      </c>
      <c r="C1994">
        <v>21</v>
      </c>
      <c r="D1994">
        <v>21</v>
      </c>
      <c r="E1994">
        <f t="shared" si="30"/>
        <v>1.3593848969166382E-31</v>
      </c>
    </row>
    <row r="1995" spans="1:5" x14ac:dyDescent="0.25">
      <c r="A1995">
        <v>2</v>
      </c>
      <c r="B1995">
        <v>4</v>
      </c>
      <c r="C1995">
        <v>22</v>
      </c>
      <c r="D1995">
        <v>20</v>
      </c>
      <c r="E1995">
        <f t="shared" si="30"/>
        <v>1.1418833134099766E-30</v>
      </c>
    </row>
    <row r="1996" spans="1:5" x14ac:dyDescent="0.25">
      <c r="A1996">
        <v>2</v>
      </c>
      <c r="B1996">
        <v>4</v>
      </c>
      <c r="C1996">
        <v>23</v>
      </c>
      <c r="D1996">
        <v>19</v>
      </c>
      <c r="E1996">
        <f t="shared" si="30"/>
        <v>7.1160844169027501E-30</v>
      </c>
    </row>
    <row r="1997" spans="1:5" x14ac:dyDescent="0.25">
      <c r="A1997">
        <v>2</v>
      </c>
      <c r="B1997">
        <v>4</v>
      </c>
      <c r="C1997">
        <v>24</v>
      </c>
      <c r="D1997">
        <v>18</v>
      </c>
      <c r="E1997">
        <f t="shared" si="30"/>
        <v>3.3801400980288077E-29</v>
      </c>
    </row>
    <row r="1998" spans="1:5" x14ac:dyDescent="0.25">
      <c r="A1998">
        <v>2</v>
      </c>
      <c r="B1998">
        <v>4</v>
      </c>
      <c r="C1998">
        <v>25</v>
      </c>
      <c r="D1998">
        <v>17</v>
      </c>
      <c r="E1998">
        <f t="shared" ref="E1998:E2061" si="31">COMBIN(A$4,A1998)*COMBIN(B$4,B1998)*COMBIN(C$4,C1998)*COMBIN(D$4,D1998)/COMBIN($G$4,$F$4)</f>
        <v>1.2472716961726302E-28</v>
      </c>
    </row>
    <row r="1999" spans="1:5" x14ac:dyDescent="0.25">
      <c r="A1999">
        <v>2</v>
      </c>
      <c r="B1999">
        <v>4</v>
      </c>
      <c r="C1999">
        <v>26</v>
      </c>
      <c r="D1999">
        <v>16</v>
      </c>
      <c r="E1999">
        <f t="shared" si="31"/>
        <v>3.6245502281939659E-28</v>
      </c>
    </row>
    <row r="2000" spans="1:5" x14ac:dyDescent="0.25">
      <c r="A2000">
        <v>2</v>
      </c>
      <c r="B2000">
        <v>4</v>
      </c>
      <c r="C2000">
        <v>27</v>
      </c>
      <c r="D2000">
        <v>15</v>
      </c>
      <c r="E2000">
        <f t="shared" si="31"/>
        <v>8.3767383051593857E-28</v>
      </c>
    </row>
    <row r="2001" spans="1:5" x14ac:dyDescent="0.25">
      <c r="A2001">
        <v>2</v>
      </c>
      <c r="B2001">
        <v>4</v>
      </c>
      <c r="C2001">
        <v>28</v>
      </c>
      <c r="D2001">
        <v>14</v>
      </c>
      <c r="E2001">
        <f t="shared" si="31"/>
        <v>1.5502405305002765E-27</v>
      </c>
    </row>
    <row r="2002" spans="1:5" x14ac:dyDescent="0.25">
      <c r="A2002">
        <v>2</v>
      </c>
      <c r="B2002">
        <v>4</v>
      </c>
      <c r="C2002">
        <v>29</v>
      </c>
      <c r="D2002">
        <v>13</v>
      </c>
      <c r="E2002">
        <f t="shared" si="31"/>
        <v>2.3075419390779982E-27</v>
      </c>
    </row>
    <row r="2003" spans="1:5" x14ac:dyDescent="0.25">
      <c r="A2003">
        <v>2</v>
      </c>
      <c r="B2003">
        <v>4</v>
      </c>
      <c r="C2003">
        <v>30</v>
      </c>
      <c r="D2003">
        <v>12</v>
      </c>
      <c r="E2003">
        <f t="shared" si="31"/>
        <v>2.7690503268935975E-27</v>
      </c>
    </row>
    <row r="2004" spans="1:5" x14ac:dyDescent="0.25">
      <c r="A2004">
        <v>2</v>
      </c>
      <c r="B2004">
        <v>4</v>
      </c>
      <c r="C2004">
        <v>31</v>
      </c>
      <c r="D2004">
        <v>11</v>
      </c>
      <c r="E2004">
        <f t="shared" si="31"/>
        <v>2.6797261228002555E-27</v>
      </c>
    </row>
    <row r="2005" spans="1:5" x14ac:dyDescent="0.25">
      <c r="A2005">
        <v>2</v>
      </c>
      <c r="B2005">
        <v>4</v>
      </c>
      <c r="C2005">
        <v>32</v>
      </c>
      <c r="D2005">
        <v>10</v>
      </c>
      <c r="E2005">
        <f t="shared" si="31"/>
        <v>2.0879532706818654E-27</v>
      </c>
    </row>
    <row r="2006" spans="1:5" x14ac:dyDescent="0.25">
      <c r="A2006">
        <v>2</v>
      </c>
      <c r="B2006">
        <v>4</v>
      </c>
      <c r="C2006">
        <v>33</v>
      </c>
      <c r="D2006">
        <v>9</v>
      </c>
      <c r="E2006">
        <f t="shared" si="31"/>
        <v>1.3049707941761658E-27</v>
      </c>
    </row>
    <row r="2007" spans="1:5" x14ac:dyDescent="0.25">
      <c r="A2007">
        <v>2</v>
      </c>
      <c r="B2007">
        <v>4</v>
      </c>
      <c r="C2007">
        <v>34</v>
      </c>
      <c r="D2007">
        <v>8</v>
      </c>
      <c r="E2007">
        <f t="shared" si="31"/>
        <v>6.5022766215006194E-28</v>
      </c>
    </row>
    <row r="2008" spans="1:5" x14ac:dyDescent="0.25">
      <c r="A2008">
        <v>2</v>
      </c>
      <c r="B2008">
        <v>4</v>
      </c>
      <c r="C2008">
        <v>35</v>
      </c>
      <c r="D2008">
        <v>7</v>
      </c>
      <c r="E2008">
        <f t="shared" si="31"/>
        <v>2.5596263525907209E-28</v>
      </c>
    </row>
    <row r="2009" spans="1:5" x14ac:dyDescent="0.25">
      <c r="A2009">
        <v>2</v>
      </c>
      <c r="B2009">
        <v>4</v>
      </c>
      <c r="C2009">
        <v>36</v>
      </c>
      <c r="D2009">
        <v>6</v>
      </c>
      <c r="E2009">
        <f t="shared" si="31"/>
        <v>7.858501959708351E-29</v>
      </c>
    </row>
    <row r="2010" spans="1:5" x14ac:dyDescent="0.25">
      <c r="A2010">
        <v>2</v>
      </c>
      <c r="B2010">
        <v>4</v>
      </c>
      <c r="C2010">
        <v>37</v>
      </c>
      <c r="D2010">
        <v>5</v>
      </c>
      <c r="E2010">
        <f t="shared" si="31"/>
        <v>1.8478099202557471E-29</v>
      </c>
    </row>
    <row r="2011" spans="1:5" x14ac:dyDescent="0.25">
      <c r="A2011">
        <v>2</v>
      </c>
      <c r="B2011">
        <v>4</v>
      </c>
      <c r="C2011">
        <v>38</v>
      </c>
      <c r="D2011">
        <v>4</v>
      </c>
      <c r="E2011">
        <f t="shared" si="31"/>
        <v>3.2417717899223642E-30</v>
      </c>
    </row>
    <row r="2012" spans="1:5" x14ac:dyDescent="0.25">
      <c r="A2012">
        <v>2</v>
      </c>
      <c r="B2012">
        <v>4</v>
      </c>
      <c r="C2012">
        <v>39</v>
      </c>
      <c r="D2012">
        <v>3</v>
      </c>
      <c r="E2012">
        <f t="shared" si="31"/>
        <v>4.0805519033987788E-31</v>
      </c>
    </row>
    <row r="2013" spans="1:5" x14ac:dyDescent="0.25">
      <c r="A2013">
        <v>2</v>
      </c>
      <c r="B2013">
        <v>4</v>
      </c>
      <c r="C2013">
        <v>40</v>
      </c>
      <c r="D2013">
        <v>2</v>
      </c>
      <c r="E2013">
        <f t="shared" si="31"/>
        <v>3.4595983528815761E-32</v>
      </c>
    </row>
    <row r="2014" spans="1:5" x14ac:dyDescent="0.25">
      <c r="A2014">
        <v>2</v>
      </c>
      <c r="B2014">
        <v>4</v>
      </c>
      <c r="C2014">
        <v>41</v>
      </c>
      <c r="D2014">
        <v>1</v>
      </c>
      <c r="E2014">
        <f t="shared" si="31"/>
        <v>1.7579259923178732E-33</v>
      </c>
    </row>
    <row r="2015" spans="1:5" x14ac:dyDescent="0.25">
      <c r="A2015">
        <v>2</v>
      </c>
      <c r="B2015">
        <v>4</v>
      </c>
      <c r="C2015">
        <v>42</v>
      </c>
      <c r="D2015">
        <v>0</v>
      </c>
      <c r="E2015">
        <f t="shared" si="31"/>
        <v>4.0181165538694248E-35</v>
      </c>
    </row>
    <row r="2016" spans="1:5" x14ac:dyDescent="0.25">
      <c r="A2016">
        <v>2</v>
      </c>
      <c r="B2016">
        <v>5</v>
      </c>
      <c r="C2016">
        <v>16</v>
      </c>
      <c r="D2016">
        <v>25</v>
      </c>
      <c r="E2016">
        <f t="shared" si="31"/>
        <v>6.5365045480746777E-36</v>
      </c>
    </row>
    <row r="2017" spans="1:5" x14ac:dyDescent="0.25">
      <c r="A2017">
        <v>2</v>
      </c>
      <c r="B2017">
        <v>5</v>
      </c>
      <c r="C2017">
        <v>17</v>
      </c>
      <c r="D2017">
        <v>24</v>
      </c>
      <c r="E2017">
        <f t="shared" si="31"/>
        <v>4.7101282772891087E-34</v>
      </c>
    </row>
    <row r="2018" spans="1:5" x14ac:dyDescent="0.25">
      <c r="A2018">
        <v>2</v>
      </c>
      <c r="B2018">
        <v>5</v>
      </c>
      <c r="C2018">
        <v>18</v>
      </c>
      <c r="D2018">
        <v>23</v>
      </c>
      <c r="E2018">
        <f t="shared" si="31"/>
        <v>1.5072410487325134E-32</v>
      </c>
    </row>
    <row r="2019" spans="1:5" x14ac:dyDescent="0.25">
      <c r="A2019">
        <v>2</v>
      </c>
      <c r="B2019">
        <v>5</v>
      </c>
      <c r="C2019">
        <v>19</v>
      </c>
      <c r="D2019">
        <v>22</v>
      </c>
      <c r="E2019">
        <f t="shared" si="31"/>
        <v>2.8584694275085043E-31</v>
      </c>
    </row>
    <row r="2020" spans="1:5" x14ac:dyDescent="0.25">
      <c r="A2020">
        <v>2</v>
      </c>
      <c r="B2020">
        <v>5</v>
      </c>
      <c r="C2020">
        <v>20</v>
      </c>
      <c r="D2020">
        <v>21</v>
      </c>
      <c r="E2020">
        <f t="shared" si="31"/>
        <v>3.6159638257982614E-30</v>
      </c>
    </row>
    <row r="2021" spans="1:5" x14ac:dyDescent="0.25">
      <c r="A2021">
        <v>2</v>
      </c>
      <c r="B2021">
        <v>5</v>
      </c>
      <c r="C2021">
        <v>21</v>
      </c>
      <c r="D2021">
        <v>20</v>
      </c>
      <c r="E2021">
        <f t="shared" si="31"/>
        <v>3.2543674432184308E-29</v>
      </c>
    </row>
    <row r="2022" spans="1:5" x14ac:dyDescent="0.25">
      <c r="A2022">
        <v>2</v>
      </c>
      <c r="B2022">
        <v>5</v>
      </c>
      <c r="C2022">
        <v>22</v>
      </c>
      <c r="D2022">
        <v>19</v>
      </c>
      <c r="E2022">
        <f t="shared" si="31"/>
        <v>2.169578295478955E-28</v>
      </c>
    </row>
    <row r="2023" spans="1:5" x14ac:dyDescent="0.25">
      <c r="A2023">
        <v>2</v>
      </c>
      <c r="B2023">
        <v>5</v>
      </c>
      <c r="C2023">
        <v>23</v>
      </c>
      <c r="D2023">
        <v>18</v>
      </c>
      <c r="E2023">
        <f t="shared" si="31"/>
        <v>1.1009599176436689E-27</v>
      </c>
    </row>
    <row r="2024" spans="1:5" x14ac:dyDescent="0.25">
      <c r="A2024">
        <v>2</v>
      </c>
      <c r="B2024">
        <v>5</v>
      </c>
      <c r="C2024">
        <v>24</v>
      </c>
      <c r="D2024">
        <v>17</v>
      </c>
      <c r="E2024">
        <f t="shared" si="31"/>
        <v>4.3350296757219453E-27</v>
      </c>
    </row>
    <row r="2025" spans="1:5" x14ac:dyDescent="0.25">
      <c r="A2025">
        <v>2</v>
      </c>
      <c r="B2025">
        <v>5</v>
      </c>
      <c r="C2025">
        <v>25</v>
      </c>
      <c r="D2025">
        <v>16</v>
      </c>
      <c r="E2025">
        <f t="shared" si="31"/>
        <v>1.3428958595458651E-26</v>
      </c>
    </row>
    <row r="2026" spans="1:5" x14ac:dyDescent="0.25">
      <c r="A2026">
        <v>2</v>
      </c>
      <c r="B2026">
        <v>5</v>
      </c>
      <c r="C2026">
        <v>26</v>
      </c>
      <c r="D2026">
        <v>15</v>
      </c>
      <c r="E2026">
        <f t="shared" si="31"/>
        <v>3.3055898081128962E-26</v>
      </c>
    </row>
    <row r="2027" spans="1:5" x14ac:dyDescent="0.25">
      <c r="A2027">
        <v>2</v>
      </c>
      <c r="B2027">
        <v>5</v>
      </c>
      <c r="C2027">
        <v>27</v>
      </c>
      <c r="D2027">
        <v>14</v>
      </c>
      <c r="E2027">
        <f t="shared" si="31"/>
        <v>6.5110102281011605E-26</v>
      </c>
    </row>
    <row r="2028" spans="1:5" x14ac:dyDescent="0.25">
      <c r="A2028">
        <v>2</v>
      </c>
      <c r="B2028">
        <v>5</v>
      </c>
      <c r="C2028">
        <v>28</v>
      </c>
      <c r="D2028">
        <v>13</v>
      </c>
      <c r="E2028">
        <f t="shared" si="31"/>
        <v>1.0309099527826841E-25</v>
      </c>
    </row>
    <row r="2029" spans="1:5" x14ac:dyDescent="0.25">
      <c r="A2029">
        <v>2</v>
      </c>
      <c r="B2029">
        <v>5</v>
      </c>
      <c r="C2029">
        <v>29</v>
      </c>
      <c r="D2029">
        <v>12</v>
      </c>
      <c r="E2029">
        <f t="shared" si="31"/>
        <v>1.3152989052744594E-25</v>
      </c>
    </row>
    <row r="2030" spans="1:5" x14ac:dyDescent="0.25">
      <c r="A2030">
        <v>2</v>
      </c>
      <c r="B2030">
        <v>5</v>
      </c>
      <c r="C2030">
        <v>30</v>
      </c>
      <c r="D2030">
        <v>11</v>
      </c>
      <c r="E2030">
        <f t="shared" si="31"/>
        <v>1.352878873996586E-25</v>
      </c>
    </row>
    <row r="2031" spans="1:5" x14ac:dyDescent="0.25">
      <c r="A2031">
        <v>2</v>
      </c>
      <c r="B2031">
        <v>5</v>
      </c>
      <c r="C2031">
        <v>31</v>
      </c>
      <c r="D2031">
        <v>10</v>
      </c>
      <c r="E2031">
        <f t="shared" si="31"/>
        <v>1.1201255193305067E-25</v>
      </c>
    </row>
    <row r="2032" spans="1:5" x14ac:dyDescent="0.25">
      <c r="A2032">
        <v>2</v>
      </c>
      <c r="B2032">
        <v>5</v>
      </c>
      <c r="C2032">
        <v>32</v>
      </c>
      <c r="D2032">
        <v>9</v>
      </c>
      <c r="E2032">
        <f t="shared" si="31"/>
        <v>7.4383335268041461E-26</v>
      </c>
    </row>
    <row r="2033" spans="1:5" x14ac:dyDescent="0.25">
      <c r="A2033">
        <v>2</v>
      </c>
      <c r="B2033">
        <v>5</v>
      </c>
      <c r="C2033">
        <v>33</v>
      </c>
      <c r="D2033">
        <v>8</v>
      </c>
      <c r="E2033">
        <f t="shared" si="31"/>
        <v>3.9379412788963131E-26</v>
      </c>
    </row>
    <row r="2034" spans="1:5" x14ac:dyDescent="0.25">
      <c r="A2034">
        <v>2</v>
      </c>
      <c r="B2034">
        <v>5</v>
      </c>
      <c r="C2034">
        <v>34</v>
      </c>
      <c r="D2034">
        <v>7</v>
      </c>
      <c r="E2034">
        <f t="shared" si="31"/>
        <v>1.6472434107801577E-26</v>
      </c>
    </row>
    <row r="2035" spans="1:5" x14ac:dyDescent="0.25">
      <c r="A2035">
        <v>2</v>
      </c>
      <c r="B2035">
        <v>5</v>
      </c>
      <c r="C2035">
        <v>35</v>
      </c>
      <c r="D2035">
        <v>6</v>
      </c>
      <c r="E2035">
        <f t="shared" si="31"/>
        <v>5.375215340440512E-27</v>
      </c>
    </row>
    <row r="2036" spans="1:5" x14ac:dyDescent="0.25">
      <c r="A2036">
        <v>2</v>
      </c>
      <c r="B2036">
        <v>5</v>
      </c>
      <c r="C2036">
        <v>36</v>
      </c>
      <c r="D2036">
        <v>5</v>
      </c>
      <c r="E2036">
        <f t="shared" si="31"/>
        <v>1.3438038351101282E-27</v>
      </c>
    </row>
    <row r="2037" spans="1:5" x14ac:dyDescent="0.25">
      <c r="A2037">
        <v>2</v>
      </c>
      <c r="B2037">
        <v>5</v>
      </c>
      <c r="C2037">
        <v>37</v>
      </c>
      <c r="D2037">
        <v>4</v>
      </c>
      <c r="E2037">
        <f t="shared" si="31"/>
        <v>2.5077420346328004E-28</v>
      </c>
    </row>
    <row r="2038" spans="1:5" x14ac:dyDescent="0.25">
      <c r="A2038">
        <v>2</v>
      </c>
      <c r="B2038">
        <v>5</v>
      </c>
      <c r="C2038">
        <v>38</v>
      </c>
      <c r="D2038">
        <v>3</v>
      </c>
      <c r="E2038">
        <f t="shared" si="31"/>
        <v>3.3596544004649954E-29</v>
      </c>
    </row>
    <row r="2039" spans="1:5" x14ac:dyDescent="0.25">
      <c r="A2039">
        <v>2</v>
      </c>
      <c r="B2039">
        <v>5</v>
      </c>
      <c r="C2039">
        <v>39</v>
      </c>
      <c r="D2039">
        <v>2</v>
      </c>
      <c r="E2039">
        <f t="shared" si="31"/>
        <v>3.0338016325269186E-30</v>
      </c>
    </row>
    <row r="2040" spans="1:5" x14ac:dyDescent="0.25">
      <c r="A2040">
        <v>2</v>
      </c>
      <c r="B2040">
        <v>5</v>
      </c>
      <c r="C2040">
        <v>40</v>
      </c>
      <c r="D2040">
        <v>1</v>
      </c>
      <c r="E2040">
        <f t="shared" si="31"/>
        <v>1.6433092176187488E-31</v>
      </c>
    </row>
    <row r="2041" spans="1:5" x14ac:dyDescent="0.25">
      <c r="A2041">
        <v>2</v>
      </c>
      <c r="B2041">
        <v>5</v>
      </c>
      <c r="C2041">
        <v>41</v>
      </c>
      <c r="D2041">
        <v>0</v>
      </c>
      <c r="E2041">
        <f t="shared" si="31"/>
        <v>4.0080712624847512E-33</v>
      </c>
    </row>
    <row r="2042" spans="1:5" x14ac:dyDescent="0.25">
      <c r="A2042">
        <v>2</v>
      </c>
      <c r="B2042">
        <v>6</v>
      </c>
      <c r="C2042">
        <v>15</v>
      </c>
      <c r="D2042">
        <v>25</v>
      </c>
      <c r="E2042">
        <f t="shared" si="31"/>
        <v>9.9006255554837781E-35</v>
      </c>
    </row>
    <row r="2043" spans="1:5" x14ac:dyDescent="0.25">
      <c r="A2043">
        <v>2</v>
      </c>
      <c r="B2043">
        <v>6</v>
      </c>
      <c r="C2043">
        <v>16</v>
      </c>
      <c r="D2043">
        <v>24</v>
      </c>
      <c r="E2043">
        <f t="shared" si="31"/>
        <v>7.7348637152217018E-33</v>
      </c>
    </row>
    <row r="2044" spans="1:5" x14ac:dyDescent="0.25">
      <c r="A2044">
        <v>2</v>
      </c>
      <c r="B2044">
        <v>6</v>
      </c>
      <c r="C2044">
        <v>17</v>
      </c>
      <c r="D2044">
        <v>23</v>
      </c>
      <c r="E2044">
        <f t="shared" si="31"/>
        <v>2.6753528615002137E-31</v>
      </c>
    </row>
    <row r="2045" spans="1:5" x14ac:dyDescent="0.25">
      <c r="A2045">
        <v>2</v>
      </c>
      <c r="B2045">
        <v>6</v>
      </c>
      <c r="C2045">
        <v>18</v>
      </c>
      <c r="D2045">
        <v>22</v>
      </c>
      <c r="E2045">
        <f t="shared" si="31"/>
        <v>5.4696102946226537E-30</v>
      </c>
    </row>
    <row r="2046" spans="1:5" x14ac:dyDescent="0.25">
      <c r="A2046">
        <v>2</v>
      </c>
      <c r="B2046">
        <v>6</v>
      </c>
      <c r="C2046">
        <v>19</v>
      </c>
      <c r="D2046">
        <v>21</v>
      </c>
      <c r="E2046">
        <f t="shared" si="31"/>
        <v>7.441548742947141E-29</v>
      </c>
    </row>
    <row r="2047" spans="1:5" x14ac:dyDescent="0.25">
      <c r="A2047">
        <v>2</v>
      </c>
      <c r="B2047">
        <v>6</v>
      </c>
      <c r="C2047">
        <v>20</v>
      </c>
      <c r="D2047">
        <v>20</v>
      </c>
      <c r="E2047">
        <f t="shared" si="31"/>
        <v>7.1885360856869433E-28</v>
      </c>
    </row>
    <row r="2048" spans="1:5" x14ac:dyDescent="0.25">
      <c r="A2048">
        <v>2</v>
      </c>
      <c r="B2048">
        <v>6</v>
      </c>
      <c r="C2048">
        <v>21</v>
      </c>
      <c r="D2048">
        <v>19</v>
      </c>
      <c r="E2048">
        <f t="shared" si="31"/>
        <v>5.1346686326335245E-27</v>
      </c>
    </row>
    <row r="2049" spans="1:5" x14ac:dyDescent="0.25">
      <c r="A2049">
        <v>2</v>
      </c>
      <c r="B2049">
        <v>6</v>
      </c>
      <c r="C2049">
        <v>22</v>
      </c>
      <c r="D2049">
        <v>18</v>
      </c>
      <c r="E2049">
        <f t="shared" si="31"/>
        <v>2.7873915434296301E-26</v>
      </c>
    </row>
    <row r="2050" spans="1:5" x14ac:dyDescent="0.25">
      <c r="A2050">
        <v>2</v>
      </c>
      <c r="B2050">
        <v>6</v>
      </c>
      <c r="C2050">
        <v>23</v>
      </c>
      <c r="D2050">
        <v>17</v>
      </c>
      <c r="E2050">
        <f t="shared" si="31"/>
        <v>1.1725223122905069E-25</v>
      </c>
    </row>
    <row r="2051" spans="1:5" x14ac:dyDescent="0.25">
      <c r="A2051">
        <v>2</v>
      </c>
      <c r="B2051">
        <v>6</v>
      </c>
      <c r="C2051">
        <v>24</v>
      </c>
      <c r="D2051">
        <v>16</v>
      </c>
      <c r="E2051">
        <f t="shared" si="31"/>
        <v>3.8758376434047313E-25</v>
      </c>
    </row>
    <row r="2052" spans="1:5" x14ac:dyDescent="0.25">
      <c r="A2052">
        <v>2</v>
      </c>
      <c r="B2052">
        <v>6</v>
      </c>
      <c r="C2052">
        <v>25</v>
      </c>
      <c r="D2052">
        <v>15</v>
      </c>
      <c r="E2052">
        <f t="shared" si="31"/>
        <v>1.0170197976294018E-24</v>
      </c>
    </row>
    <row r="2053" spans="1:5" x14ac:dyDescent="0.25">
      <c r="A2053">
        <v>2</v>
      </c>
      <c r="B2053">
        <v>6</v>
      </c>
      <c r="C2053">
        <v>26</v>
      </c>
      <c r="D2053">
        <v>14</v>
      </c>
      <c r="E2053">
        <f t="shared" si="31"/>
        <v>2.1336079670546878E-24</v>
      </c>
    </row>
    <row r="2054" spans="1:5" x14ac:dyDescent="0.25">
      <c r="A2054">
        <v>2</v>
      </c>
      <c r="B2054">
        <v>6</v>
      </c>
      <c r="C2054">
        <v>27</v>
      </c>
      <c r="D2054">
        <v>13</v>
      </c>
      <c r="E2054">
        <f t="shared" si="31"/>
        <v>3.5955245370736414E-24</v>
      </c>
    </row>
    <row r="2055" spans="1:5" x14ac:dyDescent="0.25">
      <c r="A2055">
        <v>2</v>
      </c>
      <c r="B2055">
        <v>6</v>
      </c>
      <c r="C2055">
        <v>28</v>
      </c>
      <c r="D2055">
        <v>12</v>
      </c>
      <c r="E2055">
        <f t="shared" si="31"/>
        <v>4.879640443171371E-24</v>
      </c>
    </row>
    <row r="2056" spans="1:5" x14ac:dyDescent="0.25">
      <c r="A2056">
        <v>2</v>
      </c>
      <c r="B2056">
        <v>6</v>
      </c>
      <c r="C2056">
        <v>29</v>
      </c>
      <c r="D2056">
        <v>11</v>
      </c>
      <c r="E2056">
        <f t="shared" si="31"/>
        <v>5.3363555585420908E-24</v>
      </c>
    </row>
    <row r="2057" spans="1:5" x14ac:dyDescent="0.25">
      <c r="A2057">
        <v>2</v>
      </c>
      <c r="B2057">
        <v>6</v>
      </c>
      <c r="C2057">
        <v>30</v>
      </c>
      <c r="D2057">
        <v>10</v>
      </c>
      <c r="E2057">
        <f t="shared" si="31"/>
        <v>4.6959928915170387E-24</v>
      </c>
    </row>
    <row r="2058" spans="1:5" x14ac:dyDescent="0.25">
      <c r="A2058">
        <v>2</v>
      </c>
      <c r="B2058">
        <v>6</v>
      </c>
      <c r="C2058">
        <v>31</v>
      </c>
      <c r="D2058">
        <v>9</v>
      </c>
      <c r="E2058">
        <f t="shared" si="31"/>
        <v>3.3137046613527497E-24</v>
      </c>
    </row>
    <row r="2059" spans="1:5" x14ac:dyDescent="0.25">
      <c r="A2059">
        <v>2</v>
      </c>
      <c r="B2059">
        <v>6</v>
      </c>
      <c r="C2059">
        <v>32</v>
      </c>
      <c r="D2059">
        <v>8</v>
      </c>
      <c r="E2059">
        <f t="shared" si="31"/>
        <v>1.8639588720109212E-24</v>
      </c>
    </row>
    <row r="2060" spans="1:5" x14ac:dyDescent="0.25">
      <c r="A2060">
        <v>2</v>
      </c>
      <c r="B2060">
        <v>6</v>
      </c>
      <c r="C2060">
        <v>33</v>
      </c>
      <c r="D2060">
        <v>7</v>
      </c>
      <c r="E2060">
        <f t="shared" si="31"/>
        <v>8.2842616533818742E-25</v>
      </c>
    </row>
    <row r="2061" spans="1:5" x14ac:dyDescent="0.25">
      <c r="A2061">
        <v>2</v>
      </c>
      <c r="B2061">
        <v>6</v>
      </c>
      <c r="C2061">
        <v>34</v>
      </c>
      <c r="D2061">
        <v>6</v>
      </c>
      <c r="E2061">
        <f t="shared" si="31"/>
        <v>2.8725613163429401E-25</v>
      </c>
    </row>
    <row r="2062" spans="1:5" x14ac:dyDescent="0.25">
      <c r="A2062">
        <v>2</v>
      </c>
      <c r="B2062">
        <v>6</v>
      </c>
      <c r="C2062">
        <v>35</v>
      </c>
      <c r="D2062">
        <v>5</v>
      </c>
      <c r="E2062">
        <f t="shared" ref="E2062:E2125" si="32">COMBIN(A$4,A2062)*COMBIN(B$4,B2062)*COMBIN(C$4,C2062)*COMBIN(D$4,D2062)/COMBIN($G$4,$F$4)</f>
        <v>7.6328057834255272E-26</v>
      </c>
    </row>
    <row r="2063" spans="1:5" x14ac:dyDescent="0.25">
      <c r="A2063">
        <v>2</v>
      </c>
      <c r="B2063">
        <v>6</v>
      </c>
      <c r="C2063">
        <v>36</v>
      </c>
      <c r="D2063">
        <v>4</v>
      </c>
      <c r="E2063">
        <f t="shared" si="32"/>
        <v>1.5144455919495101E-26</v>
      </c>
    </row>
    <row r="2064" spans="1:5" x14ac:dyDescent="0.25">
      <c r="A2064">
        <v>2</v>
      </c>
      <c r="B2064">
        <v>6</v>
      </c>
      <c r="C2064">
        <v>37</v>
      </c>
      <c r="D2064">
        <v>3</v>
      </c>
      <c r="E2064">
        <f t="shared" si="32"/>
        <v>2.1581779934415613E-27</v>
      </c>
    </row>
    <row r="2065" spans="1:5" x14ac:dyDescent="0.25">
      <c r="A2065">
        <v>2</v>
      </c>
      <c r="B2065">
        <v>6</v>
      </c>
      <c r="C2065">
        <v>38</v>
      </c>
      <c r="D2065">
        <v>2</v>
      </c>
      <c r="E2065">
        <f t="shared" si="32"/>
        <v>2.0742214124609967E-28</v>
      </c>
    </row>
    <row r="2066" spans="1:5" x14ac:dyDescent="0.25">
      <c r="A2066">
        <v>2</v>
      </c>
      <c r="B2066">
        <v>6</v>
      </c>
      <c r="C2066">
        <v>39</v>
      </c>
      <c r="D2066">
        <v>1</v>
      </c>
      <c r="E2066">
        <f t="shared" si="32"/>
        <v>1.196666199496729E-29</v>
      </c>
    </row>
    <row r="2067" spans="1:5" x14ac:dyDescent="0.25">
      <c r="A2067">
        <v>2</v>
      </c>
      <c r="B2067">
        <v>6</v>
      </c>
      <c r="C2067">
        <v>40</v>
      </c>
      <c r="D2067">
        <v>0</v>
      </c>
      <c r="E2067">
        <f t="shared" si="32"/>
        <v>3.1113321186914971E-31</v>
      </c>
    </row>
    <row r="2068" spans="1:5" x14ac:dyDescent="0.25">
      <c r="A2068">
        <v>2</v>
      </c>
      <c r="B2068">
        <v>7</v>
      </c>
      <c r="C2068">
        <v>14</v>
      </c>
      <c r="D2068">
        <v>25</v>
      </c>
      <c r="E2068">
        <f t="shared" si="32"/>
        <v>1.1772592572276936E-33</v>
      </c>
    </row>
    <row r="2069" spans="1:5" x14ac:dyDescent="0.25">
      <c r="A2069">
        <v>2</v>
      </c>
      <c r="B2069">
        <v>7</v>
      </c>
      <c r="C2069">
        <v>15</v>
      </c>
      <c r="D2069">
        <v>24</v>
      </c>
      <c r="E2069">
        <f t="shared" si="32"/>
        <v>1.0006703686435393E-31</v>
      </c>
    </row>
    <row r="2070" spans="1:5" x14ac:dyDescent="0.25">
      <c r="A2070">
        <v>2</v>
      </c>
      <c r="B2070">
        <v>7</v>
      </c>
      <c r="C2070">
        <v>16</v>
      </c>
      <c r="D2070">
        <v>23</v>
      </c>
      <c r="E2070">
        <f t="shared" si="32"/>
        <v>3.7525138824132726E-30</v>
      </c>
    </row>
    <row r="2071" spans="1:5" x14ac:dyDescent="0.25">
      <c r="A2071">
        <v>2</v>
      </c>
      <c r="B2071">
        <v>7</v>
      </c>
      <c r="C2071">
        <v>17</v>
      </c>
      <c r="D2071">
        <v>22</v>
      </c>
      <c r="E2071">
        <f t="shared" si="32"/>
        <v>8.2923198930975687E-29</v>
      </c>
    </row>
    <row r="2072" spans="1:5" x14ac:dyDescent="0.25">
      <c r="A2072">
        <v>2</v>
      </c>
      <c r="B2072">
        <v>7</v>
      </c>
      <c r="C2072">
        <v>18</v>
      </c>
      <c r="D2072">
        <v>21</v>
      </c>
      <c r="E2072">
        <f t="shared" si="32"/>
        <v>1.2162069176543092E-27</v>
      </c>
    </row>
    <row r="2073" spans="1:5" x14ac:dyDescent="0.25">
      <c r="A2073">
        <v>2</v>
      </c>
      <c r="B2073">
        <v>7</v>
      </c>
      <c r="C2073">
        <v>19</v>
      </c>
      <c r="D2073">
        <v>20</v>
      </c>
      <c r="E2073">
        <f t="shared" si="32"/>
        <v>1.2635749765524246E-26</v>
      </c>
    </row>
    <row r="2074" spans="1:5" x14ac:dyDescent="0.25">
      <c r="A2074">
        <v>2</v>
      </c>
      <c r="B2074">
        <v>7</v>
      </c>
      <c r="C2074">
        <v>20</v>
      </c>
      <c r="D2074">
        <v>19</v>
      </c>
      <c r="E2074">
        <f t="shared" si="32"/>
        <v>9.6874081535685959E-26</v>
      </c>
    </row>
    <row r="2075" spans="1:5" x14ac:dyDescent="0.25">
      <c r="A2075">
        <v>2</v>
      </c>
      <c r="B2075">
        <v>7</v>
      </c>
      <c r="C2075">
        <v>21</v>
      </c>
      <c r="D2075">
        <v>18</v>
      </c>
      <c r="E2075">
        <f t="shared" si="32"/>
        <v>5.634512905647036E-25</v>
      </c>
    </row>
    <row r="2076" spans="1:5" x14ac:dyDescent="0.25">
      <c r="A2076">
        <v>2</v>
      </c>
      <c r="B2076">
        <v>7</v>
      </c>
      <c r="C2076">
        <v>22</v>
      </c>
      <c r="D2076">
        <v>17</v>
      </c>
      <c r="E2076">
        <f t="shared" si="32"/>
        <v>2.5355308075411672E-24</v>
      </c>
    </row>
    <row r="2077" spans="1:5" x14ac:dyDescent="0.25">
      <c r="A2077">
        <v>2</v>
      </c>
      <c r="B2077">
        <v>7</v>
      </c>
      <c r="C2077">
        <v>23</v>
      </c>
      <c r="D2077">
        <v>16</v>
      </c>
      <c r="E2077">
        <f t="shared" si="32"/>
        <v>8.953975943539095E-24</v>
      </c>
    </row>
    <row r="2078" spans="1:5" x14ac:dyDescent="0.25">
      <c r="A2078">
        <v>2</v>
      </c>
      <c r="B2078">
        <v>7</v>
      </c>
      <c r="C2078">
        <v>24</v>
      </c>
      <c r="D2078">
        <v>15</v>
      </c>
      <c r="E2078">
        <f t="shared" si="32"/>
        <v>2.5071132641909462E-23</v>
      </c>
    </row>
    <row r="2079" spans="1:5" x14ac:dyDescent="0.25">
      <c r="A2079">
        <v>2</v>
      </c>
      <c r="B2079">
        <v>7</v>
      </c>
      <c r="C2079">
        <v>25</v>
      </c>
      <c r="D2079">
        <v>14</v>
      </c>
      <c r="E2079">
        <f t="shared" si="32"/>
        <v>5.6068169362815734E-23</v>
      </c>
    </row>
    <row r="2080" spans="1:5" x14ac:dyDescent="0.25">
      <c r="A2080">
        <v>2</v>
      </c>
      <c r="B2080">
        <v>7</v>
      </c>
      <c r="C2080">
        <v>26</v>
      </c>
      <c r="D2080">
        <v>13</v>
      </c>
      <c r="E2080">
        <f t="shared" si="32"/>
        <v>1.0063517577941281E-22</v>
      </c>
    </row>
    <row r="2081" spans="1:5" x14ac:dyDescent="0.25">
      <c r="A2081">
        <v>2</v>
      </c>
      <c r="B2081">
        <v>7</v>
      </c>
      <c r="C2081">
        <v>27</v>
      </c>
      <c r="D2081">
        <v>12</v>
      </c>
      <c r="E2081">
        <f t="shared" si="32"/>
        <v>1.4536192057026295E-22</v>
      </c>
    </row>
    <row r="2082" spans="1:5" x14ac:dyDescent="0.25">
      <c r="A2082">
        <v>2</v>
      </c>
      <c r="B2082">
        <v>7</v>
      </c>
      <c r="C2082">
        <v>28</v>
      </c>
      <c r="D2082">
        <v>11</v>
      </c>
      <c r="E2082">
        <f t="shared" si="32"/>
        <v>1.6909447903071403E-22</v>
      </c>
    </row>
    <row r="2083" spans="1:5" x14ac:dyDescent="0.25">
      <c r="A2083">
        <v>2</v>
      </c>
      <c r="B2083">
        <v>7</v>
      </c>
      <c r="C2083">
        <v>29</v>
      </c>
      <c r="D2083">
        <v>10</v>
      </c>
      <c r="E2083">
        <f t="shared" si="32"/>
        <v>1.5821023670230026E-22</v>
      </c>
    </row>
    <row r="2084" spans="1:5" x14ac:dyDescent="0.25">
      <c r="A2084">
        <v>2</v>
      </c>
      <c r="B2084">
        <v>7</v>
      </c>
      <c r="C2084">
        <v>30</v>
      </c>
      <c r="D2084">
        <v>9</v>
      </c>
      <c r="E2084">
        <f t="shared" si="32"/>
        <v>1.1865767752672519E-22</v>
      </c>
    </row>
    <row r="2085" spans="1:5" x14ac:dyDescent="0.25">
      <c r="A2085">
        <v>2</v>
      </c>
      <c r="B2085">
        <v>7</v>
      </c>
      <c r="C2085">
        <v>31</v>
      </c>
      <c r="D2085">
        <v>8</v>
      </c>
      <c r="E2085">
        <f t="shared" si="32"/>
        <v>7.0924418256012218E-23</v>
      </c>
    </row>
    <row r="2086" spans="1:5" x14ac:dyDescent="0.25">
      <c r="A2086">
        <v>2</v>
      </c>
      <c r="B2086">
        <v>7</v>
      </c>
      <c r="C2086">
        <v>32</v>
      </c>
      <c r="D2086">
        <v>7</v>
      </c>
      <c r="E2086">
        <f t="shared" si="32"/>
        <v>3.3492086398672435E-23</v>
      </c>
    </row>
    <row r="2087" spans="1:5" x14ac:dyDescent="0.25">
      <c r="A2087">
        <v>2</v>
      </c>
      <c r="B2087">
        <v>7</v>
      </c>
      <c r="C2087">
        <v>33</v>
      </c>
      <c r="D2087">
        <v>6</v>
      </c>
      <c r="E2087">
        <f t="shared" si="32"/>
        <v>1.2339189725826683E-23</v>
      </c>
    </row>
    <row r="2088" spans="1:5" x14ac:dyDescent="0.25">
      <c r="A2088">
        <v>2</v>
      </c>
      <c r="B2088">
        <v>7</v>
      </c>
      <c r="C2088">
        <v>34</v>
      </c>
      <c r="D2088">
        <v>5</v>
      </c>
      <c r="E2088">
        <f t="shared" si="32"/>
        <v>3.4840065108216521E-24</v>
      </c>
    </row>
    <row r="2089" spans="1:5" x14ac:dyDescent="0.25">
      <c r="A2089">
        <v>2</v>
      </c>
      <c r="B2089">
        <v>7</v>
      </c>
      <c r="C2089">
        <v>35</v>
      </c>
      <c r="D2089">
        <v>4</v>
      </c>
      <c r="E2089">
        <f t="shared" si="32"/>
        <v>7.3472246146579076E-25</v>
      </c>
    </row>
    <row r="2090" spans="1:5" x14ac:dyDescent="0.25">
      <c r="A2090">
        <v>2</v>
      </c>
      <c r="B2090">
        <v>7</v>
      </c>
      <c r="C2090">
        <v>36</v>
      </c>
      <c r="D2090">
        <v>3</v>
      </c>
      <c r="E2090">
        <f t="shared" si="32"/>
        <v>1.1132158507057438E-25</v>
      </c>
    </row>
    <row r="2091" spans="1:5" x14ac:dyDescent="0.25">
      <c r="A2091">
        <v>2</v>
      </c>
      <c r="B2091">
        <v>7</v>
      </c>
      <c r="C2091">
        <v>37</v>
      </c>
      <c r="D2091">
        <v>2</v>
      </c>
      <c r="E2091">
        <f t="shared" si="32"/>
        <v>1.1380702586533452E-26</v>
      </c>
    </row>
    <row r="2092" spans="1:5" x14ac:dyDescent="0.25">
      <c r="A2092">
        <v>2</v>
      </c>
      <c r="B2092">
        <v>7</v>
      </c>
      <c r="C2092">
        <v>38</v>
      </c>
      <c r="D2092">
        <v>1</v>
      </c>
      <c r="E2092">
        <f t="shared" si="32"/>
        <v>6.9881507110293125E-28</v>
      </c>
    </row>
    <row r="2093" spans="1:5" x14ac:dyDescent="0.25">
      <c r="A2093">
        <v>2</v>
      </c>
      <c r="B2093">
        <v>7</v>
      </c>
      <c r="C2093">
        <v>39</v>
      </c>
      <c r="D2093">
        <v>0</v>
      </c>
      <c r="E2093">
        <f t="shared" si="32"/>
        <v>1.9351801969004248E-29</v>
      </c>
    </row>
    <row r="2094" spans="1:5" x14ac:dyDescent="0.25">
      <c r="A2094">
        <v>2</v>
      </c>
      <c r="B2094">
        <v>8</v>
      </c>
      <c r="C2094">
        <v>13</v>
      </c>
      <c r="D2094">
        <v>25</v>
      </c>
      <c r="E2094">
        <f t="shared" si="32"/>
        <v>1.1172643143112819E-32</v>
      </c>
    </row>
    <row r="2095" spans="1:5" x14ac:dyDescent="0.25">
      <c r="A2095">
        <v>2</v>
      </c>
      <c r="B2095">
        <v>8</v>
      </c>
      <c r="C2095">
        <v>14</v>
      </c>
      <c r="D2095">
        <v>24</v>
      </c>
      <c r="E2095">
        <f t="shared" si="32"/>
        <v>1.0374597204319049E-30</v>
      </c>
    </row>
    <row r="2096" spans="1:5" x14ac:dyDescent="0.25">
      <c r="A2096">
        <v>2</v>
      </c>
      <c r="B2096">
        <v>8</v>
      </c>
      <c r="C2096">
        <v>15</v>
      </c>
      <c r="D2096">
        <v>23</v>
      </c>
      <c r="E2096">
        <f t="shared" si="32"/>
        <v>4.2328356593621704E-29</v>
      </c>
    </row>
    <row r="2097" spans="1:5" x14ac:dyDescent="0.25">
      <c r="A2097">
        <v>2</v>
      </c>
      <c r="B2097">
        <v>8</v>
      </c>
      <c r="C2097">
        <v>16</v>
      </c>
      <c r="D2097">
        <v>22</v>
      </c>
      <c r="E2097">
        <f t="shared" si="32"/>
        <v>1.0141168767221867E-27</v>
      </c>
    </row>
    <row r="2098" spans="1:5" x14ac:dyDescent="0.25">
      <c r="A2098">
        <v>2</v>
      </c>
      <c r="B2098">
        <v>8</v>
      </c>
      <c r="C2098">
        <v>17</v>
      </c>
      <c r="D2098">
        <v>21</v>
      </c>
      <c r="E2098">
        <f t="shared" si="32"/>
        <v>1.6076735192742915E-26</v>
      </c>
    </row>
    <row r="2099" spans="1:5" x14ac:dyDescent="0.25">
      <c r="A2099">
        <v>2</v>
      </c>
      <c r="B2099">
        <v>8</v>
      </c>
      <c r="C2099">
        <v>18</v>
      </c>
      <c r="D2099">
        <v>20</v>
      </c>
      <c r="E2099">
        <f t="shared" si="32"/>
        <v>1.8005943415872038E-25</v>
      </c>
    </row>
    <row r="2100" spans="1:5" x14ac:dyDescent="0.25">
      <c r="A2100">
        <v>2</v>
      </c>
      <c r="B2100">
        <v>8</v>
      </c>
      <c r="C2100">
        <v>19</v>
      </c>
      <c r="D2100">
        <v>19</v>
      </c>
      <c r="E2100">
        <f t="shared" si="32"/>
        <v>1.4847005974490987E-24</v>
      </c>
    </row>
    <row r="2101" spans="1:5" x14ac:dyDescent="0.25">
      <c r="A2101">
        <v>2</v>
      </c>
      <c r="B2101">
        <v>8</v>
      </c>
      <c r="C2101">
        <v>20</v>
      </c>
      <c r="D2101">
        <v>18</v>
      </c>
      <c r="E2101">
        <f t="shared" si="32"/>
        <v>9.268773729789384E-24</v>
      </c>
    </row>
    <row r="2102" spans="1:5" x14ac:dyDescent="0.25">
      <c r="A2102">
        <v>2</v>
      </c>
      <c r="B2102">
        <v>8</v>
      </c>
      <c r="C2102">
        <v>21</v>
      </c>
      <c r="D2102">
        <v>17</v>
      </c>
      <c r="E2102">
        <f t="shared" si="32"/>
        <v>4.4688730482913032E-23</v>
      </c>
    </row>
    <row r="2103" spans="1:5" x14ac:dyDescent="0.25">
      <c r="A2103">
        <v>2</v>
      </c>
      <c r="B2103">
        <v>8</v>
      </c>
      <c r="C2103">
        <v>22</v>
      </c>
      <c r="D2103">
        <v>16</v>
      </c>
      <c r="E2103">
        <f t="shared" si="32"/>
        <v>1.6882409293544935E-22</v>
      </c>
    </row>
    <row r="2104" spans="1:5" x14ac:dyDescent="0.25">
      <c r="A2104">
        <v>2</v>
      </c>
      <c r="B2104">
        <v>8</v>
      </c>
      <c r="C2104">
        <v>23</v>
      </c>
      <c r="D2104">
        <v>15</v>
      </c>
      <c r="E2104">
        <f t="shared" si="32"/>
        <v>5.0500424321560484E-22</v>
      </c>
    </row>
    <row r="2105" spans="1:5" x14ac:dyDescent="0.25">
      <c r="A2105">
        <v>2</v>
      </c>
      <c r="B2105">
        <v>8</v>
      </c>
      <c r="C2105">
        <v>24</v>
      </c>
      <c r="D2105">
        <v>14</v>
      </c>
      <c r="E2105">
        <f t="shared" si="32"/>
        <v>1.2051237622190571E-21</v>
      </c>
    </row>
    <row r="2106" spans="1:5" x14ac:dyDescent="0.25">
      <c r="A2106">
        <v>2</v>
      </c>
      <c r="B2106">
        <v>8</v>
      </c>
      <c r="C2106">
        <v>25</v>
      </c>
      <c r="D2106">
        <v>13</v>
      </c>
      <c r="E2106">
        <f t="shared" si="32"/>
        <v>2.3058034650457973E-21</v>
      </c>
    </row>
    <row r="2107" spans="1:5" x14ac:dyDescent="0.25">
      <c r="A2107">
        <v>2</v>
      </c>
      <c r="B2107">
        <v>8</v>
      </c>
      <c r="C2107">
        <v>26</v>
      </c>
      <c r="D2107">
        <v>12</v>
      </c>
      <c r="E2107">
        <f t="shared" si="32"/>
        <v>3.5473899462243017E-21</v>
      </c>
    </row>
    <row r="2108" spans="1:5" x14ac:dyDescent="0.25">
      <c r="A2108">
        <v>2</v>
      </c>
      <c r="B2108">
        <v>8</v>
      </c>
      <c r="C2108">
        <v>27</v>
      </c>
      <c r="D2108">
        <v>11</v>
      </c>
      <c r="E2108">
        <f t="shared" si="32"/>
        <v>4.3920066000872283E-21</v>
      </c>
    </row>
    <row r="2109" spans="1:5" x14ac:dyDescent="0.25">
      <c r="A2109">
        <v>2</v>
      </c>
      <c r="B2109">
        <v>8</v>
      </c>
      <c r="C2109">
        <v>28</v>
      </c>
      <c r="D2109">
        <v>10</v>
      </c>
      <c r="E2109">
        <f t="shared" si="32"/>
        <v>4.371092282943956E-21</v>
      </c>
    </row>
    <row r="2110" spans="1:5" x14ac:dyDescent="0.25">
      <c r="A2110">
        <v>2</v>
      </c>
      <c r="B2110">
        <v>8</v>
      </c>
      <c r="C2110">
        <v>29</v>
      </c>
      <c r="D2110">
        <v>9</v>
      </c>
      <c r="E2110">
        <f t="shared" si="32"/>
        <v>3.4855692773475527E-21</v>
      </c>
    </row>
    <row r="2111" spans="1:5" x14ac:dyDescent="0.25">
      <c r="A2111">
        <v>2</v>
      </c>
      <c r="B2111">
        <v>8</v>
      </c>
      <c r="C2111">
        <v>30</v>
      </c>
      <c r="D2111">
        <v>8</v>
      </c>
      <c r="E2111">
        <f t="shared" si="32"/>
        <v>2.2143616585502094E-21</v>
      </c>
    </row>
    <row r="2112" spans="1:5" x14ac:dyDescent="0.25">
      <c r="A2112">
        <v>2</v>
      </c>
      <c r="B2112">
        <v>8</v>
      </c>
      <c r="C2112">
        <v>31</v>
      </c>
      <c r="D2112">
        <v>7</v>
      </c>
      <c r="E2112">
        <f t="shared" si="32"/>
        <v>1.1111492193441917E-21</v>
      </c>
    </row>
    <row r="2113" spans="1:5" x14ac:dyDescent="0.25">
      <c r="A2113">
        <v>2</v>
      </c>
      <c r="B2113">
        <v>8</v>
      </c>
      <c r="C2113">
        <v>32</v>
      </c>
      <c r="D2113">
        <v>6</v>
      </c>
      <c r="E2113">
        <f t="shared" si="32"/>
        <v>4.3495643783539053E-22</v>
      </c>
    </row>
    <row r="2114" spans="1:5" x14ac:dyDescent="0.25">
      <c r="A2114">
        <v>2</v>
      </c>
      <c r="B2114">
        <v>8</v>
      </c>
      <c r="C2114">
        <v>33</v>
      </c>
      <c r="D2114">
        <v>5</v>
      </c>
      <c r="E2114">
        <f t="shared" si="32"/>
        <v>1.3048693135061716E-22</v>
      </c>
    </row>
    <row r="2115" spans="1:5" x14ac:dyDescent="0.25">
      <c r="A2115">
        <v>2</v>
      </c>
      <c r="B2115">
        <v>8</v>
      </c>
      <c r="C2115">
        <v>34</v>
      </c>
      <c r="D2115">
        <v>4</v>
      </c>
      <c r="E2115">
        <f t="shared" si="32"/>
        <v>2.9240768930110305E-23</v>
      </c>
    </row>
    <row r="2116" spans="1:5" x14ac:dyDescent="0.25">
      <c r="A2116">
        <v>2</v>
      </c>
      <c r="B2116">
        <v>8</v>
      </c>
      <c r="C2116">
        <v>35</v>
      </c>
      <c r="D2116">
        <v>3</v>
      </c>
      <c r="E2116">
        <f t="shared" si="32"/>
        <v>4.7089030484852947E-24</v>
      </c>
    </row>
    <row r="2117" spans="1:5" x14ac:dyDescent="0.25">
      <c r="A2117">
        <v>2</v>
      </c>
      <c r="B2117">
        <v>8</v>
      </c>
      <c r="C2117">
        <v>36</v>
      </c>
      <c r="D2117">
        <v>2</v>
      </c>
      <c r="E2117">
        <f t="shared" si="32"/>
        <v>5.118372878788365E-25</v>
      </c>
    </row>
    <row r="2118" spans="1:5" x14ac:dyDescent="0.25">
      <c r="A2118">
        <v>2</v>
      </c>
      <c r="B2118">
        <v>8</v>
      </c>
      <c r="C2118">
        <v>37</v>
      </c>
      <c r="D2118">
        <v>1</v>
      </c>
      <c r="E2118">
        <f t="shared" si="32"/>
        <v>3.3430813847942017E-26</v>
      </c>
    </row>
    <row r="2119" spans="1:5" x14ac:dyDescent="0.25">
      <c r="A2119">
        <v>2</v>
      </c>
      <c r="B2119">
        <v>8</v>
      </c>
      <c r="C2119">
        <v>38</v>
      </c>
      <c r="D2119">
        <v>0</v>
      </c>
      <c r="E2119">
        <f t="shared" si="32"/>
        <v>9.8532925025513282E-28</v>
      </c>
    </row>
    <row r="2120" spans="1:5" x14ac:dyDescent="0.25">
      <c r="A2120">
        <v>2</v>
      </c>
      <c r="B2120">
        <v>9</v>
      </c>
      <c r="C2120">
        <v>12</v>
      </c>
      <c r="D2120">
        <v>25</v>
      </c>
      <c r="E2120">
        <f t="shared" si="32"/>
        <v>8.5563239836040057E-32</v>
      </c>
    </row>
    <row r="2121" spans="1:5" x14ac:dyDescent="0.25">
      <c r="A2121">
        <v>2</v>
      </c>
      <c r="B2121">
        <v>9</v>
      </c>
      <c r="C2121">
        <v>13</v>
      </c>
      <c r="D2121">
        <v>24</v>
      </c>
      <c r="E2121">
        <f t="shared" si="32"/>
        <v>8.7208686755963944E-30</v>
      </c>
    </row>
    <row r="2122" spans="1:5" x14ac:dyDescent="0.25">
      <c r="A2122">
        <v>2</v>
      </c>
      <c r="B2122">
        <v>9</v>
      </c>
      <c r="C2122">
        <v>14</v>
      </c>
      <c r="D2122">
        <v>23</v>
      </c>
      <c r="E2122">
        <f t="shared" si="32"/>
        <v>3.8870157525515368E-28</v>
      </c>
    </row>
    <row r="2123" spans="1:5" x14ac:dyDescent="0.25">
      <c r="A2123">
        <v>2</v>
      </c>
      <c r="B2123">
        <v>9</v>
      </c>
      <c r="C2123">
        <v>15</v>
      </c>
      <c r="D2123">
        <v>22</v>
      </c>
      <c r="E2123">
        <f t="shared" si="32"/>
        <v>1.0132154394984335E-26</v>
      </c>
    </row>
    <row r="2124" spans="1:5" x14ac:dyDescent="0.25">
      <c r="A2124">
        <v>2</v>
      </c>
      <c r="B2124">
        <v>9</v>
      </c>
      <c r="C2124">
        <v>16</v>
      </c>
      <c r="D2124">
        <v>21</v>
      </c>
      <c r="E2124">
        <f t="shared" si="32"/>
        <v>1.7414640366379328E-25</v>
      </c>
    </row>
    <row r="2125" spans="1:5" x14ac:dyDescent="0.25">
      <c r="A2125">
        <v>2</v>
      </c>
      <c r="B2125">
        <v>9</v>
      </c>
      <c r="C2125">
        <v>17</v>
      </c>
      <c r="D2125">
        <v>20</v>
      </c>
      <c r="E2125">
        <f t="shared" si="32"/>
        <v>2.1081958749416865E-24</v>
      </c>
    </row>
    <row r="2126" spans="1:5" x14ac:dyDescent="0.25">
      <c r="A2126">
        <v>2</v>
      </c>
      <c r="B2126">
        <v>9</v>
      </c>
      <c r="C2126">
        <v>18</v>
      </c>
      <c r="D2126">
        <v>19</v>
      </c>
      <c r="E2126">
        <f t="shared" ref="E2126:E2189" si="33">COMBIN(A$4,A2126)*COMBIN(B$4,B2126)*COMBIN(C$4,C2126)*COMBIN(D$4,D2126)/COMBIN($G$4,$F$4)</f>
        <v>1.8739518888370528E-23</v>
      </c>
    </row>
    <row r="2127" spans="1:5" x14ac:dyDescent="0.25">
      <c r="A2127">
        <v>2</v>
      </c>
      <c r="B2127">
        <v>9</v>
      </c>
      <c r="C2127">
        <v>19</v>
      </c>
      <c r="D2127">
        <v>18</v>
      </c>
      <c r="E2127">
        <f t="shared" si="33"/>
        <v>1.2582248396477366E-22</v>
      </c>
    </row>
    <row r="2128" spans="1:5" x14ac:dyDescent="0.25">
      <c r="A2128">
        <v>2</v>
      </c>
      <c r="B2128">
        <v>9</v>
      </c>
      <c r="C2128">
        <v>20</v>
      </c>
      <c r="D2128">
        <v>17</v>
      </c>
      <c r="E2128">
        <f t="shared" si="33"/>
        <v>6.5113135451770403E-22</v>
      </c>
    </row>
    <row r="2129" spans="1:5" x14ac:dyDescent="0.25">
      <c r="A2129">
        <v>2</v>
      </c>
      <c r="B2129">
        <v>9</v>
      </c>
      <c r="C2129">
        <v>21</v>
      </c>
      <c r="D2129">
        <v>16</v>
      </c>
      <c r="E2129">
        <f t="shared" si="33"/>
        <v>2.6355316730478464E-21</v>
      </c>
    </row>
    <row r="2130" spans="1:5" x14ac:dyDescent="0.25">
      <c r="A2130">
        <v>2</v>
      </c>
      <c r="B2130">
        <v>9</v>
      </c>
      <c r="C2130">
        <v>22</v>
      </c>
      <c r="D2130">
        <v>15</v>
      </c>
      <c r="E2130">
        <f t="shared" si="33"/>
        <v>8.4337013537531114E-21</v>
      </c>
    </row>
    <row r="2131" spans="1:5" x14ac:dyDescent="0.25">
      <c r="A2131">
        <v>2</v>
      </c>
      <c r="B2131">
        <v>9</v>
      </c>
      <c r="C2131">
        <v>23</v>
      </c>
      <c r="D2131">
        <v>14</v>
      </c>
      <c r="E2131">
        <f t="shared" si="33"/>
        <v>2.1500938233876508E-20</v>
      </c>
    </row>
    <row r="2132" spans="1:5" x14ac:dyDescent="0.25">
      <c r="A2132">
        <v>2</v>
      </c>
      <c r="B2132">
        <v>9</v>
      </c>
      <c r="C2132">
        <v>24</v>
      </c>
      <c r="D2132">
        <v>13</v>
      </c>
      <c r="E2132">
        <f t="shared" si="33"/>
        <v>4.3897748894164553E-20</v>
      </c>
    </row>
    <row r="2133" spans="1:5" x14ac:dyDescent="0.25">
      <c r="A2133">
        <v>2</v>
      </c>
      <c r="B2133">
        <v>9</v>
      </c>
      <c r="C2133">
        <v>25</v>
      </c>
      <c r="D2133">
        <v>12</v>
      </c>
      <c r="E2133">
        <f t="shared" si="33"/>
        <v>7.1992308186429888E-20</v>
      </c>
    </row>
    <row r="2134" spans="1:5" x14ac:dyDescent="0.25">
      <c r="A2134">
        <v>2</v>
      </c>
      <c r="B2134">
        <v>9</v>
      </c>
      <c r="C2134">
        <v>26</v>
      </c>
      <c r="D2134">
        <v>11</v>
      </c>
      <c r="E2134">
        <f t="shared" si="33"/>
        <v>9.4934911894193177E-20</v>
      </c>
    </row>
    <row r="2135" spans="1:5" x14ac:dyDescent="0.25">
      <c r="A2135">
        <v>2</v>
      </c>
      <c r="B2135">
        <v>9</v>
      </c>
      <c r="C2135">
        <v>27</v>
      </c>
      <c r="D2135">
        <v>10</v>
      </c>
      <c r="E2135">
        <f t="shared" si="33"/>
        <v>1.0056068445088608E-19</v>
      </c>
    </row>
    <row r="2136" spans="1:5" x14ac:dyDescent="0.25">
      <c r="A2136">
        <v>2</v>
      </c>
      <c r="B2136">
        <v>9</v>
      </c>
      <c r="C2136">
        <v>28</v>
      </c>
      <c r="D2136">
        <v>9</v>
      </c>
      <c r="E2136">
        <f t="shared" si="33"/>
        <v>8.529700913244806E-20</v>
      </c>
    </row>
    <row r="2137" spans="1:5" x14ac:dyDescent="0.25">
      <c r="A2137">
        <v>2</v>
      </c>
      <c r="B2137">
        <v>9</v>
      </c>
      <c r="C2137">
        <v>29</v>
      </c>
      <c r="D2137">
        <v>8</v>
      </c>
      <c r="E2137">
        <f t="shared" si="33"/>
        <v>5.7614409819686013E-20</v>
      </c>
    </row>
    <row r="2138" spans="1:5" x14ac:dyDescent="0.25">
      <c r="A2138">
        <v>2</v>
      </c>
      <c r="B2138">
        <v>9</v>
      </c>
      <c r="C2138">
        <v>30</v>
      </c>
      <c r="D2138">
        <v>7</v>
      </c>
      <c r="E2138">
        <f t="shared" si="33"/>
        <v>3.0727685237165875E-20</v>
      </c>
    </row>
    <row r="2139" spans="1:5" x14ac:dyDescent="0.25">
      <c r="A2139">
        <v>2</v>
      </c>
      <c r="B2139">
        <v>9</v>
      </c>
      <c r="C2139">
        <v>31</v>
      </c>
      <c r="D2139">
        <v>6</v>
      </c>
      <c r="E2139">
        <f t="shared" si="33"/>
        <v>1.2781464996783765E-20</v>
      </c>
    </row>
    <row r="2140" spans="1:5" x14ac:dyDescent="0.25">
      <c r="A2140">
        <v>2</v>
      </c>
      <c r="B2140">
        <v>9</v>
      </c>
      <c r="C2140">
        <v>32</v>
      </c>
      <c r="D2140">
        <v>5</v>
      </c>
      <c r="E2140">
        <f t="shared" si="33"/>
        <v>4.074091967724824E-21</v>
      </c>
    </row>
    <row r="2141" spans="1:5" x14ac:dyDescent="0.25">
      <c r="A2141">
        <v>2</v>
      </c>
      <c r="B2141">
        <v>9</v>
      </c>
      <c r="C2141">
        <v>33</v>
      </c>
      <c r="D2141">
        <v>4</v>
      </c>
      <c r="E2141">
        <f t="shared" si="33"/>
        <v>9.7002189707733955E-22</v>
      </c>
    </row>
    <row r="2142" spans="1:5" x14ac:dyDescent="0.25">
      <c r="A2142">
        <v>2</v>
      </c>
      <c r="B2142">
        <v>9</v>
      </c>
      <c r="C2142">
        <v>34</v>
      </c>
      <c r="D2142">
        <v>3</v>
      </c>
      <c r="E2142">
        <f t="shared" si="33"/>
        <v>1.659930519062827E-22</v>
      </c>
    </row>
    <row r="2143" spans="1:5" x14ac:dyDescent="0.25">
      <c r="A2143">
        <v>2</v>
      </c>
      <c r="B2143">
        <v>9</v>
      </c>
      <c r="C2143">
        <v>35</v>
      </c>
      <c r="D2143">
        <v>2</v>
      </c>
      <c r="E2143">
        <f t="shared" si="33"/>
        <v>1.9176837052527066E-23</v>
      </c>
    </row>
    <row r="2144" spans="1:5" x14ac:dyDescent="0.25">
      <c r="A2144">
        <v>2</v>
      </c>
      <c r="B2144">
        <v>9</v>
      </c>
      <c r="C2144">
        <v>36</v>
      </c>
      <c r="D2144">
        <v>1</v>
      </c>
      <c r="E2144">
        <f t="shared" si="33"/>
        <v>1.3317247953143799E-24</v>
      </c>
    </row>
    <row r="2145" spans="1:5" x14ac:dyDescent="0.25">
      <c r="A2145">
        <v>2</v>
      </c>
      <c r="B2145">
        <v>9</v>
      </c>
      <c r="C2145">
        <v>37</v>
      </c>
      <c r="D2145">
        <v>0</v>
      </c>
      <c r="E2145">
        <f t="shared" si="33"/>
        <v>4.1751371961207582E-26</v>
      </c>
    </row>
    <row r="2146" spans="1:5" x14ac:dyDescent="0.25">
      <c r="A2146">
        <v>2</v>
      </c>
      <c r="B2146">
        <v>10</v>
      </c>
      <c r="C2146">
        <v>11</v>
      </c>
      <c r="D2146">
        <v>25</v>
      </c>
      <c r="E2146">
        <f t="shared" si="33"/>
        <v>5.323934923131386E-31</v>
      </c>
    </row>
    <row r="2147" spans="1:5" x14ac:dyDescent="0.25">
      <c r="A2147">
        <v>2</v>
      </c>
      <c r="B2147">
        <v>10</v>
      </c>
      <c r="C2147">
        <v>12</v>
      </c>
      <c r="D2147">
        <v>24</v>
      </c>
      <c r="E2147">
        <f t="shared" si="33"/>
        <v>5.9894267885228057E-29</v>
      </c>
    </row>
    <row r="2148" spans="1:5" x14ac:dyDescent="0.25">
      <c r="A2148">
        <v>2</v>
      </c>
      <c r="B2148">
        <v>10</v>
      </c>
      <c r="C2148">
        <v>13</v>
      </c>
      <c r="D2148">
        <v>23</v>
      </c>
      <c r="E2148">
        <f t="shared" si="33"/>
        <v>2.9302118750003888E-27</v>
      </c>
    </row>
    <row r="2149" spans="1:5" x14ac:dyDescent="0.25">
      <c r="A2149">
        <v>2</v>
      </c>
      <c r="B2149">
        <v>10</v>
      </c>
      <c r="C2149">
        <v>14</v>
      </c>
      <c r="D2149">
        <v>22</v>
      </c>
      <c r="E2149">
        <f t="shared" si="33"/>
        <v>8.3441271488106325E-26</v>
      </c>
    </row>
    <row r="2150" spans="1:5" x14ac:dyDescent="0.25">
      <c r="A2150">
        <v>2</v>
      </c>
      <c r="B2150">
        <v>10</v>
      </c>
      <c r="C2150">
        <v>15</v>
      </c>
      <c r="D2150">
        <v>21</v>
      </c>
      <c r="E2150">
        <f t="shared" si="33"/>
        <v>1.5603517768275877E-24</v>
      </c>
    </row>
    <row r="2151" spans="1:5" x14ac:dyDescent="0.25">
      <c r="A2151">
        <v>2</v>
      </c>
      <c r="B2151">
        <v>10</v>
      </c>
      <c r="C2151">
        <v>16</v>
      </c>
      <c r="D2151">
        <v>20</v>
      </c>
      <c r="E2151">
        <f t="shared" si="33"/>
        <v>2.0479617070862091E-23</v>
      </c>
    </row>
    <row r="2152" spans="1:5" x14ac:dyDescent="0.25">
      <c r="A2152">
        <v>2</v>
      </c>
      <c r="B2152">
        <v>10</v>
      </c>
      <c r="C2152">
        <v>17</v>
      </c>
      <c r="D2152">
        <v>19</v>
      </c>
      <c r="E2152">
        <f t="shared" si="33"/>
        <v>1.9676494832789075E-22</v>
      </c>
    </row>
    <row r="2153" spans="1:5" x14ac:dyDescent="0.25">
      <c r="A2153">
        <v>2</v>
      </c>
      <c r="B2153">
        <v>10</v>
      </c>
      <c r="C2153">
        <v>18</v>
      </c>
      <c r="D2153">
        <v>18</v>
      </c>
      <c r="E2153">
        <f t="shared" si="33"/>
        <v>1.4242034355161609E-21</v>
      </c>
    </row>
    <row r="2154" spans="1:5" x14ac:dyDescent="0.25">
      <c r="A2154">
        <v>2</v>
      </c>
      <c r="B2154">
        <v>10</v>
      </c>
      <c r="C2154">
        <v>19</v>
      </c>
      <c r="D2154">
        <v>17</v>
      </c>
      <c r="E2154">
        <f t="shared" si="33"/>
        <v>7.9268164897807392E-21</v>
      </c>
    </row>
    <row r="2155" spans="1:5" x14ac:dyDescent="0.25">
      <c r="A2155">
        <v>2</v>
      </c>
      <c r="B2155">
        <v>10</v>
      </c>
      <c r="C2155">
        <v>20</v>
      </c>
      <c r="D2155">
        <v>16</v>
      </c>
      <c r="E2155">
        <f t="shared" si="33"/>
        <v>3.4437613861158573E-20</v>
      </c>
    </row>
    <row r="2156" spans="1:5" x14ac:dyDescent="0.25">
      <c r="A2156">
        <v>2</v>
      </c>
      <c r="B2156">
        <v>10</v>
      </c>
      <c r="C2156">
        <v>21</v>
      </c>
      <c r="D2156">
        <v>15</v>
      </c>
      <c r="E2156">
        <f t="shared" si="33"/>
        <v>1.1807181895254352E-19</v>
      </c>
    </row>
    <row r="2157" spans="1:5" x14ac:dyDescent="0.25">
      <c r="A2157">
        <v>2</v>
      </c>
      <c r="B2157">
        <v>10</v>
      </c>
      <c r="C2157">
        <v>22</v>
      </c>
      <c r="D2157">
        <v>14</v>
      </c>
      <c r="E2157">
        <f t="shared" si="33"/>
        <v>3.220140516887553E-19</v>
      </c>
    </row>
    <row r="2158" spans="1:5" x14ac:dyDescent="0.25">
      <c r="A2158">
        <v>2</v>
      </c>
      <c r="B2158">
        <v>10</v>
      </c>
      <c r="C2158">
        <v>23</v>
      </c>
      <c r="D2158">
        <v>13</v>
      </c>
      <c r="E2158">
        <f t="shared" si="33"/>
        <v>7.0236398230663285E-19</v>
      </c>
    </row>
    <row r="2159" spans="1:5" x14ac:dyDescent="0.25">
      <c r="A2159">
        <v>2</v>
      </c>
      <c r="B2159">
        <v>10</v>
      </c>
      <c r="C2159">
        <v>24</v>
      </c>
      <c r="D2159">
        <v>12</v>
      </c>
      <c r="E2159">
        <f t="shared" si="33"/>
        <v>1.2291369690366075E-18</v>
      </c>
    </row>
    <row r="2160" spans="1:5" x14ac:dyDescent="0.25">
      <c r="A2160">
        <v>2</v>
      </c>
      <c r="B2160">
        <v>10</v>
      </c>
      <c r="C2160">
        <v>25</v>
      </c>
      <c r="D2160">
        <v>11</v>
      </c>
      <c r="E2160">
        <f t="shared" si="33"/>
        <v>1.7278153964743174E-18</v>
      </c>
    </row>
    <row r="2161" spans="1:5" x14ac:dyDescent="0.25">
      <c r="A2161">
        <v>2</v>
      </c>
      <c r="B2161">
        <v>10</v>
      </c>
      <c r="C2161">
        <v>26</v>
      </c>
      <c r="D2161">
        <v>10</v>
      </c>
      <c r="E2161">
        <f t="shared" si="33"/>
        <v>1.9493301908941001E-18</v>
      </c>
    </row>
    <row r="2162" spans="1:5" x14ac:dyDescent="0.25">
      <c r="A2162">
        <v>2</v>
      </c>
      <c r="B2162">
        <v>10</v>
      </c>
      <c r="C2162">
        <v>27</v>
      </c>
      <c r="D2162">
        <v>9</v>
      </c>
      <c r="E2162">
        <f t="shared" si="33"/>
        <v>1.7598119778905072E-18</v>
      </c>
    </row>
    <row r="2163" spans="1:5" x14ac:dyDescent="0.25">
      <c r="A2163">
        <v>2</v>
      </c>
      <c r="B2163">
        <v>10</v>
      </c>
      <c r="C2163">
        <v>28</v>
      </c>
      <c r="D2163">
        <v>8</v>
      </c>
      <c r="E2163">
        <f t="shared" si="33"/>
        <v>1.2644027236104064E-18</v>
      </c>
    </row>
    <row r="2164" spans="1:5" x14ac:dyDescent="0.25">
      <c r="A2164">
        <v>2</v>
      </c>
      <c r="B2164">
        <v>10</v>
      </c>
      <c r="C2164">
        <v>29</v>
      </c>
      <c r="D2164">
        <v>7</v>
      </c>
      <c r="E2164">
        <f t="shared" si="33"/>
        <v>7.1697932220053743E-19</v>
      </c>
    </row>
    <row r="2165" spans="1:5" x14ac:dyDescent="0.25">
      <c r="A2165">
        <v>2</v>
      </c>
      <c r="B2165">
        <v>10</v>
      </c>
      <c r="C2165">
        <v>30</v>
      </c>
      <c r="D2165">
        <v>6</v>
      </c>
      <c r="E2165">
        <f t="shared" si="33"/>
        <v>3.1698033192023733E-19</v>
      </c>
    </row>
    <row r="2166" spans="1:5" x14ac:dyDescent="0.25">
      <c r="A2166">
        <v>2</v>
      </c>
      <c r="B2166">
        <v>10</v>
      </c>
      <c r="C2166">
        <v>31</v>
      </c>
      <c r="D2166">
        <v>5</v>
      </c>
      <c r="E2166">
        <f t="shared" si="33"/>
        <v>1.0736430597298364E-19</v>
      </c>
    </row>
    <row r="2167" spans="1:5" x14ac:dyDescent="0.25">
      <c r="A2167">
        <v>2</v>
      </c>
      <c r="B2167">
        <v>10</v>
      </c>
      <c r="C2167">
        <v>32</v>
      </c>
      <c r="D2167">
        <v>4</v>
      </c>
      <c r="E2167">
        <f t="shared" si="33"/>
        <v>2.7160613118165508E-20</v>
      </c>
    </row>
    <row r="2168" spans="1:5" x14ac:dyDescent="0.25">
      <c r="A2168">
        <v>2</v>
      </c>
      <c r="B2168">
        <v>10</v>
      </c>
      <c r="C2168">
        <v>33</v>
      </c>
      <c r="D2168">
        <v>3</v>
      </c>
      <c r="E2168">
        <f t="shared" si="33"/>
        <v>4.9382932942119107E-21</v>
      </c>
    </row>
    <row r="2169" spans="1:5" x14ac:dyDescent="0.25">
      <c r="A2169">
        <v>2</v>
      </c>
      <c r="B2169">
        <v>10</v>
      </c>
      <c r="C2169">
        <v>34</v>
      </c>
      <c r="D2169">
        <v>2</v>
      </c>
      <c r="E2169">
        <f t="shared" si="33"/>
        <v>6.0623549391859776E-22</v>
      </c>
    </row>
    <row r="2170" spans="1:5" x14ac:dyDescent="0.25">
      <c r="A2170">
        <v>2</v>
      </c>
      <c r="B2170">
        <v>10</v>
      </c>
      <c r="C2170">
        <v>35</v>
      </c>
      <c r="D2170">
        <v>1</v>
      </c>
      <c r="E2170">
        <f t="shared" si="33"/>
        <v>4.4745953122563156E-23</v>
      </c>
    </row>
    <row r="2171" spans="1:5" x14ac:dyDescent="0.25">
      <c r="A2171">
        <v>2</v>
      </c>
      <c r="B2171">
        <v>10</v>
      </c>
      <c r="C2171">
        <v>36</v>
      </c>
      <c r="D2171">
        <v>0</v>
      </c>
      <c r="E2171">
        <f t="shared" si="33"/>
        <v>1.4915317707521058E-24</v>
      </c>
    </row>
    <row r="2172" spans="1:5" x14ac:dyDescent="0.25">
      <c r="A2172">
        <v>2</v>
      </c>
      <c r="B2172">
        <v>11</v>
      </c>
      <c r="C2172">
        <v>10</v>
      </c>
      <c r="D2172">
        <v>25</v>
      </c>
      <c r="E2172">
        <f t="shared" si="33"/>
        <v>2.7006869882793749E-30</v>
      </c>
    </row>
    <row r="2173" spans="1:5" x14ac:dyDescent="0.25">
      <c r="A2173">
        <v>2</v>
      </c>
      <c r="B2173">
        <v>11</v>
      </c>
      <c r="C2173">
        <v>11</v>
      </c>
      <c r="D2173">
        <v>24</v>
      </c>
      <c r="E2173">
        <f t="shared" si="33"/>
        <v>3.3758587353492191E-28</v>
      </c>
    </row>
    <row r="2174" spans="1:5" x14ac:dyDescent="0.25">
      <c r="A2174">
        <v>2</v>
      </c>
      <c r="B2174">
        <v>11</v>
      </c>
      <c r="C2174">
        <v>12</v>
      </c>
      <c r="D2174">
        <v>23</v>
      </c>
      <c r="E2174">
        <f t="shared" si="33"/>
        <v>1.8229637170885771E-26</v>
      </c>
    </row>
    <row r="2175" spans="1:5" x14ac:dyDescent="0.25">
      <c r="A2175">
        <v>2</v>
      </c>
      <c r="B2175">
        <v>11</v>
      </c>
      <c r="C2175">
        <v>13</v>
      </c>
      <c r="D2175">
        <v>22</v>
      </c>
      <c r="E2175">
        <f t="shared" si="33"/>
        <v>5.697930182387119E-25</v>
      </c>
    </row>
    <row r="2176" spans="1:5" x14ac:dyDescent="0.25">
      <c r="A2176">
        <v>2</v>
      </c>
      <c r="B2176">
        <v>11</v>
      </c>
      <c r="C2176">
        <v>14</v>
      </c>
      <c r="D2176">
        <v>21</v>
      </c>
      <c r="E2176">
        <f t="shared" si="33"/>
        <v>1.1640057372590834E-23</v>
      </c>
    </row>
    <row r="2177" spans="1:5" x14ac:dyDescent="0.25">
      <c r="A2177">
        <v>2</v>
      </c>
      <c r="B2177">
        <v>11</v>
      </c>
      <c r="C2177">
        <v>15</v>
      </c>
      <c r="D2177">
        <v>20</v>
      </c>
      <c r="E2177">
        <f t="shared" si="33"/>
        <v>1.6622001928059698E-22</v>
      </c>
    </row>
    <row r="2178" spans="1:5" x14ac:dyDescent="0.25">
      <c r="A2178">
        <v>2</v>
      </c>
      <c r="B2178">
        <v>11</v>
      </c>
      <c r="C2178">
        <v>16</v>
      </c>
      <c r="D2178">
        <v>19</v>
      </c>
      <c r="E2178">
        <f t="shared" si="33"/>
        <v>1.7314585341728856E-21</v>
      </c>
    </row>
    <row r="2179" spans="1:5" x14ac:dyDescent="0.25">
      <c r="A2179">
        <v>2</v>
      </c>
      <c r="B2179">
        <v>11</v>
      </c>
      <c r="C2179">
        <v>17</v>
      </c>
      <c r="D2179">
        <v>18</v>
      </c>
      <c r="E2179">
        <f t="shared" si="33"/>
        <v>1.3546116767352588E-20</v>
      </c>
    </row>
    <row r="2180" spans="1:5" x14ac:dyDescent="0.25">
      <c r="A2180">
        <v>2</v>
      </c>
      <c r="B2180">
        <v>11</v>
      </c>
      <c r="C2180">
        <v>18</v>
      </c>
      <c r="D2180">
        <v>17</v>
      </c>
      <c r="E2180">
        <f t="shared" si="33"/>
        <v>8.1276700604115425E-20</v>
      </c>
    </row>
    <row r="2181" spans="1:5" x14ac:dyDescent="0.25">
      <c r="A2181">
        <v>2</v>
      </c>
      <c r="B2181">
        <v>11</v>
      </c>
      <c r="C2181">
        <v>19</v>
      </c>
      <c r="D2181">
        <v>16</v>
      </c>
      <c r="E2181">
        <f t="shared" si="33"/>
        <v>3.7976657182858633E-19</v>
      </c>
    </row>
    <row r="2182" spans="1:5" x14ac:dyDescent="0.25">
      <c r="A2182">
        <v>2</v>
      </c>
      <c r="B2182">
        <v>11</v>
      </c>
      <c r="C2182">
        <v>20</v>
      </c>
      <c r="D2182">
        <v>15</v>
      </c>
      <c r="E2182">
        <f t="shared" si="33"/>
        <v>1.3975409843291985E-18</v>
      </c>
    </row>
    <row r="2183" spans="1:5" x14ac:dyDescent="0.25">
      <c r="A2183">
        <v>2</v>
      </c>
      <c r="B2183">
        <v>11</v>
      </c>
      <c r="C2183">
        <v>21</v>
      </c>
      <c r="D2183">
        <v>14</v>
      </c>
      <c r="E2183">
        <f t="shared" si="33"/>
        <v>4.0837236555073931E-18</v>
      </c>
    </row>
    <row r="2184" spans="1:5" x14ac:dyDescent="0.25">
      <c r="A2184">
        <v>2</v>
      </c>
      <c r="B2184">
        <v>11</v>
      </c>
      <c r="C2184">
        <v>22</v>
      </c>
      <c r="D2184">
        <v>13</v>
      </c>
      <c r="E2184">
        <f t="shared" si="33"/>
        <v>9.5286885295172594E-18</v>
      </c>
    </row>
    <row r="2185" spans="1:5" x14ac:dyDescent="0.25">
      <c r="A2185">
        <v>2</v>
      </c>
      <c r="B2185">
        <v>11</v>
      </c>
      <c r="C2185">
        <v>23</v>
      </c>
      <c r="D2185">
        <v>12</v>
      </c>
      <c r="E2185">
        <f t="shared" si="33"/>
        <v>1.781450464214096E-17</v>
      </c>
    </row>
    <row r="2186" spans="1:5" x14ac:dyDescent="0.25">
      <c r="A2186">
        <v>2</v>
      </c>
      <c r="B2186">
        <v>11</v>
      </c>
      <c r="C2186">
        <v>24</v>
      </c>
      <c r="D2186">
        <v>11</v>
      </c>
      <c r="E2186">
        <f t="shared" si="33"/>
        <v>2.6721756963211435E-17</v>
      </c>
    </row>
    <row r="2187" spans="1:5" x14ac:dyDescent="0.25">
      <c r="A2187">
        <v>2</v>
      </c>
      <c r="B2187">
        <v>11</v>
      </c>
      <c r="C2187">
        <v>25</v>
      </c>
      <c r="D2187">
        <v>10</v>
      </c>
      <c r="E2187">
        <f t="shared" si="33"/>
        <v>3.2137366374422288E-17</v>
      </c>
    </row>
    <row r="2188" spans="1:5" x14ac:dyDescent="0.25">
      <c r="A2188">
        <v>2</v>
      </c>
      <c r="B2188">
        <v>11</v>
      </c>
      <c r="C2188">
        <v>26</v>
      </c>
      <c r="D2188">
        <v>9</v>
      </c>
      <c r="E2188">
        <f t="shared" si="33"/>
        <v>3.0901313821559882E-17</v>
      </c>
    </row>
    <row r="2189" spans="1:5" x14ac:dyDescent="0.25">
      <c r="A2189">
        <v>2</v>
      </c>
      <c r="B2189">
        <v>11</v>
      </c>
      <c r="C2189">
        <v>27</v>
      </c>
      <c r="D2189">
        <v>8</v>
      </c>
      <c r="E2189">
        <f t="shared" si="33"/>
        <v>2.3630416451781083E-17</v>
      </c>
    </row>
    <row r="2190" spans="1:5" x14ac:dyDescent="0.25">
      <c r="A2190">
        <v>2</v>
      </c>
      <c r="B2190">
        <v>11</v>
      </c>
      <c r="C2190">
        <v>28</v>
      </c>
      <c r="D2190">
        <v>7</v>
      </c>
      <c r="E2190">
        <f t="shared" ref="E2190:E2253" si="34">COMBIN(A$4,A2190)*COMBIN(B$4,B2190)*COMBIN(C$4,C2190)*COMBIN(D$4,D2190)/COMBIN($G$4,$F$4)</f>
        <v>1.4253267066153675E-17</v>
      </c>
    </row>
    <row r="2191" spans="1:5" x14ac:dyDescent="0.25">
      <c r="A2191">
        <v>2</v>
      </c>
      <c r="B2191">
        <v>11</v>
      </c>
      <c r="C2191">
        <v>29</v>
      </c>
      <c r="D2191">
        <v>6</v>
      </c>
      <c r="E2191">
        <f t="shared" si="34"/>
        <v>6.6998115610413814E-18</v>
      </c>
    </row>
    <row r="2192" spans="1:5" x14ac:dyDescent="0.25">
      <c r="A2192">
        <v>2</v>
      </c>
      <c r="B2192">
        <v>11</v>
      </c>
      <c r="C2192">
        <v>30</v>
      </c>
      <c r="D2192">
        <v>5</v>
      </c>
      <c r="E2192">
        <f t="shared" si="34"/>
        <v>2.4119321619748965E-18</v>
      </c>
    </row>
    <row r="2193" spans="1:5" x14ac:dyDescent="0.25">
      <c r="A2193">
        <v>2</v>
      </c>
      <c r="B2193">
        <v>11</v>
      </c>
      <c r="C2193">
        <v>31</v>
      </c>
      <c r="D2193">
        <v>4</v>
      </c>
      <c r="E2193">
        <f t="shared" si="34"/>
        <v>6.4836886074594022E-19</v>
      </c>
    </row>
    <row r="2194" spans="1:5" x14ac:dyDescent="0.25">
      <c r="A2194">
        <v>2</v>
      </c>
      <c r="B2194">
        <v>11</v>
      </c>
      <c r="C2194">
        <v>32</v>
      </c>
      <c r="D2194">
        <v>3</v>
      </c>
      <c r="E2194">
        <f t="shared" si="34"/>
        <v>1.2525307537137478E-19</v>
      </c>
    </row>
    <row r="2195" spans="1:5" x14ac:dyDescent="0.25">
      <c r="A2195">
        <v>2</v>
      </c>
      <c r="B2195">
        <v>11</v>
      </c>
      <c r="C2195">
        <v>33</v>
      </c>
      <c r="D2195">
        <v>2</v>
      </c>
      <c r="E2195">
        <f t="shared" si="34"/>
        <v>1.6337357657135842E-20</v>
      </c>
    </row>
    <row r="2196" spans="1:5" x14ac:dyDescent="0.25">
      <c r="A2196">
        <v>2</v>
      </c>
      <c r="B2196">
        <v>11</v>
      </c>
      <c r="C2196">
        <v>34</v>
      </c>
      <c r="D2196">
        <v>1</v>
      </c>
      <c r="E2196">
        <f t="shared" si="34"/>
        <v>1.2813613848733997E-21</v>
      </c>
    </row>
    <row r="2197" spans="1:5" x14ac:dyDescent="0.25">
      <c r="A2197">
        <v>2</v>
      </c>
      <c r="B2197">
        <v>11</v>
      </c>
      <c r="C2197">
        <v>35</v>
      </c>
      <c r="D2197">
        <v>0</v>
      </c>
      <c r="E2197">
        <f t="shared" si="34"/>
        <v>4.5396803349800435E-23</v>
      </c>
    </row>
    <row r="2198" spans="1:5" x14ac:dyDescent="0.25">
      <c r="A2198">
        <v>2</v>
      </c>
      <c r="B2198">
        <v>12</v>
      </c>
      <c r="C2198">
        <v>9</v>
      </c>
      <c r="D2198">
        <v>25</v>
      </c>
      <c r="E2198">
        <f t="shared" si="34"/>
        <v>1.1172484862227172E-29</v>
      </c>
    </row>
    <row r="2199" spans="1:5" x14ac:dyDescent="0.25">
      <c r="A2199">
        <v>2</v>
      </c>
      <c r="B2199">
        <v>12</v>
      </c>
      <c r="C2199">
        <v>10</v>
      </c>
      <c r="D2199">
        <v>24</v>
      </c>
      <c r="E2199">
        <f t="shared" si="34"/>
        <v>1.5641478807118043E-27</v>
      </c>
    </row>
    <row r="2200" spans="1:5" x14ac:dyDescent="0.25">
      <c r="A2200">
        <v>2</v>
      </c>
      <c r="B2200">
        <v>12</v>
      </c>
      <c r="C2200">
        <v>11</v>
      </c>
      <c r="D2200">
        <v>23</v>
      </c>
      <c r="E2200">
        <f t="shared" si="34"/>
        <v>9.3848872842708294E-26</v>
      </c>
    </row>
    <row r="2201" spans="1:5" x14ac:dyDescent="0.25">
      <c r="A2201">
        <v>2</v>
      </c>
      <c r="B2201">
        <v>12</v>
      </c>
      <c r="C2201">
        <v>12</v>
      </c>
      <c r="D2201">
        <v>22</v>
      </c>
      <c r="E2201">
        <f t="shared" si="34"/>
        <v>3.2377861130734339E-24</v>
      </c>
    </row>
    <row r="2202" spans="1:5" x14ac:dyDescent="0.25">
      <c r="A2202">
        <v>2</v>
      </c>
      <c r="B2202">
        <v>12</v>
      </c>
      <c r="C2202">
        <v>13</v>
      </c>
      <c r="D2202">
        <v>21</v>
      </c>
      <c r="E2202">
        <f t="shared" si="34"/>
        <v>7.2601127073915883E-23</v>
      </c>
    </row>
    <row r="2203" spans="1:5" x14ac:dyDescent="0.25">
      <c r="A2203">
        <v>2</v>
      </c>
      <c r="B2203">
        <v>12</v>
      </c>
      <c r="C2203">
        <v>14</v>
      </c>
      <c r="D2203">
        <v>20</v>
      </c>
      <c r="E2203">
        <f t="shared" si="34"/>
        <v>1.1325775823530875E-21</v>
      </c>
    </row>
    <row r="2204" spans="1:5" x14ac:dyDescent="0.25">
      <c r="A2204">
        <v>2</v>
      </c>
      <c r="B2204">
        <v>12</v>
      </c>
      <c r="C2204">
        <v>15</v>
      </c>
      <c r="D2204">
        <v>19</v>
      </c>
      <c r="E2204">
        <f t="shared" si="34"/>
        <v>1.2835879266668321E-20</v>
      </c>
    </row>
    <row r="2205" spans="1:5" x14ac:dyDescent="0.25">
      <c r="A2205">
        <v>2</v>
      </c>
      <c r="B2205">
        <v>12</v>
      </c>
      <c r="C2205">
        <v>16</v>
      </c>
      <c r="D2205">
        <v>18</v>
      </c>
      <c r="E2205">
        <f t="shared" si="34"/>
        <v>1.0887576163691884E-19</v>
      </c>
    </row>
    <row r="2206" spans="1:5" x14ac:dyDescent="0.25">
      <c r="A2206">
        <v>2</v>
      </c>
      <c r="B2206">
        <v>12</v>
      </c>
      <c r="C2206">
        <v>17</v>
      </c>
      <c r="D2206">
        <v>17</v>
      </c>
      <c r="E2206">
        <f t="shared" si="34"/>
        <v>7.060913364982533E-19</v>
      </c>
    </row>
    <row r="2207" spans="1:5" x14ac:dyDescent="0.25">
      <c r="A2207">
        <v>2</v>
      </c>
      <c r="B2207">
        <v>12</v>
      </c>
      <c r="C2207">
        <v>18</v>
      </c>
      <c r="D2207">
        <v>16</v>
      </c>
      <c r="E2207">
        <f t="shared" si="34"/>
        <v>3.5566082134726804E-18</v>
      </c>
    </row>
    <row r="2208" spans="1:5" x14ac:dyDescent="0.25">
      <c r="A2208">
        <v>2</v>
      </c>
      <c r="B2208">
        <v>12</v>
      </c>
      <c r="C2208">
        <v>19</v>
      </c>
      <c r="D2208">
        <v>15</v>
      </c>
      <c r="E2208">
        <f t="shared" si="34"/>
        <v>1.4076680929112928E-17</v>
      </c>
    </row>
    <row r="2209" spans="1:5" x14ac:dyDescent="0.25">
      <c r="A2209">
        <v>2</v>
      </c>
      <c r="B2209">
        <v>12</v>
      </c>
      <c r="C2209">
        <v>20</v>
      </c>
      <c r="D2209">
        <v>14</v>
      </c>
      <c r="E2209">
        <f t="shared" si="34"/>
        <v>4.4149590186763312E-17</v>
      </c>
    </row>
    <row r="2210" spans="1:5" x14ac:dyDescent="0.25">
      <c r="A2210">
        <v>2</v>
      </c>
      <c r="B2210">
        <v>12</v>
      </c>
      <c r="C2210">
        <v>21</v>
      </c>
      <c r="D2210">
        <v>13</v>
      </c>
      <c r="E2210">
        <f t="shared" si="34"/>
        <v>1.1037397546690819E-16</v>
      </c>
    </row>
    <row r="2211" spans="1:5" x14ac:dyDescent="0.25">
      <c r="A2211">
        <v>2</v>
      </c>
      <c r="B2211">
        <v>12</v>
      </c>
      <c r="C2211">
        <v>22</v>
      </c>
      <c r="D2211">
        <v>12</v>
      </c>
      <c r="E2211">
        <f t="shared" si="34"/>
        <v>2.2074795093381652E-16</v>
      </c>
    </row>
    <row r="2212" spans="1:5" x14ac:dyDescent="0.25">
      <c r="A2212">
        <v>2</v>
      </c>
      <c r="B2212">
        <v>12</v>
      </c>
      <c r="C2212">
        <v>23</v>
      </c>
      <c r="D2212">
        <v>11</v>
      </c>
      <c r="E2212">
        <f t="shared" si="34"/>
        <v>3.5374516360822751E-16</v>
      </c>
    </row>
    <row r="2213" spans="1:5" x14ac:dyDescent="0.25">
      <c r="A2213">
        <v>2</v>
      </c>
      <c r="B2213">
        <v>12</v>
      </c>
      <c r="C2213">
        <v>24</v>
      </c>
      <c r="D2213">
        <v>10</v>
      </c>
      <c r="E2213">
        <f t="shared" si="34"/>
        <v>4.5397295996389188E-16</v>
      </c>
    </row>
    <row r="2214" spans="1:5" x14ac:dyDescent="0.25">
      <c r="A2214">
        <v>2</v>
      </c>
      <c r="B2214">
        <v>12</v>
      </c>
      <c r="C2214">
        <v>25</v>
      </c>
      <c r="D2214">
        <v>9</v>
      </c>
      <c r="E2214">
        <f t="shared" si="34"/>
        <v>4.653222839629895E-16</v>
      </c>
    </row>
    <row r="2215" spans="1:5" x14ac:dyDescent="0.25">
      <c r="A2215">
        <v>2</v>
      </c>
      <c r="B2215">
        <v>12</v>
      </c>
      <c r="C2215">
        <v>26</v>
      </c>
      <c r="D2215">
        <v>8</v>
      </c>
      <c r="E2215">
        <f t="shared" si="34"/>
        <v>3.7899552539971968E-16</v>
      </c>
    </row>
    <row r="2216" spans="1:5" x14ac:dyDescent="0.25">
      <c r="A2216">
        <v>2</v>
      </c>
      <c r="B2216">
        <v>12</v>
      </c>
      <c r="C2216">
        <v>27</v>
      </c>
      <c r="D2216">
        <v>7</v>
      </c>
      <c r="E2216">
        <f t="shared" si="34"/>
        <v>2.4330576939241265E-16</v>
      </c>
    </row>
    <row r="2217" spans="1:5" x14ac:dyDescent="0.25">
      <c r="A2217">
        <v>2</v>
      </c>
      <c r="B2217">
        <v>12</v>
      </c>
      <c r="C2217">
        <v>28</v>
      </c>
      <c r="D2217">
        <v>6</v>
      </c>
      <c r="E2217">
        <f t="shared" si="34"/>
        <v>1.216528846962063E-16</v>
      </c>
    </row>
    <row r="2218" spans="1:5" x14ac:dyDescent="0.25">
      <c r="A2218">
        <v>2</v>
      </c>
      <c r="B2218">
        <v>12</v>
      </c>
      <c r="C2218">
        <v>29</v>
      </c>
      <c r="D2218">
        <v>5</v>
      </c>
      <c r="E2218">
        <f t="shared" si="34"/>
        <v>4.6563690349237597E-17</v>
      </c>
    </row>
    <row r="2219" spans="1:5" x14ac:dyDescent="0.25">
      <c r="A2219">
        <v>2</v>
      </c>
      <c r="B2219">
        <v>12</v>
      </c>
      <c r="C2219">
        <v>30</v>
      </c>
      <c r="D2219">
        <v>4</v>
      </c>
      <c r="E2219">
        <f t="shared" si="34"/>
        <v>1.3303911528353601E-17</v>
      </c>
    </row>
    <row r="2220" spans="1:5" x14ac:dyDescent="0.25">
      <c r="A2220">
        <v>2</v>
      </c>
      <c r="B2220">
        <v>12</v>
      </c>
      <c r="C2220">
        <v>31</v>
      </c>
      <c r="D2220">
        <v>3</v>
      </c>
      <c r="E2220">
        <f t="shared" si="34"/>
        <v>2.7310082316268392E-18</v>
      </c>
    </row>
    <row r="2221" spans="1:5" x14ac:dyDescent="0.25">
      <c r="A2221">
        <v>2</v>
      </c>
      <c r="B2221">
        <v>12</v>
      </c>
      <c r="C2221">
        <v>32</v>
      </c>
      <c r="D2221">
        <v>2</v>
      </c>
      <c r="E2221">
        <f t="shared" si="34"/>
        <v>3.7848211905698036E-19</v>
      </c>
    </row>
    <row r="2222" spans="1:5" x14ac:dyDescent="0.25">
      <c r="A2222">
        <v>2</v>
      </c>
      <c r="B2222">
        <v>12</v>
      </c>
      <c r="C2222">
        <v>33</v>
      </c>
      <c r="D2222">
        <v>1</v>
      </c>
      <c r="E2222">
        <f t="shared" si="34"/>
        <v>3.1540176588081697E-20</v>
      </c>
    </row>
    <row r="2223" spans="1:5" x14ac:dyDescent="0.25">
      <c r="A2223">
        <v>2</v>
      </c>
      <c r="B2223">
        <v>12</v>
      </c>
      <c r="C2223">
        <v>34</v>
      </c>
      <c r="D2223">
        <v>0</v>
      </c>
      <c r="E2223">
        <f t="shared" si="34"/>
        <v>1.1873948833160169E-21</v>
      </c>
    </row>
    <row r="2224" spans="1:5" x14ac:dyDescent="0.25">
      <c r="A2224">
        <v>2</v>
      </c>
      <c r="B2224">
        <v>13</v>
      </c>
      <c r="C2224">
        <v>8</v>
      </c>
      <c r="D2224">
        <v>25</v>
      </c>
      <c r="E2224">
        <f t="shared" si="34"/>
        <v>3.7588400487897907E-29</v>
      </c>
    </row>
    <row r="2225" spans="1:5" x14ac:dyDescent="0.25">
      <c r="A2225">
        <v>2</v>
      </c>
      <c r="B2225">
        <v>13</v>
      </c>
      <c r="C2225">
        <v>9</v>
      </c>
      <c r="D2225">
        <v>24</v>
      </c>
      <c r="E2225">
        <f t="shared" si="34"/>
        <v>5.9514967439171674E-27</v>
      </c>
    </row>
    <row r="2226" spans="1:5" x14ac:dyDescent="0.25">
      <c r="A2226">
        <v>2</v>
      </c>
      <c r="B2226">
        <v>13</v>
      </c>
      <c r="C2226">
        <v>10</v>
      </c>
      <c r="D2226">
        <v>23</v>
      </c>
      <c r="E2226">
        <f t="shared" si="34"/>
        <v>3.9994058119123374E-25</v>
      </c>
    </row>
    <row r="2227" spans="1:5" x14ac:dyDescent="0.25">
      <c r="A2227">
        <v>2</v>
      </c>
      <c r="B2227">
        <v>13</v>
      </c>
      <c r="C2227">
        <v>11</v>
      </c>
      <c r="D2227">
        <v>22</v>
      </c>
      <c r="E2227">
        <f t="shared" si="34"/>
        <v>1.5331055612330629E-23</v>
      </c>
    </row>
    <row r="2228" spans="1:5" x14ac:dyDescent="0.25">
      <c r="A2228">
        <v>2</v>
      </c>
      <c r="B2228">
        <v>13</v>
      </c>
      <c r="C2228">
        <v>12</v>
      </c>
      <c r="D2228">
        <v>21</v>
      </c>
      <c r="E2228">
        <f t="shared" si="34"/>
        <v>3.7944362640518283E-22</v>
      </c>
    </row>
    <row r="2229" spans="1:5" x14ac:dyDescent="0.25">
      <c r="A2229">
        <v>2</v>
      </c>
      <c r="B2229">
        <v>13</v>
      </c>
      <c r="C2229">
        <v>13</v>
      </c>
      <c r="D2229">
        <v>20</v>
      </c>
      <c r="E2229">
        <f t="shared" si="34"/>
        <v>6.4972424029072095E-21</v>
      </c>
    </row>
    <row r="2230" spans="1:5" x14ac:dyDescent="0.25">
      <c r="A2230">
        <v>2</v>
      </c>
      <c r="B2230">
        <v>13</v>
      </c>
      <c r="C2230">
        <v>14</v>
      </c>
      <c r="D2230">
        <v>19</v>
      </c>
      <c r="E2230">
        <f t="shared" si="34"/>
        <v>8.0442048797898789E-20</v>
      </c>
    </row>
    <row r="2231" spans="1:5" x14ac:dyDescent="0.25">
      <c r="A2231">
        <v>2</v>
      </c>
      <c r="B2231">
        <v>13</v>
      </c>
      <c r="C2231">
        <v>15</v>
      </c>
      <c r="D2231">
        <v>18</v>
      </c>
      <c r="E2231">
        <f t="shared" si="34"/>
        <v>7.4236519319203736E-19</v>
      </c>
    </row>
    <row r="2232" spans="1:5" x14ac:dyDescent="0.25">
      <c r="A2232">
        <v>2</v>
      </c>
      <c r="B2232">
        <v>13</v>
      </c>
      <c r="C2232">
        <v>16</v>
      </c>
      <c r="D2232">
        <v>17</v>
      </c>
      <c r="E2232">
        <f t="shared" si="34"/>
        <v>5.2197552646315121E-18</v>
      </c>
    </row>
    <row r="2233" spans="1:5" x14ac:dyDescent="0.25">
      <c r="A2233">
        <v>2</v>
      </c>
      <c r="B2233">
        <v>13</v>
      </c>
      <c r="C2233">
        <v>17</v>
      </c>
      <c r="D2233">
        <v>16</v>
      </c>
      <c r="E2233">
        <f t="shared" si="34"/>
        <v>2.8418667551882692E-17</v>
      </c>
    </row>
    <row r="2234" spans="1:5" x14ac:dyDescent="0.25">
      <c r="A2234">
        <v>2</v>
      </c>
      <c r="B2234">
        <v>13</v>
      </c>
      <c r="C2234">
        <v>18</v>
      </c>
      <c r="D2234">
        <v>15</v>
      </c>
      <c r="E2234">
        <f t="shared" si="34"/>
        <v>1.2125298155469938E-16</v>
      </c>
    </row>
    <row r="2235" spans="1:5" x14ac:dyDescent="0.25">
      <c r="A2235">
        <v>2</v>
      </c>
      <c r="B2235">
        <v>13</v>
      </c>
      <c r="C2235">
        <v>19</v>
      </c>
      <c r="D2235">
        <v>14</v>
      </c>
      <c r="E2235">
        <f t="shared" si="34"/>
        <v>4.0901125356967989E-16</v>
      </c>
    </row>
    <row r="2236" spans="1:5" x14ac:dyDescent="0.25">
      <c r="A2236">
        <v>2</v>
      </c>
      <c r="B2236">
        <v>13</v>
      </c>
      <c r="C2236">
        <v>20</v>
      </c>
      <c r="D2236">
        <v>13</v>
      </c>
      <c r="E2236">
        <f t="shared" si="34"/>
        <v>1.0975135304119754E-15</v>
      </c>
    </row>
    <row r="2237" spans="1:5" x14ac:dyDescent="0.25">
      <c r="A2237">
        <v>2</v>
      </c>
      <c r="B2237">
        <v>13</v>
      </c>
      <c r="C2237">
        <v>21</v>
      </c>
      <c r="D2237">
        <v>12</v>
      </c>
      <c r="E2237">
        <f t="shared" si="34"/>
        <v>2.3518147080256588E-15</v>
      </c>
    </row>
    <row r="2238" spans="1:5" x14ac:dyDescent="0.25">
      <c r="A2238">
        <v>2</v>
      </c>
      <c r="B2238">
        <v>13</v>
      </c>
      <c r="C2238">
        <v>22</v>
      </c>
      <c r="D2238">
        <v>11</v>
      </c>
      <c r="E2238">
        <f t="shared" si="34"/>
        <v>4.0316823566154172E-15</v>
      </c>
    </row>
    <row r="2239" spans="1:5" x14ac:dyDescent="0.25">
      <c r="A2239">
        <v>2</v>
      </c>
      <c r="B2239">
        <v>13</v>
      </c>
      <c r="C2239">
        <v>23</v>
      </c>
      <c r="D2239">
        <v>10</v>
      </c>
      <c r="E2239">
        <f t="shared" si="34"/>
        <v>5.5274949410988163E-15</v>
      </c>
    </row>
    <row r="2240" spans="1:5" x14ac:dyDescent="0.25">
      <c r="A2240">
        <v>2</v>
      </c>
      <c r="B2240">
        <v>13</v>
      </c>
      <c r="C2240">
        <v>24</v>
      </c>
      <c r="D2240">
        <v>9</v>
      </c>
      <c r="E2240">
        <f t="shared" si="34"/>
        <v>6.0456975918268307E-15</v>
      </c>
    </row>
    <row r="2241" spans="1:5" x14ac:dyDescent="0.25">
      <c r="A2241">
        <v>2</v>
      </c>
      <c r="B2241">
        <v>13</v>
      </c>
      <c r="C2241">
        <v>25</v>
      </c>
      <c r="D2241">
        <v>8</v>
      </c>
      <c r="E2241">
        <f t="shared" si="34"/>
        <v>5.2490880267861205E-15</v>
      </c>
    </row>
    <row r="2242" spans="1:5" x14ac:dyDescent="0.25">
      <c r="A2242">
        <v>2</v>
      </c>
      <c r="B2242">
        <v>13</v>
      </c>
      <c r="C2242">
        <v>26</v>
      </c>
      <c r="D2242">
        <v>7</v>
      </c>
      <c r="E2242">
        <f t="shared" si="34"/>
        <v>3.5891200183152947E-15</v>
      </c>
    </row>
    <row r="2243" spans="1:5" x14ac:dyDescent="0.25">
      <c r="A2243">
        <v>2</v>
      </c>
      <c r="B2243">
        <v>13</v>
      </c>
      <c r="C2243">
        <v>27</v>
      </c>
      <c r="D2243">
        <v>6</v>
      </c>
      <c r="E2243">
        <f t="shared" si="34"/>
        <v>1.9099995419104783E-15</v>
      </c>
    </row>
    <row r="2244" spans="1:5" x14ac:dyDescent="0.25">
      <c r="A2244">
        <v>2</v>
      </c>
      <c r="B2244">
        <v>13</v>
      </c>
      <c r="C2244">
        <v>28</v>
      </c>
      <c r="D2244">
        <v>5</v>
      </c>
      <c r="E2244">
        <f t="shared" si="34"/>
        <v>7.7764267063498034E-16</v>
      </c>
    </row>
    <row r="2245" spans="1:5" x14ac:dyDescent="0.25">
      <c r="A2245">
        <v>2</v>
      </c>
      <c r="B2245">
        <v>13</v>
      </c>
      <c r="C2245">
        <v>29</v>
      </c>
      <c r="D2245">
        <v>4</v>
      </c>
      <c r="E2245">
        <f t="shared" si="34"/>
        <v>2.3622971111243262E-16</v>
      </c>
    </row>
    <row r="2246" spans="1:5" x14ac:dyDescent="0.25">
      <c r="A2246">
        <v>2</v>
      </c>
      <c r="B2246">
        <v>13</v>
      </c>
      <c r="C2246">
        <v>30</v>
      </c>
      <c r="D2246">
        <v>3</v>
      </c>
      <c r="E2246">
        <f t="shared" si="34"/>
        <v>5.1541027879076182E-17</v>
      </c>
    </row>
    <row r="2247" spans="1:5" x14ac:dyDescent="0.25">
      <c r="A2247">
        <v>2</v>
      </c>
      <c r="B2247">
        <v>13</v>
      </c>
      <c r="C2247">
        <v>31</v>
      </c>
      <c r="D2247">
        <v>2</v>
      </c>
      <c r="E2247">
        <f t="shared" si="34"/>
        <v>7.590193446427771E-18</v>
      </c>
    </row>
    <row r="2248" spans="1:5" x14ac:dyDescent="0.25">
      <c r="A2248">
        <v>2</v>
      </c>
      <c r="B2248">
        <v>13</v>
      </c>
      <c r="C2248">
        <v>32</v>
      </c>
      <c r="D2248">
        <v>1</v>
      </c>
      <c r="E2248">
        <f t="shared" si="34"/>
        <v>6.7204837806912531E-19</v>
      </c>
    </row>
    <row r="2249" spans="1:5" x14ac:dyDescent="0.25">
      <c r="A2249">
        <v>2</v>
      </c>
      <c r="B2249">
        <v>13</v>
      </c>
      <c r="C2249">
        <v>33</v>
      </c>
      <c r="D2249">
        <v>0</v>
      </c>
      <c r="E2249">
        <f t="shared" si="34"/>
        <v>2.6881935122765014E-20</v>
      </c>
    </row>
    <row r="2250" spans="1:5" x14ac:dyDescent="0.25">
      <c r="A2250">
        <v>2</v>
      </c>
      <c r="B2250">
        <v>14</v>
      </c>
      <c r="C2250">
        <v>7</v>
      </c>
      <c r="D2250">
        <v>25</v>
      </c>
      <c r="E2250">
        <f t="shared" si="34"/>
        <v>1.0221082300157459E-28</v>
      </c>
    </row>
    <row r="2251" spans="1:5" x14ac:dyDescent="0.25">
      <c r="A2251">
        <v>2</v>
      </c>
      <c r="B2251">
        <v>14</v>
      </c>
      <c r="C2251">
        <v>8</v>
      </c>
      <c r="D2251">
        <v>24</v>
      </c>
      <c r="E2251">
        <f t="shared" si="34"/>
        <v>1.8525711669035396E-26</v>
      </c>
    </row>
    <row r="2252" spans="1:5" x14ac:dyDescent="0.25">
      <c r="A2252">
        <v>2</v>
      </c>
      <c r="B2252">
        <v>14</v>
      </c>
      <c r="C2252">
        <v>9</v>
      </c>
      <c r="D2252">
        <v>23</v>
      </c>
      <c r="E2252">
        <f t="shared" si="34"/>
        <v>1.4079540868466901E-24</v>
      </c>
    </row>
    <row r="2253" spans="1:5" x14ac:dyDescent="0.25">
      <c r="A2253">
        <v>2</v>
      </c>
      <c r="B2253">
        <v>14</v>
      </c>
      <c r="C2253">
        <v>10</v>
      </c>
      <c r="D2253">
        <v>22</v>
      </c>
      <c r="E2253">
        <f t="shared" si="34"/>
        <v>6.0448162128617886E-23</v>
      </c>
    </row>
    <row r="2254" spans="1:5" x14ac:dyDescent="0.25">
      <c r="A2254">
        <v>2</v>
      </c>
      <c r="B2254">
        <v>14</v>
      </c>
      <c r="C2254">
        <v>11</v>
      </c>
      <c r="D2254">
        <v>21</v>
      </c>
      <c r="E2254">
        <f t="shared" ref="E2254:E2317" si="35">COMBIN(A$4,A2254)*COMBIN(B$4,B2254)*COMBIN(C$4,C2254)*COMBIN(D$4,D2254)/COMBIN($G$4,$F$4)</f>
        <v>1.6623244585369925E-21</v>
      </c>
    </row>
    <row r="2255" spans="1:5" x14ac:dyDescent="0.25">
      <c r="A2255">
        <v>2</v>
      </c>
      <c r="B2255">
        <v>14</v>
      </c>
      <c r="C2255">
        <v>12</v>
      </c>
      <c r="D2255">
        <v>20</v>
      </c>
      <c r="E2255">
        <f t="shared" si="35"/>
        <v>3.1417932266349126E-20</v>
      </c>
    </row>
    <row r="2256" spans="1:5" x14ac:dyDescent="0.25">
      <c r="A2256">
        <v>2</v>
      </c>
      <c r="B2256">
        <v>14</v>
      </c>
      <c r="C2256">
        <v>13</v>
      </c>
      <c r="D2256">
        <v>19</v>
      </c>
      <c r="E2256">
        <f t="shared" si="35"/>
        <v>4.2696164361961657E-19</v>
      </c>
    </row>
    <row r="2257" spans="1:5" x14ac:dyDescent="0.25">
      <c r="A2257">
        <v>2</v>
      </c>
      <c r="B2257">
        <v>14</v>
      </c>
      <c r="C2257">
        <v>14</v>
      </c>
      <c r="D2257">
        <v>18</v>
      </c>
      <c r="E2257">
        <f t="shared" si="35"/>
        <v>4.3044704479202183E-18</v>
      </c>
    </row>
    <row r="2258" spans="1:5" x14ac:dyDescent="0.25">
      <c r="A2258">
        <v>2</v>
      </c>
      <c r="B2258">
        <v>14</v>
      </c>
      <c r="C2258">
        <v>15</v>
      </c>
      <c r="D2258">
        <v>17</v>
      </c>
      <c r="E2258">
        <f t="shared" si="35"/>
        <v>3.2929198926589653E-17</v>
      </c>
    </row>
    <row r="2259" spans="1:5" x14ac:dyDescent="0.25">
      <c r="A2259">
        <v>2</v>
      </c>
      <c r="B2259">
        <v>14</v>
      </c>
      <c r="C2259">
        <v>16</v>
      </c>
      <c r="D2259">
        <v>16</v>
      </c>
      <c r="E2259">
        <f t="shared" si="35"/>
        <v>1.9437374366389729E-16</v>
      </c>
    </row>
    <row r="2260" spans="1:5" x14ac:dyDescent="0.25">
      <c r="A2260">
        <v>2</v>
      </c>
      <c r="B2260">
        <v>14</v>
      </c>
      <c r="C2260">
        <v>17</v>
      </c>
      <c r="D2260">
        <v>15</v>
      </c>
      <c r="E2260">
        <f t="shared" si="35"/>
        <v>8.9640597077938554E-16</v>
      </c>
    </row>
    <row r="2261" spans="1:5" x14ac:dyDescent="0.25">
      <c r="A2261">
        <v>2</v>
      </c>
      <c r="B2261">
        <v>14</v>
      </c>
      <c r="C2261">
        <v>18</v>
      </c>
      <c r="D2261">
        <v>14</v>
      </c>
      <c r="E2261">
        <f t="shared" si="35"/>
        <v>3.2596580755613989E-15</v>
      </c>
    </row>
    <row r="2262" spans="1:5" x14ac:dyDescent="0.25">
      <c r="A2262">
        <v>2</v>
      </c>
      <c r="B2262">
        <v>14</v>
      </c>
      <c r="C2262">
        <v>19</v>
      </c>
      <c r="D2262">
        <v>13</v>
      </c>
      <c r="E2262">
        <f t="shared" si="35"/>
        <v>9.4072588321026401E-15</v>
      </c>
    </row>
    <row r="2263" spans="1:5" x14ac:dyDescent="0.25">
      <c r="A2263">
        <v>2</v>
      </c>
      <c r="B2263">
        <v>14</v>
      </c>
      <c r="C2263">
        <v>20</v>
      </c>
      <c r="D2263">
        <v>12</v>
      </c>
      <c r="E2263">
        <f t="shared" si="35"/>
        <v>2.1636695313836089E-14</v>
      </c>
    </row>
    <row r="2264" spans="1:5" x14ac:dyDescent="0.25">
      <c r="A2264">
        <v>2</v>
      </c>
      <c r="B2264">
        <v>14</v>
      </c>
      <c r="C2264">
        <v>21</v>
      </c>
      <c r="D2264">
        <v>11</v>
      </c>
      <c r="E2264">
        <f t="shared" si="35"/>
        <v>3.9740868943780519E-14</v>
      </c>
    </row>
    <row r="2265" spans="1:5" x14ac:dyDescent="0.25">
      <c r="A2265">
        <v>2</v>
      </c>
      <c r="B2265">
        <v>14</v>
      </c>
      <c r="C2265">
        <v>22</v>
      </c>
      <c r="D2265">
        <v>10</v>
      </c>
      <c r="E2265">
        <f t="shared" si="35"/>
        <v>5.8286607784211456E-14</v>
      </c>
    </row>
    <row r="2266" spans="1:5" x14ac:dyDescent="0.25">
      <c r="A2266">
        <v>2</v>
      </c>
      <c r="B2266">
        <v>14</v>
      </c>
      <c r="C2266">
        <v>23</v>
      </c>
      <c r="D2266">
        <v>9</v>
      </c>
      <c r="E2266">
        <f t="shared" si="35"/>
        <v>6.8106634095681848E-14</v>
      </c>
    </row>
    <row r="2267" spans="1:5" x14ac:dyDescent="0.25">
      <c r="A2267">
        <v>2</v>
      </c>
      <c r="B2267">
        <v>14</v>
      </c>
      <c r="C2267">
        <v>24</v>
      </c>
      <c r="D2267">
        <v>8</v>
      </c>
      <c r="E2267">
        <f t="shared" si="35"/>
        <v>6.3098793353352295E-14</v>
      </c>
    </row>
    <row r="2268" spans="1:5" x14ac:dyDescent="0.25">
      <c r="A2268">
        <v>2</v>
      </c>
      <c r="B2268">
        <v>14</v>
      </c>
      <c r="C2268">
        <v>25</v>
      </c>
      <c r="D2268">
        <v>7</v>
      </c>
      <c r="E2268">
        <f t="shared" si="35"/>
        <v>4.5992009377554597E-14</v>
      </c>
    </row>
    <row r="2269" spans="1:5" x14ac:dyDescent="0.25">
      <c r="A2269">
        <v>2</v>
      </c>
      <c r="B2269">
        <v>14</v>
      </c>
      <c r="C2269">
        <v>26</v>
      </c>
      <c r="D2269">
        <v>6</v>
      </c>
      <c r="E2269">
        <f t="shared" si="35"/>
        <v>2.6068345396184767E-14</v>
      </c>
    </row>
    <row r="2270" spans="1:5" x14ac:dyDescent="0.25">
      <c r="A2270">
        <v>2</v>
      </c>
      <c r="B2270">
        <v>14</v>
      </c>
      <c r="C2270">
        <v>27</v>
      </c>
      <c r="D2270">
        <v>5</v>
      </c>
      <c r="E2270">
        <f t="shared" si="35"/>
        <v>1.1296283005013397E-14</v>
      </c>
    </row>
    <row r="2271" spans="1:5" x14ac:dyDescent="0.25">
      <c r="A2271">
        <v>2</v>
      </c>
      <c r="B2271">
        <v>14</v>
      </c>
      <c r="C2271">
        <v>28</v>
      </c>
      <c r="D2271">
        <v>4</v>
      </c>
      <c r="E2271">
        <f t="shared" si="35"/>
        <v>3.6501594744090929E-15</v>
      </c>
    </row>
    <row r="2272" spans="1:5" x14ac:dyDescent="0.25">
      <c r="A2272">
        <v>2</v>
      </c>
      <c r="B2272">
        <v>14</v>
      </c>
      <c r="C2272">
        <v>29</v>
      </c>
      <c r="D2272">
        <v>3</v>
      </c>
      <c r="E2272">
        <f t="shared" si="35"/>
        <v>8.4674545801339456E-16</v>
      </c>
    </row>
    <row r="2273" spans="1:5" x14ac:dyDescent="0.25">
      <c r="A2273">
        <v>2</v>
      </c>
      <c r="B2273">
        <v>14</v>
      </c>
      <c r="C2273">
        <v>30</v>
      </c>
      <c r="D2273">
        <v>2</v>
      </c>
      <c r="E2273">
        <f t="shared" si="35"/>
        <v>1.3253407168905302E-16</v>
      </c>
    </row>
    <row r="2274" spans="1:5" x14ac:dyDescent="0.25">
      <c r="A2274">
        <v>2</v>
      </c>
      <c r="B2274">
        <v>14</v>
      </c>
      <c r="C2274">
        <v>31</v>
      </c>
      <c r="D2274">
        <v>1</v>
      </c>
      <c r="E2274">
        <f t="shared" si="35"/>
        <v>1.2469603519131337E-17</v>
      </c>
    </row>
    <row r="2275" spans="1:5" x14ac:dyDescent="0.25">
      <c r="A2275">
        <v>2</v>
      </c>
      <c r="B2275">
        <v>14</v>
      </c>
      <c r="C2275">
        <v>32</v>
      </c>
      <c r="D2275">
        <v>0</v>
      </c>
      <c r="E2275">
        <f t="shared" si="35"/>
        <v>5.2995814956308161E-19</v>
      </c>
    </row>
    <row r="2276" spans="1:5" x14ac:dyDescent="0.25">
      <c r="A2276">
        <v>2</v>
      </c>
      <c r="B2276">
        <v>15</v>
      </c>
      <c r="C2276">
        <v>6</v>
      </c>
      <c r="D2276">
        <v>25</v>
      </c>
      <c r="E2276">
        <f t="shared" si="35"/>
        <v>2.2232297658534587E-28</v>
      </c>
    </row>
    <row r="2277" spans="1:5" x14ac:dyDescent="0.25">
      <c r="A2277">
        <v>2</v>
      </c>
      <c r="B2277">
        <v>15</v>
      </c>
      <c r="C2277">
        <v>7</v>
      </c>
      <c r="D2277">
        <v>24</v>
      </c>
      <c r="E2277">
        <f t="shared" si="35"/>
        <v>4.6846627209055015E-26</v>
      </c>
    </row>
    <row r="2278" spans="1:5" x14ac:dyDescent="0.25">
      <c r="A2278">
        <v>2</v>
      </c>
      <c r="B2278">
        <v>15</v>
      </c>
      <c r="C2278">
        <v>8</v>
      </c>
      <c r="D2278">
        <v>23</v>
      </c>
      <c r="E2278">
        <f t="shared" si="35"/>
        <v>4.0756565671877877E-24</v>
      </c>
    </row>
    <row r="2279" spans="1:5" x14ac:dyDescent="0.25">
      <c r="A2279">
        <v>2</v>
      </c>
      <c r="B2279">
        <v>15</v>
      </c>
      <c r="C2279">
        <v>9</v>
      </c>
      <c r="D2279">
        <v>22</v>
      </c>
      <c r="E2279">
        <f t="shared" si="35"/>
        <v>1.9789576887345141E-22</v>
      </c>
    </row>
    <row r="2280" spans="1:5" x14ac:dyDescent="0.25">
      <c r="A2280">
        <v>2</v>
      </c>
      <c r="B2280">
        <v>15</v>
      </c>
      <c r="C2280">
        <v>10</v>
      </c>
      <c r="D2280">
        <v>21</v>
      </c>
      <c r="E2280">
        <f t="shared" si="35"/>
        <v>6.0951896813023058E-21</v>
      </c>
    </row>
    <row r="2281" spans="1:5" x14ac:dyDescent="0.25">
      <c r="A2281">
        <v>2</v>
      </c>
      <c r="B2281">
        <v>15</v>
      </c>
      <c r="C2281">
        <v>11</v>
      </c>
      <c r="D2281">
        <v>20</v>
      </c>
      <c r="E2281">
        <f t="shared" si="35"/>
        <v>1.2799898330734839E-19</v>
      </c>
    </row>
    <row r="2282" spans="1:5" x14ac:dyDescent="0.25">
      <c r="A2282">
        <v>2</v>
      </c>
      <c r="B2282">
        <v>15</v>
      </c>
      <c r="C2282">
        <v>12</v>
      </c>
      <c r="D2282">
        <v>19</v>
      </c>
      <c r="E2282">
        <f t="shared" si="35"/>
        <v>1.9199847496102244E-18</v>
      </c>
    </row>
    <row r="2283" spans="1:5" x14ac:dyDescent="0.25">
      <c r="A2283">
        <v>2</v>
      </c>
      <c r="B2283">
        <v>15</v>
      </c>
      <c r="C2283">
        <v>13</v>
      </c>
      <c r="D2283">
        <v>18</v>
      </c>
      <c r="E2283">
        <f t="shared" si="35"/>
        <v>2.1246424646785693E-17</v>
      </c>
    </row>
    <row r="2284" spans="1:5" x14ac:dyDescent="0.25">
      <c r="A2284">
        <v>2</v>
      </c>
      <c r="B2284">
        <v>15</v>
      </c>
      <c r="C2284">
        <v>14</v>
      </c>
      <c r="D2284">
        <v>17</v>
      </c>
      <c r="E2284">
        <f t="shared" si="35"/>
        <v>1.7755940597670895E-16</v>
      </c>
    </row>
    <row r="2285" spans="1:5" x14ac:dyDescent="0.25">
      <c r="A2285">
        <v>2</v>
      </c>
      <c r="B2285">
        <v>15</v>
      </c>
      <c r="C2285">
        <v>15</v>
      </c>
      <c r="D2285">
        <v>16</v>
      </c>
      <c r="E2285">
        <f t="shared" si="35"/>
        <v>1.1403259628281972E-15</v>
      </c>
    </row>
    <row r="2286" spans="1:5" x14ac:dyDescent="0.25">
      <c r="A2286">
        <v>2</v>
      </c>
      <c r="B2286">
        <v>15</v>
      </c>
      <c r="C2286">
        <v>16</v>
      </c>
      <c r="D2286">
        <v>15</v>
      </c>
      <c r="E2286">
        <f t="shared" si="35"/>
        <v>5.701629814140986E-15</v>
      </c>
    </row>
    <row r="2287" spans="1:5" x14ac:dyDescent="0.25">
      <c r="A2287">
        <v>2</v>
      </c>
      <c r="B2287">
        <v>15</v>
      </c>
      <c r="C2287">
        <v>17</v>
      </c>
      <c r="D2287">
        <v>14</v>
      </c>
      <c r="E2287">
        <f t="shared" si="35"/>
        <v>2.241014926948464E-14</v>
      </c>
    </row>
    <row r="2288" spans="1:5" x14ac:dyDescent="0.25">
      <c r="A2288">
        <v>2</v>
      </c>
      <c r="B2288">
        <v>15</v>
      </c>
      <c r="C2288">
        <v>18</v>
      </c>
      <c r="D2288">
        <v>13</v>
      </c>
      <c r="E2288">
        <f t="shared" si="35"/>
        <v>6.9720464393952147E-14</v>
      </c>
    </row>
    <row r="2289" spans="1:5" x14ac:dyDescent="0.25">
      <c r="A2289">
        <v>2</v>
      </c>
      <c r="B2289">
        <v>15</v>
      </c>
      <c r="C2289">
        <v>19</v>
      </c>
      <c r="D2289">
        <v>12</v>
      </c>
      <c r="E2289">
        <f t="shared" si="35"/>
        <v>1.724664119218817E-13</v>
      </c>
    </row>
    <row r="2290" spans="1:5" x14ac:dyDescent="0.25">
      <c r="A2290">
        <v>2</v>
      </c>
      <c r="B2290">
        <v>15</v>
      </c>
      <c r="C2290">
        <v>20</v>
      </c>
      <c r="D2290">
        <v>11</v>
      </c>
      <c r="E2290">
        <f t="shared" si="35"/>
        <v>3.4000521207456708E-13</v>
      </c>
    </row>
    <row r="2291" spans="1:5" x14ac:dyDescent="0.25">
      <c r="A2291">
        <v>2</v>
      </c>
      <c r="B2291">
        <v>15</v>
      </c>
      <c r="C2291">
        <v>21</v>
      </c>
      <c r="D2291">
        <v>10</v>
      </c>
      <c r="E2291">
        <f t="shared" si="35"/>
        <v>5.3429390468860458E-13</v>
      </c>
    </row>
    <row r="2292" spans="1:5" x14ac:dyDescent="0.25">
      <c r="A2292">
        <v>2</v>
      </c>
      <c r="B2292">
        <v>15</v>
      </c>
      <c r="C2292">
        <v>22</v>
      </c>
      <c r="D2292">
        <v>9</v>
      </c>
      <c r="E2292">
        <f t="shared" si="35"/>
        <v>6.6786738086075635E-13</v>
      </c>
    </row>
    <row r="2293" spans="1:5" x14ac:dyDescent="0.25">
      <c r="A2293">
        <v>2</v>
      </c>
      <c r="B2293">
        <v>15</v>
      </c>
      <c r="C2293">
        <v>23</v>
      </c>
      <c r="D2293">
        <v>8</v>
      </c>
      <c r="E2293">
        <f t="shared" si="35"/>
        <v>6.6103497798750031E-13</v>
      </c>
    </row>
    <row r="2294" spans="1:5" x14ac:dyDescent="0.25">
      <c r="A2294">
        <v>2</v>
      </c>
      <c r="B2294">
        <v>15</v>
      </c>
      <c r="C2294">
        <v>24</v>
      </c>
      <c r="D2294">
        <v>7</v>
      </c>
      <c r="E2294">
        <f t="shared" si="35"/>
        <v>5.1413831621250039E-13</v>
      </c>
    </row>
    <row r="2295" spans="1:5" x14ac:dyDescent="0.25">
      <c r="A2295">
        <v>2</v>
      </c>
      <c r="B2295">
        <v>15</v>
      </c>
      <c r="C2295">
        <v>25</v>
      </c>
      <c r="D2295">
        <v>6</v>
      </c>
      <c r="E2295">
        <f t="shared" si="35"/>
        <v>3.1064778263786864E-13</v>
      </c>
    </row>
    <row r="2296" spans="1:5" x14ac:dyDescent="0.25">
      <c r="A2296">
        <v>2</v>
      </c>
      <c r="B2296">
        <v>15</v>
      </c>
      <c r="C2296">
        <v>26</v>
      </c>
      <c r="D2296">
        <v>5</v>
      </c>
      <c r="E2296">
        <f t="shared" si="35"/>
        <v>1.4337589967901621E-13</v>
      </c>
    </row>
    <row r="2297" spans="1:5" x14ac:dyDescent="0.25">
      <c r="A2297">
        <v>2</v>
      </c>
      <c r="B2297">
        <v>15</v>
      </c>
      <c r="C2297">
        <v>27</v>
      </c>
      <c r="D2297">
        <v>4</v>
      </c>
      <c r="E2297">
        <f t="shared" si="35"/>
        <v>4.9309171847280723E-14</v>
      </c>
    </row>
    <row r="2298" spans="1:5" x14ac:dyDescent="0.25">
      <c r="A2298">
        <v>2</v>
      </c>
      <c r="B2298">
        <v>15</v>
      </c>
      <c r="C2298">
        <v>28</v>
      </c>
      <c r="D2298">
        <v>3</v>
      </c>
      <c r="E2298">
        <f t="shared" si="35"/>
        <v>1.2167198248030307E-14</v>
      </c>
    </row>
    <row r="2299" spans="1:5" x14ac:dyDescent="0.25">
      <c r="A2299">
        <v>2</v>
      </c>
      <c r="B2299">
        <v>15</v>
      </c>
      <c r="C2299">
        <v>29</v>
      </c>
      <c r="D2299">
        <v>2</v>
      </c>
      <c r="E2299">
        <f t="shared" si="35"/>
        <v>2.0248260952494218E-15</v>
      </c>
    </row>
    <row r="2300" spans="1:5" x14ac:dyDescent="0.25">
      <c r="A2300">
        <v>2</v>
      </c>
      <c r="B2300">
        <v>15</v>
      </c>
      <c r="C2300">
        <v>30</v>
      </c>
      <c r="D2300">
        <v>1</v>
      </c>
      <c r="E2300">
        <f t="shared" si="35"/>
        <v>2.0248260952494216E-16</v>
      </c>
    </row>
    <row r="2301" spans="1:5" x14ac:dyDescent="0.25">
      <c r="A2301">
        <v>2</v>
      </c>
      <c r="B2301">
        <v>15</v>
      </c>
      <c r="C2301">
        <v>31</v>
      </c>
      <c r="D2301">
        <v>0</v>
      </c>
      <c r="E2301">
        <f t="shared" si="35"/>
        <v>9.1443759140296456E-18</v>
      </c>
    </row>
    <row r="2302" spans="1:5" x14ac:dyDescent="0.25">
      <c r="A2302">
        <v>2</v>
      </c>
      <c r="B2302">
        <v>16</v>
      </c>
      <c r="C2302">
        <v>5</v>
      </c>
      <c r="D2302">
        <v>25</v>
      </c>
      <c r="E2302">
        <f t="shared" si="35"/>
        <v>3.8072809740240479E-28</v>
      </c>
    </row>
    <row r="2303" spans="1:5" x14ac:dyDescent="0.25">
      <c r="A2303">
        <v>2</v>
      </c>
      <c r="B2303">
        <v>16</v>
      </c>
      <c r="C2303">
        <v>6</v>
      </c>
      <c r="D2303">
        <v>24</v>
      </c>
      <c r="E2303">
        <f t="shared" si="35"/>
        <v>9.5182024350601187E-26</v>
      </c>
    </row>
    <row r="2304" spans="1:5" x14ac:dyDescent="0.25">
      <c r="A2304">
        <v>2</v>
      </c>
      <c r="B2304">
        <v>16</v>
      </c>
      <c r="C2304">
        <v>7</v>
      </c>
      <c r="D2304">
        <v>23</v>
      </c>
      <c r="E2304">
        <f t="shared" si="35"/>
        <v>9.6269818914608055E-24</v>
      </c>
    </row>
    <row r="2305" spans="1:5" x14ac:dyDescent="0.25">
      <c r="A2305">
        <v>2</v>
      </c>
      <c r="B2305">
        <v>16</v>
      </c>
      <c r="C2305">
        <v>8</v>
      </c>
      <c r="D2305">
        <v>22</v>
      </c>
      <c r="E2305">
        <f t="shared" si="35"/>
        <v>5.3509974346702987E-22</v>
      </c>
    </row>
    <row r="2306" spans="1:5" x14ac:dyDescent="0.25">
      <c r="A2306">
        <v>2</v>
      </c>
      <c r="B2306">
        <v>16</v>
      </c>
      <c r="C2306">
        <v>9</v>
      </c>
      <c r="D2306">
        <v>21</v>
      </c>
      <c r="E2306">
        <f t="shared" si="35"/>
        <v>1.8639307730768207E-20</v>
      </c>
    </row>
    <row r="2307" spans="1:5" x14ac:dyDescent="0.25">
      <c r="A2307">
        <v>2</v>
      </c>
      <c r="B2307">
        <v>16</v>
      </c>
      <c r="C2307">
        <v>10</v>
      </c>
      <c r="D2307">
        <v>20</v>
      </c>
      <c r="E2307">
        <f t="shared" si="35"/>
        <v>4.3839651782766817E-19</v>
      </c>
    </row>
    <row r="2308" spans="1:5" x14ac:dyDescent="0.25">
      <c r="A2308">
        <v>2</v>
      </c>
      <c r="B2308">
        <v>16</v>
      </c>
      <c r="C2308">
        <v>11</v>
      </c>
      <c r="D2308">
        <v>19</v>
      </c>
      <c r="E2308">
        <f t="shared" si="35"/>
        <v>7.3066086304611361E-18</v>
      </c>
    </row>
    <row r="2309" spans="1:5" x14ac:dyDescent="0.25">
      <c r="A2309">
        <v>2</v>
      </c>
      <c r="B2309">
        <v>16</v>
      </c>
      <c r="C2309">
        <v>12</v>
      </c>
      <c r="D2309">
        <v>18</v>
      </c>
      <c r="E2309">
        <f t="shared" si="35"/>
        <v>8.9245005414918152E-17</v>
      </c>
    </row>
    <row r="2310" spans="1:5" x14ac:dyDescent="0.25">
      <c r="A2310">
        <v>2</v>
      </c>
      <c r="B2310">
        <v>16</v>
      </c>
      <c r="C2310">
        <v>13</v>
      </c>
      <c r="D2310">
        <v>17</v>
      </c>
      <c r="E2310">
        <f t="shared" si="35"/>
        <v>8.1865129967146099E-16</v>
      </c>
    </row>
    <row r="2311" spans="1:5" x14ac:dyDescent="0.25">
      <c r="A2311">
        <v>2</v>
      </c>
      <c r="B2311">
        <v>16</v>
      </c>
      <c r="C2311">
        <v>14</v>
      </c>
      <c r="D2311">
        <v>16</v>
      </c>
      <c r="E2311">
        <f t="shared" si="35"/>
        <v>5.7435535627743782E-15</v>
      </c>
    </row>
    <row r="2312" spans="1:5" x14ac:dyDescent="0.25">
      <c r="A2312">
        <v>2</v>
      </c>
      <c r="B2312">
        <v>16</v>
      </c>
      <c r="C2312">
        <v>15</v>
      </c>
      <c r="D2312">
        <v>15</v>
      </c>
      <c r="E2312">
        <f t="shared" si="35"/>
        <v>3.1244931381492594E-14</v>
      </c>
    </row>
    <row r="2313" spans="1:5" x14ac:dyDescent="0.25">
      <c r="A2313">
        <v>2</v>
      </c>
      <c r="B2313">
        <v>16</v>
      </c>
      <c r="C2313">
        <v>16</v>
      </c>
      <c r="D2313">
        <v>14</v>
      </c>
      <c r="E2313">
        <f t="shared" si="35"/>
        <v>1.3314601440976964E-13</v>
      </c>
    </row>
    <row r="2314" spans="1:5" x14ac:dyDescent="0.25">
      <c r="A2314">
        <v>2</v>
      </c>
      <c r="B2314">
        <v>16</v>
      </c>
      <c r="C2314">
        <v>17</v>
      </c>
      <c r="D2314">
        <v>13</v>
      </c>
      <c r="E2314">
        <f t="shared" si="35"/>
        <v>4.477361072799119E-13</v>
      </c>
    </row>
    <row r="2315" spans="1:5" x14ac:dyDescent="0.25">
      <c r="A2315">
        <v>2</v>
      </c>
      <c r="B2315">
        <v>16</v>
      </c>
      <c r="C2315">
        <v>18</v>
      </c>
      <c r="D2315">
        <v>12</v>
      </c>
      <c r="E2315">
        <f t="shared" si="35"/>
        <v>1.1939629527464307E-12</v>
      </c>
    </row>
    <row r="2316" spans="1:5" x14ac:dyDescent="0.25">
      <c r="A2316">
        <v>2</v>
      </c>
      <c r="B2316">
        <v>16</v>
      </c>
      <c r="C2316">
        <v>19</v>
      </c>
      <c r="D2316">
        <v>11</v>
      </c>
      <c r="E2316">
        <f t="shared" si="35"/>
        <v>2.5315605464247635E-12</v>
      </c>
    </row>
    <row r="2317" spans="1:5" x14ac:dyDescent="0.25">
      <c r="A2317">
        <v>2</v>
      </c>
      <c r="B2317">
        <v>16</v>
      </c>
      <c r="C2317">
        <v>20</v>
      </c>
      <c r="D2317">
        <v>10</v>
      </c>
      <c r="E2317">
        <f t="shared" si="35"/>
        <v>4.2698987883031046E-12</v>
      </c>
    </row>
    <row r="2318" spans="1:5" x14ac:dyDescent="0.25">
      <c r="A2318">
        <v>2</v>
      </c>
      <c r="B2318">
        <v>16</v>
      </c>
      <c r="C2318">
        <v>21</v>
      </c>
      <c r="D2318">
        <v>9</v>
      </c>
      <c r="E2318">
        <f t="shared" ref="E2318:E2381" si="36">COMBIN(A$4,A2318)*COMBIN(B$4,B2318)*COMBIN(C$4,C2318)*COMBIN(D$4,D2318)/COMBIN($G$4,$F$4)</f>
        <v>5.7186144486202221E-12</v>
      </c>
    </row>
    <row r="2319" spans="1:5" x14ac:dyDescent="0.25">
      <c r="A2319">
        <v>2</v>
      </c>
      <c r="B2319">
        <v>16</v>
      </c>
      <c r="C2319">
        <v>22</v>
      </c>
      <c r="D2319">
        <v>8</v>
      </c>
      <c r="E2319">
        <f t="shared" si="36"/>
        <v>6.0550035338331806E-12</v>
      </c>
    </row>
    <row r="2320" spans="1:5" x14ac:dyDescent="0.25">
      <c r="A2320">
        <v>2</v>
      </c>
      <c r="B2320">
        <v>16</v>
      </c>
      <c r="C2320">
        <v>23</v>
      </c>
      <c r="D2320">
        <v>7</v>
      </c>
      <c r="E2320">
        <f t="shared" si="36"/>
        <v>5.0312106657937531E-12</v>
      </c>
    </row>
    <row r="2321" spans="1:5" x14ac:dyDescent="0.25">
      <c r="A2321">
        <v>2</v>
      </c>
      <c r="B2321">
        <v>16</v>
      </c>
      <c r="C2321">
        <v>24</v>
      </c>
      <c r="D2321">
        <v>6</v>
      </c>
      <c r="E2321">
        <f t="shared" si="36"/>
        <v>3.2438068766301818E-12</v>
      </c>
    </row>
    <row r="2322" spans="1:5" x14ac:dyDescent="0.25">
      <c r="A2322">
        <v>2</v>
      </c>
      <c r="B2322">
        <v>16</v>
      </c>
      <c r="C2322">
        <v>25</v>
      </c>
      <c r="D2322">
        <v>5</v>
      </c>
      <c r="E2322">
        <f t="shared" si="36"/>
        <v>1.5959529833020501E-12</v>
      </c>
    </row>
    <row r="2323" spans="1:5" x14ac:dyDescent="0.25">
      <c r="A2323">
        <v>2</v>
      </c>
      <c r="B2323">
        <v>16</v>
      </c>
      <c r="C2323">
        <v>26</v>
      </c>
      <c r="D2323">
        <v>4</v>
      </c>
      <c r="E2323">
        <f t="shared" si="36"/>
        <v>5.8459816238170308E-13</v>
      </c>
    </row>
    <row r="2324" spans="1:5" x14ac:dyDescent="0.25">
      <c r="A2324">
        <v>2</v>
      </c>
      <c r="B2324">
        <v>16</v>
      </c>
      <c r="C2324">
        <v>27</v>
      </c>
      <c r="D2324">
        <v>3</v>
      </c>
      <c r="E2324">
        <f t="shared" si="36"/>
        <v>1.5353083052448768E-13</v>
      </c>
    </row>
    <row r="2325" spans="1:5" x14ac:dyDescent="0.25">
      <c r="A2325">
        <v>2</v>
      </c>
      <c r="B2325">
        <v>16</v>
      </c>
      <c r="C2325">
        <v>28</v>
      </c>
      <c r="D2325">
        <v>2</v>
      </c>
      <c r="E2325">
        <f t="shared" si="36"/>
        <v>2.7177817825763351E-14</v>
      </c>
    </row>
    <row r="2326" spans="1:5" x14ac:dyDescent="0.25">
      <c r="A2326">
        <v>2</v>
      </c>
      <c r="B2326">
        <v>16</v>
      </c>
      <c r="C2326">
        <v>29</v>
      </c>
      <c r="D2326">
        <v>1</v>
      </c>
      <c r="E2326">
        <f t="shared" si="36"/>
        <v>2.8895955734288623E-15</v>
      </c>
    </row>
    <row r="2327" spans="1:5" x14ac:dyDescent="0.25">
      <c r="A2327">
        <v>2</v>
      </c>
      <c r="B2327">
        <v>16</v>
      </c>
      <c r="C2327">
        <v>30</v>
      </c>
      <c r="D2327">
        <v>0</v>
      </c>
      <c r="E2327">
        <f t="shared" si="36"/>
        <v>1.3870058752458538E-16</v>
      </c>
    </row>
    <row r="2328" spans="1:5" x14ac:dyDescent="0.25">
      <c r="A2328">
        <v>2</v>
      </c>
      <c r="B2328">
        <v>17</v>
      </c>
      <c r="C2328">
        <v>4</v>
      </c>
      <c r="D2328">
        <v>25</v>
      </c>
      <c r="E2328">
        <f t="shared" si="36"/>
        <v>5.011512564650749E-28</v>
      </c>
    </row>
    <row r="2329" spans="1:5" x14ac:dyDescent="0.25">
      <c r="A2329">
        <v>2</v>
      </c>
      <c r="B2329">
        <v>17</v>
      </c>
      <c r="C2329">
        <v>5</v>
      </c>
      <c r="D2329">
        <v>24</v>
      </c>
      <c r="E2329">
        <f t="shared" si="36"/>
        <v>1.5285113322184785E-25</v>
      </c>
    </row>
    <row r="2330" spans="1:5" x14ac:dyDescent="0.25">
      <c r="A2330">
        <v>2</v>
      </c>
      <c r="B2330">
        <v>17</v>
      </c>
      <c r="C2330">
        <v>6</v>
      </c>
      <c r="D2330">
        <v>23</v>
      </c>
      <c r="E2330">
        <f t="shared" si="36"/>
        <v>1.8342135986621741E-23</v>
      </c>
    </row>
    <row r="2331" spans="1:5" x14ac:dyDescent="0.25">
      <c r="A2331">
        <v>2</v>
      </c>
      <c r="B2331">
        <v>17</v>
      </c>
      <c r="C2331">
        <v>7</v>
      </c>
      <c r="D2331">
        <v>22</v>
      </c>
      <c r="E2331">
        <f t="shared" si="36"/>
        <v>1.1852513587545573E-21</v>
      </c>
    </row>
    <row r="2332" spans="1:5" x14ac:dyDescent="0.25">
      <c r="A2332">
        <v>2</v>
      </c>
      <c r="B2332">
        <v>17</v>
      </c>
      <c r="C2332">
        <v>8</v>
      </c>
      <c r="D2332">
        <v>21</v>
      </c>
      <c r="E2332">
        <f t="shared" si="36"/>
        <v>4.7261897930337979E-20</v>
      </c>
    </row>
    <row r="2333" spans="1:5" x14ac:dyDescent="0.25">
      <c r="A2333">
        <v>2</v>
      </c>
      <c r="B2333">
        <v>17</v>
      </c>
      <c r="C2333">
        <v>9</v>
      </c>
      <c r="D2333">
        <v>20</v>
      </c>
      <c r="E2333">
        <f t="shared" si="36"/>
        <v>1.2571664849469898E-18</v>
      </c>
    </row>
    <row r="2334" spans="1:5" x14ac:dyDescent="0.25">
      <c r="A2334">
        <v>2</v>
      </c>
      <c r="B2334">
        <v>17</v>
      </c>
      <c r="C2334">
        <v>10</v>
      </c>
      <c r="D2334">
        <v>19</v>
      </c>
      <c r="E2334">
        <f t="shared" si="36"/>
        <v>2.3467107719010479E-17</v>
      </c>
    </row>
    <row r="2335" spans="1:5" x14ac:dyDescent="0.25">
      <c r="A2335">
        <v>2</v>
      </c>
      <c r="B2335">
        <v>17</v>
      </c>
      <c r="C2335">
        <v>11</v>
      </c>
      <c r="D2335">
        <v>18</v>
      </c>
      <c r="E2335">
        <f t="shared" si="36"/>
        <v>3.1848217618657095E-16</v>
      </c>
    </row>
    <row r="2336" spans="1:5" x14ac:dyDescent="0.25">
      <c r="A2336">
        <v>2</v>
      </c>
      <c r="B2336">
        <v>17</v>
      </c>
      <c r="C2336">
        <v>12</v>
      </c>
      <c r="D2336">
        <v>17</v>
      </c>
      <c r="E2336">
        <f t="shared" si="36"/>
        <v>3.224632033889028E-15</v>
      </c>
    </row>
    <row r="2337" spans="1:5" x14ac:dyDescent="0.25">
      <c r="A2337">
        <v>2</v>
      </c>
      <c r="B2337">
        <v>17</v>
      </c>
      <c r="C2337">
        <v>13</v>
      </c>
      <c r="D2337">
        <v>16</v>
      </c>
      <c r="E2337">
        <f t="shared" si="36"/>
        <v>2.4832422756700989E-14</v>
      </c>
    </row>
    <row r="2338" spans="1:5" x14ac:dyDescent="0.25">
      <c r="A2338">
        <v>2</v>
      </c>
      <c r="B2338">
        <v>17</v>
      </c>
      <c r="C2338">
        <v>14</v>
      </c>
      <c r="D2338">
        <v>15</v>
      </c>
      <c r="E2338">
        <f t="shared" si="36"/>
        <v>1.4757554095410872E-13</v>
      </c>
    </row>
    <row r="2339" spans="1:5" x14ac:dyDescent="0.25">
      <c r="A2339">
        <v>2</v>
      </c>
      <c r="B2339">
        <v>17</v>
      </c>
      <c r="C2339">
        <v>15</v>
      </c>
      <c r="D2339">
        <v>14</v>
      </c>
      <c r="E2339">
        <f t="shared" si="36"/>
        <v>6.842138716963221E-13</v>
      </c>
    </row>
    <row r="2340" spans="1:5" x14ac:dyDescent="0.25">
      <c r="A2340">
        <v>2</v>
      </c>
      <c r="B2340">
        <v>17</v>
      </c>
      <c r="C2340">
        <v>16</v>
      </c>
      <c r="D2340">
        <v>13</v>
      </c>
      <c r="E2340">
        <f t="shared" si="36"/>
        <v>2.4945297405595086E-12</v>
      </c>
    </row>
    <row r="2341" spans="1:5" x14ac:dyDescent="0.25">
      <c r="A2341">
        <v>2</v>
      </c>
      <c r="B2341">
        <v>17</v>
      </c>
      <c r="C2341">
        <v>17</v>
      </c>
      <c r="D2341">
        <v>12</v>
      </c>
      <c r="E2341">
        <f t="shared" si="36"/>
        <v>7.1901151345538812E-12</v>
      </c>
    </row>
    <row r="2342" spans="1:5" x14ac:dyDescent="0.25">
      <c r="A2342">
        <v>2</v>
      </c>
      <c r="B2342">
        <v>17</v>
      </c>
      <c r="C2342">
        <v>18</v>
      </c>
      <c r="D2342">
        <v>11</v>
      </c>
      <c r="E2342">
        <f t="shared" si="36"/>
        <v>1.6434548878980281E-11</v>
      </c>
    </row>
    <row r="2343" spans="1:5" x14ac:dyDescent="0.25">
      <c r="A2343">
        <v>2</v>
      </c>
      <c r="B2343">
        <v>17</v>
      </c>
      <c r="C2343">
        <v>19</v>
      </c>
      <c r="D2343">
        <v>10</v>
      </c>
      <c r="E2343">
        <f t="shared" si="36"/>
        <v>2.98128483173081E-11</v>
      </c>
    </row>
    <row r="2344" spans="1:5" x14ac:dyDescent="0.25">
      <c r="A2344">
        <v>2</v>
      </c>
      <c r="B2344">
        <v>17</v>
      </c>
      <c r="C2344">
        <v>20</v>
      </c>
      <c r="D2344">
        <v>9</v>
      </c>
      <c r="E2344">
        <f t="shared" si="36"/>
        <v>4.2855969456130429E-11</v>
      </c>
    </row>
    <row r="2345" spans="1:5" x14ac:dyDescent="0.25">
      <c r="A2345">
        <v>2</v>
      </c>
      <c r="B2345">
        <v>17</v>
      </c>
      <c r="C2345">
        <v>21</v>
      </c>
      <c r="D2345">
        <v>8</v>
      </c>
      <c r="E2345">
        <f t="shared" si="36"/>
        <v>4.8618116609895808E-11</v>
      </c>
    </row>
    <row r="2346" spans="1:5" x14ac:dyDescent="0.25">
      <c r="A2346">
        <v>2</v>
      </c>
      <c r="B2346">
        <v>17</v>
      </c>
      <c r="C2346">
        <v>22</v>
      </c>
      <c r="D2346">
        <v>7</v>
      </c>
      <c r="E2346">
        <f t="shared" si="36"/>
        <v>4.3216103653240756E-11</v>
      </c>
    </row>
    <row r="2347" spans="1:5" x14ac:dyDescent="0.25">
      <c r="A2347">
        <v>2</v>
      </c>
      <c r="B2347">
        <v>17</v>
      </c>
      <c r="C2347">
        <v>23</v>
      </c>
      <c r="D2347">
        <v>6</v>
      </c>
      <c r="E2347">
        <f t="shared" si="36"/>
        <v>2.9766698397312262E-11</v>
      </c>
    </row>
    <row r="2348" spans="1:5" x14ac:dyDescent="0.25">
      <c r="A2348">
        <v>2</v>
      </c>
      <c r="B2348">
        <v>17</v>
      </c>
      <c r="C2348">
        <v>24</v>
      </c>
      <c r="D2348">
        <v>5</v>
      </c>
      <c r="E2348">
        <f t="shared" si="36"/>
        <v>1.5627516658588938E-11</v>
      </c>
    </row>
    <row r="2349" spans="1:5" x14ac:dyDescent="0.25">
      <c r="A2349">
        <v>2</v>
      </c>
      <c r="B2349">
        <v>17</v>
      </c>
      <c r="C2349">
        <v>25</v>
      </c>
      <c r="D2349">
        <v>4</v>
      </c>
      <c r="E2349">
        <f t="shared" si="36"/>
        <v>6.1021731714490189E-12</v>
      </c>
    </row>
    <row r="2350" spans="1:5" x14ac:dyDescent="0.25">
      <c r="A2350">
        <v>2</v>
      </c>
      <c r="B2350">
        <v>17</v>
      </c>
      <c r="C2350">
        <v>26</v>
      </c>
      <c r="D2350">
        <v>3</v>
      </c>
      <c r="E2350">
        <f t="shared" si="36"/>
        <v>1.7069015864193045E-12</v>
      </c>
    </row>
    <row r="2351" spans="1:5" x14ac:dyDescent="0.25">
      <c r="A2351">
        <v>2</v>
      </c>
      <c r="B2351">
        <v>17</v>
      </c>
      <c r="C2351">
        <v>27</v>
      </c>
      <c r="D2351">
        <v>2</v>
      </c>
      <c r="E2351">
        <f t="shared" si="36"/>
        <v>3.2159015396305738E-13</v>
      </c>
    </row>
    <row r="2352" spans="1:5" x14ac:dyDescent="0.25">
      <c r="A2352">
        <v>2</v>
      </c>
      <c r="B2352">
        <v>17</v>
      </c>
      <c r="C2352">
        <v>28</v>
      </c>
      <c r="D2352">
        <v>1</v>
      </c>
      <c r="E2352">
        <f t="shared" si="36"/>
        <v>3.6370315031536255E-14</v>
      </c>
    </row>
    <row r="2353" spans="1:5" x14ac:dyDescent="0.25">
      <c r="A2353">
        <v>2</v>
      </c>
      <c r="B2353">
        <v>17</v>
      </c>
      <c r="C2353">
        <v>29</v>
      </c>
      <c r="D2353">
        <v>0</v>
      </c>
      <c r="E2353">
        <f t="shared" si="36"/>
        <v>1.8561402154025401E-15</v>
      </c>
    </row>
    <row r="2354" spans="1:5" x14ac:dyDescent="0.25">
      <c r="A2354">
        <v>2</v>
      </c>
      <c r="B2354">
        <v>18</v>
      </c>
      <c r="C2354">
        <v>3</v>
      </c>
      <c r="D2354">
        <v>25</v>
      </c>
      <c r="E2354">
        <f t="shared" si="36"/>
        <v>4.8857756902688295E-28</v>
      </c>
    </row>
    <row r="2355" spans="1:5" x14ac:dyDescent="0.25">
      <c r="A2355">
        <v>2</v>
      </c>
      <c r="B2355">
        <v>18</v>
      </c>
      <c r="C2355">
        <v>4</v>
      </c>
      <c r="D2355">
        <v>24</v>
      </c>
      <c r="E2355">
        <f t="shared" si="36"/>
        <v>1.8932380799791715E-25</v>
      </c>
    </row>
    <row r="2356" spans="1:5" x14ac:dyDescent="0.25">
      <c r="A2356">
        <v>2</v>
      </c>
      <c r="B2356">
        <v>18</v>
      </c>
      <c r="C2356">
        <v>5</v>
      </c>
      <c r="D2356">
        <v>23</v>
      </c>
      <c r="E2356">
        <f t="shared" si="36"/>
        <v>2.7717005490895075E-23</v>
      </c>
    </row>
    <row r="2357" spans="1:5" x14ac:dyDescent="0.25">
      <c r="A2357">
        <v>2</v>
      </c>
      <c r="B2357">
        <v>18</v>
      </c>
      <c r="C2357">
        <v>6</v>
      </c>
      <c r="D2357">
        <v>22</v>
      </c>
      <c r="E2357">
        <f t="shared" si="36"/>
        <v>2.1249704209686221E-21</v>
      </c>
    </row>
    <row r="2358" spans="1:5" x14ac:dyDescent="0.25">
      <c r="A2358">
        <v>2</v>
      </c>
      <c r="B2358">
        <v>18</v>
      </c>
      <c r="C2358">
        <v>7</v>
      </c>
      <c r="D2358">
        <v>21</v>
      </c>
      <c r="E2358">
        <f t="shared" si="36"/>
        <v>9.8507557372045423E-20</v>
      </c>
    </row>
    <row r="2359" spans="1:5" x14ac:dyDescent="0.25">
      <c r="A2359">
        <v>2</v>
      </c>
      <c r="B2359">
        <v>18</v>
      </c>
      <c r="C2359">
        <v>8</v>
      </c>
      <c r="D2359">
        <v>20</v>
      </c>
      <c r="E2359">
        <f t="shared" si="36"/>
        <v>2.9995551219787833E-18</v>
      </c>
    </row>
    <row r="2360" spans="1:5" x14ac:dyDescent="0.25">
      <c r="A2360">
        <v>2</v>
      </c>
      <c r="B2360">
        <v>18</v>
      </c>
      <c r="C2360">
        <v>9</v>
      </c>
      <c r="D2360">
        <v>19</v>
      </c>
      <c r="E2360">
        <f t="shared" si="36"/>
        <v>6.3323941463996508E-17</v>
      </c>
    </row>
    <row r="2361" spans="1:5" x14ac:dyDescent="0.25">
      <c r="A2361">
        <v>2</v>
      </c>
      <c r="B2361">
        <v>18</v>
      </c>
      <c r="C2361">
        <v>10</v>
      </c>
      <c r="D2361">
        <v>18</v>
      </c>
      <c r="E2361">
        <f t="shared" si="36"/>
        <v>9.6252391025274768E-16</v>
      </c>
    </row>
    <row r="2362" spans="1:5" x14ac:dyDescent="0.25">
      <c r="A2362">
        <v>2</v>
      </c>
      <c r="B2362">
        <v>18</v>
      </c>
      <c r="C2362">
        <v>11</v>
      </c>
      <c r="D2362">
        <v>17</v>
      </c>
      <c r="E2362">
        <f t="shared" si="36"/>
        <v>1.0828393990343409E-14</v>
      </c>
    </row>
    <row r="2363" spans="1:5" x14ac:dyDescent="0.25">
      <c r="A2363">
        <v>2</v>
      </c>
      <c r="B2363">
        <v>18</v>
      </c>
      <c r="C2363">
        <v>12</v>
      </c>
      <c r="D2363">
        <v>16</v>
      </c>
      <c r="E2363">
        <f t="shared" si="36"/>
        <v>9.204134891791893E-14</v>
      </c>
    </row>
    <row r="2364" spans="1:5" x14ac:dyDescent="0.25">
      <c r="A2364">
        <v>2</v>
      </c>
      <c r="B2364">
        <v>18</v>
      </c>
      <c r="C2364">
        <v>13</v>
      </c>
      <c r="D2364">
        <v>15</v>
      </c>
      <c r="E2364">
        <f t="shared" si="36"/>
        <v>6.0039279909534818E-13</v>
      </c>
    </row>
    <row r="2365" spans="1:5" x14ac:dyDescent="0.25">
      <c r="A2365">
        <v>2</v>
      </c>
      <c r="B2365">
        <v>18</v>
      </c>
      <c r="C2365">
        <v>14</v>
      </c>
      <c r="D2365">
        <v>14</v>
      </c>
      <c r="E2365">
        <f t="shared" si="36"/>
        <v>3.0409505408725436E-12</v>
      </c>
    </row>
    <row r="2366" spans="1:5" x14ac:dyDescent="0.25">
      <c r="A2366">
        <v>2</v>
      </c>
      <c r="B2366">
        <v>18</v>
      </c>
      <c r="C2366">
        <v>15</v>
      </c>
      <c r="D2366">
        <v>13</v>
      </c>
      <c r="E2366">
        <f t="shared" si="36"/>
        <v>1.2062437145461087E-11</v>
      </c>
    </row>
    <row r="2367" spans="1:5" x14ac:dyDescent="0.25">
      <c r="A2367">
        <v>2</v>
      </c>
      <c r="B2367">
        <v>18</v>
      </c>
      <c r="C2367">
        <v>16</v>
      </c>
      <c r="D2367">
        <v>12</v>
      </c>
      <c r="E2367">
        <f t="shared" si="36"/>
        <v>3.7695116079565897E-11</v>
      </c>
    </row>
    <row r="2368" spans="1:5" x14ac:dyDescent="0.25">
      <c r="A2368">
        <v>2</v>
      </c>
      <c r="B2368">
        <v>18</v>
      </c>
      <c r="C2368">
        <v>17</v>
      </c>
      <c r="D2368">
        <v>11</v>
      </c>
      <c r="E2368">
        <f t="shared" si="36"/>
        <v>9.3129110314221677E-11</v>
      </c>
    </row>
    <row r="2369" spans="1:5" x14ac:dyDescent="0.25">
      <c r="A2369">
        <v>2</v>
      </c>
      <c r="B2369">
        <v>18</v>
      </c>
      <c r="C2369">
        <v>18</v>
      </c>
      <c r="D2369">
        <v>10</v>
      </c>
      <c r="E2369">
        <f t="shared" si="36"/>
        <v>1.821191490589222E-10</v>
      </c>
    </row>
    <row r="2370" spans="1:5" x14ac:dyDescent="0.25">
      <c r="A2370">
        <v>2</v>
      </c>
      <c r="B2370">
        <v>18</v>
      </c>
      <c r="C2370">
        <v>19</v>
      </c>
      <c r="D2370">
        <v>9</v>
      </c>
      <c r="E2370">
        <f t="shared" si="36"/>
        <v>2.8156578966346545E-10</v>
      </c>
    </row>
    <row r="2371" spans="1:5" x14ac:dyDescent="0.25">
      <c r="A2371">
        <v>2</v>
      </c>
      <c r="B2371">
        <v>18</v>
      </c>
      <c r="C2371">
        <v>20</v>
      </c>
      <c r="D2371">
        <v>8</v>
      </c>
      <c r="E2371">
        <f t="shared" si="36"/>
        <v>3.4284775564904348E-10</v>
      </c>
    </row>
    <row r="2372" spans="1:5" x14ac:dyDescent="0.25">
      <c r="A2372">
        <v>2</v>
      </c>
      <c r="B2372">
        <v>18</v>
      </c>
      <c r="C2372">
        <v>21</v>
      </c>
      <c r="D2372">
        <v>7</v>
      </c>
      <c r="E2372">
        <f t="shared" si="36"/>
        <v>3.2652167204670769E-10</v>
      </c>
    </row>
    <row r="2373" spans="1:5" x14ac:dyDescent="0.25">
      <c r="A2373">
        <v>2</v>
      </c>
      <c r="B2373">
        <v>18</v>
      </c>
      <c r="C2373">
        <v>22</v>
      </c>
      <c r="D2373">
        <v>6</v>
      </c>
      <c r="E2373">
        <f t="shared" si="36"/>
        <v>2.4059491624494257E-10</v>
      </c>
    </row>
    <row r="2374" spans="1:5" x14ac:dyDescent="0.25">
      <c r="A2374">
        <v>2</v>
      </c>
      <c r="B2374">
        <v>18</v>
      </c>
      <c r="C2374">
        <v>23</v>
      </c>
      <c r="D2374">
        <v>5</v>
      </c>
      <c r="E2374">
        <f t="shared" si="36"/>
        <v>1.3494236606781559E-10</v>
      </c>
    </row>
    <row r="2375" spans="1:5" x14ac:dyDescent="0.25">
      <c r="A2375">
        <v>2</v>
      </c>
      <c r="B2375">
        <v>18</v>
      </c>
      <c r="C2375">
        <v>24</v>
      </c>
      <c r="D2375">
        <v>4</v>
      </c>
      <c r="E2375">
        <f t="shared" si="36"/>
        <v>5.6225985861589844E-11</v>
      </c>
    </row>
    <row r="2376" spans="1:5" x14ac:dyDescent="0.25">
      <c r="A2376">
        <v>2</v>
      </c>
      <c r="B2376">
        <v>18</v>
      </c>
      <c r="C2376">
        <v>25</v>
      </c>
      <c r="D2376">
        <v>3</v>
      </c>
      <c r="E2376">
        <f t="shared" si="36"/>
        <v>1.6765566693274066E-11</v>
      </c>
    </row>
    <row r="2377" spans="1:5" x14ac:dyDescent="0.25">
      <c r="A2377">
        <v>2</v>
      </c>
      <c r="B2377">
        <v>18</v>
      </c>
      <c r="C2377">
        <v>26</v>
      </c>
      <c r="D2377">
        <v>2</v>
      </c>
      <c r="E2377">
        <f t="shared" si="36"/>
        <v>3.3643277645366002E-12</v>
      </c>
    </row>
    <row r="2378" spans="1:5" x14ac:dyDescent="0.25">
      <c r="A2378">
        <v>2</v>
      </c>
      <c r="B2378">
        <v>18</v>
      </c>
      <c r="C2378">
        <v>27</v>
      </c>
      <c r="D2378">
        <v>1</v>
      </c>
      <c r="E2378">
        <f t="shared" si="36"/>
        <v>4.0496537906459069E-13</v>
      </c>
    </row>
    <row r="2379" spans="1:5" x14ac:dyDescent="0.25">
      <c r="A2379">
        <v>2</v>
      </c>
      <c r="B2379">
        <v>18</v>
      </c>
      <c r="C2379">
        <v>28</v>
      </c>
      <c r="D2379">
        <v>0</v>
      </c>
      <c r="E2379">
        <f t="shared" si="36"/>
        <v>2.1983834863506356E-14</v>
      </c>
    </row>
    <row r="2380" spans="1:5" x14ac:dyDescent="0.25">
      <c r="A2380">
        <v>2</v>
      </c>
      <c r="B2380">
        <v>19</v>
      </c>
      <c r="C2380">
        <v>2</v>
      </c>
      <c r="D2380">
        <v>25</v>
      </c>
      <c r="E2380">
        <f t="shared" si="36"/>
        <v>3.3184090527891043E-28</v>
      </c>
    </row>
    <row r="2381" spans="1:5" x14ac:dyDescent="0.25">
      <c r="A2381">
        <v>2</v>
      </c>
      <c r="B2381">
        <v>19</v>
      </c>
      <c r="C2381">
        <v>3</v>
      </c>
      <c r="D2381">
        <v>24</v>
      </c>
      <c r="E2381">
        <f t="shared" si="36"/>
        <v>1.7421647527142797E-25</v>
      </c>
    </row>
    <row r="2382" spans="1:5" x14ac:dyDescent="0.25">
      <c r="A2382">
        <v>2</v>
      </c>
      <c r="B2382">
        <v>19</v>
      </c>
      <c r="C2382">
        <v>4</v>
      </c>
      <c r="D2382">
        <v>23</v>
      </c>
      <c r="E2382">
        <f t="shared" ref="E2382:E2445" si="37">COMBIN(A$4,A2382)*COMBIN(B$4,B2382)*COMBIN(C$4,C2382)*COMBIN(D$4,D2382)/COMBIN($G$4,$F$4)</f>
        <v>3.2404264400485603E-23</v>
      </c>
    </row>
    <row r="2383" spans="1:5" x14ac:dyDescent="0.25">
      <c r="A2383">
        <v>2</v>
      </c>
      <c r="B2383">
        <v>19</v>
      </c>
      <c r="C2383">
        <v>5</v>
      </c>
      <c r="D2383">
        <v>22</v>
      </c>
      <c r="E2383">
        <f t="shared" si="37"/>
        <v>3.0308788635920872E-21</v>
      </c>
    </row>
    <row r="2384" spans="1:5" x14ac:dyDescent="0.25">
      <c r="A2384">
        <v>2</v>
      </c>
      <c r="B2384">
        <v>19</v>
      </c>
      <c r="C2384">
        <v>6</v>
      </c>
      <c r="D2384">
        <v>21</v>
      </c>
      <c r="E2384">
        <f t="shared" si="37"/>
        <v>1.6669833749756482E-19</v>
      </c>
    </row>
    <row r="2385" spans="1:5" x14ac:dyDescent="0.25">
      <c r="A2385">
        <v>2</v>
      </c>
      <c r="B2385">
        <v>19</v>
      </c>
      <c r="C2385">
        <v>7</v>
      </c>
      <c r="D2385">
        <v>20</v>
      </c>
      <c r="E2385">
        <f t="shared" si="37"/>
        <v>5.9011211474137932E-18</v>
      </c>
    </row>
    <row r="2386" spans="1:5" x14ac:dyDescent="0.25">
      <c r="A2386">
        <v>2</v>
      </c>
      <c r="B2386">
        <v>19</v>
      </c>
      <c r="C2386">
        <v>8</v>
      </c>
      <c r="D2386">
        <v>19</v>
      </c>
      <c r="E2386">
        <f t="shared" si="37"/>
        <v>1.4261042772916667E-16</v>
      </c>
    </row>
    <row r="2387" spans="1:5" x14ac:dyDescent="0.25">
      <c r="A2387">
        <v>2</v>
      </c>
      <c r="B2387">
        <v>19</v>
      </c>
      <c r="C2387">
        <v>9</v>
      </c>
      <c r="D2387">
        <v>18</v>
      </c>
      <c r="E2387">
        <f t="shared" si="37"/>
        <v>2.4515411623918659E-15</v>
      </c>
    </row>
    <row r="2388" spans="1:5" x14ac:dyDescent="0.25">
      <c r="A2388">
        <v>2</v>
      </c>
      <c r="B2388">
        <v>19</v>
      </c>
      <c r="C2388">
        <v>10</v>
      </c>
      <c r="D2388">
        <v>17</v>
      </c>
      <c r="E2388">
        <f t="shared" si="37"/>
        <v>3.0889418646137507E-14</v>
      </c>
    </row>
    <row r="2389" spans="1:5" x14ac:dyDescent="0.25">
      <c r="A2389">
        <v>2</v>
      </c>
      <c r="B2389">
        <v>19</v>
      </c>
      <c r="C2389">
        <v>11</v>
      </c>
      <c r="D2389">
        <v>16</v>
      </c>
      <c r="E2389">
        <f t="shared" si="37"/>
        <v>2.9173339832463206E-13</v>
      </c>
    </row>
    <row r="2390" spans="1:5" x14ac:dyDescent="0.25">
      <c r="A2390">
        <v>2</v>
      </c>
      <c r="B2390">
        <v>19</v>
      </c>
      <c r="C2390">
        <v>12</v>
      </c>
      <c r="D2390">
        <v>15</v>
      </c>
      <c r="E2390">
        <f t="shared" si="37"/>
        <v>2.1004804679373492E-12</v>
      </c>
    </row>
    <row r="2391" spans="1:5" x14ac:dyDescent="0.25">
      <c r="A2391">
        <v>2</v>
      </c>
      <c r="B2391">
        <v>19</v>
      </c>
      <c r="C2391">
        <v>13</v>
      </c>
      <c r="D2391">
        <v>14</v>
      </c>
      <c r="E2391">
        <f t="shared" si="37"/>
        <v>1.167749630776359E-11</v>
      </c>
    </row>
    <row r="2392" spans="1:5" x14ac:dyDescent="0.25">
      <c r="A2392">
        <v>2</v>
      </c>
      <c r="B2392">
        <v>19</v>
      </c>
      <c r="C2392">
        <v>14</v>
      </c>
      <c r="D2392">
        <v>13</v>
      </c>
      <c r="E2392">
        <f t="shared" si="37"/>
        <v>5.0602484000308911E-11</v>
      </c>
    </row>
    <row r="2393" spans="1:5" x14ac:dyDescent="0.25">
      <c r="A2393">
        <v>2</v>
      </c>
      <c r="B2393">
        <v>19</v>
      </c>
      <c r="C2393">
        <v>15</v>
      </c>
      <c r="D2393">
        <v>12</v>
      </c>
      <c r="E2393">
        <f t="shared" si="37"/>
        <v>1.7204844560105021E-10</v>
      </c>
    </row>
    <row r="2394" spans="1:5" x14ac:dyDescent="0.25">
      <c r="A2394">
        <v>2</v>
      </c>
      <c r="B2394">
        <v>19</v>
      </c>
      <c r="C2394">
        <v>16</v>
      </c>
      <c r="D2394">
        <v>11</v>
      </c>
      <c r="E2394">
        <f t="shared" si="37"/>
        <v>4.6084405071709873E-10</v>
      </c>
    </row>
    <row r="2395" spans="1:5" x14ac:dyDescent="0.25">
      <c r="A2395">
        <v>2</v>
      </c>
      <c r="B2395">
        <v>19</v>
      </c>
      <c r="C2395">
        <v>17</v>
      </c>
      <c r="D2395">
        <v>10</v>
      </c>
      <c r="E2395">
        <f t="shared" si="37"/>
        <v>9.7409781700594634E-10</v>
      </c>
    </row>
    <row r="2396" spans="1:5" x14ac:dyDescent="0.25">
      <c r="A2396">
        <v>2</v>
      </c>
      <c r="B2396">
        <v>19</v>
      </c>
      <c r="C2396">
        <v>18</v>
      </c>
      <c r="D2396">
        <v>9</v>
      </c>
      <c r="E2396">
        <f t="shared" si="37"/>
        <v>1.6234963616765761E-9</v>
      </c>
    </row>
    <row r="2397" spans="1:5" x14ac:dyDescent="0.25">
      <c r="A2397">
        <v>2</v>
      </c>
      <c r="B2397">
        <v>19</v>
      </c>
      <c r="C2397">
        <v>19</v>
      </c>
      <c r="D2397">
        <v>8</v>
      </c>
      <c r="E2397">
        <f t="shared" si="37"/>
        <v>2.1261268142080246E-9</v>
      </c>
    </row>
    <row r="2398" spans="1:5" x14ac:dyDescent="0.25">
      <c r="A2398">
        <v>2</v>
      </c>
      <c r="B2398">
        <v>19</v>
      </c>
      <c r="C2398">
        <v>20</v>
      </c>
      <c r="D2398">
        <v>7</v>
      </c>
      <c r="E2398">
        <f t="shared" si="37"/>
        <v>2.1733740767459834E-9</v>
      </c>
    </row>
    <row r="2399" spans="1:5" x14ac:dyDescent="0.25">
      <c r="A2399">
        <v>2</v>
      </c>
      <c r="B2399">
        <v>19</v>
      </c>
      <c r="C2399">
        <v>21</v>
      </c>
      <c r="D2399">
        <v>6</v>
      </c>
      <c r="E2399">
        <f t="shared" si="37"/>
        <v>1.7158216395362995E-9</v>
      </c>
    </row>
    <row r="2400" spans="1:5" x14ac:dyDescent="0.25">
      <c r="A2400">
        <v>2</v>
      </c>
      <c r="B2400">
        <v>19</v>
      </c>
      <c r="C2400">
        <v>22</v>
      </c>
      <c r="D2400">
        <v>5</v>
      </c>
      <c r="E2400">
        <f t="shared" si="37"/>
        <v>1.0294929837217806E-9</v>
      </c>
    </row>
    <row r="2401" spans="1:5" x14ac:dyDescent="0.25">
      <c r="A2401">
        <v>2</v>
      </c>
      <c r="B2401">
        <v>19</v>
      </c>
      <c r="C2401">
        <v>23</v>
      </c>
      <c r="D2401">
        <v>4</v>
      </c>
      <c r="E2401">
        <f t="shared" si="37"/>
        <v>4.5826292236062701E-10</v>
      </c>
    </row>
    <row r="2402" spans="1:5" x14ac:dyDescent="0.25">
      <c r="A2402">
        <v>2</v>
      </c>
      <c r="B2402">
        <v>19</v>
      </c>
      <c r="C2402">
        <v>24</v>
      </c>
      <c r="D2402">
        <v>3</v>
      </c>
      <c r="E2402">
        <f t="shared" si="37"/>
        <v>1.4581092984201762E-10</v>
      </c>
    </row>
    <row r="2403" spans="1:5" x14ac:dyDescent="0.25">
      <c r="A2403">
        <v>2</v>
      </c>
      <c r="B2403">
        <v>19</v>
      </c>
      <c r="C2403">
        <v>25</v>
      </c>
      <c r="D2403">
        <v>2</v>
      </c>
      <c r="E2403">
        <f t="shared" si="37"/>
        <v>3.1190859774901178E-11</v>
      </c>
    </row>
    <row r="2404" spans="1:5" x14ac:dyDescent="0.25">
      <c r="A2404">
        <v>2</v>
      </c>
      <c r="B2404">
        <v>19</v>
      </c>
      <c r="C2404">
        <v>26</v>
      </c>
      <c r="D2404">
        <v>1</v>
      </c>
      <c r="E2404">
        <f t="shared" si="37"/>
        <v>3.9988281762693785E-12</v>
      </c>
    </row>
    <row r="2405" spans="1:5" x14ac:dyDescent="0.25">
      <c r="A2405">
        <v>2</v>
      </c>
      <c r="B2405">
        <v>19</v>
      </c>
      <c r="C2405">
        <v>27</v>
      </c>
      <c r="D2405">
        <v>0</v>
      </c>
      <c r="E2405">
        <f t="shared" si="37"/>
        <v>2.3104340574000856E-13</v>
      </c>
    </row>
    <row r="2406" spans="1:5" x14ac:dyDescent="0.25">
      <c r="A2406">
        <v>2</v>
      </c>
      <c r="B2406">
        <v>20</v>
      </c>
      <c r="C2406">
        <v>1</v>
      </c>
      <c r="D2406">
        <v>25</v>
      </c>
      <c r="E2406">
        <f t="shared" si="37"/>
        <v>1.3999538191454035E-28</v>
      </c>
    </row>
    <row r="2407" spans="1:5" x14ac:dyDescent="0.25">
      <c r="A2407">
        <v>2</v>
      </c>
      <c r="B2407">
        <v>20</v>
      </c>
      <c r="C2407">
        <v>2</v>
      </c>
      <c r="D2407">
        <v>24</v>
      </c>
      <c r="E2407">
        <f t="shared" si="37"/>
        <v>1.1199630553163227E-25</v>
      </c>
    </row>
    <row r="2408" spans="1:5" x14ac:dyDescent="0.25">
      <c r="A2408">
        <v>2</v>
      </c>
      <c r="B2408">
        <v>20</v>
      </c>
      <c r="C2408">
        <v>3</v>
      </c>
      <c r="D2408">
        <v>23</v>
      </c>
      <c r="E2408">
        <f t="shared" si="37"/>
        <v>2.8223068993971331E-23</v>
      </c>
    </row>
    <row r="2409" spans="1:5" x14ac:dyDescent="0.25">
      <c r="A2409">
        <v>2</v>
      </c>
      <c r="B2409">
        <v>20</v>
      </c>
      <c r="C2409">
        <v>4</v>
      </c>
      <c r="D2409">
        <v>22</v>
      </c>
      <c r="E2409">
        <f t="shared" si="37"/>
        <v>3.3538413654502602E-21</v>
      </c>
    </row>
    <row r="2410" spans="1:5" x14ac:dyDescent="0.25">
      <c r="A2410">
        <v>2</v>
      </c>
      <c r="B2410">
        <v>20</v>
      </c>
      <c r="C2410">
        <v>5</v>
      </c>
      <c r="D2410">
        <v>21</v>
      </c>
      <c r="E2410">
        <f t="shared" si="37"/>
        <v>2.250427556217125E-19</v>
      </c>
    </row>
    <row r="2411" spans="1:5" x14ac:dyDescent="0.25">
      <c r="A2411">
        <v>2</v>
      </c>
      <c r="B2411">
        <v>20</v>
      </c>
      <c r="C2411">
        <v>6</v>
      </c>
      <c r="D2411">
        <v>20</v>
      </c>
      <c r="E2411">
        <f t="shared" si="37"/>
        <v>9.4517957361119214E-18</v>
      </c>
    </row>
    <row r="2412" spans="1:5" x14ac:dyDescent="0.25">
      <c r="A2412">
        <v>2</v>
      </c>
      <c r="B2412">
        <v>20</v>
      </c>
      <c r="C2412">
        <v>7</v>
      </c>
      <c r="D2412">
        <v>19</v>
      </c>
      <c r="E2412">
        <f t="shared" si="37"/>
        <v>2.655504516336207E-16</v>
      </c>
    </row>
    <row r="2413" spans="1:5" x14ac:dyDescent="0.25">
      <c r="A2413">
        <v>2</v>
      </c>
      <c r="B2413">
        <v>20</v>
      </c>
      <c r="C2413">
        <v>8</v>
      </c>
      <c r="D2413">
        <v>18</v>
      </c>
      <c r="E2413">
        <f t="shared" si="37"/>
        <v>5.2256535303616093E-15</v>
      </c>
    </row>
    <row r="2414" spans="1:5" x14ac:dyDescent="0.25">
      <c r="A2414">
        <v>2</v>
      </c>
      <c r="B2414">
        <v>20</v>
      </c>
      <c r="C2414">
        <v>9</v>
      </c>
      <c r="D2414">
        <v>17</v>
      </c>
      <c r="E2414">
        <f t="shared" si="37"/>
        <v>7.4465562807652898E-14</v>
      </c>
    </row>
    <row r="2415" spans="1:5" x14ac:dyDescent="0.25">
      <c r="A2415">
        <v>2</v>
      </c>
      <c r="B2415">
        <v>20</v>
      </c>
      <c r="C2415">
        <v>10</v>
      </c>
      <c r="D2415">
        <v>16</v>
      </c>
      <c r="E2415">
        <f t="shared" si="37"/>
        <v>7.8768017547650645E-13</v>
      </c>
    </row>
    <row r="2416" spans="1:5" x14ac:dyDescent="0.25">
      <c r="A2416">
        <v>2</v>
      </c>
      <c r="B2416">
        <v>20</v>
      </c>
      <c r="C2416">
        <v>11</v>
      </c>
      <c r="D2416">
        <v>15</v>
      </c>
      <c r="E2416">
        <f t="shared" si="37"/>
        <v>6.3014414038120516E-12</v>
      </c>
    </row>
    <row r="2417" spans="1:5" x14ac:dyDescent="0.25">
      <c r="A2417">
        <v>2</v>
      </c>
      <c r="B2417">
        <v>20</v>
      </c>
      <c r="C2417">
        <v>12</v>
      </c>
      <c r="D2417">
        <v>14</v>
      </c>
      <c r="E2417">
        <f t="shared" si="37"/>
        <v>3.8667935887028478E-11</v>
      </c>
    </row>
    <row r="2418" spans="1:5" x14ac:dyDescent="0.25">
      <c r="A2418">
        <v>2</v>
      </c>
      <c r="B2418">
        <v>20</v>
      </c>
      <c r="C2418">
        <v>13</v>
      </c>
      <c r="D2418">
        <v>13</v>
      </c>
      <c r="E2418">
        <f t="shared" si="37"/>
        <v>1.839205668472766E-10</v>
      </c>
    </row>
    <row r="2419" spans="1:5" x14ac:dyDescent="0.25">
      <c r="A2419">
        <v>2</v>
      </c>
      <c r="B2419">
        <v>20</v>
      </c>
      <c r="C2419">
        <v>14</v>
      </c>
      <c r="D2419">
        <v>12</v>
      </c>
      <c r="E2419">
        <f t="shared" si="37"/>
        <v>6.8313353400417032E-10</v>
      </c>
    </row>
    <row r="2420" spans="1:5" x14ac:dyDescent="0.25">
      <c r="A2420">
        <v>2</v>
      </c>
      <c r="B2420">
        <v>20</v>
      </c>
      <c r="C2420">
        <v>15</v>
      </c>
      <c r="D2420">
        <v>11</v>
      </c>
      <c r="E2420">
        <f t="shared" si="37"/>
        <v>1.9908462990978666E-9</v>
      </c>
    </row>
    <row r="2421" spans="1:5" x14ac:dyDescent="0.25">
      <c r="A2421">
        <v>2</v>
      </c>
      <c r="B2421">
        <v>20</v>
      </c>
      <c r="C2421">
        <v>16</v>
      </c>
      <c r="D2421">
        <v>10</v>
      </c>
      <c r="E2421">
        <f t="shared" si="37"/>
        <v>4.5623561020992776E-9</v>
      </c>
    </row>
    <row r="2422" spans="1:5" x14ac:dyDescent="0.25">
      <c r="A2422">
        <v>2</v>
      </c>
      <c r="B2422">
        <v>20</v>
      </c>
      <c r="C2422">
        <v>17</v>
      </c>
      <c r="D2422">
        <v>9</v>
      </c>
      <c r="E2422">
        <f t="shared" si="37"/>
        <v>8.2189503309876744E-9</v>
      </c>
    </row>
    <row r="2423" spans="1:5" x14ac:dyDescent="0.25">
      <c r="A2423">
        <v>2</v>
      </c>
      <c r="B2423">
        <v>20</v>
      </c>
      <c r="C2423">
        <v>18</v>
      </c>
      <c r="D2423">
        <v>8</v>
      </c>
      <c r="E2423">
        <f t="shared" si="37"/>
        <v>1.160322399668847E-8</v>
      </c>
    </row>
    <row r="2424" spans="1:5" x14ac:dyDescent="0.25">
      <c r="A2424">
        <v>2</v>
      </c>
      <c r="B2424">
        <v>20</v>
      </c>
      <c r="C2424">
        <v>19</v>
      </c>
      <c r="D2424">
        <v>7</v>
      </c>
      <c r="E2424">
        <f t="shared" si="37"/>
        <v>1.2756760885248153E-8</v>
      </c>
    </row>
    <row r="2425" spans="1:5" x14ac:dyDescent="0.25">
      <c r="A2425">
        <v>2</v>
      </c>
      <c r="B2425">
        <v>20</v>
      </c>
      <c r="C2425">
        <v>20</v>
      </c>
      <c r="D2425">
        <v>6</v>
      </c>
      <c r="E2425">
        <f t="shared" si="37"/>
        <v>1.0809676329078702E-8</v>
      </c>
    </row>
    <row r="2426" spans="1:5" x14ac:dyDescent="0.25">
      <c r="A2426">
        <v>2</v>
      </c>
      <c r="B2426">
        <v>20</v>
      </c>
      <c r="C2426">
        <v>21</v>
      </c>
      <c r="D2426">
        <v>5</v>
      </c>
      <c r="E2426">
        <f t="shared" si="37"/>
        <v>6.9490776401220141E-9</v>
      </c>
    </row>
    <row r="2427" spans="1:5" x14ac:dyDescent="0.25">
      <c r="A2427">
        <v>2</v>
      </c>
      <c r="B2427">
        <v>20</v>
      </c>
      <c r="C2427">
        <v>22</v>
      </c>
      <c r="D2427">
        <v>4</v>
      </c>
      <c r="E2427">
        <f t="shared" si="37"/>
        <v>3.3090845905342953E-9</v>
      </c>
    </row>
    <row r="2428" spans="1:5" x14ac:dyDescent="0.25">
      <c r="A2428">
        <v>2</v>
      </c>
      <c r="B2428">
        <v>20</v>
      </c>
      <c r="C2428">
        <v>23</v>
      </c>
      <c r="D2428">
        <v>3</v>
      </c>
      <c r="E2428">
        <f t="shared" si="37"/>
        <v>1.1248271730669933E-9</v>
      </c>
    </row>
    <row r="2429" spans="1:5" x14ac:dyDescent="0.25">
      <c r="A2429">
        <v>2</v>
      </c>
      <c r="B2429">
        <v>20</v>
      </c>
      <c r="C2429">
        <v>24</v>
      </c>
      <c r="D2429">
        <v>2</v>
      </c>
      <c r="E2429">
        <f t="shared" si="37"/>
        <v>2.5675402863485713E-10</v>
      </c>
    </row>
    <row r="2430" spans="1:5" x14ac:dyDescent="0.25">
      <c r="A2430">
        <v>2</v>
      </c>
      <c r="B2430">
        <v>20</v>
      </c>
      <c r="C2430">
        <v>25</v>
      </c>
      <c r="D2430">
        <v>1</v>
      </c>
      <c r="E2430">
        <f t="shared" si="37"/>
        <v>3.5089717246763826E-11</v>
      </c>
    </row>
    <row r="2431" spans="1:5" x14ac:dyDescent="0.25">
      <c r="A2431">
        <v>2</v>
      </c>
      <c r="B2431">
        <v>20</v>
      </c>
      <c r="C2431">
        <v>26</v>
      </c>
      <c r="D2431">
        <v>0</v>
      </c>
      <c r="E2431">
        <f t="shared" si="37"/>
        <v>2.1593672151854648E-12</v>
      </c>
    </row>
    <row r="2432" spans="1:5" x14ac:dyDescent="0.25">
      <c r="A2432">
        <v>2</v>
      </c>
      <c r="B2432">
        <v>21</v>
      </c>
      <c r="C2432">
        <v>0</v>
      </c>
      <c r="D2432">
        <v>25</v>
      </c>
      <c r="E2432">
        <f t="shared" si="37"/>
        <v>2.7588833505502829E-29</v>
      </c>
    </row>
    <row r="2433" spans="1:5" x14ac:dyDescent="0.25">
      <c r="A2433">
        <v>2</v>
      </c>
      <c r="B2433">
        <v>21</v>
      </c>
      <c r="C2433">
        <v>1</v>
      </c>
      <c r="D2433">
        <v>24</v>
      </c>
      <c r="E2433">
        <f t="shared" si="37"/>
        <v>4.4831854446442098E-26</v>
      </c>
    </row>
    <row r="2434" spans="1:5" x14ac:dyDescent="0.25">
      <c r="A2434">
        <v>2</v>
      </c>
      <c r="B2434">
        <v>21</v>
      </c>
      <c r="C2434">
        <v>2</v>
      </c>
      <c r="D2434">
        <v>23</v>
      </c>
      <c r="E2434">
        <f t="shared" si="37"/>
        <v>1.7215432107433767E-23</v>
      </c>
    </row>
    <row r="2435" spans="1:5" x14ac:dyDescent="0.25">
      <c r="A2435">
        <v>2</v>
      </c>
      <c r="B2435">
        <v>21</v>
      </c>
      <c r="C2435">
        <v>3</v>
      </c>
      <c r="D2435">
        <v>22</v>
      </c>
      <c r="E2435">
        <f t="shared" si="37"/>
        <v>2.7716845692968367E-21</v>
      </c>
    </row>
    <row r="2436" spans="1:5" x14ac:dyDescent="0.25">
      <c r="A2436">
        <v>2</v>
      </c>
      <c r="B2436">
        <v>21</v>
      </c>
      <c r="C2436">
        <v>4</v>
      </c>
      <c r="D2436">
        <v>21</v>
      </c>
      <c r="E2436">
        <f t="shared" si="37"/>
        <v>2.3628610953255533E-19</v>
      </c>
    </row>
    <row r="2437" spans="1:5" x14ac:dyDescent="0.25">
      <c r="A2437">
        <v>2</v>
      </c>
      <c r="B2437">
        <v>21</v>
      </c>
      <c r="C2437">
        <v>5</v>
      </c>
      <c r="D2437">
        <v>20</v>
      </c>
      <c r="E2437">
        <f t="shared" si="37"/>
        <v>1.2107300252448133E-17</v>
      </c>
    </row>
    <row r="2438" spans="1:5" x14ac:dyDescent="0.25">
      <c r="A2438">
        <v>2</v>
      </c>
      <c r="B2438">
        <v>21</v>
      </c>
      <c r="C2438">
        <v>6</v>
      </c>
      <c r="D2438">
        <v>19</v>
      </c>
      <c r="E2438">
        <f t="shared" si="37"/>
        <v>4.0357667508160436E-16</v>
      </c>
    </row>
    <row r="2439" spans="1:5" x14ac:dyDescent="0.25">
      <c r="A2439">
        <v>2</v>
      </c>
      <c r="B2439">
        <v>21</v>
      </c>
      <c r="C2439">
        <v>7</v>
      </c>
      <c r="D2439">
        <v>18</v>
      </c>
      <c r="E2439">
        <f t="shared" si="37"/>
        <v>9.2328459748260973E-15</v>
      </c>
    </row>
    <row r="2440" spans="1:5" x14ac:dyDescent="0.25">
      <c r="A2440">
        <v>2</v>
      </c>
      <c r="B2440">
        <v>21</v>
      </c>
      <c r="C2440">
        <v>8</v>
      </c>
      <c r="D2440">
        <v>17</v>
      </c>
      <c r="E2440">
        <f t="shared" si="37"/>
        <v>1.5061079996435067E-13</v>
      </c>
    </row>
    <row r="2441" spans="1:5" x14ac:dyDescent="0.25">
      <c r="A2441">
        <v>2</v>
      </c>
      <c r="B2441">
        <v>21</v>
      </c>
      <c r="C2441">
        <v>9</v>
      </c>
      <c r="D2441">
        <v>16</v>
      </c>
      <c r="E2441">
        <f t="shared" si="37"/>
        <v>1.8017514217957504E-12</v>
      </c>
    </row>
    <row r="2442" spans="1:5" x14ac:dyDescent="0.25">
      <c r="A2442">
        <v>2</v>
      </c>
      <c r="B2442">
        <v>21</v>
      </c>
      <c r="C2442">
        <v>10</v>
      </c>
      <c r="D2442">
        <v>15</v>
      </c>
      <c r="E2442">
        <f t="shared" si="37"/>
        <v>1.6143692739289923E-11</v>
      </c>
    </row>
    <row r="2443" spans="1:5" x14ac:dyDescent="0.25">
      <c r="A2443">
        <v>2</v>
      </c>
      <c r="B2443">
        <v>21</v>
      </c>
      <c r="C2443">
        <v>11</v>
      </c>
      <c r="D2443">
        <v>14</v>
      </c>
      <c r="E2443">
        <f t="shared" si="37"/>
        <v>1.1007063231334041E-10</v>
      </c>
    </row>
    <row r="2444" spans="1:5" x14ac:dyDescent="0.25">
      <c r="A2444">
        <v>2</v>
      </c>
      <c r="B2444">
        <v>21</v>
      </c>
      <c r="C2444">
        <v>12</v>
      </c>
      <c r="D2444">
        <v>13</v>
      </c>
      <c r="E2444">
        <f t="shared" si="37"/>
        <v>5.7787081964503697E-10</v>
      </c>
    </row>
    <row r="2445" spans="1:5" x14ac:dyDescent="0.25">
      <c r="A2445">
        <v>2</v>
      </c>
      <c r="B2445">
        <v>21</v>
      </c>
      <c r="C2445">
        <v>13</v>
      </c>
      <c r="D2445">
        <v>12</v>
      </c>
      <c r="E2445">
        <f t="shared" si="37"/>
        <v>2.3559348800913054E-9</v>
      </c>
    </row>
    <row r="2446" spans="1:5" x14ac:dyDescent="0.25">
      <c r="A2446">
        <v>2</v>
      </c>
      <c r="B2446">
        <v>21</v>
      </c>
      <c r="C2446">
        <v>14</v>
      </c>
      <c r="D2446">
        <v>11</v>
      </c>
      <c r="E2446">
        <f t="shared" ref="E2446:E2509" si="38">COMBIN(A$4,A2446)*COMBIN(B$4,B2446)*COMBIN(C$4,C2446)*COMBIN(D$4,D2446)/COMBIN($G$4,$F$4)</f>
        <v>7.5005273733519104E-9</v>
      </c>
    </row>
    <row r="2447" spans="1:5" x14ac:dyDescent="0.25">
      <c r="A2447">
        <v>2</v>
      </c>
      <c r="B2447">
        <v>21</v>
      </c>
      <c r="C2447">
        <v>15</v>
      </c>
      <c r="D2447">
        <v>10</v>
      </c>
      <c r="E2447">
        <f t="shared" si="38"/>
        <v>1.8701314917557424E-8</v>
      </c>
    </row>
    <row r="2448" spans="1:5" x14ac:dyDescent="0.25">
      <c r="A2448">
        <v>2</v>
      </c>
      <c r="B2448">
        <v>21</v>
      </c>
      <c r="C2448">
        <v>16</v>
      </c>
      <c r="D2448">
        <v>9</v>
      </c>
      <c r="E2448">
        <f t="shared" si="38"/>
        <v>3.652600569835435E-8</v>
      </c>
    </row>
    <row r="2449" spans="1:5" x14ac:dyDescent="0.25">
      <c r="A2449">
        <v>2</v>
      </c>
      <c r="B2449">
        <v>21</v>
      </c>
      <c r="C2449">
        <v>17</v>
      </c>
      <c r="D2449">
        <v>8</v>
      </c>
      <c r="E2449">
        <f t="shared" si="38"/>
        <v>5.5736915269807186E-8</v>
      </c>
    </row>
    <row r="2450" spans="1:5" x14ac:dyDescent="0.25">
      <c r="A2450">
        <v>2</v>
      </c>
      <c r="B2450">
        <v>21</v>
      </c>
      <c r="C2450">
        <v>18</v>
      </c>
      <c r="D2450">
        <v>7</v>
      </c>
      <c r="E2450">
        <f t="shared" si="38"/>
        <v>6.6058566245697361E-8</v>
      </c>
    </row>
    <row r="2451" spans="1:5" x14ac:dyDescent="0.25">
      <c r="A2451">
        <v>2</v>
      </c>
      <c r="B2451">
        <v>21</v>
      </c>
      <c r="C2451">
        <v>19</v>
      </c>
      <c r="D2451">
        <v>6</v>
      </c>
      <c r="E2451">
        <f t="shared" si="38"/>
        <v>6.0202959265469347E-8</v>
      </c>
    </row>
    <row r="2452" spans="1:5" x14ac:dyDescent="0.25">
      <c r="A2452">
        <v>2</v>
      </c>
      <c r="B2452">
        <v>21</v>
      </c>
      <c r="C2452">
        <v>20</v>
      </c>
      <c r="D2452">
        <v>5</v>
      </c>
      <c r="E2452">
        <f t="shared" si="38"/>
        <v>4.1540041893173886E-8</v>
      </c>
    </row>
    <row r="2453" spans="1:5" x14ac:dyDescent="0.25">
      <c r="A2453">
        <v>2</v>
      </c>
      <c r="B2453">
        <v>21</v>
      </c>
      <c r="C2453">
        <v>21</v>
      </c>
      <c r="D2453">
        <v>4</v>
      </c>
      <c r="E2453">
        <f t="shared" si="38"/>
        <v>2.1193898925088696E-8</v>
      </c>
    </row>
    <row r="2454" spans="1:5" x14ac:dyDescent="0.25">
      <c r="A2454">
        <v>2</v>
      </c>
      <c r="B2454">
        <v>21</v>
      </c>
      <c r="C2454">
        <v>22</v>
      </c>
      <c r="D2454">
        <v>3</v>
      </c>
      <c r="E2454">
        <f t="shared" si="38"/>
        <v>7.7068723363958921E-9</v>
      </c>
    </row>
    <row r="2455" spans="1:5" x14ac:dyDescent="0.25">
      <c r="A2455">
        <v>2</v>
      </c>
      <c r="B2455">
        <v>21</v>
      </c>
      <c r="C2455">
        <v>23</v>
      </c>
      <c r="D2455">
        <v>2</v>
      </c>
      <c r="E2455">
        <f t="shared" si="38"/>
        <v>1.8793696245653494E-9</v>
      </c>
    </row>
    <row r="2456" spans="1:5" x14ac:dyDescent="0.25">
      <c r="A2456">
        <v>2</v>
      </c>
      <c r="B2456">
        <v>21</v>
      </c>
      <c r="C2456">
        <v>24</v>
      </c>
      <c r="D2456">
        <v>1</v>
      </c>
      <c r="E2456">
        <f t="shared" si="38"/>
        <v>2.7407473691578009E-10</v>
      </c>
    </row>
    <row r="2457" spans="1:5" x14ac:dyDescent="0.25">
      <c r="A2457">
        <v>2</v>
      </c>
      <c r="B2457">
        <v>21</v>
      </c>
      <c r="C2457">
        <v>25</v>
      </c>
      <c r="D2457">
        <v>0</v>
      </c>
      <c r="E2457">
        <f t="shared" si="38"/>
        <v>1.7979302741675185E-11</v>
      </c>
    </row>
    <row r="2458" spans="1:5" x14ac:dyDescent="0.25">
      <c r="A2458">
        <v>2</v>
      </c>
      <c r="B2458">
        <v>22</v>
      </c>
      <c r="C2458">
        <v>0</v>
      </c>
      <c r="D2458">
        <v>24</v>
      </c>
      <c r="E2458">
        <f t="shared" si="38"/>
        <v>8.4020538403122245E-27</v>
      </c>
    </row>
    <row r="2459" spans="1:5" x14ac:dyDescent="0.25">
      <c r="A2459">
        <v>2</v>
      </c>
      <c r="B2459">
        <v>22</v>
      </c>
      <c r="C2459">
        <v>1</v>
      </c>
      <c r="D2459">
        <v>23</v>
      </c>
      <c r="E2459">
        <f t="shared" si="38"/>
        <v>6.5536019954435351E-24</v>
      </c>
    </row>
    <row r="2460" spans="1:5" x14ac:dyDescent="0.25">
      <c r="A2460">
        <v>2</v>
      </c>
      <c r="B2460">
        <v>22</v>
      </c>
      <c r="C2460">
        <v>2</v>
      </c>
      <c r="D2460">
        <v>22</v>
      </c>
      <c r="E2460">
        <f t="shared" si="38"/>
        <v>1.6078170228821474E-21</v>
      </c>
    </row>
    <row r="2461" spans="1:5" x14ac:dyDescent="0.25">
      <c r="A2461">
        <v>2</v>
      </c>
      <c r="B2461">
        <v>22</v>
      </c>
      <c r="C2461">
        <v>3</v>
      </c>
      <c r="D2461">
        <v>21</v>
      </c>
      <c r="E2461">
        <f t="shared" si="38"/>
        <v>1.8570286614288808E-19</v>
      </c>
    </row>
    <row r="2462" spans="1:5" x14ac:dyDescent="0.25">
      <c r="A2462">
        <v>2</v>
      </c>
      <c r="B2462">
        <v>22</v>
      </c>
      <c r="C2462">
        <v>4</v>
      </c>
      <c r="D2462">
        <v>20</v>
      </c>
      <c r="E2462">
        <f t="shared" si="38"/>
        <v>1.2089256585902008E-17</v>
      </c>
    </row>
    <row r="2463" spans="1:5" x14ac:dyDescent="0.25">
      <c r="A2463">
        <v>2</v>
      </c>
      <c r="B2463">
        <v>22</v>
      </c>
      <c r="C2463">
        <v>5</v>
      </c>
      <c r="D2463">
        <v>19</v>
      </c>
      <c r="E2463">
        <f t="shared" si="38"/>
        <v>4.916297678266818E-16</v>
      </c>
    </row>
    <row r="2464" spans="1:5" x14ac:dyDescent="0.25">
      <c r="A2464">
        <v>2</v>
      </c>
      <c r="B2464">
        <v>22</v>
      </c>
      <c r="C2464">
        <v>6</v>
      </c>
      <c r="D2464">
        <v>18</v>
      </c>
      <c r="E2464">
        <f t="shared" si="38"/>
        <v>1.3344236555295649E-14</v>
      </c>
    </row>
    <row r="2465" spans="1:5" x14ac:dyDescent="0.25">
      <c r="A2465">
        <v>2</v>
      </c>
      <c r="B2465">
        <v>22</v>
      </c>
      <c r="C2465">
        <v>7</v>
      </c>
      <c r="D2465">
        <v>17</v>
      </c>
      <c r="E2465">
        <f t="shared" si="38"/>
        <v>2.5306391467364245E-13</v>
      </c>
    </row>
    <row r="2466" spans="1:5" x14ac:dyDescent="0.25">
      <c r="A2466">
        <v>2</v>
      </c>
      <c r="B2466">
        <v>22</v>
      </c>
      <c r="C2466">
        <v>8</v>
      </c>
      <c r="D2466">
        <v>16</v>
      </c>
      <c r="E2466">
        <f t="shared" si="38"/>
        <v>3.4655697203918269E-12</v>
      </c>
    </row>
    <row r="2467" spans="1:5" x14ac:dyDescent="0.25">
      <c r="A2467">
        <v>2</v>
      </c>
      <c r="B2467">
        <v>22</v>
      </c>
      <c r="C2467">
        <v>9</v>
      </c>
      <c r="D2467">
        <v>15</v>
      </c>
      <c r="E2467">
        <f t="shared" si="38"/>
        <v>3.5117773166637161E-11</v>
      </c>
    </row>
    <row r="2468" spans="1:5" x14ac:dyDescent="0.25">
      <c r="A2468">
        <v>2</v>
      </c>
      <c r="B2468">
        <v>22</v>
      </c>
      <c r="C2468">
        <v>10</v>
      </c>
      <c r="D2468">
        <v>14</v>
      </c>
      <c r="E2468">
        <f t="shared" si="38"/>
        <v>2.6817208599977479E-10</v>
      </c>
    </row>
    <row r="2469" spans="1:5" x14ac:dyDescent="0.25">
      <c r="A2469">
        <v>2</v>
      </c>
      <c r="B2469">
        <v>22</v>
      </c>
      <c r="C2469">
        <v>11</v>
      </c>
      <c r="D2469">
        <v>13</v>
      </c>
      <c r="E2469">
        <f t="shared" si="38"/>
        <v>1.5643371683320199E-9</v>
      </c>
    </row>
    <row r="2470" spans="1:5" x14ac:dyDescent="0.25">
      <c r="A2470">
        <v>2</v>
      </c>
      <c r="B2470">
        <v>22</v>
      </c>
      <c r="C2470">
        <v>12</v>
      </c>
      <c r="D2470">
        <v>12</v>
      </c>
      <c r="E2470">
        <f t="shared" si="38"/>
        <v>7.0395172574940864E-9</v>
      </c>
    </row>
    <row r="2471" spans="1:5" x14ac:dyDescent="0.25">
      <c r="A2471">
        <v>2</v>
      </c>
      <c r="B2471">
        <v>22</v>
      </c>
      <c r="C2471">
        <v>13</v>
      </c>
      <c r="D2471">
        <v>11</v>
      </c>
      <c r="E2471">
        <f t="shared" si="38"/>
        <v>2.4599631734979343E-8</v>
      </c>
    </row>
    <row r="2472" spans="1:5" x14ac:dyDescent="0.25">
      <c r="A2472">
        <v>2</v>
      </c>
      <c r="B2472">
        <v>22</v>
      </c>
      <c r="C2472">
        <v>14</v>
      </c>
      <c r="D2472">
        <v>10</v>
      </c>
      <c r="E2472">
        <f t="shared" si="38"/>
        <v>6.7004711201943726E-8</v>
      </c>
    </row>
    <row r="2473" spans="1:5" x14ac:dyDescent="0.25">
      <c r="A2473">
        <v>2</v>
      </c>
      <c r="B2473">
        <v>22</v>
      </c>
      <c r="C2473">
        <v>15</v>
      </c>
      <c r="D2473">
        <v>9</v>
      </c>
      <c r="E2473">
        <f t="shared" si="38"/>
        <v>1.4238501130413038E-7</v>
      </c>
    </row>
    <row r="2474" spans="1:5" x14ac:dyDescent="0.25">
      <c r="A2474">
        <v>2</v>
      </c>
      <c r="B2474">
        <v>22</v>
      </c>
      <c r="C2474">
        <v>16</v>
      </c>
      <c r="D2474">
        <v>8</v>
      </c>
      <c r="E2474">
        <f t="shared" si="38"/>
        <v>2.3556343781933338E-7</v>
      </c>
    </row>
    <row r="2475" spans="1:5" x14ac:dyDescent="0.25">
      <c r="A2475">
        <v>2</v>
      </c>
      <c r="B2475">
        <v>22</v>
      </c>
      <c r="C2475">
        <v>17</v>
      </c>
      <c r="D2475">
        <v>7</v>
      </c>
      <c r="E2475">
        <f t="shared" si="38"/>
        <v>3.0176754125875412E-7</v>
      </c>
    </row>
    <row r="2476" spans="1:5" x14ac:dyDescent="0.25">
      <c r="A2476">
        <v>2</v>
      </c>
      <c r="B2476">
        <v>22</v>
      </c>
      <c r="C2476">
        <v>18</v>
      </c>
      <c r="D2476">
        <v>6</v>
      </c>
      <c r="E2476">
        <f t="shared" si="38"/>
        <v>2.9647337386824928E-7</v>
      </c>
    </row>
    <row r="2477" spans="1:5" x14ac:dyDescent="0.25">
      <c r="A2477">
        <v>2</v>
      </c>
      <c r="B2477">
        <v>22</v>
      </c>
      <c r="C2477">
        <v>19</v>
      </c>
      <c r="D2477">
        <v>5</v>
      </c>
      <c r="E2477">
        <f t="shared" si="38"/>
        <v>2.2001445113380611E-7</v>
      </c>
    </row>
    <row r="2478" spans="1:5" x14ac:dyDescent="0.25">
      <c r="A2478">
        <v>2</v>
      </c>
      <c r="B2478">
        <v>22</v>
      </c>
      <c r="C2478">
        <v>20</v>
      </c>
      <c r="D2478">
        <v>4</v>
      </c>
      <c r="E2478">
        <f t="shared" si="38"/>
        <v>1.2048410419232253E-7</v>
      </c>
    </row>
    <row r="2479" spans="1:5" x14ac:dyDescent="0.25">
      <c r="A2479">
        <v>2</v>
      </c>
      <c r="B2479">
        <v>22</v>
      </c>
      <c r="C2479">
        <v>21</v>
      </c>
      <c r="D2479">
        <v>3</v>
      </c>
      <c r="E2479">
        <f t="shared" si="38"/>
        <v>4.6941858776229495E-8</v>
      </c>
    </row>
    <row r="2480" spans="1:5" x14ac:dyDescent="0.25">
      <c r="A2480">
        <v>2</v>
      </c>
      <c r="B2480">
        <v>22</v>
      </c>
      <c r="C2480">
        <v>22</v>
      </c>
      <c r="D2480">
        <v>2</v>
      </c>
      <c r="E2480">
        <f t="shared" si="38"/>
        <v>1.2245702289451183E-8</v>
      </c>
    </row>
    <row r="2481" spans="1:5" x14ac:dyDescent="0.25">
      <c r="A2481">
        <v>2</v>
      </c>
      <c r="B2481">
        <v>22</v>
      </c>
      <c r="C2481">
        <v>23</v>
      </c>
      <c r="D2481">
        <v>1</v>
      </c>
      <c r="E2481">
        <f t="shared" si="38"/>
        <v>1.9078449219072484E-9</v>
      </c>
    </row>
    <row r="2482" spans="1:5" x14ac:dyDescent="0.25">
      <c r="A2482">
        <v>2</v>
      </c>
      <c r="B2482">
        <v>22</v>
      </c>
      <c r="C2482">
        <v>24</v>
      </c>
      <c r="D2482">
        <v>0</v>
      </c>
      <c r="E2482">
        <f t="shared" si="38"/>
        <v>1.3354914453350739E-10</v>
      </c>
    </row>
    <row r="2483" spans="1:5" x14ac:dyDescent="0.25">
      <c r="A2483">
        <v>2</v>
      </c>
      <c r="B2483">
        <v>23</v>
      </c>
      <c r="C2483">
        <v>0</v>
      </c>
      <c r="D2483">
        <v>23</v>
      </c>
      <c r="E2483">
        <f t="shared" si="38"/>
        <v>1.1704426306243634E-24</v>
      </c>
    </row>
    <row r="2484" spans="1:5" x14ac:dyDescent="0.25">
      <c r="A2484">
        <v>2</v>
      </c>
      <c r="B2484">
        <v>23</v>
      </c>
      <c r="C2484">
        <v>1</v>
      </c>
      <c r="D2484">
        <v>22</v>
      </c>
      <c r="E2484">
        <f t="shared" si="38"/>
        <v>5.8327057759447433E-22</v>
      </c>
    </row>
    <row r="2485" spans="1:5" x14ac:dyDescent="0.25">
      <c r="A2485">
        <v>2</v>
      </c>
      <c r="B2485">
        <v>23</v>
      </c>
      <c r="C2485">
        <v>2</v>
      </c>
      <c r="D2485">
        <v>21</v>
      </c>
      <c r="E2485">
        <f t="shared" si="38"/>
        <v>1.0265562165662751E-19</v>
      </c>
    </row>
    <row r="2486" spans="1:5" x14ac:dyDescent="0.25">
      <c r="A2486">
        <v>2</v>
      </c>
      <c r="B2486">
        <v>23</v>
      </c>
      <c r="C2486">
        <v>3</v>
      </c>
      <c r="D2486">
        <v>20</v>
      </c>
      <c r="E2486">
        <f t="shared" si="38"/>
        <v>9.0542258301145412E-18</v>
      </c>
    </row>
    <row r="2487" spans="1:5" x14ac:dyDescent="0.25">
      <c r="A2487">
        <v>2</v>
      </c>
      <c r="B2487">
        <v>23</v>
      </c>
      <c r="C2487">
        <v>4</v>
      </c>
      <c r="D2487">
        <v>19</v>
      </c>
      <c r="E2487">
        <f t="shared" si="38"/>
        <v>4.6780166788925131E-16</v>
      </c>
    </row>
    <row r="2488" spans="1:5" x14ac:dyDescent="0.25">
      <c r="A2488">
        <v>2</v>
      </c>
      <c r="B2488">
        <v>23</v>
      </c>
      <c r="C2488">
        <v>5</v>
      </c>
      <c r="D2488">
        <v>18</v>
      </c>
      <c r="E2488">
        <f t="shared" si="38"/>
        <v>1.5490918088104073E-14</v>
      </c>
    </row>
    <row r="2489" spans="1:5" x14ac:dyDescent="0.25">
      <c r="A2489">
        <v>2</v>
      </c>
      <c r="B2489">
        <v>23</v>
      </c>
      <c r="C2489">
        <v>6</v>
      </c>
      <c r="D2489">
        <v>17</v>
      </c>
      <c r="E2489">
        <f t="shared" si="38"/>
        <v>3.4854565698234154E-13</v>
      </c>
    </row>
    <row r="2490" spans="1:5" x14ac:dyDescent="0.25">
      <c r="A2490">
        <v>2</v>
      </c>
      <c r="B2490">
        <v>23</v>
      </c>
      <c r="C2490">
        <v>7</v>
      </c>
      <c r="D2490">
        <v>16</v>
      </c>
      <c r="E2490">
        <f t="shared" si="38"/>
        <v>5.5490681579887072E-12</v>
      </c>
    </row>
    <row r="2491" spans="1:5" x14ac:dyDescent="0.25">
      <c r="A2491">
        <v>2</v>
      </c>
      <c r="B2491">
        <v>23</v>
      </c>
      <c r="C2491">
        <v>8</v>
      </c>
      <c r="D2491">
        <v>15</v>
      </c>
      <c r="E2491">
        <f t="shared" si="38"/>
        <v>6.4369190632669005E-11</v>
      </c>
    </row>
    <row r="2492" spans="1:5" x14ac:dyDescent="0.25">
      <c r="A2492">
        <v>2</v>
      </c>
      <c r="B2492">
        <v>23</v>
      </c>
      <c r="C2492">
        <v>9</v>
      </c>
      <c r="D2492">
        <v>14</v>
      </c>
      <c r="E2492">
        <f t="shared" si="38"/>
        <v>5.5591573728214148E-10</v>
      </c>
    </row>
    <row r="2493" spans="1:5" x14ac:dyDescent="0.25">
      <c r="A2493">
        <v>2</v>
      </c>
      <c r="B2493">
        <v>23</v>
      </c>
      <c r="C2493">
        <v>10</v>
      </c>
      <c r="D2493">
        <v>13</v>
      </c>
      <c r="E2493">
        <f t="shared" si="38"/>
        <v>3.6319828169099922E-9</v>
      </c>
    </row>
    <row r="2494" spans="1:5" x14ac:dyDescent="0.25">
      <c r="A2494">
        <v>2</v>
      </c>
      <c r="B2494">
        <v>23</v>
      </c>
      <c r="C2494">
        <v>11</v>
      </c>
      <c r="D2494">
        <v>12</v>
      </c>
      <c r="E2494">
        <f t="shared" si="38"/>
        <v>1.8159914084549963E-8</v>
      </c>
    </row>
    <row r="2495" spans="1:5" x14ac:dyDescent="0.25">
      <c r="A2495">
        <v>2</v>
      </c>
      <c r="B2495">
        <v>23</v>
      </c>
      <c r="C2495">
        <v>12</v>
      </c>
      <c r="D2495">
        <v>11</v>
      </c>
      <c r="E2495">
        <f t="shared" si="38"/>
        <v>7.0045382897549793E-8</v>
      </c>
    </row>
    <row r="2496" spans="1:5" x14ac:dyDescent="0.25">
      <c r="A2496">
        <v>2</v>
      </c>
      <c r="B2496">
        <v>23</v>
      </c>
      <c r="C2496">
        <v>13</v>
      </c>
      <c r="D2496">
        <v>10</v>
      </c>
      <c r="E2496">
        <f t="shared" si="38"/>
        <v>2.0941773450908484E-7</v>
      </c>
    </row>
    <row r="2497" spans="1:5" x14ac:dyDescent="0.25">
      <c r="A2497">
        <v>2</v>
      </c>
      <c r="B2497">
        <v>23</v>
      </c>
      <c r="C2497">
        <v>14</v>
      </c>
      <c r="D2497">
        <v>9</v>
      </c>
      <c r="E2497">
        <f t="shared" si="38"/>
        <v>4.8614831225323279E-7</v>
      </c>
    </row>
    <row r="2498" spans="1:5" x14ac:dyDescent="0.25">
      <c r="A2498">
        <v>2</v>
      </c>
      <c r="B2498">
        <v>23</v>
      </c>
      <c r="C2498">
        <v>15</v>
      </c>
      <c r="D2498">
        <v>8</v>
      </c>
      <c r="E2498">
        <f t="shared" si="38"/>
        <v>8.7506696205581863E-7</v>
      </c>
    </row>
    <row r="2499" spans="1:5" x14ac:dyDescent="0.25">
      <c r="A2499">
        <v>2</v>
      </c>
      <c r="B2499">
        <v>23</v>
      </c>
      <c r="C2499">
        <v>16</v>
      </c>
      <c r="D2499">
        <v>7</v>
      </c>
      <c r="E2499">
        <f t="shared" si="38"/>
        <v>1.2153707806330819E-6</v>
      </c>
    </row>
    <row r="2500" spans="1:5" x14ac:dyDescent="0.25">
      <c r="A2500">
        <v>2</v>
      </c>
      <c r="B2500">
        <v>23</v>
      </c>
      <c r="C2500">
        <v>17</v>
      </c>
      <c r="D2500">
        <v>6</v>
      </c>
      <c r="E2500">
        <f t="shared" si="38"/>
        <v>1.2906259373286292E-6</v>
      </c>
    </row>
    <row r="2501" spans="1:5" x14ac:dyDescent="0.25">
      <c r="A2501">
        <v>2</v>
      </c>
      <c r="B2501">
        <v>23</v>
      </c>
      <c r="C2501">
        <v>18</v>
      </c>
      <c r="D2501">
        <v>5</v>
      </c>
      <c r="E2501">
        <f t="shared" si="38"/>
        <v>1.0325007498629022E-6</v>
      </c>
    </row>
    <row r="2502" spans="1:5" x14ac:dyDescent="0.25">
      <c r="A2502">
        <v>2</v>
      </c>
      <c r="B2502">
        <v>23</v>
      </c>
      <c r="C2502">
        <v>19</v>
      </c>
      <c r="D2502">
        <v>4</v>
      </c>
      <c r="E2502">
        <f t="shared" si="38"/>
        <v>6.0811447673629614E-7</v>
      </c>
    </row>
    <row r="2503" spans="1:5" x14ac:dyDescent="0.25">
      <c r="A2503">
        <v>2</v>
      </c>
      <c r="B2503">
        <v>23</v>
      </c>
      <c r="C2503">
        <v>20</v>
      </c>
      <c r="D2503">
        <v>3</v>
      </c>
      <c r="E2503">
        <f t="shared" si="38"/>
        <v>2.5430241754426952E-7</v>
      </c>
    </row>
    <row r="2504" spans="1:5" x14ac:dyDescent="0.25">
      <c r="A2504">
        <v>2</v>
      </c>
      <c r="B2504">
        <v>23</v>
      </c>
      <c r="C2504">
        <v>21</v>
      </c>
      <c r="D2504">
        <v>2</v>
      </c>
      <c r="E2504">
        <f t="shared" si="38"/>
        <v>7.107831546268394E-8</v>
      </c>
    </row>
    <row r="2505" spans="1:5" x14ac:dyDescent="0.25">
      <c r="A2505">
        <v>2</v>
      </c>
      <c r="B2505">
        <v>23</v>
      </c>
      <c r="C2505">
        <v>22</v>
      </c>
      <c r="D2505">
        <v>1</v>
      </c>
      <c r="E2505">
        <f t="shared" si="38"/>
        <v>1.184638591044733E-8</v>
      </c>
    </row>
    <row r="2506" spans="1:5" x14ac:dyDescent="0.25">
      <c r="A2506">
        <v>2</v>
      </c>
      <c r="B2506">
        <v>23</v>
      </c>
      <c r="C2506">
        <v>23</v>
      </c>
      <c r="D2506">
        <v>0</v>
      </c>
      <c r="E2506">
        <f t="shared" si="38"/>
        <v>8.8590364199866967E-10</v>
      </c>
    </row>
    <row r="2507" spans="1:5" x14ac:dyDescent="0.25">
      <c r="A2507">
        <v>2</v>
      </c>
      <c r="B2507">
        <v>24</v>
      </c>
      <c r="C2507">
        <v>0</v>
      </c>
      <c r="D2507">
        <v>22</v>
      </c>
      <c r="E2507">
        <f t="shared" si="38"/>
        <v>9.9455111307775798E-23</v>
      </c>
    </row>
    <row r="2508" spans="1:5" x14ac:dyDescent="0.25">
      <c r="A2508">
        <v>2</v>
      </c>
      <c r="B2508">
        <v>24</v>
      </c>
      <c r="C2508">
        <v>1</v>
      </c>
      <c r="D2508">
        <v>21</v>
      </c>
      <c r="E2508">
        <f t="shared" si="38"/>
        <v>3.5555202292529854E-20</v>
      </c>
    </row>
    <row r="2509" spans="1:5" x14ac:dyDescent="0.25">
      <c r="A2509">
        <v>2</v>
      </c>
      <c r="B2509">
        <v>24</v>
      </c>
      <c r="C2509">
        <v>2</v>
      </c>
      <c r="D2509">
        <v>20</v>
      </c>
      <c r="E2509">
        <f t="shared" si="38"/>
        <v>4.7786191881160117E-18</v>
      </c>
    </row>
    <row r="2510" spans="1:5" x14ac:dyDescent="0.25">
      <c r="A2510">
        <v>2</v>
      </c>
      <c r="B2510">
        <v>24</v>
      </c>
      <c r="C2510">
        <v>3</v>
      </c>
      <c r="D2510">
        <v>19</v>
      </c>
      <c r="E2510">
        <f t="shared" ref="E2510:E2573" si="39">COMBIN(A$4,A2510)*COMBIN(B$4,B2510)*COMBIN(C$4,C2510)*COMBIN(D$4,D2510)/COMBIN($G$4,$F$4)</f>
        <v>3.3450334316812082E-16</v>
      </c>
    </row>
    <row r="2511" spans="1:5" x14ac:dyDescent="0.25">
      <c r="A2511">
        <v>2</v>
      </c>
      <c r="B2511">
        <v>24</v>
      </c>
      <c r="C2511">
        <v>4</v>
      </c>
      <c r="D2511">
        <v>18</v>
      </c>
      <c r="E2511">
        <f t="shared" si="39"/>
        <v>1.4073033509001659E-14</v>
      </c>
    </row>
    <row r="2512" spans="1:5" x14ac:dyDescent="0.25">
      <c r="A2512">
        <v>2</v>
      </c>
      <c r="B2512">
        <v>24</v>
      </c>
      <c r="C2512">
        <v>5</v>
      </c>
      <c r="D2512">
        <v>17</v>
      </c>
      <c r="E2512">
        <f t="shared" si="39"/>
        <v>3.8630476982209545E-13</v>
      </c>
    </row>
    <row r="2513" spans="1:5" x14ac:dyDescent="0.25">
      <c r="A2513">
        <v>2</v>
      </c>
      <c r="B2513">
        <v>24</v>
      </c>
      <c r="C2513">
        <v>6</v>
      </c>
      <c r="D2513">
        <v>16</v>
      </c>
      <c r="E2513">
        <f t="shared" si="39"/>
        <v>7.2968678744173585E-12</v>
      </c>
    </row>
    <row r="2514" spans="1:5" x14ac:dyDescent="0.25">
      <c r="A2514">
        <v>2</v>
      </c>
      <c r="B2514">
        <v>24</v>
      </c>
      <c r="C2514">
        <v>7</v>
      </c>
      <c r="D2514">
        <v>15</v>
      </c>
      <c r="E2514">
        <f t="shared" si="39"/>
        <v>9.8403475334999786E-11</v>
      </c>
    </row>
    <row r="2515" spans="1:5" x14ac:dyDescent="0.25">
      <c r="A2515">
        <v>2</v>
      </c>
      <c r="B2515">
        <v>24</v>
      </c>
      <c r="C2515">
        <v>8</v>
      </c>
      <c r="D2515">
        <v>14</v>
      </c>
      <c r="E2515">
        <f t="shared" si="39"/>
        <v>9.7285254024374815E-10</v>
      </c>
    </row>
    <row r="2516" spans="1:5" x14ac:dyDescent="0.25">
      <c r="A2516">
        <v>2</v>
      </c>
      <c r="B2516">
        <v>24</v>
      </c>
      <c r="C2516">
        <v>9</v>
      </c>
      <c r="D2516">
        <v>13</v>
      </c>
      <c r="E2516">
        <f t="shared" si="39"/>
        <v>7.1882993251343625E-9</v>
      </c>
    </row>
    <row r="2517" spans="1:5" x14ac:dyDescent="0.25">
      <c r="A2517">
        <v>2</v>
      </c>
      <c r="B2517">
        <v>24</v>
      </c>
      <c r="C2517">
        <v>10</v>
      </c>
      <c r="D2517">
        <v>12</v>
      </c>
      <c r="E2517">
        <f t="shared" si="39"/>
        <v>4.0254476220752434E-8</v>
      </c>
    </row>
    <row r="2518" spans="1:5" x14ac:dyDescent="0.25">
      <c r="A2518">
        <v>2</v>
      </c>
      <c r="B2518">
        <v>24</v>
      </c>
      <c r="C2518">
        <v>11</v>
      </c>
      <c r="D2518">
        <v>11</v>
      </c>
      <c r="E2518">
        <f t="shared" si="39"/>
        <v>1.7251918380322471E-7</v>
      </c>
    </row>
    <row r="2519" spans="1:5" x14ac:dyDescent="0.25">
      <c r="A2519">
        <v>2</v>
      </c>
      <c r="B2519">
        <v>24</v>
      </c>
      <c r="C2519">
        <v>12</v>
      </c>
      <c r="D2519">
        <v>10</v>
      </c>
      <c r="E2519">
        <f t="shared" si="39"/>
        <v>5.6931330655064117E-7</v>
      </c>
    </row>
    <row r="2520" spans="1:5" x14ac:dyDescent="0.25">
      <c r="A2520">
        <v>2</v>
      </c>
      <c r="B2520">
        <v>24</v>
      </c>
      <c r="C2520">
        <v>13</v>
      </c>
      <c r="D2520">
        <v>9</v>
      </c>
      <c r="E2520">
        <f t="shared" si="39"/>
        <v>1.4506540984223076E-6</v>
      </c>
    </row>
    <row r="2521" spans="1:5" x14ac:dyDescent="0.25">
      <c r="A2521">
        <v>2</v>
      </c>
      <c r="B2521">
        <v>24</v>
      </c>
      <c r="C2521">
        <v>14</v>
      </c>
      <c r="D2521">
        <v>8</v>
      </c>
      <c r="E2521">
        <f t="shared" si="39"/>
        <v>2.8525467145447062E-6</v>
      </c>
    </row>
    <row r="2522" spans="1:5" x14ac:dyDescent="0.25">
      <c r="A2522">
        <v>2</v>
      </c>
      <c r="B2522">
        <v>24</v>
      </c>
      <c r="C2522">
        <v>15</v>
      </c>
      <c r="D2522">
        <v>7</v>
      </c>
      <c r="E2522">
        <f t="shared" si="39"/>
        <v>4.3105150353119996E-6</v>
      </c>
    </row>
    <row r="2523" spans="1:5" x14ac:dyDescent="0.25">
      <c r="A2523">
        <v>2</v>
      </c>
      <c r="B2523">
        <v>24</v>
      </c>
      <c r="C2523">
        <v>16</v>
      </c>
      <c r="D2523">
        <v>6</v>
      </c>
      <c r="E2523">
        <f t="shared" si="39"/>
        <v>4.9627640209184188E-6</v>
      </c>
    </row>
    <row r="2524" spans="1:5" x14ac:dyDescent="0.25">
      <c r="A2524">
        <v>2</v>
      </c>
      <c r="B2524">
        <v>24</v>
      </c>
      <c r="C2524">
        <v>17</v>
      </c>
      <c r="D2524">
        <v>5</v>
      </c>
      <c r="E2524">
        <f t="shared" si="39"/>
        <v>4.2913312416176946E-6</v>
      </c>
    </row>
    <row r="2525" spans="1:5" x14ac:dyDescent="0.25">
      <c r="A2525">
        <v>2</v>
      </c>
      <c r="B2525">
        <v>24</v>
      </c>
      <c r="C2525">
        <v>18</v>
      </c>
      <c r="D2525">
        <v>4</v>
      </c>
      <c r="E2525">
        <f t="shared" si="39"/>
        <v>2.7246547565826614E-6</v>
      </c>
    </row>
    <row r="2526" spans="1:5" x14ac:dyDescent="0.25">
      <c r="A2526">
        <v>2</v>
      </c>
      <c r="B2526">
        <v>24</v>
      </c>
      <c r="C2526">
        <v>19</v>
      </c>
      <c r="D2526">
        <v>3</v>
      </c>
      <c r="E2526">
        <f t="shared" si="39"/>
        <v>1.2254428091807186E-6</v>
      </c>
    </row>
    <row r="2527" spans="1:5" x14ac:dyDescent="0.25">
      <c r="A2527">
        <v>2</v>
      </c>
      <c r="B2527">
        <v>24</v>
      </c>
      <c r="C2527">
        <v>20</v>
      </c>
      <c r="D2527">
        <v>2</v>
      </c>
      <c r="E2527">
        <f t="shared" si="39"/>
        <v>3.6763284275421593E-7</v>
      </c>
    </row>
    <row r="2528" spans="1:5" x14ac:dyDescent="0.25">
      <c r="A2528">
        <v>2</v>
      </c>
      <c r="B2528">
        <v>24</v>
      </c>
      <c r="C2528">
        <v>21</v>
      </c>
      <c r="D2528">
        <v>1</v>
      </c>
      <c r="E2528">
        <f t="shared" si="39"/>
        <v>6.5648721920395624E-8</v>
      </c>
    </row>
    <row r="2529" spans="1:5" x14ac:dyDescent="0.25">
      <c r="A2529">
        <v>2</v>
      </c>
      <c r="B2529">
        <v>24</v>
      </c>
      <c r="C2529">
        <v>22</v>
      </c>
      <c r="D2529">
        <v>0</v>
      </c>
      <c r="E2529">
        <f t="shared" si="39"/>
        <v>5.2518977536316531E-9</v>
      </c>
    </row>
    <row r="2530" spans="1:5" x14ac:dyDescent="0.25">
      <c r="A2530">
        <v>2</v>
      </c>
      <c r="B2530">
        <v>25</v>
      </c>
      <c r="C2530">
        <v>0</v>
      </c>
      <c r="D2530">
        <v>21</v>
      </c>
      <c r="E2530">
        <f t="shared" si="39"/>
        <v>5.7982329892433321E-21</v>
      </c>
    </row>
    <row r="2531" spans="1:5" x14ac:dyDescent="0.25">
      <c r="A2531">
        <v>2</v>
      </c>
      <c r="B2531">
        <v>25</v>
      </c>
      <c r="C2531">
        <v>1</v>
      </c>
      <c r="D2531">
        <v>20</v>
      </c>
      <c r="E2531">
        <f t="shared" si="39"/>
        <v>1.5829176060634292E-18</v>
      </c>
    </row>
    <row r="2532" spans="1:5" x14ac:dyDescent="0.25">
      <c r="A2532">
        <v>2</v>
      </c>
      <c r="B2532">
        <v>25</v>
      </c>
      <c r="C2532">
        <v>2</v>
      </c>
      <c r="D2532">
        <v>19</v>
      </c>
      <c r="E2532">
        <f t="shared" si="39"/>
        <v>1.6884454464676578E-16</v>
      </c>
    </row>
    <row r="2533" spans="1:5" x14ac:dyDescent="0.25">
      <c r="A2533">
        <v>2</v>
      </c>
      <c r="B2533">
        <v>25</v>
      </c>
      <c r="C2533">
        <v>3</v>
      </c>
      <c r="D2533">
        <v>18</v>
      </c>
      <c r="E2533">
        <f t="shared" si="39"/>
        <v>9.624139044865655E-15</v>
      </c>
    </row>
    <row r="2534" spans="1:5" x14ac:dyDescent="0.25">
      <c r="A2534">
        <v>2</v>
      </c>
      <c r="B2534">
        <v>25</v>
      </c>
      <c r="C2534">
        <v>4</v>
      </c>
      <c r="D2534">
        <v>17</v>
      </c>
      <c r="E2534">
        <f t="shared" si="39"/>
        <v>3.3564184918968958E-13</v>
      </c>
    </row>
    <row r="2535" spans="1:5" x14ac:dyDescent="0.25">
      <c r="A2535">
        <v>2</v>
      </c>
      <c r="B2535">
        <v>25</v>
      </c>
      <c r="C2535">
        <v>5</v>
      </c>
      <c r="D2535">
        <v>16</v>
      </c>
      <c r="E2535">
        <f t="shared" si="39"/>
        <v>7.7346799468824038E-12</v>
      </c>
    </row>
    <row r="2536" spans="1:5" x14ac:dyDescent="0.25">
      <c r="A2536">
        <v>2</v>
      </c>
      <c r="B2536">
        <v>25</v>
      </c>
      <c r="C2536">
        <v>6</v>
      </c>
      <c r="D2536">
        <v>15</v>
      </c>
      <c r="E2536">
        <f t="shared" si="39"/>
        <v>1.2375487915011841E-10</v>
      </c>
    </row>
    <row r="2537" spans="1:5" x14ac:dyDescent="0.25">
      <c r="A2537">
        <v>2</v>
      </c>
      <c r="B2537">
        <v>25</v>
      </c>
      <c r="C2537">
        <v>7</v>
      </c>
      <c r="D2537">
        <v>14</v>
      </c>
      <c r="E2537">
        <f t="shared" si="39"/>
        <v>1.4223775071149976E-9</v>
      </c>
    </row>
    <row r="2538" spans="1:5" x14ac:dyDescent="0.25">
      <c r="A2538">
        <v>2</v>
      </c>
      <c r="B2538">
        <v>25</v>
      </c>
      <c r="C2538">
        <v>8</v>
      </c>
      <c r="D2538">
        <v>13</v>
      </c>
      <c r="E2538">
        <f t="shared" si="39"/>
        <v>1.2030943081014359E-8</v>
      </c>
    </row>
    <row r="2539" spans="1:5" x14ac:dyDescent="0.25">
      <c r="A2539">
        <v>2</v>
      </c>
      <c r="B2539">
        <v>25</v>
      </c>
      <c r="C2539">
        <v>9</v>
      </c>
      <c r="D2539">
        <v>12</v>
      </c>
      <c r="E2539">
        <f t="shared" si="39"/>
        <v>7.6195972846424255E-8</v>
      </c>
    </row>
    <row r="2540" spans="1:5" x14ac:dyDescent="0.25">
      <c r="A2540">
        <v>2</v>
      </c>
      <c r="B2540">
        <v>25</v>
      </c>
      <c r="C2540">
        <v>10</v>
      </c>
      <c r="D2540">
        <v>11</v>
      </c>
      <c r="E2540">
        <f t="shared" si="39"/>
        <v>3.657406696628364E-7</v>
      </c>
    </row>
    <row r="2541" spans="1:5" x14ac:dyDescent="0.25">
      <c r="A2541">
        <v>2</v>
      </c>
      <c r="B2541">
        <v>25</v>
      </c>
      <c r="C2541">
        <v>11</v>
      </c>
      <c r="D2541">
        <v>10</v>
      </c>
      <c r="E2541">
        <f t="shared" si="39"/>
        <v>1.3410491220970669E-6</v>
      </c>
    </row>
    <row r="2542" spans="1:5" x14ac:dyDescent="0.25">
      <c r="A2542">
        <v>2</v>
      </c>
      <c r="B2542">
        <v>25</v>
      </c>
      <c r="C2542">
        <v>12</v>
      </c>
      <c r="D2542">
        <v>9</v>
      </c>
      <c r="E2542">
        <f t="shared" si="39"/>
        <v>3.7717006558979991E-6</v>
      </c>
    </row>
    <row r="2543" spans="1:5" x14ac:dyDescent="0.25">
      <c r="A2543">
        <v>2</v>
      </c>
      <c r="B2543">
        <v>25</v>
      </c>
      <c r="C2543">
        <v>13</v>
      </c>
      <c r="D2543">
        <v>8</v>
      </c>
      <c r="E2543">
        <f t="shared" si="39"/>
        <v>8.1407294699698924E-6</v>
      </c>
    </row>
    <row r="2544" spans="1:5" x14ac:dyDescent="0.25">
      <c r="A2544">
        <v>2</v>
      </c>
      <c r="B2544">
        <v>25</v>
      </c>
      <c r="C2544">
        <v>14</v>
      </c>
      <c r="D2544">
        <v>7</v>
      </c>
      <c r="E2544">
        <f t="shared" si="39"/>
        <v>1.3438664521855066E-5</v>
      </c>
    </row>
    <row r="2545" spans="1:5" x14ac:dyDescent="0.25">
      <c r="A2545">
        <v>2</v>
      </c>
      <c r="B2545">
        <v>25</v>
      </c>
      <c r="C2545">
        <v>15</v>
      </c>
      <c r="D2545">
        <v>6</v>
      </c>
      <c r="E2545">
        <f t="shared" si="39"/>
        <v>1.6833695558955281E-5</v>
      </c>
    </row>
    <row r="2546" spans="1:5" x14ac:dyDescent="0.25">
      <c r="A2546">
        <v>2</v>
      </c>
      <c r="B2546">
        <v>25</v>
      </c>
      <c r="C2546">
        <v>16</v>
      </c>
      <c r="D2546">
        <v>5</v>
      </c>
      <c r="E2546">
        <f t="shared" si="39"/>
        <v>1.5781589586520576E-5</v>
      </c>
    </row>
    <row r="2547" spans="1:5" x14ac:dyDescent="0.25">
      <c r="A2547">
        <v>2</v>
      </c>
      <c r="B2547">
        <v>25</v>
      </c>
      <c r="C2547">
        <v>17</v>
      </c>
      <c r="D2547">
        <v>4</v>
      </c>
      <c r="E2547">
        <f t="shared" si="39"/>
        <v>1.0830502657416092E-5</v>
      </c>
    </row>
    <row r="2548" spans="1:5" x14ac:dyDescent="0.25">
      <c r="A2548">
        <v>2</v>
      </c>
      <c r="B2548">
        <v>25</v>
      </c>
      <c r="C2548">
        <v>18</v>
      </c>
      <c r="D2548">
        <v>3</v>
      </c>
      <c r="E2548">
        <f t="shared" si="39"/>
        <v>5.2511528035956757E-6</v>
      </c>
    </row>
    <row r="2549" spans="1:5" x14ac:dyDescent="0.25">
      <c r="A2549">
        <v>2</v>
      </c>
      <c r="B2549">
        <v>25</v>
      </c>
      <c r="C2549">
        <v>19</v>
      </c>
      <c r="D2549">
        <v>2</v>
      </c>
      <c r="E2549">
        <f t="shared" si="39"/>
        <v>1.69430788399769E-6</v>
      </c>
    </row>
    <row r="2550" spans="1:5" x14ac:dyDescent="0.25">
      <c r="A2550">
        <v>2</v>
      </c>
      <c r="B2550">
        <v>25</v>
      </c>
      <c r="C2550">
        <v>20</v>
      </c>
      <c r="D2550">
        <v>1</v>
      </c>
      <c r="E2550">
        <f t="shared" si="39"/>
        <v>3.2474234443289087E-7</v>
      </c>
    </row>
    <row r="2551" spans="1:5" x14ac:dyDescent="0.25">
      <c r="A2551">
        <v>2</v>
      </c>
      <c r="B2551">
        <v>25</v>
      </c>
      <c r="C2551">
        <v>21</v>
      </c>
      <c r="D2551">
        <v>0</v>
      </c>
      <c r="E2551">
        <f t="shared" si="39"/>
        <v>2.7835058094247754E-8</v>
      </c>
    </row>
    <row r="2552" spans="1:5" x14ac:dyDescent="0.25">
      <c r="A2552">
        <v>2</v>
      </c>
      <c r="B2552">
        <v>26</v>
      </c>
      <c r="C2552">
        <v>0</v>
      </c>
      <c r="D2552">
        <v>20</v>
      </c>
      <c r="E2552">
        <f t="shared" si="39"/>
        <v>2.472723360951154E-19</v>
      </c>
    </row>
    <row r="2553" spans="1:5" x14ac:dyDescent="0.25">
      <c r="A2553">
        <v>2</v>
      </c>
      <c r="B2553">
        <v>26</v>
      </c>
      <c r="C2553">
        <v>1</v>
      </c>
      <c r="D2553">
        <v>19</v>
      </c>
      <c r="E2553">
        <f t="shared" si="39"/>
        <v>5.3575672820608334E-17</v>
      </c>
    </row>
    <row r="2554" spans="1:5" x14ac:dyDescent="0.25">
      <c r="A2554">
        <v>2</v>
      </c>
      <c r="B2554">
        <v>26</v>
      </c>
      <c r="C2554">
        <v>2</v>
      </c>
      <c r="D2554">
        <v>18</v>
      </c>
      <c r="E2554">
        <f t="shared" si="39"/>
        <v>4.6534298678471256E-15</v>
      </c>
    </row>
    <row r="2555" spans="1:5" x14ac:dyDescent="0.25">
      <c r="A2555">
        <v>2</v>
      </c>
      <c r="B2555">
        <v>26</v>
      </c>
      <c r="C2555">
        <v>3</v>
      </c>
      <c r="D2555">
        <v>17</v>
      </c>
      <c r="E2555">
        <f t="shared" si="39"/>
        <v>2.1987456125577663E-13</v>
      </c>
    </row>
    <row r="2556" spans="1:5" x14ac:dyDescent="0.25">
      <c r="A2556">
        <v>2</v>
      </c>
      <c r="B2556">
        <v>26</v>
      </c>
      <c r="C2556">
        <v>4</v>
      </c>
      <c r="D2556">
        <v>16</v>
      </c>
      <c r="E2556">
        <f t="shared" si="39"/>
        <v>6.4374385434330168E-12</v>
      </c>
    </row>
    <row r="2557" spans="1:5" x14ac:dyDescent="0.25">
      <c r="A2557">
        <v>2</v>
      </c>
      <c r="B2557">
        <v>26</v>
      </c>
      <c r="C2557">
        <v>5</v>
      </c>
      <c r="D2557">
        <v>15</v>
      </c>
      <c r="E2557">
        <f t="shared" si="39"/>
        <v>1.2565880036781246E-10</v>
      </c>
    </row>
    <row r="2558" spans="1:5" x14ac:dyDescent="0.25">
      <c r="A2558">
        <v>2</v>
      </c>
      <c r="B2558">
        <v>26</v>
      </c>
      <c r="C2558">
        <v>6</v>
      </c>
      <c r="D2558">
        <v>14</v>
      </c>
      <c r="E2558">
        <f t="shared" si="39"/>
        <v>1.7135290959247155E-9</v>
      </c>
    </row>
    <row r="2559" spans="1:5" x14ac:dyDescent="0.25">
      <c r="A2559">
        <v>2</v>
      </c>
      <c r="B2559">
        <v>26</v>
      </c>
      <c r="C2559">
        <v>7</v>
      </c>
      <c r="D2559">
        <v>13</v>
      </c>
      <c r="E2559">
        <f t="shared" si="39"/>
        <v>1.6849702776593038E-8</v>
      </c>
    </row>
    <row r="2560" spans="1:5" x14ac:dyDescent="0.25">
      <c r="A2560">
        <v>2</v>
      </c>
      <c r="B2560">
        <v>26</v>
      </c>
      <c r="C2560">
        <v>8</v>
      </c>
      <c r="D2560">
        <v>12</v>
      </c>
      <c r="E2560">
        <f t="shared" si="39"/>
        <v>1.2216034513029957E-7</v>
      </c>
    </row>
    <row r="2561" spans="1:5" x14ac:dyDescent="0.25">
      <c r="A2561">
        <v>2</v>
      </c>
      <c r="B2561">
        <v>26</v>
      </c>
      <c r="C2561">
        <v>9</v>
      </c>
      <c r="D2561">
        <v>11</v>
      </c>
      <c r="E2561">
        <f t="shared" si="39"/>
        <v>6.6315615927876866E-7</v>
      </c>
    </row>
    <row r="2562" spans="1:5" x14ac:dyDescent="0.25">
      <c r="A2562">
        <v>2</v>
      </c>
      <c r="B2562">
        <v>26</v>
      </c>
      <c r="C2562">
        <v>10</v>
      </c>
      <c r="D2562">
        <v>10</v>
      </c>
      <c r="E2562">
        <f t="shared" si="39"/>
        <v>2.723361294104811E-6</v>
      </c>
    </row>
    <row r="2563" spans="1:5" x14ac:dyDescent="0.25">
      <c r="A2563">
        <v>2</v>
      </c>
      <c r="B2563">
        <v>26</v>
      </c>
      <c r="C2563">
        <v>11</v>
      </c>
      <c r="D2563">
        <v>9</v>
      </c>
      <c r="E2563">
        <f t="shared" si="39"/>
        <v>8.5105040440775348E-6</v>
      </c>
    </row>
    <row r="2564" spans="1:5" x14ac:dyDescent="0.25">
      <c r="A2564">
        <v>2</v>
      </c>
      <c r="B2564">
        <v>26</v>
      </c>
      <c r="C2564">
        <v>12</v>
      </c>
      <c r="D2564">
        <v>8</v>
      </c>
      <c r="E2564">
        <f t="shared" si="39"/>
        <v>2.0275024340302348E-5</v>
      </c>
    </row>
    <row r="2565" spans="1:5" x14ac:dyDescent="0.25">
      <c r="A2565">
        <v>2</v>
      </c>
      <c r="B2565">
        <v>26</v>
      </c>
      <c r="C2565">
        <v>13</v>
      </c>
      <c r="D2565">
        <v>7</v>
      </c>
      <c r="E2565">
        <f t="shared" si="39"/>
        <v>3.6737650941402571E-5</v>
      </c>
    </row>
    <row r="2566" spans="1:5" x14ac:dyDescent="0.25">
      <c r="A2566">
        <v>2</v>
      </c>
      <c r="B2566">
        <v>26</v>
      </c>
      <c r="C2566">
        <v>14</v>
      </c>
      <c r="D2566">
        <v>6</v>
      </c>
      <c r="E2566">
        <f t="shared" si="39"/>
        <v>5.0272574972445614E-5</v>
      </c>
    </row>
    <row r="2567" spans="1:5" x14ac:dyDescent="0.25">
      <c r="A2567">
        <v>2</v>
      </c>
      <c r="B2567">
        <v>26</v>
      </c>
      <c r="C2567">
        <v>15</v>
      </c>
      <c r="D2567">
        <v>5</v>
      </c>
      <c r="E2567">
        <f t="shared" si="39"/>
        <v>5.12780264718945E-5</v>
      </c>
    </row>
    <row r="2568" spans="1:5" x14ac:dyDescent="0.25">
      <c r="A2568">
        <v>2</v>
      </c>
      <c r="B2568">
        <v>26</v>
      </c>
      <c r="C2568">
        <v>16</v>
      </c>
      <c r="D2568">
        <v>4</v>
      </c>
      <c r="E2568">
        <f t="shared" si="39"/>
        <v>3.8153293505873901E-5</v>
      </c>
    </row>
    <row r="2569" spans="1:5" x14ac:dyDescent="0.25">
      <c r="A2569">
        <v>2</v>
      </c>
      <c r="B2569">
        <v>26</v>
      </c>
      <c r="C2569">
        <v>17</v>
      </c>
      <c r="D2569">
        <v>3</v>
      </c>
      <c r="E2569">
        <f t="shared" si="39"/>
        <v>1.9994774136768149E-5</v>
      </c>
    </row>
    <row r="2570" spans="1:5" x14ac:dyDescent="0.25">
      <c r="A2570">
        <v>2</v>
      </c>
      <c r="B2570">
        <v>26</v>
      </c>
      <c r="C2570">
        <v>18</v>
      </c>
      <c r="D2570">
        <v>2</v>
      </c>
      <c r="E2570">
        <f t="shared" si="39"/>
        <v>6.9547040475715241E-6</v>
      </c>
    </row>
    <row r="2571" spans="1:5" x14ac:dyDescent="0.25">
      <c r="A2571">
        <v>2</v>
      </c>
      <c r="B2571">
        <v>26</v>
      </c>
      <c r="C2571">
        <v>19</v>
      </c>
      <c r="D2571">
        <v>1</v>
      </c>
      <c r="E2571">
        <f t="shared" si="39"/>
        <v>1.4336451326134288E-6</v>
      </c>
    </row>
    <row r="2572" spans="1:5" x14ac:dyDescent="0.25">
      <c r="A2572">
        <v>2</v>
      </c>
      <c r="B2572">
        <v>26</v>
      </c>
      <c r="C2572">
        <v>20</v>
      </c>
      <c r="D2572">
        <v>0</v>
      </c>
      <c r="E2572">
        <f t="shared" si="39"/>
        <v>1.3189535220043556E-7</v>
      </c>
    </row>
    <row r="2573" spans="1:5" x14ac:dyDescent="0.25">
      <c r="A2573">
        <v>2</v>
      </c>
      <c r="B2573">
        <v>27</v>
      </c>
      <c r="C2573">
        <v>0</v>
      </c>
      <c r="D2573">
        <v>19</v>
      </c>
      <c r="E2573">
        <f t="shared" si="39"/>
        <v>8.028719060866091E-18</v>
      </c>
    </row>
    <row r="2574" spans="1:5" x14ac:dyDescent="0.25">
      <c r="A2574">
        <v>2</v>
      </c>
      <c r="B2574">
        <v>27</v>
      </c>
      <c r="C2574">
        <v>1</v>
      </c>
      <c r="D2574">
        <v>18</v>
      </c>
      <c r="E2574">
        <f t="shared" ref="E2574:E2637" si="40">COMBIN(A$4,A2574)*COMBIN(B$4,B2574)*COMBIN(C$4,C2574)*COMBIN(D$4,D2574)/COMBIN($G$4,$F$4)</f>
        <v>1.4164954343099468E-15</v>
      </c>
    </row>
    <row r="2575" spans="1:5" x14ac:dyDescent="0.25">
      <c r="A2575">
        <v>2</v>
      </c>
      <c r="B2575">
        <v>27</v>
      </c>
      <c r="C2575">
        <v>2</v>
      </c>
      <c r="D2575">
        <v>17</v>
      </c>
      <c r="E2575">
        <f t="shared" si="40"/>
        <v>1.0198767127031613E-13</v>
      </c>
    </row>
    <row r="2576" spans="1:5" x14ac:dyDescent="0.25">
      <c r="A2576">
        <v>2</v>
      </c>
      <c r="B2576">
        <v>27</v>
      </c>
      <c r="C2576">
        <v>3</v>
      </c>
      <c r="D2576">
        <v>16</v>
      </c>
      <c r="E2576">
        <f t="shared" si="40"/>
        <v>4.0455109603892067E-12</v>
      </c>
    </row>
    <row r="2577" spans="1:5" x14ac:dyDescent="0.25">
      <c r="A2577">
        <v>2</v>
      </c>
      <c r="B2577">
        <v>27</v>
      </c>
      <c r="C2577">
        <v>4</v>
      </c>
      <c r="D2577">
        <v>15</v>
      </c>
      <c r="E2577">
        <f t="shared" si="40"/>
        <v>1.0032867181765232E-10</v>
      </c>
    </row>
    <row r="2578" spans="1:5" x14ac:dyDescent="0.25">
      <c r="A2578">
        <v>2</v>
      </c>
      <c r="B2578">
        <v>27</v>
      </c>
      <c r="C2578">
        <v>5</v>
      </c>
      <c r="D2578">
        <v>14</v>
      </c>
      <c r="E2578">
        <f t="shared" si="40"/>
        <v>1.6691042675118527E-9</v>
      </c>
    </row>
    <row r="2579" spans="1:5" x14ac:dyDescent="0.25">
      <c r="A2579">
        <v>2</v>
      </c>
      <c r="B2579">
        <v>27</v>
      </c>
      <c r="C2579">
        <v>6</v>
      </c>
      <c r="D2579">
        <v>13</v>
      </c>
      <c r="E2579">
        <f t="shared" si="40"/>
        <v>1.9472883120971615E-8</v>
      </c>
    </row>
    <row r="2580" spans="1:5" x14ac:dyDescent="0.25">
      <c r="A2580">
        <v>2</v>
      </c>
      <c r="B2580">
        <v>27</v>
      </c>
      <c r="C2580">
        <v>7</v>
      </c>
      <c r="D2580">
        <v>12</v>
      </c>
      <c r="E2580">
        <f t="shared" si="40"/>
        <v>1.6412858630533217E-7</v>
      </c>
    </row>
    <row r="2581" spans="1:5" x14ac:dyDescent="0.25">
      <c r="A2581">
        <v>2</v>
      </c>
      <c r="B2581">
        <v>27</v>
      </c>
      <c r="C2581">
        <v>8</v>
      </c>
      <c r="D2581">
        <v>11</v>
      </c>
      <c r="E2581">
        <f t="shared" si="40"/>
        <v>1.0199419291831356E-6</v>
      </c>
    </row>
    <row r="2582" spans="1:5" x14ac:dyDescent="0.25">
      <c r="A2582">
        <v>2</v>
      </c>
      <c r="B2582">
        <v>27</v>
      </c>
      <c r="C2582">
        <v>9</v>
      </c>
      <c r="D2582">
        <v>10</v>
      </c>
      <c r="E2582">
        <f t="shared" si="40"/>
        <v>4.7370636266505619E-6</v>
      </c>
    </row>
    <row r="2583" spans="1:5" x14ac:dyDescent="0.25">
      <c r="A2583">
        <v>2</v>
      </c>
      <c r="B2583">
        <v>27</v>
      </c>
      <c r="C2583">
        <v>10</v>
      </c>
      <c r="D2583">
        <v>9</v>
      </c>
      <c r="E2583">
        <f t="shared" si="40"/>
        <v>1.6579722693276972E-5</v>
      </c>
    </row>
    <row r="2584" spans="1:5" x14ac:dyDescent="0.25">
      <c r="A2584">
        <v>2</v>
      </c>
      <c r="B2584">
        <v>27</v>
      </c>
      <c r="C2584">
        <v>11</v>
      </c>
      <c r="D2584">
        <v>8</v>
      </c>
      <c r="E2584">
        <f t="shared" si="40"/>
        <v>4.3887501246909635E-5</v>
      </c>
    </row>
    <row r="2585" spans="1:5" x14ac:dyDescent="0.25">
      <c r="A2585">
        <v>2</v>
      </c>
      <c r="B2585">
        <v>27</v>
      </c>
      <c r="C2585">
        <v>12</v>
      </c>
      <c r="D2585">
        <v>7</v>
      </c>
      <c r="E2585">
        <f t="shared" si="40"/>
        <v>8.7775002493819244E-5</v>
      </c>
    </row>
    <row r="2586" spans="1:5" x14ac:dyDescent="0.25">
      <c r="A2586">
        <v>2</v>
      </c>
      <c r="B2586">
        <v>27</v>
      </c>
      <c r="C2586">
        <v>13</v>
      </c>
      <c r="D2586">
        <v>6</v>
      </c>
      <c r="E2586">
        <f t="shared" si="40"/>
        <v>1.3184018593201188E-4</v>
      </c>
    </row>
    <row r="2587" spans="1:5" x14ac:dyDescent="0.25">
      <c r="A2587">
        <v>2</v>
      </c>
      <c r="B2587">
        <v>27</v>
      </c>
      <c r="C2587">
        <v>14</v>
      </c>
      <c r="D2587">
        <v>5</v>
      </c>
      <c r="E2587">
        <f t="shared" si="40"/>
        <v>1.4690763575281329E-4</v>
      </c>
    </row>
    <row r="2588" spans="1:5" x14ac:dyDescent="0.25">
      <c r="A2588">
        <v>2</v>
      </c>
      <c r="B2588">
        <v>27</v>
      </c>
      <c r="C2588">
        <v>15</v>
      </c>
      <c r="D2588">
        <v>4</v>
      </c>
      <c r="E2588">
        <f t="shared" si="40"/>
        <v>1.1892522894275361E-4</v>
      </c>
    </row>
    <row r="2589" spans="1:5" x14ac:dyDescent="0.25">
      <c r="A2589">
        <v>2</v>
      </c>
      <c r="B2589">
        <v>27</v>
      </c>
      <c r="C2589">
        <v>16</v>
      </c>
      <c r="D2589">
        <v>3</v>
      </c>
      <c r="E2589">
        <f t="shared" si="40"/>
        <v>6.7571152808382735E-5</v>
      </c>
    </row>
    <row r="2590" spans="1:5" x14ac:dyDescent="0.25">
      <c r="A2590">
        <v>2</v>
      </c>
      <c r="B2590">
        <v>27</v>
      </c>
      <c r="C2590">
        <v>17</v>
      </c>
      <c r="D2590">
        <v>2</v>
      </c>
      <c r="E2590">
        <f t="shared" si="40"/>
        <v>2.5403988395990447E-5</v>
      </c>
    </row>
    <row r="2591" spans="1:5" x14ac:dyDescent="0.25">
      <c r="A2591">
        <v>2</v>
      </c>
      <c r="B2591">
        <v>27</v>
      </c>
      <c r="C2591">
        <v>18</v>
      </c>
      <c r="D2591">
        <v>1</v>
      </c>
      <c r="E2591">
        <f t="shared" si="40"/>
        <v>5.6453307546645401E-6</v>
      </c>
    </row>
    <row r="2592" spans="1:5" x14ac:dyDescent="0.25">
      <c r="A2592">
        <v>2</v>
      </c>
      <c r="B2592">
        <v>27</v>
      </c>
      <c r="C2592">
        <v>19</v>
      </c>
      <c r="D2592">
        <v>0</v>
      </c>
      <c r="E2592">
        <f t="shared" si="40"/>
        <v>5.5859062204049146E-7</v>
      </c>
    </row>
    <row r="2593" spans="1:5" x14ac:dyDescent="0.25">
      <c r="A2593">
        <v>2</v>
      </c>
      <c r="B2593">
        <v>28</v>
      </c>
      <c r="C2593">
        <v>0</v>
      </c>
      <c r="D2593">
        <v>18</v>
      </c>
      <c r="E2593">
        <f t="shared" si="40"/>
        <v>2.0391307900505848E-16</v>
      </c>
    </row>
    <row r="2594" spans="1:5" x14ac:dyDescent="0.25">
      <c r="A2594">
        <v>2</v>
      </c>
      <c r="B2594">
        <v>28</v>
      </c>
      <c r="C2594">
        <v>1</v>
      </c>
      <c r="D2594">
        <v>17</v>
      </c>
      <c r="E2594">
        <f t="shared" si="40"/>
        <v>2.9822287804489796E-14</v>
      </c>
    </row>
    <row r="2595" spans="1:5" x14ac:dyDescent="0.25">
      <c r="A2595">
        <v>2</v>
      </c>
      <c r="B2595">
        <v>28</v>
      </c>
      <c r="C2595">
        <v>2</v>
      </c>
      <c r="D2595">
        <v>16</v>
      </c>
      <c r="E2595">
        <f t="shared" si="40"/>
        <v>1.8025916184047163E-12</v>
      </c>
    </row>
    <row r="2596" spans="1:5" x14ac:dyDescent="0.25">
      <c r="A2596">
        <v>2</v>
      </c>
      <c r="B2596">
        <v>28</v>
      </c>
      <c r="C2596">
        <v>3</v>
      </c>
      <c r="D2596">
        <v>15</v>
      </c>
      <c r="E2596">
        <f t="shared" si="40"/>
        <v>6.056707837839846E-11</v>
      </c>
    </row>
    <row r="2597" spans="1:5" x14ac:dyDescent="0.25">
      <c r="A2597">
        <v>2</v>
      </c>
      <c r="B2597">
        <v>28</v>
      </c>
      <c r="C2597">
        <v>4</v>
      </c>
      <c r="D2597">
        <v>14</v>
      </c>
      <c r="E2597">
        <f t="shared" si="40"/>
        <v>1.2801677929979679E-9</v>
      </c>
    </row>
    <row r="2598" spans="1:5" x14ac:dyDescent="0.25">
      <c r="A2598">
        <v>2</v>
      </c>
      <c r="B2598">
        <v>28</v>
      </c>
      <c r="C2598">
        <v>5</v>
      </c>
      <c r="D2598">
        <v>13</v>
      </c>
      <c r="E2598">
        <f t="shared" si="40"/>
        <v>1.8221054920337745E-8</v>
      </c>
    </row>
    <row r="2599" spans="1:5" x14ac:dyDescent="0.25">
      <c r="A2599">
        <v>2</v>
      </c>
      <c r="B2599">
        <v>28</v>
      </c>
      <c r="C2599">
        <v>6</v>
      </c>
      <c r="D2599">
        <v>12</v>
      </c>
      <c r="E2599">
        <f t="shared" si="40"/>
        <v>1.8221054920337745E-7</v>
      </c>
    </row>
    <row r="2600" spans="1:5" x14ac:dyDescent="0.25">
      <c r="A2600">
        <v>2</v>
      </c>
      <c r="B2600">
        <v>28</v>
      </c>
      <c r="C2600">
        <v>7</v>
      </c>
      <c r="D2600">
        <v>11</v>
      </c>
      <c r="E2600">
        <f t="shared" si="40"/>
        <v>1.3163782534284816E-6</v>
      </c>
    </row>
    <row r="2601" spans="1:5" x14ac:dyDescent="0.25">
      <c r="A2601">
        <v>2</v>
      </c>
      <c r="B2601">
        <v>28</v>
      </c>
      <c r="C2601">
        <v>8</v>
      </c>
      <c r="D2601">
        <v>10</v>
      </c>
      <c r="E2601">
        <f t="shared" si="40"/>
        <v>6.9987443807280935E-6</v>
      </c>
    </row>
    <row r="2602" spans="1:5" x14ac:dyDescent="0.25">
      <c r="A2602">
        <v>2</v>
      </c>
      <c r="B2602">
        <v>28</v>
      </c>
      <c r="C2602">
        <v>9</v>
      </c>
      <c r="D2602">
        <v>9</v>
      </c>
      <c r="E2602">
        <f t="shared" si="40"/>
        <v>2.770336317371537E-5</v>
      </c>
    </row>
    <row r="2603" spans="1:5" x14ac:dyDescent="0.25">
      <c r="A2603">
        <v>2</v>
      </c>
      <c r="B2603">
        <v>28</v>
      </c>
      <c r="C2603">
        <v>10</v>
      </c>
      <c r="D2603">
        <v>8</v>
      </c>
      <c r="E2603">
        <f t="shared" si="40"/>
        <v>8.2132323762073824E-5</v>
      </c>
    </row>
    <row r="2604" spans="1:5" x14ac:dyDescent="0.25">
      <c r="A2604">
        <v>2</v>
      </c>
      <c r="B2604">
        <v>28</v>
      </c>
      <c r="C2604">
        <v>11</v>
      </c>
      <c r="D2604">
        <v>7</v>
      </c>
      <c r="E2604">
        <f t="shared" si="40"/>
        <v>1.8251627502683079E-4</v>
      </c>
    </row>
    <row r="2605" spans="1:5" x14ac:dyDescent="0.25">
      <c r="A2605">
        <v>2</v>
      </c>
      <c r="B2605">
        <v>28</v>
      </c>
      <c r="C2605">
        <v>12</v>
      </c>
      <c r="D2605">
        <v>6</v>
      </c>
      <c r="E2605">
        <f t="shared" si="40"/>
        <v>3.0259277175500861E-4</v>
      </c>
    </row>
    <row r="2606" spans="1:5" x14ac:dyDescent="0.25">
      <c r="A2606">
        <v>2</v>
      </c>
      <c r="B2606">
        <v>28</v>
      </c>
      <c r="C2606">
        <v>13</v>
      </c>
      <c r="D2606">
        <v>5</v>
      </c>
      <c r="E2606">
        <f t="shared" si="40"/>
        <v>3.7009423622343378E-4</v>
      </c>
    </row>
    <row r="2607" spans="1:5" x14ac:dyDescent="0.25">
      <c r="A2607">
        <v>2</v>
      </c>
      <c r="B2607">
        <v>28</v>
      </c>
      <c r="C2607">
        <v>14</v>
      </c>
      <c r="D2607">
        <v>4</v>
      </c>
      <c r="E2607">
        <f t="shared" si="40"/>
        <v>3.2729422251051988E-4</v>
      </c>
    </row>
    <row r="2608" spans="1:5" x14ac:dyDescent="0.25">
      <c r="A2608">
        <v>2</v>
      </c>
      <c r="B2608">
        <v>28</v>
      </c>
      <c r="C2608">
        <v>15</v>
      </c>
      <c r="D2608">
        <v>3</v>
      </c>
      <c r="E2608">
        <f t="shared" si="40"/>
        <v>2.0232733755195761E-4</v>
      </c>
    </row>
    <row r="2609" spans="1:5" x14ac:dyDescent="0.25">
      <c r="A2609">
        <v>2</v>
      </c>
      <c r="B2609">
        <v>28</v>
      </c>
      <c r="C2609">
        <v>16</v>
      </c>
      <c r="D2609">
        <v>2</v>
      </c>
      <c r="E2609">
        <f t="shared" si="40"/>
        <v>8.2470382154330548E-5</v>
      </c>
    </row>
    <row r="2610" spans="1:5" x14ac:dyDescent="0.25">
      <c r="A2610">
        <v>2</v>
      </c>
      <c r="B2610">
        <v>28</v>
      </c>
      <c r="C2610">
        <v>17</v>
      </c>
      <c r="D2610">
        <v>1</v>
      </c>
      <c r="E2610">
        <f t="shared" si="40"/>
        <v>1.9809062380206865E-5</v>
      </c>
    </row>
    <row r="2611" spans="1:5" x14ac:dyDescent="0.25">
      <c r="A2611">
        <v>2</v>
      </c>
      <c r="B2611">
        <v>28</v>
      </c>
      <c r="C2611">
        <v>18</v>
      </c>
      <c r="D2611">
        <v>0</v>
      </c>
      <c r="E2611">
        <f t="shared" si="40"/>
        <v>2.1129666538887298E-6</v>
      </c>
    </row>
    <row r="2612" spans="1:5" x14ac:dyDescent="0.25">
      <c r="A2612">
        <v>2</v>
      </c>
      <c r="B2612">
        <v>29</v>
      </c>
      <c r="C2612">
        <v>0</v>
      </c>
      <c r="D2612">
        <v>17</v>
      </c>
      <c r="E2612">
        <f t="shared" si="40"/>
        <v>4.1292398498524286E-15</v>
      </c>
    </row>
    <row r="2613" spans="1:5" x14ac:dyDescent="0.25">
      <c r="A2613">
        <v>2</v>
      </c>
      <c r="B2613">
        <v>29</v>
      </c>
      <c r="C2613">
        <v>1</v>
      </c>
      <c r="D2613">
        <v>16</v>
      </c>
      <c r="E2613">
        <f t="shared" si="40"/>
        <v>5.0697889267632592E-13</v>
      </c>
    </row>
    <row r="2614" spans="1:5" x14ac:dyDescent="0.25">
      <c r="A2614">
        <v>2</v>
      </c>
      <c r="B2614">
        <v>29</v>
      </c>
      <c r="C2614">
        <v>2</v>
      </c>
      <c r="D2614">
        <v>15</v>
      </c>
      <c r="E2614">
        <f t="shared" si="40"/>
        <v>2.5957319305027882E-11</v>
      </c>
    </row>
    <row r="2615" spans="1:5" x14ac:dyDescent="0.25">
      <c r="A2615">
        <v>2</v>
      </c>
      <c r="B2615">
        <v>29</v>
      </c>
      <c r="C2615">
        <v>3</v>
      </c>
      <c r="D2615">
        <v>14</v>
      </c>
      <c r="E2615">
        <f t="shared" si="40"/>
        <v>7.4332323464398034E-10</v>
      </c>
    </row>
    <row r="2616" spans="1:5" x14ac:dyDescent="0.25">
      <c r="A2616">
        <v>2</v>
      </c>
      <c r="B2616">
        <v>29</v>
      </c>
      <c r="C2616">
        <v>4</v>
      </c>
      <c r="D2616">
        <v>13</v>
      </c>
      <c r="E2616">
        <f t="shared" si="40"/>
        <v>1.3441761826478648E-8</v>
      </c>
    </row>
    <row r="2617" spans="1:5" x14ac:dyDescent="0.25">
      <c r="A2617">
        <v>2</v>
      </c>
      <c r="B2617">
        <v>29</v>
      </c>
      <c r="C2617">
        <v>5</v>
      </c>
      <c r="D2617">
        <v>12</v>
      </c>
      <c r="E2617">
        <f t="shared" si="40"/>
        <v>1.6398949428303952E-7</v>
      </c>
    </row>
    <row r="2618" spans="1:5" x14ac:dyDescent="0.25">
      <c r="A2618">
        <v>2</v>
      </c>
      <c r="B2618">
        <v>29</v>
      </c>
      <c r="C2618">
        <v>6</v>
      </c>
      <c r="D2618">
        <v>11</v>
      </c>
      <c r="E2618">
        <f t="shared" si="40"/>
        <v>1.4056242367117673E-6</v>
      </c>
    </row>
    <row r="2619" spans="1:5" x14ac:dyDescent="0.25">
      <c r="A2619">
        <v>2</v>
      </c>
      <c r="B2619">
        <v>29</v>
      </c>
      <c r="C2619">
        <v>7</v>
      </c>
      <c r="D2619">
        <v>10</v>
      </c>
      <c r="E2619">
        <f t="shared" si="40"/>
        <v>8.6880964726279688E-6</v>
      </c>
    </row>
    <row r="2620" spans="1:5" x14ac:dyDescent="0.25">
      <c r="A2620">
        <v>2</v>
      </c>
      <c r="B2620">
        <v>29</v>
      </c>
      <c r="C2620">
        <v>8</v>
      </c>
      <c r="D2620">
        <v>9</v>
      </c>
      <c r="E2620">
        <f t="shared" si="40"/>
        <v>3.9367937141595497E-5</v>
      </c>
    </row>
    <row r="2621" spans="1:5" x14ac:dyDescent="0.25">
      <c r="A2621">
        <v>2</v>
      </c>
      <c r="B2621">
        <v>29</v>
      </c>
      <c r="C2621">
        <v>9</v>
      </c>
      <c r="D2621">
        <v>8</v>
      </c>
      <c r="E2621">
        <f t="shared" si="40"/>
        <v>1.3199837747476136E-4</v>
      </c>
    </row>
    <row r="2622" spans="1:5" x14ac:dyDescent="0.25">
      <c r="A2622">
        <v>2</v>
      </c>
      <c r="B2622">
        <v>29</v>
      </c>
      <c r="C2622">
        <v>10</v>
      </c>
      <c r="D2622">
        <v>7</v>
      </c>
      <c r="E2622">
        <f t="shared" si="40"/>
        <v>3.2852929504829503E-4</v>
      </c>
    </row>
    <row r="2623" spans="1:5" x14ac:dyDescent="0.25">
      <c r="A2623">
        <v>2</v>
      </c>
      <c r="B2623">
        <v>29</v>
      </c>
      <c r="C2623">
        <v>11</v>
      </c>
      <c r="D2623">
        <v>6</v>
      </c>
      <c r="E2623">
        <f t="shared" si="40"/>
        <v>6.05185543510017E-4</v>
      </c>
    </row>
    <row r="2624" spans="1:5" x14ac:dyDescent="0.25">
      <c r="A2624">
        <v>2</v>
      </c>
      <c r="B2624">
        <v>29</v>
      </c>
      <c r="C2624">
        <v>12</v>
      </c>
      <c r="D2624">
        <v>5</v>
      </c>
      <c r="E2624">
        <f t="shared" si="40"/>
        <v>8.1700048373852235E-4</v>
      </c>
    </row>
    <row r="2625" spans="1:5" x14ac:dyDescent="0.25">
      <c r="A2625">
        <v>2</v>
      </c>
      <c r="B2625">
        <v>29</v>
      </c>
      <c r="C2625">
        <v>13</v>
      </c>
      <c r="D2625">
        <v>4</v>
      </c>
      <c r="E2625">
        <f t="shared" si="40"/>
        <v>7.9305907762164331E-4</v>
      </c>
    </row>
    <row r="2626" spans="1:5" x14ac:dyDescent="0.25">
      <c r="A2626">
        <v>2</v>
      </c>
      <c r="B2626">
        <v>29</v>
      </c>
      <c r="C2626">
        <v>14</v>
      </c>
      <c r="D2626">
        <v>3</v>
      </c>
      <c r="E2626">
        <f t="shared" si="40"/>
        <v>5.3557236410812267E-4</v>
      </c>
    </row>
    <row r="2627" spans="1:5" x14ac:dyDescent="0.25">
      <c r="A2627">
        <v>2</v>
      </c>
      <c r="B2627">
        <v>29</v>
      </c>
      <c r="C2627">
        <v>15</v>
      </c>
      <c r="D2627">
        <v>2</v>
      </c>
      <c r="E2627">
        <f t="shared" si="40"/>
        <v>2.3751470060447168E-4</v>
      </c>
    </row>
    <row r="2628" spans="1:5" x14ac:dyDescent="0.25">
      <c r="A2628">
        <v>2</v>
      </c>
      <c r="B2628">
        <v>29</v>
      </c>
      <c r="C2628">
        <v>16</v>
      </c>
      <c r="D2628">
        <v>1</v>
      </c>
      <c r="E2628">
        <f t="shared" si="40"/>
        <v>6.1852786615747857E-5</v>
      </c>
    </row>
    <row r="2629" spans="1:5" x14ac:dyDescent="0.25">
      <c r="A2629">
        <v>2</v>
      </c>
      <c r="B2629">
        <v>29</v>
      </c>
      <c r="C2629">
        <v>17</v>
      </c>
      <c r="D2629">
        <v>0</v>
      </c>
      <c r="E2629">
        <f t="shared" si="40"/>
        <v>7.1312624568744616E-6</v>
      </c>
    </row>
    <row r="2630" spans="1:5" x14ac:dyDescent="0.25">
      <c r="A2630">
        <v>2</v>
      </c>
      <c r="B2630">
        <v>30</v>
      </c>
      <c r="C2630">
        <v>0</v>
      </c>
      <c r="D2630">
        <v>16</v>
      </c>
      <c r="E2630">
        <f t="shared" si="40"/>
        <v>6.7597185690176784E-14</v>
      </c>
    </row>
    <row r="2631" spans="1:5" x14ac:dyDescent="0.25">
      <c r="A2631">
        <v>2</v>
      </c>
      <c r="B2631">
        <v>30</v>
      </c>
      <c r="C2631">
        <v>1</v>
      </c>
      <c r="D2631">
        <v>15</v>
      </c>
      <c r="E2631">
        <f t="shared" si="40"/>
        <v>7.0301073117783842E-12</v>
      </c>
    </row>
    <row r="2632" spans="1:5" x14ac:dyDescent="0.25">
      <c r="A2632">
        <v>2</v>
      </c>
      <c r="B2632">
        <v>30</v>
      </c>
      <c r="C2632">
        <v>2</v>
      </c>
      <c r="D2632">
        <v>14</v>
      </c>
      <c r="E2632">
        <f t="shared" si="40"/>
        <v>3.067683190594204E-10</v>
      </c>
    </row>
    <row r="2633" spans="1:5" x14ac:dyDescent="0.25">
      <c r="A2633">
        <v>2</v>
      </c>
      <c r="B2633">
        <v>30</v>
      </c>
      <c r="C2633">
        <v>3</v>
      </c>
      <c r="D2633">
        <v>13</v>
      </c>
      <c r="E2633">
        <f t="shared" si="40"/>
        <v>7.5158238169558007E-9</v>
      </c>
    </row>
    <row r="2634" spans="1:5" x14ac:dyDescent="0.25">
      <c r="A2634">
        <v>2</v>
      </c>
      <c r="B2634">
        <v>30</v>
      </c>
      <c r="C2634">
        <v>4</v>
      </c>
      <c r="D2634">
        <v>12</v>
      </c>
      <c r="E2634">
        <f t="shared" si="40"/>
        <v>1.1649526916281493E-7</v>
      </c>
    </row>
    <row r="2635" spans="1:5" x14ac:dyDescent="0.25">
      <c r="A2635">
        <v>2</v>
      </c>
      <c r="B2635">
        <v>30</v>
      </c>
      <c r="C2635">
        <v>5</v>
      </c>
      <c r="D2635">
        <v>11</v>
      </c>
      <c r="E2635">
        <f t="shared" si="40"/>
        <v>1.2182076718168646E-6</v>
      </c>
    </row>
    <row r="2636" spans="1:5" x14ac:dyDescent="0.25">
      <c r="A2636">
        <v>2</v>
      </c>
      <c r="B2636">
        <v>30</v>
      </c>
      <c r="C2636">
        <v>6</v>
      </c>
      <c r="D2636">
        <v>10</v>
      </c>
      <c r="E2636">
        <f t="shared" si="40"/>
        <v>8.9335229266570058E-6</v>
      </c>
    </row>
    <row r="2637" spans="1:5" x14ac:dyDescent="0.25">
      <c r="A2637">
        <v>2</v>
      </c>
      <c r="B2637">
        <v>30</v>
      </c>
      <c r="C2637">
        <v>7</v>
      </c>
      <c r="D2637">
        <v>9</v>
      </c>
      <c r="E2637">
        <f t="shared" si="40"/>
        <v>4.7060522560068161E-5</v>
      </c>
    </row>
    <row r="2638" spans="1:5" x14ac:dyDescent="0.25">
      <c r="A2638">
        <v>2</v>
      </c>
      <c r="B2638">
        <v>30</v>
      </c>
      <c r="C2638">
        <v>8</v>
      </c>
      <c r="D2638">
        <v>8</v>
      </c>
      <c r="E2638">
        <f t="shared" ref="E2638:E2701" si="41">COMBIN(A$4,A2638)*COMBIN(B$4,B2638)*COMBIN(C$4,C2638)*COMBIN(D$4,D2638)/COMBIN($G$4,$F$4)</f>
        <v>1.806293586496734E-4</v>
      </c>
    </row>
    <row r="2639" spans="1:5" x14ac:dyDescent="0.25">
      <c r="A2639">
        <v>2</v>
      </c>
      <c r="B2639">
        <v>30</v>
      </c>
      <c r="C2639">
        <v>9</v>
      </c>
      <c r="D2639">
        <v>7</v>
      </c>
      <c r="E2639">
        <f t="shared" si="41"/>
        <v>5.0843819471759919E-4</v>
      </c>
    </row>
    <row r="2640" spans="1:5" x14ac:dyDescent="0.25">
      <c r="A2640">
        <v>2</v>
      </c>
      <c r="B2640">
        <v>30</v>
      </c>
      <c r="C2640">
        <v>10</v>
      </c>
      <c r="D2640">
        <v>6</v>
      </c>
      <c r="E2640">
        <f t="shared" si="41"/>
        <v>1.0489882754173624E-3</v>
      </c>
    </row>
    <row r="2641" spans="1:5" x14ac:dyDescent="0.25">
      <c r="A2641">
        <v>2</v>
      </c>
      <c r="B2641">
        <v>30</v>
      </c>
      <c r="C2641">
        <v>11</v>
      </c>
      <c r="D2641">
        <v>5</v>
      </c>
      <c r="E2641">
        <f t="shared" si="41"/>
        <v>1.5734824131260438E-3</v>
      </c>
    </row>
    <row r="2642" spans="1:5" x14ac:dyDescent="0.25">
      <c r="A2642">
        <v>2</v>
      </c>
      <c r="B2642">
        <v>30</v>
      </c>
      <c r="C2642">
        <v>12</v>
      </c>
      <c r="D2642">
        <v>4</v>
      </c>
      <c r="E2642">
        <f t="shared" si="41"/>
        <v>1.6858740140636179E-3</v>
      </c>
    </row>
    <row r="2643" spans="1:5" x14ac:dyDescent="0.25">
      <c r="A2643">
        <v>2</v>
      </c>
      <c r="B2643">
        <v>30</v>
      </c>
      <c r="C2643">
        <v>13</v>
      </c>
      <c r="D2643">
        <v>3</v>
      </c>
      <c r="E2643">
        <f t="shared" si="41"/>
        <v>1.2496688495856191E-3</v>
      </c>
    </row>
    <row r="2644" spans="1:5" x14ac:dyDescent="0.25">
      <c r="A2644">
        <v>2</v>
      </c>
      <c r="B2644">
        <v>30</v>
      </c>
      <c r="C2644">
        <v>14</v>
      </c>
      <c r="D2644">
        <v>2</v>
      </c>
      <c r="E2644">
        <f t="shared" si="41"/>
        <v>6.0542962899179083E-4</v>
      </c>
    </row>
    <row r="2645" spans="1:5" x14ac:dyDescent="0.25">
      <c r="A2645">
        <v>2</v>
      </c>
      <c r="B2645">
        <v>30</v>
      </c>
      <c r="C2645">
        <v>15</v>
      </c>
      <c r="D2645">
        <v>1</v>
      </c>
      <c r="E2645">
        <f t="shared" si="41"/>
        <v>1.7153839488100728E-4</v>
      </c>
    </row>
    <row r="2646" spans="1:5" x14ac:dyDescent="0.25">
      <c r="A2646">
        <v>2</v>
      </c>
      <c r="B2646">
        <v>30</v>
      </c>
      <c r="C2646">
        <v>16</v>
      </c>
      <c r="D2646">
        <v>0</v>
      </c>
      <c r="E2646">
        <f t="shared" si="41"/>
        <v>2.1442299360125914E-5</v>
      </c>
    </row>
    <row r="2647" spans="1:5" x14ac:dyDescent="0.25">
      <c r="A2647">
        <v>2</v>
      </c>
      <c r="B2647">
        <v>31</v>
      </c>
      <c r="C2647">
        <v>0</v>
      </c>
      <c r="D2647">
        <v>15</v>
      </c>
      <c r="E2647">
        <f t="shared" si="41"/>
        <v>9.0362173387126734E-13</v>
      </c>
    </row>
    <row r="2648" spans="1:5" x14ac:dyDescent="0.25">
      <c r="A2648">
        <v>2</v>
      </c>
      <c r="B2648">
        <v>31</v>
      </c>
      <c r="C2648">
        <v>1</v>
      </c>
      <c r="D2648">
        <v>14</v>
      </c>
      <c r="E2648">
        <f t="shared" si="41"/>
        <v>8.0093744593135087E-11</v>
      </c>
    </row>
    <row r="2649" spans="1:5" x14ac:dyDescent="0.25">
      <c r="A2649">
        <v>2</v>
      </c>
      <c r="B2649">
        <v>31</v>
      </c>
      <c r="C2649">
        <v>2</v>
      </c>
      <c r="D2649">
        <v>13</v>
      </c>
      <c r="E2649">
        <f t="shared" si="41"/>
        <v>2.9901664648103768E-9</v>
      </c>
    </row>
    <row r="2650" spans="1:5" x14ac:dyDescent="0.25">
      <c r="A2650">
        <v>2</v>
      </c>
      <c r="B2650">
        <v>31</v>
      </c>
      <c r="C2650">
        <v>3</v>
      </c>
      <c r="D2650">
        <v>12</v>
      </c>
      <c r="E2650">
        <f t="shared" si="41"/>
        <v>6.2793495761017897E-8</v>
      </c>
    </row>
    <row r="2651" spans="1:5" x14ac:dyDescent="0.25">
      <c r="A2651">
        <v>2</v>
      </c>
      <c r="B2651">
        <v>31</v>
      </c>
      <c r="C2651">
        <v>4</v>
      </c>
      <c r="D2651">
        <v>11</v>
      </c>
      <c r="E2651">
        <f t="shared" si="41"/>
        <v>8.3425644368209485E-7</v>
      </c>
    </row>
    <row r="2652" spans="1:5" x14ac:dyDescent="0.25">
      <c r="A2652">
        <v>2</v>
      </c>
      <c r="B2652">
        <v>31</v>
      </c>
      <c r="C2652">
        <v>5</v>
      </c>
      <c r="D2652">
        <v>10</v>
      </c>
      <c r="E2652">
        <f t="shared" si="41"/>
        <v>7.4638143161424755E-6</v>
      </c>
    </row>
    <row r="2653" spans="1:5" x14ac:dyDescent="0.25">
      <c r="A2653">
        <v>2</v>
      </c>
      <c r="B2653">
        <v>31</v>
      </c>
      <c r="C2653">
        <v>6</v>
      </c>
      <c r="D2653">
        <v>9</v>
      </c>
      <c r="E2653">
        <f t="shared" si="41"/>
        <v>4.6648839475890479E-5</v>
      </c>
    </row>
    <row r="2654" spans="1:5" x14ac:dyDescent="0.25">
      <c r="A2654">
        <v>2</v>
      </c>
      <c r="B2654">
        <v>31</v>
      </c>
      <c r="C2654">
        <v>7</v>
      </c>
      <c r="D2654">
        <v>8</v>
      </c>
      <c r="E2654">
        <f t="shared" si="41"/>
        <v>2.081557458966205E-4</v>
      </c>
    </row>
    <row r="2655" spans="1:5" x14ac:dyDescent="0.25">
      <c r="A2655">
        <v>2</v>
      </c>
      <c r="B2655">
        <v>31</v>
      </c>
      <c r="C2655">
        <v>8</v>
      </c>
      <c r="D2655">
        <v>7</v>
      </c>
      <c r="E2655">
        <f t="shared" si="41"/>
        <v>6.7072407011133312E-4</v>
      </c>
    </row>
    <row r="2656" spans="1:5" x14ac:dyDescent="0.25">
      <c r="A2656">
        <v>2</v>
      </c>
      <c r="B2656">
        <v>31</v>
      </c>
      <c r="C2656">
        <v>9</v>
      </c>
      <c r="D2656">
        <v>6</v>
      </c>
      <c r="E2656">
        <f t="shared" si="41"/>
        <v>1.565022830259776E-3</v>
      </c>
    </row>
    <row r="2657" spans="1:5" x14ac:dyDescent="0.25">
      <c r="A2657">
        <v>2</v>
      </c>
      <c r="B2657">
        <v>31</v>
      </c>
      <c r="C2657">
        <v>10</v>
      </c>
      <c r="D2657">
        <v>5</v>
      </c>
      <c r="E2657">
        <f t="shared" si="41"/>
        <v>2.6292383548364245E-3</v>
      </c>
    </row>
    <row r="2658" spans="1:5" x14ac:dyDescent="0.25">
      <c r="A2658">
        <v>2</v>
      </c>
      <c r="B2658">
        <v>31</v>
      </c>
      <c r="C2658">
        <v>11</v>
      </c>
      <c r="D2658">
        <v>4</v>
      </c>
      <c r="E2658">
        <f t="shared" si="41"/>
        <v>3.1300456605195541E-3</v>
      </c>
    </row>
    <row r="2659" spans="1:5" x14ac:dyDescent="0.25">
      <c r="A2659">
        <v>2</v>
      </c>
      <c r="B2659">
        <v>31</v>
      </c>
      <c r="C2659">
        <v>12</v>
      </c>
      <c r="D2659">
        <v>3</v>
      </c>
      <c r="E2659">
        <f t="shared" si="41"/>
        <v>2.5609464495159971E-3</v>
      </c>
    </row>
    <row r="2660" spans="1:5" x14ac:dyDescent="0.25">
      <c r="A2660">
        <v>2</v>
      </c>
      <c r="B2660">
        <v>31</v>
      </c>
      <c r="C2660">
        <v>13</v>
      </c>
      <c r="D2660">
        <v>2</v>
      </c>
      <c r="E2660">
        <f t="shared" si="41"/>
        <v>1.3618410885386078E-3</v>
      </c>
    </row>
    <row r="2661" spans="1:5" x14ac:dyDescent="0.25">
      <c r="A2661">
        <v>2</v>
      </c>
      <c r="B2661">
        <v>31</v>
      </c>
      <c r="C2661">
        <v>14</v>
      </c>
      <c r="D2661">
        <v>1</v>
      </c>
      <c r="E2661">
        <f t="shared" si="41"/>
        <v>4.2152224169052151E-4</v>
      </c>
    </row>
    <row r="2662" spans="1:5" x14ac:dyDescent="0.25">
      <c r="A2662">
        <v>2</v>
      </c>
      <c r="B2662">
        <v>31</v>
      </c>
      <c r="C2662">
        <v>15</v>
      </c>
      <c r="D2662">
        <v>0</v>
      </c>
      <c r="E2662">
        <f t="shared" si="41"/>
        <v>5.7327024869910895E-5</v>
      </c>
    </row>
    <row r="2663" spans="1:5" x14ac:dyDescent="0.25">
      <c r="A2663">
        <v>2</v>
      </c>
      <c r="B2663">
        <v>32</v>
      </c>
      <c r="C2663">
        <v>0</v>
      </c>
      <c r="D2663">
        <v>14</v>
      </c>
      <c r="E2663">
        <f t="shared" si="41"/>
        <v>9.9347048581869378E-12</v>
      </c>
    </row>
    <row r="2664" spans="1:5" x14ac:dyDescent="0.25">
      <c r="A2664">
        <v>2</v>
      </c>
      <c r="B2664">
        <v>32</v>
      </c>
      <c r="C2664">
        <v>1</v>
      </c>
      <c r="D2664">
        <v>13</v>
      </c>
      <c r="E2664">
        <f t="shared" si="41"/>
        <v>7.533817850791761E-10</v>
      </c>
    </row>
    <row r="2665" spans="1:5" x14ac:dyDescent="0.25">
      <c r="A2665">
        <v>2</v>
      </c>
      <c r="B2665">
        <v>32</v>
      </c>
      <c r="C2665">
        <v>2</v>
      </c>
      <c r="D2665">
        <v>12</v>
      </c>
      <c r="E2665">
        <f t="shared" si="41"/>
        <v>2.4108217122533635E-8</v>
      </c>
    </row>
    <row r="2666" spans="1:5" x14ac:dyDescent="0.25">
      <c r="A2666">
        <v>2</v>
      </c>
      <c r="B2666">
        <v>32</v>
      </c>
      <c r="C2666">
        <v>3</v>
      </c>
      <c r="D2666">
        <v>11</v>
      </c>
      <c r="E2666">
        <f t="shared" si="41"/>
        <v>4.3394790820560536E-7</v>
      </c>
    </row>
    <row r="2667" spans="1:5" x14ac:dyDescent="0.25">
      <c r="A2667">
        <v>2</v>
      </c>
      <c r="B2667">
        <v>32</v>
      </c>
      <c r="C2667">
        <v>4</v>
      </c>
      <c r="D2667">
        <v>10</v>
      </c>
      <c r="E2667">
        <f t="shared" si="41"/>
        <v>4.9325412232703796E-6</v>
      </c>
    </row>
    <row r="2668" spans="1:5" x14ac:dyDescent="0.25">
      <c r="A2668">
        <v>2</v>
      </c>
      <c r="B2668">
        <v>32</v>
      </c>
      <c r="C2668">
        <v>5</v>
      </c>
      <c r="D2668">
        <v>9</v>
      </c>
      <c r="E2668">
        <f t="shared" si="41"/>
        <v>3.7610626827436664E-5</v>
      </c>
    </row>
    <row r="2669" spans="1:5" x14ac:dyDescent="0.25">
      <c r="A2669">
        <v>2</v>
      </c>
      <c r="B2669">
        <v>32</v>
      </c>
      <c r="C2669">
        <v>6</v>
      </c>
      <c r="D2669">
        <v>8</v>
      </c>
      <c r="E2669">
        <f t="shared" si="41"/>
        <v>1.9911508320407645E-4</v>
      </c>
    </row>
    <row r="2670" spans="1:5" x14ac:dyDescent="0.25">
      <c r="A2670">
        <v>2</v>
      </c>
      <c r="B2670">
        <v>32</v>
      </c>
      <c r="C2670">
        <v>7</v>
      </c>
      <c r="D2670">
        <v>7</v>
      </c>
      <c r="E2670">
        <f t="shared" si="41"/>
        <v>7.4589142279622299E-4</v>
      </c>
    </row>
    <row r="2671" spans="1:5" x14ac:dyDescent="0.25">
      <c r="A2671">
        <v>2</v>
      </c>
      <c r="B2671">
        <v>32</v>
      </c>
      <c r="C2671">
        <v>8</v>
      </c>
      <c r="D2671">
        <v>6</v>
      </c>
      <c r="E2671">
        <f t="shared" si="41"/>
        <v>1.992315247732016E-3</v>
      </c>
    </row>
    <row r="2672" spans="1:5" x14ac:dyDescent="0.25">
      <c r="A2672">
        <v>2</v>
      </c>
      <c r="B2672">
        <v>32</v>
      </c>
      <c r="C2672">
        <v>9</v>
      </c>
      <c r="D2672">
        <v>5</v>
      </c>
      <c r="E2672">
        <f t="shared" si="41"/>
        <v>3.7853989706908295E-3</v>
      </c>
    </row>
    <row r="2673" spans="1:5" x14ac:dyDescent="0.25">
      <c r="A2673">
        <v>2</v>
      </c>
      <c r="B2673">
        <v>32</v>
      </c>
      <c r="C2673">
        <v>10</v>
      </c>
      <c r="D2673">
        <v>4</v>
      </c>
      <c r="E2673">
        <f t="shared" si="41"/>
        <v>5.0471986275877753E-3</v>
      </c>
    </row>
    <row r="2674" spans="1:5" x14ac:dyDescent="0.25">
      <c r="A2674">
        <v>2</v>
      </c>
      <c r="B2674">
        <v>32</v>
      </c>
      <c r="C2674">
        <v>11</v>
      </c>
      <c r="D2674">
        <v>3</v>
      </c>
      <c r="E2674">
        <f t="shared" si="41"/>
        <v>4.5883623887161594E-3</v>
      </c>
    </row>
    <row r="2675" spans="1:5" x14ac:dyDescent="0.25">
      <c r="A2675">
        <v>2</v>
      </c>
      <c r="B2675">
        <v>32</v>
      </c>
      <c r="C2675">
        <v>12</v>
      </c>
      <c r="D2675">
        <v>2</v>
      </c>
      <c r="E2675">
        <f t="shared" si="41"/>
        <v>2.6931692281594831E-3</v>
      </c>
    </row>
    <row r="2676" spans="1:5" x14ac:dyDescent="0.25">
      <c r="A2676">
        <v>2</v>
      </c>
      <c r="B2676">
        <v>32</v>
      </c>
      <c r="C2676">
        <v>13</v>
      </c>
      <c r="D2676">
        <v>1</v>
      </c>
      <c r="E2676">
        <f t="shared" si="41"/>
        <v>9.1498698136187611E-4</v>
      </c>
    </row>
    <row r="2677" spans="1:5" x14ac:dyDescent="0.25">
      <c r="A2677">
        <v>2</v>
      </c>
      <c r="B2677">
        <v>32</v>
      </c>
      <c r="C2677">
        <v>14</v>
      </c>
      <c r="D2677">
        <v>0</v>
      </c>
      <c r="E2677">
        <f t="shared" si="41"/>
        <v>1.3594092294519307E-4</v>
      </c>
    </row>
    <row r="2678" spans="1:5" x14ac:dyDescent="0.25">
      <c r="A2678">
        <v>2</v>
      </c>
      <c r="B2678">
        <v>33</v>
      </c>
      <c r="C2678">
        <v>0</v>
      </c>
      <c r="D2678">
        <v>13</v>
      </c>
      <c r="E2678">
        <f t="shared" si="41"/>
        <v>9.0265323433728868E-11</v>
      </c>
    </row>
    <row r="2679" spans="1:5" x14ac:dyDescent="0.25">
      <c r="A2679">
        <v>2</v>
      </c>
      <c r="B2679">
        <v>33</v>
      </c>
      <c r="C2679">
        <v>1</v>
      </c>
      <c r="D2679">
        <v>12</v>
      </c>
      <c r="E2679">
        <f t="shared" si="41"/>
        <v>5.867246023192377E-9</v>
      </c>
    </row>
    <row r="2680" spans="1:5" x14ac:dyDescent="0.25">
      <c r="A2680">
        <v>2</v>
      </c>
      <c r="B2680">
        <v>33</v>
      </c>
      <c r="C2680">
        <v>2</v>
      </c>
      <c r="D2680">
        <v>11</v>
      </c>
      <c r="E2680">
        <f t="shared" si="41"/>
        <v>1.6093017663613374E-7</v>
      </c>
    </row>
    <row r="2681" spans="1:5" x14ac:dyDescent="0.25">
      <c r="A2681">
        <v>2</v>
      </c>
      <c r="B2681">
        <v>33</v>
      </c>
      <c r="C2681">
        <v>3</v>
      </c>
      <c r="D2681">
        <v>10</v>
      </c>
      <c r="E2681">
        <f t="shared" si="41"/>
        <v>2.4783247201964591E-6</v>
      </c>
    </row>
    <row r="2682" spans="1:5" x14ac:dyDescent="0.25">
      <c r="A2682">
        <v>2</v>
      </c>
      <c r="B2682">
        <v>33</v>
      </c>
      <c r="C2682">
        <v>4</v>
      </c>
      <c r="D2682">
        <v>9</v>
      </c>
      <c r="E2682">
        <f t="shared" si="41"/>
        <v>2.4008770726903198E-5</v>
      </c>
    </row>
    <row r="2683" spans="1:5" x14ac:dyDescent="0.25">
      <c r="A2683">
        <v>2</v>
      </c>
      <c r="B2683">
        <v>33</v>
      </c>
      <c r="C2683">
        <v>5</v>
      </c>
      <c r="D2683">
        <v>8</v>
      </c>
      <c r="E2683">
        <f t="shared" si="41"/>
        <v>1.5506841328317481E-4</v>
      </c>
    </row>
    <row r="2684" spans="1:5" x14ac:dyDescent="0.25">
      <c r="A2684">
        <v>2</v>
      </c>
      <c r="B2684">
        <v>33</v>
      </c>
      <c r="C2684">
        <v>6</v>
      </c>
      <c r="D2684">
        <v>7</v>
      </c>
      <c r="E2684">
        <f t="shared" si="41"/>
        <v>6.8919294792522154E-4</v>
      </c>
    </row>
    <row r="2685" spans="1:5" x14ac:dyDescent="0.25">
      <c r="A2685">
        <v>2</v>
      </c>
      <c r="B2685">
        <v>33</v>
      </c>
      <c r="C2685">
        <v>7</v>
      </c>
      <c r="D2685">
        <v>6</v>
      </c>
      <c r="E2685">
        <f t="shared" si="41"/>
        <v>2.1401254698730551E-3</v>
      </c>
    </row>
    <row r="2686" spans="1:5" x14ac:dyDescent="0.25">
      <c r="A2686">
        <v>2</v>
      </c>
      <c r="B2686">
        <v>33</v>
      </c>
      <c r="C2686">
        <v>8</v>
      </c>
      <c r="D2686">
        <v>5</v>
      </c>
      <c r="E2686">
        <f t="shared" si="41"/>
        <v>4.6547728969738959E-3</v>
      </c>
    </row>
    <row r="2687" spans="1:5" x14ac:dyDescent="0.25">
      <c r="A2687">
        <v>2</v>
      </c>
      <c r="B2687">
        <v>33</v>
      </c>
      <c r="C2687">
        <v>9</v>
      </c>
      <c r="D2687">
        <v>4</v>
      </c>
      <c r="E2687">
        <f t="shared" si="41"/>
        <v>7.0191019875003209E-3</v>
      </c>
    </row>
    <row r="2688" spans="1:5" x14ac:dyDescent="0.25">
      <c r="A2688">
        <v>2</v>
      </c>
      <c r="B2688">
        <v>33</v>
      </c>
      <c r="C2688">
        <v>10</v>
      </c>
      <c r="D2688">
        <v>3</v>
      </c>
      <c r="E2688">
        <f t="shared" si="41"/>
        <v>7.1467220236366901E-3</v>
      </c>
    </row>
    <row r="2689" spans="1:5" x14ac:dyDescent="0.25">
      <c r="A2689">
        <v>2</v>
      </c>
      <c r="B2689">
        <v>33</v>
      </c>
      <c r="C2689">
        <v>11</v>
      </c>
      <c r="D2689">
        <v>2</v>
      </c>
      <c r="E2689">
        <f t="shared" si="41"/>
        <v>4.6609056675891462E-3</v>
      </c>
    </row>
    <row r="2690" spans="1:5" x14ac:dyDescent="0.25">
      <c r="A2690">
        <v>2</v>
      </c>
      <c r="B2690">
        <v>33</v>
      </c>
      <c r="C2690">
        <v>12</v>
      </c>
      <c r="D2690">
        <v>1</v>
      </c>
      <c r="E2690">
        <f t="shared" si="41"/>
        <v>1.7478396253459288E-3</v>
      </c>
    </row>
    <row r="2691" spans="1:5" x14ac:dyDescent="0.25">
      <c r="A2691">
        <v>2</v>
      </c>
      <c r="B2691">
        <v>33</v>
      </c>
      <c r="C2691">
        <v>13</v>
      </c>
      <c r="D2691">
        <v>0</v>
      </c>
      <c r="E2691">
        <f t="shared" si="41"/>
        <v>2.8503230813333618E-4</v>
      </c>
    </row>
    <row r="2692" spans="1:5" x14ac:dyDescent="0.25">
      <c r="A2692">
        <v>2</v>
      </c>
      <c r="B2692">
        <v>34</v>
      </c>
      <c r="C2692">
        <v>0</v>
      </c>
      <c r="D2692">
        <v>12</v>
      </c>
      <c r="E2692">
        <f t="shared" si="41"/>
        <v>6.7964478820689947E-10</v>
      </c>
    </row>
    <row r="2693" spans="1:5" x14ac:dyDescent="0.25">
      <c r="A2693">
        <v>2</v>
      </c>
      <c r="B2693">
        <v>34</v>
      </c>
      <c r="C2693">
        <v>1</v>
      </c>
      <c r="D2693">
        <v>11</v>
      </c>
      <c r="E2693">
        <f t="shared" si="41"/>
        <v>3.786592391438439E-8</v>
      </c>
    </row>
    <row r="2694" spans="1:5" x14ac:dyDescent="0.25">
      <c r="A2694">
        <v>2</v>
      </c>
      <c r="B2694">
        <v>34</v>
      </c>
      <c r="C2694">
        <v>2</v>
      </c>
      <c r="D2694">
        <v>10</v>
      </c>
      <c r="E2694">
        <f t="shared" si="41"/>
        <v>8.8858701452422029E-7</v>
      </c>
    </row>
    <row r="2695" spans="1:5" x14ac:dyDescent="0.25">
      <c r="A2695">
        <v>2</v>
      </c>
      <c r="B2695">
        <v>34</v>
      </c>
      <c r="C2695">
        <v>3</v>
      </c>
      <c r="D2695">
        <v>9</v>
      </c>
      <c r="E2695">
        <f t="shared" si="41"/>
        <v>1.1662704565630395E-5</v>
      </c>
    </row>
    <row r="2696" spans="1:5" x14ac:dyDescent="0.25">
      <c r="A2696">
        <v>2</v>
      </c>
      <c r="B2696">
        <v>34</v>
      </c>
      <c r="C2696">
        <v>4</v>
      </c>
      <c r="D2696">
        <v>8</v>
      </c>
      <c r="E2696">
        <f t="shared" si="41"/>
        <v>9.5702781582672917E-5</v>
      </c>
    </row>
    <row r="2697" spans="1:5" x14ac:dyDescent="0.25">
      <c r="A2697">
        <v>2</v>
      </c>
      <c r="B2697">
        <v>34</v>
      </c>
      <c r="C2697">
        <v>5</v>
      </c>
      <c r="D2697">
        <v>7</v>
      </c>
      <c r="E2697">
        <f t="shared" si="41"/>
        <v>5.1892174902604896E-4</v>
      </c>
    </row>
    <row r="2698" spans="1:5" x14ac:dyDescent="0.25">
      <c r="A2698">
        <v>2</v>
      </c>
      <c r="B2698">
        <v>34</v>
      </c>
      <c r="C2698">
        <v>6</v>
      </c>
      <c r="D2698">
        <v>6</v>
      </c>
      <c r="E2698">
        <f t="shared" si="41"/>
        <v>1.911816970095969E-3</v>
      </c>
    </row>
    <row r="2699" spans="1:5" x14ac:dyDescent="0.25">
      <c r="A2699">
        <v>2</v>
      </c>
      <c r="B2699">
        <v>34</v>
      </c>
      <c r="C2699">
        <v>7</v>
      </c>
      <c r="D2699">
        <v>5</v>
      </c>
      <c r="E2699">
        <f t="shared" si="41"/>
        <v>4.8341657672426631E-3</v>
      </c>
    </row>
    <row r="2700" spans="1:5" x14ac:dyDescent="0.25">
      <c r="A2700">
        <v>2</v>
      </c>
      <c r="B2700">
        <v>34</v>
      </c>
      <c r="C2700">
        <v>8</v>
      </c>
      <c r="D2700">
        <v>4</v>
      </c>
      <c r="E2700">
        <f t="shared" si="41"/>
        <v>8.344690907740317E-3</v>
      </c>
    </row>
    <row r="2701" spans="1:5" x14ac:dyDescent="0.25">
      <c r="A2701">
        <v>2</v>
      </c>
      <c r="B2701">
        <v>34</v>
      </c>
      <c r="C2701">
        <v>9</v>
      </c>
      <c r="D2701">
        <v>3</v>
      </c>
      <c r="E2701">
        <f t="shared" si="41"/>
        <v>9.6090380149736945E-3</v>
      </c>
    </row>
    <row r="2702" spans="1:5" x14ac:dyDescent="0.25">
      <c r="A2702">
        <v>2</v>
      </c>
      <c r="B2702">
        <v>34</v>
      </c>
      <c r="C2702">
        <v>10</v>
      </c>
      <c r="D2702">
        <v>2</v>
      </c>
      <c r="E2702">
        <f t="shared" ref="E2702:E2765" si="42">COMBIN(A$4,A2702)*COMBIN(B$4,B2702)*COMBIN(C$4,C2702)*COMBIN(D$4,D2702)/COMBIN($G$4,$F$4)</f>
        <v>7.0187755935460045E-3</v>
      </c>
    </row>
    <row r="2703" spans="1:5" x14ac:dyDescent="0.25">
      <c r="A2703">
        <v>2</v>
      </c>
      <c r="B2703">
        <v>34</v>
      </c>
      <c r="C2703">
        <v>11</v>
      </c>
      <c r="D2703">
        <v>1</v>
      </c>
      <c r="E2703">
        <f t="shared" si="42"/>
        <v>2.9244898306441691E-3</v>
      </c>
    </row>
    <row r="2704" spans="1:5" x14ac:dyDescent="0.25">
      <c r="A2704">
        <v>2</v>
      </c>
      <c r="B2704">
        <v>34</v>
      </c>
      <c r="C2704">
        <v>12</v>
      </c>
      <c r="D2704">
        <v>0</v>
      </c>
      <c r="E2704">
        <f t="shared" si="42"/>
        <v>5.2640816951595002E-4</v>
      </c>
    </row>
    <row r="2705" spans="1:5" x14ac:dyDescent="0.25">
      <c r="A2705">
        <v>2</v>
      </c>
      <c r="B2705">
        <v>35</v>
      </c>
      <c r="C2705">
        <v>0</v>
      </c>
      <c r="D2705">
        <v>11</v>
      </c>
      <c r="E2705">
        <f t="shared" si="42"/>
        <v>4.2443123508430849E-9</v>
      </c>
    </row>
    <row r="2706" spans="1:5" x14ac:dyDescent="0.25">
      <c r="A2706">
        <v>2</v>
      </c>
      <c r="B2706">
        <v>35</v>
      </c>
      <c r="C2706">
        <v>1</v>
      </c>
      <c r="D2706">
        <v>10</v>
      </c>
      <c r="E2706">
        <f t="shared" si="42"/>
        <v>2.0231222205685368E-7</v>
      </c>
    </row>
    <row r="2707" spans="1:5" x14ac:dyDescent="0.25">
      <c r="A2707">
        <v>2</v>
      </c>
      <c r="B2707">
        <v>35</v>
      </c>
      <c r="C2707">
        <v>2</v>
      </c>
      <c r="D2707">
        <v>9</v>
      </c>
      <c r="E2707">
        <f t="shared" si="42"/>
        <v>4.0462444411370746E-6</v>
      </c>
    </row>
    <row r="2708" spans="1:5" x14ac:dyDescent="0.25">
      <c r="A2708">
        <v>2</v>
      </c>
      <c r="B2708">
        <v>35</v>
      </c>
      <c r="C2708">
        <v>3</v>
      </c>
      <c r="D2708">
        <v>8</v>
      </c>
      <c r="E2708">
        <f t="shared" si="42"/>
        <v>4.4984717610288644E-5</v>
      </c>
    </row>
    <row r="2709" spans="1:5" x14ac:dyDescent="0.25">
      <c r="A2709">
        <v>2</v>
      </c>
      <c r="B2709">
        <v>35</v>
      </c>
      <c r="C2709">
        <v>4</v>
      </c>
      <c r="D2709">
        <v>7</v>
      </c>
      <c r="E2709">
        <f t="shared" si="42"/>
        <v>3.0989472131532188E-4</v>
      </c>
    </row>
    <row r="2710" spans="1:5" x14ac:dyDescent="0.25">
      <c r="A2710">
        <v>2</v>
      </c>
      <c r="B2710">
        <v>35</v>
      </c>
      <c r="C2710">
        <v>5</v>
      </c>
      <c r="D2710">
        <v>6</v>
      </c>
      <c r="E2710">
        <f t="shared" si="42"/>
        <v>1.3928952210699201E-3</v>
      </c>
    </row>
    <row r="2711" spans="1:5" x14ac:dyDescent="0.25">
      <c r="A2711">
        <v>2</v>
      </c>
      <c r="B2711">
        <v>35</v>
      </c>
      <c r="C2711">
        <v>6</v>
      </c>
      <c r="D2711">
        <v>5</v>
      </c>
      <c r="E2711">
        <f t="shared" si="42"/>
        <v>4.1786856632097602E-3</v>
      </c>
    </row>
    <row r="2712" spans="1:5" x14ac:dyDescent="0.25">
      <c r="A2712">
        <v>2</v>
      </c>
      <c r="B2712">
        <v>35</v>
      </c>
      <c r="C2712">
        <v>7</v>
      </c>
      <c r="D2712">
        <v>4</v>
      </c>
      <c r="E2712">
        <f t="shared" si="42"/>
        <v>8.385797759502581E-3</v>
      </c>
    </row>
    <row r="2713" spans="1:5" x14ac:dyDescent="0.25">
      <c r="A2713">
        <v>2</v>
      </c>
      <c r="B2713">
        <v>35</v>
      </c>
      <c r="C2713">
        <v>8</v>
      </c>
      <c r="D2713">
        <v>3</v>
      </c>
      <c r="E2713">
        <f t="shared" si="42"/>
        <v>1.1054006137526131E-2</v>
      </c>
    </row>
    <row r="2714" spans="1:5" x14ac:dyDescent="0.25">
      <c r="A2714">
        <v>2</v>
      </c>
      <c r="B2714">
        <v>35</v>
      </c>
      <c r="C2714">
        <v>9</v>
      </c>
      <c r="D2714">
        <v>2</v>
      </c>
      <c r="E2714">
        <f t="shared" si="42"/>
        <v>9.1315702875215832E-3</v>
      </c>
    </row>
    <row r="2715" spans="1:5" x14ac:dyDescent="0.25">
      <c r="A2715">
        <v>2</v>
      </c>
      <c r="B2715">
        <v>35</v>
      </c>
      <c r="C2715">
        <v>10</v>
      </c>
      <c r="D2715">
        <v>1</v>
      </c>
      <c r="E2715">
        <f t="shared" si="42"/>
        <v>4.2613994675100731E-3</v>
      </c>
    </row>
    <row r="2716" spans="1:5" x14ac:dyDescent="0.25">
      <c r="A2716">
        <v>2</v>
      </c>
      <c r="B2716">
        <v>35</v>
      </c>
      <c r="C2716">
        <v>11</v>
      </c>
      <c r="D2716">
        <v>0</v>
      </c>
      <c r="E2716">
        <f t="shared" si="42"/>
        <v>8.5227989350201473E-4</v>
      </c>
    </row>
    <row r="2717" spans="1:5" x14ac:dyDescent="0.25">
      <c r="A2717">
        <v>2</v>
      </c>
      <c r="B2717">
        <v>36</v>
      </c>
      <c r="C2717">
        <v>0</v>
      </c>
      <c r="D2717">
        <v>10</v>
      </c>
      <c r="E2717">
        <f t="shared" si="42"/>
        <v>2.19603864967696E-8</v>
      </c>
    </row>
    <row r="2718" spans="1:5" x14ac:dyDescent="0.25">
      <c r="A2718">
        <v>2</v>
      </c>
      <c r="B2718">
        <v>36</v>
      </c>
      <c r="C2718">
        <v>1</v>
      </c>
      <c r="D2718">
        <v>9</v>
      </c>
      <c r="E2718">
        <f t="shared" si="42"/>
        <v>8.9214070143126507E-7</v>
      </c>
    </row>
    <row r="2719" spans="1:5" x14ac:dyDescent="0.25">
      <c r="A2719">
        <v>2</v>
      </c>
      <c r="B2719">
        <v>36</v>
      </c>
      <c r="C2719">
        <v>2</v>
      </c>
      <c r="D2719">
        <v>8</v>
      </c>
      <c r="E2719">
        <f t="shared" si="42"/>
        <v>1.5113913059541434E-5</v>
      </c>
    </row>
    <row r="2720" spans="1:5" x14ac:dyDescent="0.25">
      <c r="A2720">
        <v>2</v>
      </c>
      <c r="B2720">
        <v>36</v>
      </c>
      <c r="C2720">
        <v>3</v>
      </c>
      <c r="D2720">
        <v>7</v>
      </c>
      <c r="E2720">
        <f t="shared" si="42"/>
        <v>1.4106318855572008E-4</v>
      </c>
    </row>
    <row r="2721" spans="1:5" x14ac:dyDescent="0.25">
      <c r="A2721">
        <v>2</v>
      </c>
      <c r="B2721">
        <v>36</v>
      </c>
      <c r="C2721">
        <v>4</v>
      </c>
      <c r="D2721">
        <v>6</v>
      </c>
      <c r="E2721">
        <f t="shared" si="42"/>
        <v>8.0554505043661155E-4</v>
      </c>
    </row>
    <row r="2722" spans="1:5" x14ac:dyDescent="0.25">
      <c r="A2722">
        <v>2</v>
      </c>
      <c r="B2722">
        <v>36</v>
      </c>
      <c r="C2722">
        <v>5</v>
      </c>
      <c r="D2722">
        <v>5</v>
      </c>
      <c r="E2722">
        <f t="shared" si="42"/>
        <v>2.9482948845979988E-3</v>
      </c>
    </row>
    <row r="2723" spans="1:5" x14ac:dyDescent="0.25">
      <c r="A2723">
        <v>2</v>
      </c>
      <c r="B2723">
        <v>36</v>
      </c>
      <c r="C2723">
        <v>6</v>
      </c>
      <c r="D2723">
        <v>4</v>
      </c>
      <c r="E2723">
        <f t="shared" si="42"/>
        <v>7.0197497252333322E-3</v>
      </c>
    </row>
    <row r="2724" spans="1:5" x14ac:dyDescent="0.25">
      <c r="A2724">
        <v>2</v>
      </c>
      <c r="B2724">
        <v>36</v>
      </c>
      <c r="C2724">
        <v>7</v>
      </c>
      <c r="D2724">
        <v>3</v>
      </c>
      <c r="E2724">
        <f t="shared" si="42"/>
        <v>1.075753853996796E-2</v>
      </c>
    </row>
    <row r="2725" spans="1:5" x14ac:dyDescent="0.25">
      <c r="A2725">
        <v>2</v>
      </c>
      <c r="B2725">
        <v>36</v>
      </c>
      <c r="C2725">
        <v>8</v>
      </c>
      <c r="D2725">
        <v>2</v>
      </c>
      <c r="E2725">
        <f t="shared" si="42"/>
        <v>1.0172889706274054E-2</v>
      </c>
    </row>
    <row r="2726" spans="1:5" x14ac:dyDescent="0.25">
      <c r="A2726">
        <v>2</v>
      </c>
      <c r="B2726">
        <v>36</v>
      </c>
      <c r="C2726">
        <v>9</v>
      </c>
      <c r="D2726">
        <v>1</v>
      </c>
      <c r="E2726">
        <f t="shared" si="42"/>
        <v>5.3690251227557486E-3</v>
      </c>
    </row>
    <row r="2727" spans="1:5" x14ac:dyDescent="0.25">
      <c r="A2727">
        <v>2</v>
      </c>
      <c r="B2727">
        <v>36</v>
      </c>
      <c r="C2727">
        <v>10</v>
      </c>
      <c r="D2727">
        <v>0</v>
      </c>
      <c r="E2727">
        <f t="shared" si="42"/>
        <v>1.2026616274972879E-3</v>
      </c>
    </row>
    <row r="2728" spans="1:5" x14ac:dyDescent="0.25">
      <c r="A2728">
        <v>2</v>
      </c>
      <c r="B2728">
        <v>37</v>
      </c>
      <c r="C2728">
        <v>0</v>
      </c>
      <c r="D2728">
        <v>9</v>
      </c>
      <c r="E2728">
        <f t="shared" si="42"/>
        <v>9.3850976075721347E-8</v>
      </c>
    </row>
    <row r="2729" spans="1:5" x14ac:dyDescent="0.25">
      <c r="A2729">
        <v>2</v>
      </c>
      <c r="B2729">
        <v>37</v>
      </c>
      <c r="C2729">
        <v>1</v>
      </c>
      <c r="D2729">
        <v>8</v>
      </c>
      <c r="E2729">
        <f t="shared" si="42"/>
        <v>3.2295777061351172E-6</v>
      </c>
    </row>
    <row r="2730" spans="1:5" x14ac:dyDescent="0.25">
      <c r="A2730">
        <v>2</v>
      </c>
      <c r="B2730">
        <v>37</v>
      </c>
      <c r="C2730">
        <v>2</v>
      </c>
      <c r="D2730">
        <v>7</v>
      </c>
      <c r="E2730">
        <f t="shared" si="42"/>
        <v>4.5931771820588342E-5</v>
      </c>
    </row>
    <row r="2731" spans="1:5" x14ac:dyDescent="0.25">
      <c r="A2731">
        <v>2</v>
      </c>
      <c r="B2731">
        <v>37</v>
      </c>
      <c r="C2731">
        <v>3</v>
      </c>
      <c r="D2731">
        <v>6</v>
      </c>
      <c r="E2731">
        <f t="shared" si="42"/>
        <v>3.5536686619086765E-4</v>
      </c>
    </row>
    <row r="2732" spans="1:5" x14ac:dyDescent="0.25">
      <c r="A2732">
        <v>2</v>
      </c>
      <c r="B2732">
        <v>37</v>
      </c>
      <c r="C2732">
        <v>4</v>
      </c>
      <c r="D2732">
        <v>5</v>
      </c>
      <c r="E2732">
        <f t="shared" si="42"/>
        <v>1.6524559277875345E-3</v>
      </c>
    </row>
    <row r="2733" spans="1:5" x14ac:dyDescent="0.25">
      <c r="A2733">
        <v>2</v>
      </c>
      <c r="B2733">
        <v>37</v>
      </c>
      <c r="C2733">
        <v>5</v>
      </c>
      <c r="D2733">
        <v>4</v>
      </c>
      <c r="E2733">
        <f t="shared" si="42"/>
        <v>4.7999910283352204E-3</v>
      </c>
    </row>
    <row r="2734" spans="1:5" x14ac:dyDescent="0.25">
      <c r="A2734">
        <v>2</v>
      </c>
      <c r="B2734">
        <v>37</v>
      </c>
      <c r="C2734">
        <v>6</v>
      </c>
      <c r="D2734">
        <v>3</v>
      </c>
      <c r="E2734">
        <f t="shared" si="42"/>
        <v>8.7272564151549444E-3</v>
      </c>
    </row>
    <row r="2735" spans="1:5" x14ac:dyDescent="0.25">
      <c r="A2735">
        <v>2</v>
      </c>
      <c r="B2735">
        <v>37</v>
      </c>
      <c r="C2735">
        <v>7</v>
      </c>
      <c r="D2735">
        <v>2</v>
      </c>
      <c r="E2735">
        <f t="shared" si="42"/>
        <v>9.5945614005119566E-3</v>
      </c>
    </row>
    <row r="2736" spans="1:5" x14ac:dyDescent="0.25">
      <c r="A2736">
        <v>2</v>
      </c>
      <c r="B2736">
        <v>37</v>
      </c>
      <c r="C2736">
        <v>8</v>
      </c>
      <c r="D2736">
        <v>1</v>
      </c>
      <c r="E2736">
        <f t="shared" si="42"/>
        <v>5.7967141794759763E-3</v>
      </c>
    </row>
    <row r="2737" spans="1:5" x14ac:dyDescent="0.25">
      <c r="A2737">
        <v>2</v>
      </c>
      <c r="B2737">
        <v>37</v>
      </c>
      <c r="C2737">
        <v>9</v>
      </c>
      <c r="D2737">
        <v>0</v>
      </c>
      <c r="E2737">
        <f t="shared" si="42"/>
        <v>1.4685009254672469E-3</v>
      </c>
    </row>
    <row r="2738" spans="1:5" x14ac:dyDescent="0.25">
      <c r="A2738">
        <v>2</v>
      </c>
      <c r="B2738">
        <v>38</v>
      </c>
      <c r="C2738">
        <v>0</v>
      </c>
      <c r="D2738">
        <v>8</v>
      </c>
      <c r="E2738">
        <f t="shared" si="42"/>
        <v>3.2949537730609319E-7</v>
      </c>
    </row>
    <row r="2739" spans="1:5" x14ac:dyDescent="0.25">
      <c r="A2739">
        <v>2</v>
      </c>
      <c r="B2739">
        <v>38</v>
      </c>
      <c r="C2739">
        <v>1</v>
      </c>
      <c r="D2739">
        <v>7</v>
      </c>
      <c r="E2739">
        <f t="shared" si="42"/>
        <v>9.5187553443982512E-6</v>
      </c>
    </row>
    <row r="2740" spans="1:5" x14ac:dyDescent="0.25">
      <c r="A2740">
        <v>2</v>
      </c>
      <c r="B2740">
        <v>38</v>
      </c>
      <c r="C2740">
        <v>2</v>
      </c>
      <c r="D2740">
        <v>6</v>
      </c>
      <c r="E2740">
        <f t="shared" si="42"/>
        <v>1.1222111563922143E-4</v>
      </c>
    </row>
    <row r="2741" spans="1:5" x14ac:dyDescent="0.25">
      <c r="A2741">
        <v>2</v>
      </c>
      <c r="B2741">
        <v>38</v>
      </c>
      <c r="C2741">
        <v>3</v>
      </c>
      <c r="D2741">
        <v>5</v>
      </c>
      <c r="E2741">
        <f t="shared" si="42"/>
        <v>7.0699302852709502E-4</v>
      </c>
    </row>
    <row r="2742" spans="1:5" x14ac:dyDescent="0.25">
      <c r="A2742">
        <v>2</v>
      </c>
      <c r="B2742">
        <v>38</v>
      </c>
      <c r="C2742">
        <v>4</v>
      </c>
      <c r="D2742">
        <v>4</v>
      </c>
      <c r="E2742">
        <f t="shared" si="42"/>
        <v>2.609140938611899E-3</v>
      </c>
    </row>
    <row r="2743" spans="1:5" x14ac:dyDescent="0.25">
      <c r="A2743">
        <v>2</v>
      </c>
      <c r="B2743">
        <v>38</v>
      </c>
      <c r="C2743">
        <v>5</v>
      </c>
      <c r="D2743">
        <v>3</v>
      </c>
      <c r="E2743">
        <f t="shared" si="42"/>
        <v>5.7875489911027572E-3</v>
      </c>
    </row>
    <row r="2744" spans="1:5" x14ac:dyDescent="0.25">
      <c r="A2744">
        <v>2</v>
      </c>
      <c r="B2744">
        <v>38</v>
      </c>
      <c r="C2744">
        <v>6</v>
      </c>
      <c r="D2744">
        <v>2</v>
      </c>
      <c r="E2744">
        <f t="shared" si="42"/>
        <v>7.5489769449166395E-3</v>
      </c>
    </row>
    <row r="2745" spans="1:5" x14ac:dyDescent="0.25">
      <c r="A2745">
        <v>2</v>
      </c>
      <c r="B2745">
        <v>38</v>
      </c>
      <c r="C2745">
        <v>7</v>
      </c>
      <c r="D2745">
        <v>1</v>
      </c>
      <c r="E2745">
        <f t="shared" si="42"/>
        <v>5.3022576160724009E-3</v>
      </c>
    </row>
    <row r="2746" spans="1:5" x14ac:dyDescent="0.25">
      <c r="A2746">
        <v>2</v>
      </c>
      <c r="B2746">
        <v>38</v>
      </c>
      <c r="C2746">
        <v>8</v>
      </c>
      <c r="D2746">
        <v>0</v>
      </c>
      <c r="E2746">
        <f t="shared" si="42"/>
        <v>1.5376547086609967E-3</v>
      </c>
    </row>
    <row r="2747" spans="1:5" x14ac:dyDescent="0.25">
      <c r="A2747">
        <v>2</v>
      </c>
      <c r="B2747">
        <v>39</v>
      </c>
      <c r="C2747">
        <v>0</v>
      </c>
      <c r="D2747">
        <v>7</v>
      </c>
      <c r="E2747">
        <f t="shared" si="42"/>
        <v>9.4248820175304167E-7</v>
      </c>
    </row>
    <row r="2748" spans="1:5" x14ac:dyDescent="0.25">
      <c r="A2748">
        <v>2</v>
      </c>
      <c r="B2748">
        <v>39</v>
      </c>
      <c r="C2748">
        <v>1</v>
      </c>
      <c r="D2748">
        <v>6</v>
      </c>
      <c r="E2748">
        <f t="shared" si="42"/>
        <v>2.2570112199875461E-5</v>
      </c>
    </row>
    <row r="2749" spans="1:5" x14ac:dyDescent="0.25">
      <c r="A2749">
        <v>2</v>
      </c>
      <c r="B2749">
        <v>39</v>
      </c>
      <c r="C2749">
        <v>2</v>
      </c>
      <c r="D2749">
        <v>5</v>
      </c>
      <c r="E2749">
        <f t="shared" si="42"/>
        <v>2.1667307711880444E-4</v>
      </c>
    </row>
    <row r="2750" spans="1:5" x14ac:dyDescent="0.25">
      <c r="A2750">
        <v>2</v>
      </c>
      <c r="B2750">
        <v>39</v>
      </c>
      <c r="C2750">
        <v>3</v>
      </c>
      <c r="D2750">
        <v>4</v>
      </c>
      <c r="E2750">
        <f t="shared" si="42"/>
        <v>1.0833653855940224E-3</v>
      </c>
    </row>
    <row r="2751" spans="1:5" x14ac:dyDescent="0.25">
      <c r="A2751">
        <v>2</v>
      </c>
      <c r="B2751">
        <v>39</v>
      </c>
      <c r="C2751">
        <v>4</v>
      </c>
      <c r="D2751">
        <v>3</v>
      </c>
      <c r="E2751">
        <f t="shared" si="42"/>
        <v>3.053120632128608E-3</v>
      </c>
    </row>
    <row r="2752" spans="1:5" x14ac:dyDescent="0.25">
      <c r="A2752">
        <v>2</v>
      </c>
      <c r="B2752">
        <v>39</v>
      </c>
      <c r="C2752">
        <v>5</v>
      </c>
      <c r="D2752">
        <v>2</v>
      </c>
      <c r="E2752">
        <f t="shared" si="42"/>
        <v>4.858444136343786E-3</v>
      </c>
    </row>
    <row r="2753" spans="1:5" x14ac:dyDescent="0.25">
      <c r="A2753">
        <v>2</v>
      </c>
      <c r="B2753">
        <v>39</v>
      </c>
      <c r="C2753">
        <v>6</v>
      </c>
      <c r="D2753">
        <v>1</v>
      </c>
      <c r="E2753">
        <f t="shared" si="42"/>
        <v>4.0487034469531549E-3</v>
      </c>
    </row>
    <row r="2754" spans="1:5" x14ac:dyDescent="0.25">
      <c r="A2754">
        <v>2</v>
      </c>
      <c r="B2754">
        <v>39</v>
      </c>
      <c r="C2754">
        <v>7</v>
      </c>
      <c r="D2754">
        <v>0</v>
      </c>
      <c r="E2754">
        <f t="shared" si="42"/>
        <v>1.3649914478299206E-3</v>
      </c>
    </row>
    <row r="2755" spans="1:5" x14ac:dyDescent="0.25">
      <c r="A2755">
        <v>2</v>
      </c>
      <c r="B2755">
        <v>40</v>
      </c>
      <c r="C2755">
        <v>0</v>
      </c>
      <c r="D2755">
        <v>6</v>
      </c>
      <c r="E2755">
        <f t="shared" si="42"/>
        <v>2.1702030961418731E-6</v>
      </c>
    </row>
    <row r="2756" spans="1:5" x14ac:dyDescent="0.25">
      <c r="A2756">
        <v>2</v>
      </c>
      <c r="B2756">
        <v>40</v>
      </c>
      <c r="C2756">
        <v>1</v>
      </c>
      <c r="D2756">
        <v>5</v>
      </c>
      <c r="E2756">
        <f t="shared" si="42"/>
        <v>4.2318960374766526E-5</v>
      </c>
    </row>
    <row r="2757" spans="1:5" x14ac:dyDescent="0.25">
      <c r="A2757">
        <v>2</v>
      </c>
      <c r="B2757">
        <v>40</v>
      </c>
      <c r="C2757">
        <v>2</v>
      </c>
      <c r="D2757">
        <v>4</v>
      </c>
      <c r="E2757">
        <f t="shared" si="42"/>
        <v>3.2243017428393555E-4</v>
      </c>
    </row>
    <row r="2758" spans="1:5" x14ac:dyDescent="0.25">
      <c r="A2758">
        <v>2</v>
      </c>
      <c r="B2758">
        <v>40</v>
      </c>
      <c r="C2758">
        <v>3</v>
      </c>
      <c r="D2758">
        <v>3</v>
      </c>
      <c r="E2758">
        <f t="shared" si="42"/>
        <v>1.2310970290841173E-3</v>
      </c>
    </row>
    <row r="2759" spans="1:5" x14ac:dyDescent="0.25">
      <c r="A2759">
        <v>2</v>
      </c>
      <c r="B2759">
        <v>40</v>
      </c>
      <c r="C2759">
        <v>4</v>
      </c>
      <c r="D2759">
        <v>2</v>
      </c>
      <c r="E2759">
        <f t="shared" si="42"/>
        <v>2.4889570370613674E-3</v>
      </c>
    </row>
    <row r="2760" spans="1:5" x14ac:dyDescent="0.25">
      <c r="A2760">
        <v>2</v>
      </c>
      <c r="B2760">
        <v>40</v>
      </c>
      <c r="C2760">
        <v>5</v>
      </c>
      <c r="D2760">
        <v>1</v>
      </c>
      <c r="E2760">
        <f t="shared" si="42"/>
        <v>2.5304396543457241E-3</v>
      </c>
    </row>
    <row r="2761" spans="1:5" x14ac:dyDescent="0.25">
      <c r="A2761">
        <v>2</v>
      </c>
      <c r="B2761">
        <v>40</v>
      </c>
      <c r="C2761">
        <v>6</v>
      </c>
      <c r="D2761">
        <v>0</v>
      </c>
      <c r="E2761">
        <f t="shared" si="42"/>
        <v>1.0121758617382896E-3</v>
      </c>
    </row>
    <row r="2762" spans="1:5" x14ac:dyDescent="0.25">
      <c r="A2762">
        <v>2</v>
      </c>
      <c r="B2762">
        <v>41</v>
      </c>
      <c r="C2762">
        <v>0</v>
      </c>
      <c r="D2762">
        <v>5</v>
      </c>
      <c r="E2762">
        <f t="shared" si="42"/>
        <v>3.954004177604823E-6</v>
      </c>
    </row>
    <row r="2763" spans="1:5" x14ac:dyDescent="0.25">
      <c r="A2763">
        <v>2</v>
      </c>
      <c r="B2763">
        <v>41</v>
      </c>
      <c r="C2763">
        <v>1</v>
      </c>
      <c r="D2763">
        <v>4</v>
      </c>
      <c r="E2763">
        <f t="shared" si="42"/>
        <v>6.1192921796265139E-5</v>
      </c>
    </row>
    <row r="2764" spans="1:5" x14ac:dyDescent="0.25">
      <c r="A2764">
        <v>2</v>
      </c>
      <c r="B2764">
        <v>41</v>
      </c>
      <c r="C2764">
        <v>2</v>
      </c>
      <c r="D2764">
        <v>3</v>
      </c>
      <c r="E2764">
        <f t="shared" si="42"/>
        <v>3.5603154499645165E-4</v>
      </c>
    </row>
    <row r="2765" spans="1:5" x14ac:dyDescent="0.25">
      <c r="A2765">
        <v>2</v>
      </c>
      <c r="B2765">
        <v>41</v>
      </c>
      <c r="C2765">
        <v>3</v>
      </c>
      <c r="D2765">
        <v>2</v>
      </c>
      <c r="E2765">
        <f t="shared" si="42"/>
        <v>9.7521684064245441E-4</v>
      </c>
    </row>
    <row r="2766" spans="1:5" x14ac:dyDescent="0.25">
      <c r="A2766">
        <v>2</v>
      </c>
      <c r="B2766">
        <v>41</v>
      </c>
      <c r="C2766">
        <v>4</v>
      </c>
      <c r="D2766">
        <v>1</v>
      </c>
      <c r="E2766">
        <f t="shared" ref="E2766:E2829" si="43">COMBIN(A$4,A2766)*COMBIN(B$4,B2766)*COMBIN(C$4,C2766)*COMBIN(D$4,D2766)/COMBIN($G$4,$F$4)</f>
        <v>1.2596550858298371E-3</v>
      </c>
    </row>
    <row r="2767" spans="1:5" x14ac:dyDescent="0.25">
      <c r="A2767">
        <v>2</v>
      </c>
      <c r="B2767">
        <v>41</v>
      </c>
      <c r="C2767">
        <v>5</v>
      </c>
      <c r="D2767">
        <v>0</v>
      </c>
      <c r="E2767">
        <f t="shared" si="43"/>
        <v>6.147116818849606E-4</v>
      </c>
    </row>
    <row r="2768" spans="1:5" x14ac:dyDescent="0.25">
      <c r="A2768">
        <v>2</v>
      </c>
      <c r="B2768">
        <v>42</v>
      </c>
      <c r="C2768">
        <v>0</v>
      </c>
      <c r="D2768">
        <v>4</v>
      </c>
      <c r="E2768">
        <f t="shared" si="43"/>
        <v>5.5589174379024737E-6</v>
      </c>
    </row>
    <row r="2769" spans="1:5" x14ac:dyDescent="0.25">
      <c r="A2769">
        <v>2</v>
      </c>
      <c r="B2769">
        <v>42</v>
      </c>
      <c r="C2769">
        <v>1</v>
      </c>
      <c r="D2769">
        <v>3</v>
      </c>
      <c r="E2769">
        <f t="shared" si="43"/>
        <v>6.5696296993392867E-5</v>
      </c>
    </row>
    <row r="2770" spans="1:5" x14ac:dyDescent="0.25">
      <c r="A2770">
        <v>2</v>
      </c>
      <c r="B2770">
        <v>42</v>
      </c>
      <c r="C2770">
        <v>2</v>
      </c>
      <c r="D2770">
        <v>2</v>
      </c>
      <c r="E2770">
        <f t="shared" si="43"/>
        <v>2.7421063092894412E-4</v>
      </c>
    </row>
    <row r="2771" spans="1:5" x14ac:dyDescent="0.25">
      <c r="A2771">
        <v>2</v>
      </c>
      <c r="B2771">
        <v>42</v>
      </c>
      <c r="C2771">
        <v>3</v>
      </c>
      <c r="D2771">
        <v>1</v>
      </c>
      <c r="E2771">
        <f t="shared" si="43"/>
        <v>4.7986860412565222E-4</v>
      </c>
    </row>
    <row r="2772" spans="1:5" x14ac:dyDescent="0.25">
      <c r="A2772">
        <v>2</v>
      </c>
      <c r="B2772">
        <v>42</v>
      </c>
      <c r="C2772">
        <v>4</v>
      </c>
      <c r="D2772">
        <v>0</v>
      </c>
      <c r="E2772">
        <f t="shared" si="43"/>
        <v>2.9751853455790438E-4</v>
      </c>
    </row>
    <row r="2773" spans="1:5" x14ac:dyDescent="0.25">
      <c r="A2773">
        <v>2</v>
      </c>
      <c r="B2773">
        <v>43</v>
      </c>
      <c r="C2773">
        <v>0</v>
      </c>
      <c r="D2773">
        <v>3</v>
      </c>
      <c r="E2773">
        <f t="shared" si="43"/>
        <v>5.8057192691835576E-6</v>
      </c>
    </row>
    <row r="2774" spans="1:5" x14ac:dyDescent="0.25">
      <c r="A2774">
        <v>2</v>
      </c>
      <c r="B2774">
        <v>43</v>
      </c>
      <c r="C2774">
        <v>1</v>
      </c>
      <c r="D2774">
        <v>2</v>
      </c>
      <c r="E2774">
        <f t="shared" si="43"/>
        <v>4.9222402499599735E-5</v>
      </c>
    </row>
    <row r="2775" spans="1:5" x14ac:dyDescent="0.25">
      <c r="A2775">
        <v>2</v>
      </c>
      <c r="B2775">
        <v>43</v>
      </c>
      <c r="C2775">
        <v>2</v>
      </c>
      <c r="D2775">
        <v>1</v>
      </c>
      <c r="E2775">
        <f t="shared" si="43"/>
        <v>1.3125973999893263E-4</v>
      </c>
    </row>
    <row r="2776" spans="1:5" x14ac:dyDescent="0.25">
      <c r="A2776">
        <v>2</v>
      </c>
      <c r="B2776">
        <v>43</v>
      </c>
      <c r="C2776">
        <v>3</v>
      </c>
      <c r="D2776">
        <v>0</v>
      </c>
      <c r="E2776">
        <f t="shared" si="43"/>
        <v>1.102581815991034E-4</v>
      </c>
    </row>
    <row r="2777" spans="1:5" x14ac:dyDescent="0.25">
      <c r="A2777">
        <v>2</v>
      </c>
      <c r="B2777">
        <v>44</v>
      </c>
      <c r="C2777">
        <v>0</v>
      </c>
      <c r="D2777">
        <v>2</v>
      </c>
      <c r="E2777">
        <f t="shared" si="43"/>
        <v>4.2338150401753608E-6</v>
      </c>
    </row>
    <row r="2778" spans="1:5" x14ac:dyDescent="0.25">
      <c r="A2778">
        <v>2</v>
      </c>
      <c r="B2778">
        <v>44</v>
      </c>
      <c r="C2778">
        <v>1</v>
      </c>
      <c r="D2778">
        <v>1</v>
      </c>
      <c r="E2778">
        <f t="shared" si="43"/>
        <v>2.293316480094987E-5</v>
      </c>
    </row>
    <row r="2779" spans="1:5" x14ac:dyDescent="0.25">
      <c r="A2779">
        <v>2</v>
      </c>
      <c r="B2779">
        <v>44</v>
      </c>
      <c r="C2779">
        <v>2</v>
      </c>
      <c r="D2779">
        <v>0</v>
      </c>
      <c r="E2779">
        <f t="shared" si="43"/>
        <v>2.9354450945215831E-5</v>
      </c>
    </row>
    <row r="2780" spans="1:5" x14ac:dyDescent="0.25">
      <c r="A2780">
        <v>2</v>
      </c>
      <c r="B2780">
        <v>45</v>
      </c>
      <c r="C2780">
        <v>0</v>
      </c>
      <c r="D2780">
        <v>1</v>
      </c>
      <c r="E2780">
        <f t="shared" si="43"/>
        <v>1.9208975645240065E-6</v>
      </c>
    </row>
    <row r="2781" spans="1:5" x14ac:dyDescent="0.25">
      <c r="A2781">
        <v>2</v>
      </c>
      <c r="B2781">
        <v>45</v>
      </c>
      <c r="C2781">
        <v>1</v>
      </c>
      <c r="D2781">
        <v>0</v>
      </c>
      <c r="E2781">
        <f t="shared" si="43"/>
        <v>4.9943336677624161E-6</v>
      </c>
    </row>
    <row r="2782" spans="1:5" x14ac:dyDescent="0.25">
      <c r="A2782">
        <v>2</v>
      </c>
      <c r="B2782">
        <v>46</v>
      </c>
      <c r="C2782">
        <v>0</v>
      </c>
      <c r="D2782">
        <v>0</v>
      </c>
      <c r="E2782">
        <f t="shared" si="43"/>
        <v>4.0756435282074569E-7</v>
      </c>
    </row>
    <row r="2783" spans="1:5" x14ac:dyDescent="0.25">
      <c r="A2783">
        <v>3</v>
      </c>
      <c r="B2783">
        <v>0</v>
      </c>
      <c r="C2783">
        <v>20</v>
      </c>
      <c r="D2783">
        <v>25</v>
      </c>
      <c r="E2783">
        <f t="shared" si="43"/>
        <v>1.1157426215428449E-43</v>
      </c>
    </row>
    <row r="2784" spans="1:5" x14ac:dyDescent="0.25">
      <c r="A2784">
        <v>3</v>
      </c>
      <c r="B2784">
        <v>0</v>
      </c>
      <c r="C2784">
        <v>21</v>
      </c>
      <c r="D2784">
        <v>24</v>
      </c>
      <c r="E2784">
        <f t="shared" si="43"/>
        <v>5.9771926154080902E-42</v>
      </c>
    </row>
    <row r="2785" spans="1:5" x14ac:dyDescent="0.25">
      <c r="A2785">
        <v>3</v>
      </c>
      <c r="B2785">
        <v>0</v>
      </c>
      <c r="C2785">
        <v>22</v>
      </c>
      <c r="D2785">
        <v>23</v>
      </c>
      <c r="E2785">
        <f t="shared" si="43"/>
        <v>1.4345262276979425E-40</v>
      </c>
    </row>
    <row r="2786" spans="1:5" x14ac:dyDescent="0.25">
      <c r="A2786">
        <v>3</v>
      </c>
      <c r="B2786">
        <v>0</v>
      </c>
      <c r="C2786">
        <v>23</v>
      </c>
      <c r="D2786">
        <v>22</v>
      </c>
      <c r="E2786">
        <f t="shared" si="43"/>
        <v>2.0561542597003838E-39</v>
      </c>
    </row>
    <row r="2787" spans="1:5" x14ac:dyDescent="0.25">
      <c r="A2787">
        <v>3</v>
      </c>
      <c r="B2787">
        <v>0</v>
      </c>
      <c r="C2787">
        <v>24</v>
      </c>
      <c r="D2787">
        <v>21</v>
      </c>
      <c r="E2787">
        <f t="shared" si="43"/>
        <v>1.9790484749616195E-38</v>
      </c>
    </row>
    <row r="2788" spans="1:5" x14ac:dyDescent="0.25">
      <c r="A2788">
        <v>3</v>
      </c>
      <c r="B2788">
        <v>0</v>
      </c>
      <c r="C2788">
        <v>25</v>
      </c>
      <c r="D2788">
        <v>20</v>
      </c>
      <c r="E2788">
        <f t="shared" si="43"/>
        <v>1.3631685895535638E-37</v>
      </c>
    </row>
    <row r="2789" spans="1:5" x14ac:dyDescent="0.25">
      <c r="A2789">
        <v>3</v>
      </c>
      <c r="B2789">
        <v>0</v>
      </c>
      <c r="C2789">
        <v>26</v>
      </c>
      <c r="D2789">
        <v>19</v>
      </c>
      <c r="E2789">
        <f t="shared" si="43"/>
        <v>6.9906081515567314E-37</v>
      </c>
    </row>
    <row r="2790" spans="1:5" x14ac:dyDescent="0.25">
      <c r="A2790">
        <v>3</v>
      </c>
      <c r="B2790">
        <v>0</v>
      </c>
      <c r="C2790">
        <v>27</v>
      </c>
      <c r="D2790">
        <v>18</v>
      </c>
      <c r="E2790">
        <f t="shared" si="43"/>
        <v>2.7407622435468472E-36</v>
      </c>
    </row>
    <row r="2791" spans="1:5" x14ac:dyDescent="0.25">
      <c r="A2791">
        <v>3</v>
      </c>
      <c r="B2791">
        <v>0</v>
      </c>
      <c r="C2791">
        <v>28</v>
      </c>
      <c r="D2791">
        <v>17</v>
      </c>
      <c r="E2791">
        <f t="shared" si="43"/>
        <v>8.3691132794019792E-36</v>
      </c>
    </row>
    <row r="2792" spans="1:5" x14ac:dyDescent="0.25">
      <c r="A2792">
        <v>3</v>
      </c>
      <c r="B2792">
        <v>0</v>
      </c>
      <c r="C2792">
        <v>29</v>
      </c>
      <c r="D2792">
        <v>16</v>
      </c>
      <c r="E2792">
        <f t="shared" si="43"/>
        <v>2.0169242347677569E-35</v>
      </c>
    </row>
    <row r="2793" spans="1:5" x14ac:dyDescent="0.25">
      <c r="A2793">
        <v>3</v>
      </c>
      <c r="B2793">
        <v>0</v>
      </c>
      <c r="C2793">
        <v>30</v>
      </c>
      <c r="D2793">
        <v>15</v>
      </c>
      <c r="E2793">
        <f t="shared" si="43"/>
        <v>3.8724945307540919E-35</v>
      </c>
    </row>
    <row r="2794" spans="1:5" x14ac:dyDescent="0.25">
      <c r="A2794">
        <v>3</v>
      </c>
      <c r="B2794">
        <v>0</v>
      </c>
      <c r="C2794">
        <v>31</v>
      </c>
      <c r="D2794">
        <v>14</v>
      </c>
      <c r="E2794">
        <f t="shared" si="43"/>
        <v>5.962051696908793E-35</v>
      </c>
    </row>
    <row r="2795" spans="1:5" x14ac:dyDescent="0.25">
      <c r="A2795">
        <v>3</v>
      </c>
      <c r="B2795">
        <v>0</v>
      </c>
      <c r="C2795">
        <v>32</v>
      </c>
      <c r="D2795">
        <v>13</v>
      </c>
      <c r="E2795">
        <f t="shared" si="43"/>
        <v>7.3904599159598587E-35</v>
      </c>
    </row>
    <row r="2796" spans="1:5" x14ac:dyDescent="0.25">
      <c r="A2796">
        <v>3</v>
      </c>
      <c r="B2796">
        <v>0</v>
      </c>
      <c r="C2796">
        <v>33</v>
      </c>
      <c r="D2796">
        <v>12</v>
      </c>
      <c r="E2796">
        <f t="shared" si="43"/>
        <v>7.3904599159598587E-35</v>
      </c>
    </row>
    <row r="2797" spans="1:5" x14ac:dyDescent="0.25">
      <c r="A2797">
        <v>3</v>
      </c>
      <c r="B2797">
        <v>0</v>
      </c>
      <c r="C2797">
        <v>34</v>
      </c>
      <c r="D2797">
        <v>11</v>
      </c>
      <c r="E2797">
        <f t="shared" si="43"/>
        <v>5.962051696908793E-35</v>
      </c>
    </row>
    <row r="2798" spans="1:5" x14ac:dyDescent="0.25">
      <c r="A2798">
        <v>3</v>
      </c>
      <c r="B2798">
        <v>0</v>
      </c>
      <c r="C2798">
        <v>35</v>
      </c>
      <c r="D2798">
        <v>10</v>
      </c>
      <c r="E2798">
        <f t="shared" si="43"/>
        <v>3.8724945307540919E-35</v>
      </c>
    </row>
    <row r="2799" spans="1:5" x14ac:dyDescent="0.25">
      <c r="A2799">
        <v>3</v>
      </c>
      <c r="B2799">
        <v>0</v>
      </c>
      <c r="C2799">
        <v>36</v>
      </c>
      <c r="D2799">
        <v>9</v>
      </c>
      <c r="E2799">
        <f t="shared" si="43"/>
        <v>2.0169242347677569E-35</v>
      </c>
    </row>
    <row r="2800" spans="1:5" x14ac:dyDescent="0.25">
      <c r="A2800">
        <v>3</v>
      </c>
      <c r="B2800">
        <v>0</v>
      </c>
      <c r="C2800">
        <v>37</v>
      </c>
      <c r="D2800">
        <v>8</v>
      </c>
      <c r="E2800">
        <f t="shared" si="43"/>
        <v>8.3691132794019792E-36</v>
      </c>
    </row>
    <row r="2801" spans="1:5" x14ac:dyDescent="0.25">
      <c r="A2801">
        <v>3</v>
      </c>
      <c r="B2801">
        <v>0</v>
      </c>
      <c r="C2801">
        <v>38</v>
      </c>
      <c r="D2801">
        <v>7</v>
      </c>
      <c r="E2801">
        <f t="shared" si="43"/>
        <v>2.7407622435468472E-36</v>
      </c>
    </row>
    <row r="2802" spans="1:5" x14ac:dyDescent="0.25">
      <c r="A2802">
        <v>3</v>
      </c>
      <c r="B2802">
        <v>0</v>
      </c>
      <c r="C2802">
        <v>39</v>
      </c>
      <c r="D2802">
        <v>6</v>
      </c>
      <c r="E2802">
        <f t="shared" si="43"/>
        <v>6.9906081515567314E-37</v>
      </c>
    </row>
    <row r="2803" spans="1:5" x14ac:dyDescent="0.25">
      <c r="A2803">
        <v>3</v>
      </c>
      <c r="B2803">
        <v>0</v>
      </c>
      <c r="C2803">
        <v>40</v>
      </c>
      <c r="D2803">
        <v>5</v>
      </c>
      <c r="E2803">
        <f t="shared" si="43"/>
        <v>1.3631685895535638E-37</v>
      </c>
    </row>
    <row r="2804" spans="1:5" x14ac:dyDescent="0.25">
      <c r="A2804">
        <v>3</v>
      </c>
      <c r="B2804">
        <v>0</v>
      </c>
      <c r="C2804">
        <v>41</v>
      </c>
      <c r="D2804">
        <v>4</v>
      </c>
      <c r="E2804">
        <f t="shared" si="43"/>
        <v>1.9790484749616195E-38</v>
      </c>
    </row>
    <row r="2805" spans="1:5" x14ac:dyDescent="0.25">
      <c r="A2805">
        <v>3</v>
      </c>
      <c r="B2805">
        <v>0</v>
      </c>
      <c r="C2805">
        <v>42</v>
      </c>
      <c r="D2805">
        <v>3</v>
      </c>
      <c r="E2805">
        <f t="shared" si="43"/>
        <v>2.0561542597003838E-39</v>
      </c>
    </row>
    <row r="2806" spans="1:5" x14ac:dyDescent="0.25">
      <c r="A2806">
        <v>3</v>
      </c>
      <c r="B2806">
        <v>0</v>
      </c>
      <c r="C2806">
        <v>43</v>
      </c>
      <c r="D2806">
        <v>2</v>
      </c>
      <c r="E2806">
        <f t="shared" si="43"/>
        <v>1.4345262276979425E-40</v>
      </c>
    </row>
    <row r="2807" spans="1:5" x14ac:dyDescent="0.25">
      <c r="A2807">
        <v>3</v>
      </c>
      <c r="B2807">
        <v>0</v>
      </c>
      <c r="C2807">
        <v>44</v>
      </c>
      <c r="D2807">
        <v>1</v>
      </c>
      <c r="E2807">
        <f t="shared" si="43"/>
        <v>5.9771926154080902E-42</v>
      </c>
    </row>
    <row r="2808" spans="1:5" x14ac:dyDescent="0.25">
      <c r="A2808">
        <v>3</v>
      </c>
      <c r="B2808">
        <v>0</v>
      </c>
      <c r="C2808">
        <v>45</v>
      </c>
      <c r="D2808">
        <v>0</v>
      </c>
      <c r="E2808">
        <f t="shared" si="43"/>
        <v>1.1157426215428449E-43</v>
      </c>
    </row>
    <row r="2809" spans="1:5" x14ac:dyDescent="0.25">
      <c r="A2809">
        <v>3</v>
      </c>
      <c r="B2809">
        <v>1</v>
      </c>
      <c r="C2809">
        <v>19</v>
      </c>
      <c r="D2809">
        <v>25</v>
      </c>
      <c r="E2809">
        <f t="shared" si="43"/>
        <v>1.4019548592429647E-41</v>
      </c>
    </row>
    <row r="2810" spans="1:5" x14ac:dyDescent="0.25">
      <c r="A2810">
        <v>3</v>
      </c>
      <c r="B2810">
        <v>1</v>
      </c>
      <c r="C2810">
        <v>20</v>
      </c>
      <c r="D2810">
        <v>24</v>
      </c>
      <c r="E2810">
        <f t="shared" si="43"/>
        <v>8.0612404406470535E-40</v>
      </c>
    </row>
    <row r="2811" spans="1:5" x14ac:dyDescent="0.25">
      <c r="A2811">
        <v>3</v>
      </c>
      <c r="B2811">
        <v>1</v>
      </c>
      <c r="C2811">
        <v>21</v>
      </c>
      <c r="D2811">
        <v>23</v>
      </c>
      <c r="E2811">
        <f t="shared" si="43"/>
        <v>2.0728903990235253E-38</v>
      </c>
    </row>
    <row r="2812" spans="1:5" x14ac:dyDescent="0.25">
      <c r="A2812">
        <v>3</v>
      </c>
      <c r="B2812">
        <v>1</v>
      </c>
      <c r="C2812">
        <v>22</v>
      </c>
      <c r="D2812">
        <v>22</v>
      </c>
      <c r="E2812">
        <f t="shared" si="43"/>
        <v>3.1784319451694076E-37</v>
      </c>
    </row>
    <row r="2813" spans="1:5" x14ac:dyDescent="0.25">
      <c r="A2813">
        <v>3</v>
      </c>
      <c r="B2813">
        <v>1</v>
      </c>
      <c r="C2813">
        <v>23</v>
      </c>
      <c r="D2813">
        <v>21</v>
      </c>
      <c r="E2813">
        <f t="shared" si="43"/>
        <v>3.2682571957937602E-36</v>
      </c>
    </row>
    <row r="2814" spans="1:5" x14ac:dyDescent="0.25">
      <c r="A2814">
        <v>3</v>
      </c>
      <c r="B2814">
        <v>1</v>
      </c>
      <c r="C2814">
        <v>24</v>
      </c>
      <c r="D2814">
        <v>20</v>
      </c>
      <c r="E2814">
        <f t="shared" si="43"/>
        <v>2.4021690389084132E-35</v>
      </c>
    </row>
    <row r="2815" spans="1:5" x14ac:dyDescent="0.25">
      <c r="A2815">
        <v>3</v>
      </c>
      <c r="B2815">
        <v>1</v>
      </c>
      <c r="C2815">
        <v>25</v>
      </c>
      <c r="D2815">
        <v>19</v>
      </c>
      <c r="E2815">
        <f t="shared" si="43"/>
        <v>1.313185741269933E-34</v>
      </c>
    </row>
    <row r="2816" spans="1:5" x14ac:dyDescent="0.25">
      <c r="A2816">
        <v>3</v>
      </c>
      <c r="B2816">
        <v>1</v>
      </c>
      <c r="C2816">
        <v>26</v>
      </c>
      <c r="D2816">
        <v>18</v>
      </c>
      <c r="E2816">
        <f t="shared" si="43"/>
        <v>5.483632765742576E-34</v>
      </c>
    </row>
    <row r="2817" spans="1:5" x14ac:dyDescent="0.25">
      <c r="A2817">
        <v>3</v>
      </c>
      <c r="B2817">
        <v>1</v>
      </c>
      <c r="C2817">
        <v>27</v>
      </c>
      <c r="D2817">
        <v>17</v>
      </c>
      <c r="E2817">
        <f t="shared" si="43"/>
        <v>1.782180648866337E-33</v>
      </c>
    </row>
    <row r="2818" spans="1:5" x14ac:dyDescent="0.25">
      <c r="A2818">
        <v>3</v>
      </c>
      <c r="B2818">
        <v>1</v>
      </c>
      <c r="C2818">
        <v>28</v>
      </c>
      <c r="D2818">
        <v>16</v>
      </c>
      <c r="E2818">
        <f t="shared" si="43"/>
        <v>4.5686059490779906E-33</v>
      </c>
    </row>
    <row r="2819" spans="1:5" x14ac:dyDescent="0.25">
      <c r="A2819">
        <v>3</v>
      </c>
      <c r="B2819">
        <v>1</v>
      </c>
      <c r="C2819">
        <v>29</v>
      </c>
      <c r="D2819">
        <v>15</v>
      </c>
      <c r="E2819">
        <f t="shared" si="43"/>
        <v>9.3262576615661048E-33</v>
      </c>
    </row>
    <row r="2820" spans="1:5" x14ac:dyDescent="0.25">
      <c r="A2820">
        <v>3</v>
      </c>
      <c r="B2820">
        <v>1</v>
      </c>
      <c r="C2820">
        <v>30</v>
      </c>
      <c r="D2820">
        <v>14</v>
      </c>
      <c r="E2820">
        <f t="shared" si="43"/>
        <v>1.5261148900744538E-32</v>
      </c>
    </row>
    <row r="2821" spans="1:5" x14ac:dyDescent="0.25">
      <c r="A2821">
        <v>3</v>
      </c>
      <c r="B2821">
        <v>1</v>
      </c>
      <c r="C2821">
        <v>31</v>
      </c>
      <c r="D2821">
        <v>13</v>
      </c>
      <c r="E2821">
        <f t="shared" si="43"/>
        <v>2.0102050971410819E-32</v>
      </c>
    </row>
    <row r="2822" spans="1:5" x14ac:dyDescent="0.25">
      <c r="A2822">
        <v>3</v>
      </c>
      <c r="B2822">
        <v>1</v>
      </c>
      <c r="C2822">
        <v>32</v>
      </c>
      <c r="D2822">
        <v>12</v>
      </c>
      <c r="E2822">
        <f t="shared" si="43"/>
        <v>2.135842915712399E-32</v>
      </c>
    </row>
    <row r="2823" spans="1:5" x14ac:dyDescent="0.25">
      <c r="A2823">
        <v>3</v>
      </c>
      <c r="B2823">
        <v>1</v>
      </c>
      <c r="C2823">
        <v>33</v>
      </c>
      <c r="D2823">
        <v>11</v>
      </c>
      <c r="E2823">
        <f t="shared" si="43"/>
        <v>1.8307224991820561E-32</v>
      </c>
    </row>
    <row r="2824" spans="1:5" x14ac:dyDescent="0.25">
      <c r="A2824">
        <v>3</v>
      </c>
      <c r="B2824">
        <v>1</v>
      </c>
      <c r="C2824">
        <v>34</v>
      </c>
      <c r="D2824">
        <v>10</v>
      </c>
      <c r="E2824">
        <f t="shared" si="43"/>
        <v>1.2635574896315368E-32</v>
      </c>
    </row>
    <row r="2825" spans="1:5" x14ac:dyDescent="0.25">
      <c r="A2825">
        <v>3</v>
      </c>
      <c r="B2825">
        <v>1</v>
      </c>
      <c r="C2825">
        <v>35</v>
      </c>
      <c r="D2825">
        <v>9</v>
      </c>
      <c r="E2825">
        <f t="shared" si="43"/>
        <v>6.9946932461745793E-33</v>
      </c>
    </row>
    <row r="2826" spans="1:5" x14ac:dyDescent="0.25">
      <c r="A2826">
        <v>3</v>
      </c>
      <c r="B2826">
        <v>1</v>
      </c>
      <c r="C2826">
        <v>36</v>
      </c>
      <c r="D2826">
        <v>8</v>
      </c>
      <c r="E2826">
        <f t="shared" si="43"/>
        <v>3.0858940791946678E-33</v>
      </c>
    </row>
    <row r="2827" spans="1:5" x14ac:dyDescent="0.25">
      <c r="A2827">
        <v>3</v>
      </c>
      <c r="B2827">
        <v>1</v>
      </c>
      <c r="C2827">
        <v>37</v>
      </c>
      <c r="D2827">
        <v>7</v>
      </c>
      <c r="E2827">
        <f t="shared" si="43"/>
        <v>1.0749661056654099E-33</v>
      </c>
    </row>
    <row r="2828" spans="1:5" x14ac:dyDescent="0.25">
      <c r="A2828">
        <v>3</v>
      </c>
      <c r="B2828">
        <v>1</v>
      </c>
      <c r="C2828">
        <v>38</v>
      </c>
      <c r="D2828">
        <v>6</v>
      </c>
      <c r="E2828">
        <f t="shared" si="43"/>
        <v>2.9181905361554051E-34</v>
      </c>
    </row>
    <row r="2829" spans="1:5" x14ac:dyDescent="0.25">
      <c r="A2829">
        <v>3</v>
      </c>
      <c r="B2829">
        <v>1</v>
      </c>
      <c r="C2829">
        <v>39</v>
      </c>
      <c r="D2829">
        <v>5</v>
      </c>
      <c r="E2829">
        <f t="shared" si="43"/>
        <v>6.0608572673996864E-35</v>
      </c>
    </row>
    <row r="2830" spans="1:5" x14ac:dyDescent="0.25">
      <c r="A2830">
        <v>3</v>
      </c>
      <c r="B2830">
        <v>1</v>
      </c>
      <c r="C2830">
        <v>40</v>
      </c>
      <c r="D2830">
        <v>4</v>
      </c>
      <c r="E2830">
        <f t="shared" ref="E2830:E2893" si="44">COMBIN(A$4,A2830)*COMBIN(B$4,B2830)*COMBIN(C$4,C2830)*COMBIN(D$4,D2830)/COMBIN($G$4,$F$4)</f>
        <v>9.3798981519280952E-36</v>
      </c>
    </row>
    <row r="2831" spans="1:5" x14ac:dyDescent="0.25">
      <c r="A2831">
        <v>3</v>
      </c>
      <c r="B2831">
        <v>1</v>
      </c>
      <c r="C2831">
        <v>41</v>
      </c>
      <c r="D2831">
        <v>3</v>
      </c>
      <c r="E2831">
        <f t="shared" si="44"/>
        <v>1.0399000168434691E-36</v>
      </c>
    </row>
    <row r="2832" spans="1:5" x14ac:dyDescent="0.25">
      <c r="A2832">
        <v>3</v>
      </c>
      <c r="B2832">
        <v>1</v>
      </c>
      <c r="C2832">
        <v>42</v>
      </c>
      <c r="D2832">
        <v>2</v>
      </c>
      <c r="E2832">
        <f t="shared" si="44"/>
        <v>7.7508075789575331E-38</v>
      </c>
    </row>
    <row r="2833" spans="1:5" x14ac:dyDescent="0.25">
      <c r="A2833">
        <v>3</v>
      </c>
      <c r="B2833">
        <v>1</v>
      </c>
      <c r="C2833">
        <v>43</v>
      </c>
      <c r="D2833">
        <v>1</v>
      </c>
      <c r="E2833">
        <f t="shared" si="44"/>
        <v>3.4548173317058784E-39</v>
      </c>
    </row>
    <row r="2834" spans="1:5" x14ac:dyDescent="0.25">
      <c r="A2834">
        <v>3</v>
      </c>
      <c r="B2834">
        <v>1</v>
      </c>
      <c r="C2834">
        <v>44</v>
      </c>
      <c r="D2834">
        <v>0</v>
      </c>
      <c r="E2834">
        <f t="shared" si="44"/>
        <v>6.9096346634117514E-41</v>
      </c>
    </row>
    <row r="2835" spans="1:5" x14ac:dyDescent="0.25">
      <c r="A2835">
        <v>3</v>
      </c>
      <c r="B2835">
        <v>2</v>
      </c>
      <c r="C2835">
        <v>18</v>
      </c>
      <c r="D2835">
        <v>25</v>
      </c>
      <c r="E2835">
        <f t="shared" si="44"/>
        <v>8.1611670104015956E-40</v>
      </c>
    </row>
    <row r="2836" spans="1:5" x14ac:dyDescent="0.25">
      <c r="A2836">
        <v>3</v>
      </c>
      <c r="B2836">
        <v>2</v>
      </c>
      <c r="C2836">
        <v>19</v>
      </c>
      <c r="D2836">
        <v>24</v>
      </c>
      <c r="E2836">
        <f t="shared" si="44"/>
        <v>5.0470374932746733E-38</v>
      </c>
    </row>
    <row r="2837" spans="1:5" x14ac:dyDescent="0.25">
      <c r="A2837">
        <v>3</v>
      </c>
      <c r="B2837">
        <v>2</v>
      </c>
      <c r="C2837">
        <v>20</v>
      </c>
      <c r="D2837">
        <v>23</v>
      </c>
      <c r="E2837">
        <f t="shared" si="44"/>
        <v>1.3929823481438108E-36</v>
      </c>
    </row>
    <row r="2838" spans="1:5" x14ac:dyDescent="0.25">
      <c r="A2838">
        <v>3</v>
      </c>
      <c r="B2838">
        <v>2</v>
      </c>
      <c r="C2838">
        <v>21</v>
      </c>
      <c r="D2838">
        <v>22</v>
      </c>
      <c r="E2838">
        <f t="shared" si="44"/>
        <v>2.2884710005219722E-35</v>
      </c>
    </row>
    <row r="2839" spans="1:5" x14ac:dyDescent="0.25">
      <c r="A2839">
        <v>3</v>
      </c>
      <c r="B2839">
        <v>2</v>
      </c>
      <c r="C2839">
        <v>22</v>
      </c>
      <c r="D2839">
        <v>21</v>
      </c>
      <c r="E2839">
        <f t="shared" si="44"/>
        <v>2.5173181005741714E-34</v>
      </c>
    </row>
    <row r="2840" spans="1:5" x14ac:dyDescent="0.25">
      <c r="A2840">
        <v>3</v>
      </c>
      <c r="B2840">
        <v>2</v>
      </c>
      <c r="C2840">
        <v>23</v>
      </c>
      <c r="D2840">
        <v>20</v>
      </c>
      <c r="E2840">
        <f t="shared" si="44"/>
        <v>1.976641952016066E-33</v>
      </c>
    </row>
    <row r="2841" spans="1:5" x14ac:dyDescent="0.25">
      <c r="A2841">
        <v>3</v>
      </c>
      <c r="B2841">
        <v>2</v>
      </c>
      <c r="C2841">
        <v>24</v>
      </c>
      <c r="D2841">
        <v>19</v>
      </c>
      <c r="E2841">
        <f t="shared" si="44"/>
        <v>1.1530411386760383E-32</v>
      </c>
    </row>
    <row r="2842" spans="1:5" x14ac:dyDescent="0.25">
      <c r="A2842">
        <v>3</v>
      </c>
      <c r="B2842">
        <v>2</v>
      </c>
      <c r="C2842">
        <v>25</v>
      </c>
      <c r="D2842">
        <v>18</v>
      </c>
      <c r="E2842">
        <f t="shared" si="44"/>
        <v>5.1326802687350544E-32</v>
      </c>
    </row>
    <row r="2843" spans="1:5" x14ac:dyDescent="0.25">
      <c r="A2843">
        <v>3</v>
      </c>
      <c r="B2843">
        <v>2</v>
      </c>
      <c r="C2843">
        <v>26</v>
      </c>
      <c r="D2843">
        <v>17</v>
      </c>
      <c r="E2843">
        <f t="shared" si="44"/>
        <v>1.7766970161005941E-31</v>
      </c>
    </row>
    <row r="2844" spans="1:5" x14ac:dyDescent="0.25">
      <c r="A2844">
        <v>3</v>
      </c>
      <c r="B2844">
        <v>2</v>
      </c>
      <c r="C2844">
        <v>27</v>
      </c>
      <c r="D2844">
        <v>16</v>
      </c>
      <c r="E2844">
        <f t="shared" si="44"/>
        <v>4.8475313649164364E-31</v>
      </c>
    </row>
    <row r="2845" spans="1:5" x14ac:dyDescent="0.25">
      <c r="A2845">
        <v>3</v>
      </c>
      <c r="B2845">
        <v>2</v>
      </c>
      <c r="C2845">
        <v>28</v>
      </c>
      <c r="D2845">
        <v>15</v>
      </c>
      <c r="E2845">
        <f t="shared" si="44"/>
        <v>1.052606810667569E-30</v>
      </c>
    </row>
    <row r="2846" spans="1:5" x14ac:dyDescent="0.25">
      <c r="A2846">
        <v>3</v>
      </c>
      <c r="B2846">
        <v>2</v>
      </c>
      <c r="C2846">
        <v>29</v>
      </c>
      <c r="D2846">
        <v>14</v>
      </c>
      <c r="E2846">
        <f t="shared" si="44"/>
        <v>1.8313378680893449E-30</v>
      </c>
    </row>
    <row r="2847" spans="1:5" x14ac:dyDescent="0.25">
      <c r="A2847">
        <v>3</v>
      </c>
      <c r="B2847">
        <v>2</v>
      </c>
      <c r="C2847">
        <v>30</v>
      </c>
      <c r="D2847">
        <v>13</v>
      </c>
      <c r="E2847">
        <f t="shared" si="44"/>
        <v>2.5638730153250828E-30</v>
      </c>
    </row>
    <row r="2848" spans="1:5" x14ac:dyDescent="0.25">
      <c r="A2848">
        <v>3</v>
      </c>
      <c r="B2848">
        <v>2</v>
      </c>
      <c r="C2848">
        <v>31</v>
      </c>
      <c r="D2848">
        <v>12</v>
      </c>
      <c r="E2848">
        <f t="shared" si="44"/>
        <v>2.8946953398831579E-30</v>
      </c>
    </row>
    <row r="2849" spans="1:5" x14ac:dyDescent="0.25">
      <c r="A2849">
        <v>3</v>
      </c>
      <c r="B2849">
        <v>2</v>
      </c>
      <c r="C2849">
        <v>32</v>
      </c>
      <c r="D2849">
        <v>11</v>
      </c>
      <c r="E2849">
        <f t="shared" si="44"/>
        <v>2.6362403988221608E-30</v>
      </c>
    </row>
    <row r="2850" spans="1:5" x14ac:dyDescent="0.25">
      <c r="A2850">
        <v>3</v>
      </c>
      <c r="B2850">
        <v>2</v>
      </c>
      <c r="C2850">
        <v>33</v>
      </c>
      <c r="D2850">
        <v>10</v>
      </c>
      <c r="E2850">
        <f t="shared" si="44"/>
        <v>1.933242959136251E-30</v>
      </c>
    </row>
    <row r="2851" spans="1:5" x14ac:dyDescent="0.25">
      <c r="A2851">
        <v>3</v>
      </c>
      <c r="B2851">
        <v>2</v>
      </c>
      <c r="C2851">
        <v>34</v>
      </c>
      <c r="D2851">
        <v>9</v>
      </c>
      <c r="E2851">
        <f t="shared" si="44"/>
        <v>1.1372017406683834E-30</v>
      </c>
    </row>
    <row r="2852" spans="1:5" x14ac:dyDescent="0.25">
      <c r="A2852">
        <v>3</v>
      </c>
      <c r="B2852">
        <v>2</v>
      </c>
      <c r="C2852">
        <v>35</v>
      </c>
      <c r="D2852">
        <v>8</v>
      </c>
      <c r="E2852">
        <f t="shared" si="44"/>
        <v>5.3324249688483859E-31</v>
      </c>
    </row>
    <row r="2853" spans="1:5" x14ac:dyDescent="0.25">
      <c r="A2853">
        <v>3</v>
      </c>
      <c r="B2853">
        <v>2</v>
      </c>
      <c r="C2853">
        <v>36</v>
      </c>
      <c r="D2853">
        <v>7</v>
      </c>
      <c r="E2853">
        <f t="shared" si="44"/>
        <v>1.9749722106845878E-31</v>
      </c>
    </row>
    <row r="2854" spans="1:5" x14ac:dyDescent="0.25">
      <c r="A2854">
        <v>3</v>
      </c>
      <c r="B2854">
        <v>2</v>
      </c>
      <c r="C2854">
        <v>37</v>
      </c>
      <c r="D2854">
        <v>6</v>
      </c>
      <c r="E2854">
        <f t="shared" si="44"/>
        <v>5.7029780763722773E-32</v>
      </c>
    </row>
    <row r="2855" spans="1:5" x14ac:dyDescent="0.25">
      <c r="A2855">
        <v>3</v>
      </c>
      <c r="B2855">
        <v>2</v>
      </c>
      <c r="C2855">
        <v>38</v>
      </c>
      <c r="D2855">
        <v>5</v>
      </c>
      <c r="E2855">
        <f t="shared" si="44"/>
        <v>1.2606583116191348E-32</v>
      </c>
    </row>
    <row r="2856" spans="1:5" x14ac:dyDescent="0.25">
      <c r="A2856">
        <v>3</v>
      </c>
      <c r="B2856">
        <v>2</v>
      </c>
      <c r="C2856">
        <v>39</v>
      </c>
      <c r="D2856">
        <v>4</v>
      </c>
      <c r="E2856">
        <f t="shared" si="44"/>
        <v>2.0780082059656078E-33</v>
      </c>
    </row>
    <row r="2857" spans="1:5" x14ac:dyDescent="0.25">
      <c r="A2857">
        <v>3</v>
      </c>
      <c r="B2857">
        <v>2</v>
      </c>
      <c r="C2857">
        <v>40</v>
      </c>
      <c r="D2857">
        <v>3</v>
      </c>
      <c r="E2857">
        <f t="shared" si="44"/>
        <v>2.4558278797775373E-34</v>
      </c>
    </row>
    <row r="2858" spans="1:5" x14ac:dyDescent="0.25">
      <c r="A2858">
        <v>3</v>
      </c>
      <c r="B2858">
        <v>2</v>
      </c>
      <c r="C2858">
        <v>41</v>
      </c>
      <c r="D2858">
        <v>2</v>
      </c>
      <c r="E2858">
        <f t="shared" si="44"/>
        <v>1.9532035098972983E-35</v>
      </c>
    </row>
    <row r="2859" spans="1:5" x14ac:dyDescent="0.25">
      <c r="A2859">
        <v>3</v>
      </c>
      <c r="B2859">
        <v>2</v>
      </c>
      <c r="C2859">
        <v>42</v>
      </c>
      <c r="D2859">
        <v>1</v>
      </c>
      <c r="E2859">
        <f t="shared" si="44"/>
        <v>9.3009690947490405E-37</v>
      </c>
    </row>
    <row r="2860" spans="1:5" x14ac:dyDescent="0.25">
      <c r="A2860">
        <v>3</v>
      </c>
      <c r="B2860">
        <v>2</v>
      </c>
      <c r="C2860">
        <v>43</v>
      </c>
      <c r="D2860">
        <v>0</v>
      </c>
      <c r="E2860">
        <f t="shared" si="44"/>
        <v>1.9899747830625858E-38</v>
      </c>
    </row>
    <row r="2861" spans="1:5" x14ac:dyDescent="0.25">
      <c r="A2861">
        <v>3</v>
      </c>
      <c r="B2861">
        <v>3</v>
      </c>
      <c r="C2861">
        <v>17</v>
      </c>
      <c r="D2861">
        <v>25</v>
      </c>
      <c r="E2861">
        <f t="shared" si="44"/>
        <v>2.9278186649815748E-38</v>
      </c>
    </row>
    <row r="2862" spans="1:5" x14ac:dyDescent="0.25">
      <c r="A2862">
        <v>3</v>
      </c>
      <c r="B2862">
        <v>3</v>
      </c>
      <c r="C2862">
        <v>18</v>
      </c>
      <c r="D2862">
        <v>24</v>
      </c>
      <c r="E2862">
        <f t="shared" si="44"/>
        <v>1.9518791099877152E-36</v>
      </c>
    </row>
    <row r="2863" spans="1:5" x14ac:dyDescent="0.25">
      <c r="A2863">
        <v>3</v>
      </c>
      <c r="B2863">
        <v>3</v>
      </c>
      <c r="C2863">
        <v>19</v>
      </c>
      <c r="D2863">
        <v>23</v>
      </c>
      <c r="E2863">
        <f t="shared" si="44"/>
        <v>5.7939990422793252E-35</v>
      </c>
    </row>
    <row r="2864" spans="1:5" x14ac:dyDescent="0.25">
      <c r="A2864">
        <v>3</v>
      </c>
      <c r="B2864">
        <v>3</v>
      </c>
      <c r="C2864">
        <v>20</v>
      </c>
      <c r="D2864">
        <v>22</v>
      </c>
      <c r="E2864">
        <f t="shared" si="44"/>
        <v>1.0216751644552552E-33</v>
      </c>
    </row>
    <row r="2865" spans="1:5" x14ac:dyDescent="0.25">
      <c r="A2865">
        <v>3</v>
      </c>
      <c r="B2865">
        <v>3</v>
      </c>
      <c r="C2865">
        <v>21</v>
      </c>
      <c r="D2865">
        <v>21</v>
      </c>
      <c r="E2865">
        <f t="shared" si="44"/>
        <v>1.204117158107978E-32</v>
      </c>
    </row>
    <row r="2866" spans="1:5" x14ac:dyDescent="0.25">
      <c r="A2866">
        <v>3</v>
      </c>
      <c r="B2866">
        <v>3</v>
      </c>
      <c r="C2866">
        <v>22</v>
      </c>
      <c r="D2866">
        <v>20</v>
      </c>
      <c r="E2866">
        <f t="shared" si="44"/>
        <v>1.0114584128107017E-31</v>
      </c>
    </row>
    <row r="2867" spans="1:5" x14ac:dyDescent="0.25">
      <c r="A2867">
        <v>3</v>
      </c>
      <c r="B2867">
        <v>3</v>
      </c>
      <c r="C2867">
        <v>23</v>
      </c>
      <c r="D2867">
        <v>19</v>
      </c>
      <c r="E2867">
        <f t="shared" si="44"/>
        <v>6.3032915580956753E-31</v>
      </c>
    </row>
    <row r="2868" spans="1:5" x14ac:dyDescent="0.25">
      <c r="A2868">
        <v>3</v>
      </c>
      <c r="B2868">
        <v>3</v>
      </c>
      <c r="C2868">
        <v>24</v>
      </c>
      <c r="D2868">
        <v>18</v>
      </c>
      <c r="E2868">
        <f t="shared" si="44"/>
        <v>2.9940634900954471E-30</v>
      </c>
    </row>
    <row r="2869" spans="1:5" x14ac:dyDescent="0.25">
      <c r="A2869">
        <v>3</v>
      </c>
      <c r="B2869">
        <v>3</v>
      </c>
      <c r="C2869">
        <v>25</v>
      </c>
      <c r="D2869">
        <v>17</v>
      </c>
      <c r="E2869">
        <f t="shared" si="44"/>
        <v>1.1048094278452203E-29</v>
      </c>
    </row>
    <row r="2870" spans="1:5" x14ac:dyDescent="0.25">
      <c r="A2870">
        <v>3</v>
      </c>
      <c r="B2870">
        <v>3</v>
      </c>
      <c r="C2870">
        <v>26</v>
      </c>
      <c r="D2870">
        <v>16</v>
      </c>
      <c r="E2870">
        <f t="shared" si="44"/>
        <v>3.210557311686963E-29</v>
      </c>
    </row>
    <row r="2871" spans="1:5" x14ac:dyDescent="0.25">
      <c r="A2871">
        <v>3</v>
      </c>
      <c r="B2871">
        <v>3</v>
      </c>
      <c r="C2871">
        <v>27</v>
      </c>
      <c r="D2871">
        <v>15</v>
      </c>
      <c r="E2871">
        <f t="shared" si="44"/>
        <v>7.4199546758987569E-29</v>
      </c>
    </row>
    <row r="2872" spans="1:5" x14ac:dyDescent="0.25">
      <c r="A2872">
        <v>3</v>
      </c>
      <c r="B2872">
        <v>3</v>
      </c>
      <c r="C2872">
        <v>28</v>
      </c>
      <c r="D2872">
        <v>14</v>
      </c>
      <c r="E2872">
        <f t="shared" si="44"/>
        <v>1.3731734302799652E-28</v>
      </c>
    </row>
    <row r="2873" spans="1:5" x14ac:dyDescent="0.25">
      <c r="A2873">
        <v>3</v>
      </c>
      <c r="B2873">
        <v>3</v>
      </c>
      <c r="C2873">
        <v>29</v>
      </c>
      <c r="D2873">
        <v>13</v>
      </c>
      <c r="E2873">
        <f t="shared" si="44"/>
        <v>2.0439765427730523E-28</v>
      </c>
    </row>
    <row r="2874" spans="1:5" x14ac:dyDescent="0.25">
      <c r="A2874">
        <v>3</v>
      </c>
      <c r="B2874">
        <v>3</v>
      </c>
      <c r="C2874">
        <v>30</v>
      </c>
      <c r="D2874">
        <v>12</v>
      </c>
      <c r="E2874">
        <f t="shared" si="44"/>
        <v>2.4527718513276622E-28</v>
      </c>
    </row>
    <row r="2875" spans="1:5" x14ac:dyDescent="0.25">
      <c r="A2875">
        <v>3</v>
      </c>
      <c r="B2875">
        <v>3</v>
      </c>
      <c r="C2875">
        <v>31</v>
      </c>
      <c r="D2875">
        <v>11</v>
      </c>
      <c r="E2875">
        <f t="shared" si="44"/>
        <v>2.3736501787041891E-28</v>
      </c>
    </row>
    <row r="2876" spans="1:5" x14ac:dyDescent="0.25">
      <c r="A2876">
        <v>3</v>
      </c>
      <c r="B2876">
        <v>3</v>
      </c>
      <c r="C2876">
        <v>32</v>
      </c>
      <c r="D2876">
        <v>10</v>
      </c>
      <c r="E2876">
        <f t="shared" si="44"/>
        <v>1.8494690975736803E-28</v>
      </c>
    </row>
    <row r="2877" spans="1:5" x14ac:dyDescent="0.25">
      <c r="A2877">
        <v>3</v>
      </c>
      <c r="B2877">
        <v>3</v>
      </c>
      <c r="C2877">
        <v>33</v>
      </c>
      <c r="D2877">
        <v>9</v>
      </c>
      <c r="E2877">
        <f t="shared" si="44"/>
        <v>1.1559181859835502E-28</v>
      </c>
    </row>
    <row r="2878" spans="1:5" x14ac:dyDescent="0.25">
      <c r="A2878">
        <v>3</v>
      </c>
      <c r="B2878">
        <v>3</v>
      </c>
      <c r="C2878">
        <v>34</v>
      </c>
      <c r="D2878">
        <v>8</v>
      </c>
      <c r="E2878">
        <f t="shared" si="44"/>
        <v>5.7595923453851651E-29</v>
      </c>
    </row>
    <row r="2879" spans="1:5" x14ac:dyDescent="0.25">
      <c r="A2879">
        <v>3</v>
      </c>
      <c r="B2879">
        <v>3</v>
      </c>
      <c r="C2879">
        <v>35</v>
      </c>
      <c r="D2879">
        <v>7</v>
      </c>
      <c r="E2879">
        <f t="shared" si="44"/>
        <v>2.2672680978659066E-29</v>
      </c>
    </row>
    <row r="2880" spans="1:5" x14ac:dyDescent="0.25">
      <c r="A2880">
        <v>3</v>
      </c>
      <c r="B2880">
        <v>3</v>
      </c>
      <c r="C2880">
        <v>36</v>
      </c>
      <c r="D2880">
        <v>6</v>
      </c>
      <c r="E2880">
        <f t="shared" si="44"/>
        <v>6.9609108267812902E-30</v>
      </c>
    </row>
    <row r="2881" spans="1:5" x14ac:dyDescent="0.25">
      <c r="A2881">
        <v>3</v>
      </c>
      <c r="B2881">
        <v>3</v>
      </c>
      <c r="C2881">
        <v>37</v>
      </c>
      <c r="D2881">
        <v>5</v>
      </c>
      <c r="E2881">
        <f t="shared" si="44"/>
        <v>1.6367547079188437E-30</v>
      </c>
    </row>
    <row r="2882" spans="1:5" x14ac:dyDescent="0.25">
      <c r="A2882">
        <v>3</v>
      </c>
      <c r="B2882">
        <v>3</v>
      </c>
      <c r="C2882">
        <v>38</v>
      </c>
      <c r="D2882">
        <v>4</v>
      </c>
      <c r="E2882">
        <f t="shared" si="44"/>
        <v>2.871499487576919E-31</v>
      </c>
    </row>
    <row r="2883" spans="1:5" x14ac:dyDescent="0.25">
      <c r="A2883">
        <v>3</v>
      </c>
      <c r="B2883">
        <v>3</v>
      </c>
      <c r="C2883">
        <v>39</v>
      </c>
      <c r="D2883">
        <v>3</v>
      </c>
      <c r="E2883">
        <f t="shared" si="44"/>
        <v>3.6144748794674504E-32</v>
      </c>
    </row>
    <row r="2884" spans="1:5" x14ac:dyDescent="0.25">
      <c r="A2884">
        <v>3</v>
      </c>
      <c r="B2884">
        <v>3</v>
      </c>
      <c r="C2884">
        <v>40</v>
      </c>
      <c r="D2884">
        <v>2</v>
      </c>
      <c r="E2884">
        <f t="shared" si="44"/>
        <v>3.064446093461536E-33</v>
      </c>
    </row>
    <row r="2885" spans="1:5" x14ac:dyDescent="0.25">
      <c r="A2885">
        <v>3</v>
      </c>
      <c r="B2885">
        <v>3</v>
      </c>
      <c r="C2885">
        <v>41</v>
      </c>
      <c r="D2885">
        <v>1</v>
      </c>
      <c r="E2885">
        <f t="shared" si="44"/>
        <v>1.5571372426125683E-34</v>
      </c>
    </row>
    <row r="2886" spans="1:5" x14ac:dyDescent="0.25">
      <c r="A2886">
        <v>3</v>
      </c>
      <c r="B2886">
        <v>3</v>
      </c>
      <c r="C2886">
        <v>42</v>
      </c>
      <c r="D2886">
        <v>0</v>
      </c>
      <c r="E2886">
        <f t="shared" si="44"/>
        <v>3.5591708402572992E-36</v>
      </c>
    </row>
    <row r="2887" spans="1:5" x14ac:dyDescent="0.25">
      <c r="A2887">
        <v>3</v>
      </c>
      <c r="B2887">
        <v>4</v>
      </c>
      <c r="C2887">
        <v>16</v>
      </c>
      <c r="D2887">
        <v>25</v>
      </c>
      <c r="E2887">
        <f t="shared" si="44"/>
        <v>7.2627828311940874E-37</v>
      </c>
    </row>
    <row r="2888" spans="1:5" x14ac:dyDescent="0.25">
      <c r="A2888">
        <v>3</v>
      </c>
      <c r="B2888">
        <v>4</v>
      </c>
      <c r="C2888">
        <v>17</v>
      </c>
      <c r="D2888">
        <v>24</v>
      </c>
      <c r="E2888">
        <f t="shared" si="44"/>
        <v>5.2334758636545649E-35</v>
      </c>
    </row>
    <row r="2889" spans="1:5" x14ac:dyDescent="0.25">
      <c r="A2889">
        <v>3</v>
      </c>
      <c r="B2889">
        <v>4</v>
      </c>
      <c r="C2889">
        <v>18</v>
      </c>
      <c r="D2889">
        <v>23</v>
      </c>
      <c r="E2889">
        <f t="shared" si="44"/>
        <v>1.6747122763694594E-33</v>
      </c>
    </row>
    <row r="2890" spans="1:5" x14ac:dyDescent="0.25">
      <c r="A2890">
        <v>3</v>
      </c>
      <c r="B2890">
        <v>4</v>
      </c>
      <c r="C2890">
        <v>19</v>
      </c>
      <c r="D2890">
        <v>22</v>
      </c>
      <c r="E2890">
        <f t="shared" si="44"/>
        <v>3.1760771416761165E-32</v>
      </c>
    </row>
    <row r="2891" spans="1:5" x14ac:dyDescent="0.25">
      <c r="A2891">
        <v>3</v>
      </c>
      <c r="B2891">
        <v>4</v>
      </c>
      <c r="C2891">
        <v>20</v>
      </c>
      <c r="D2891">
        <v>21</v>
      </c>
      <c r="E2891">
        <f t="shared" si="44"/>
        <v>4.017737584220291E-31</v>
      </c>
    </row>
    <row r="2892" spans="1:5" x14ac:dyDescent="0.25">
      <c r="A2892">
        <v>3</v>
      </c>
      <c r="B2892">
        <v>4</v>
      </c>
      <c r="C2892">
        <v>21</v>
      </c>
      <c r="D2892">
        <v>20</v>
      </c>
      <c r="E2892">
        <f t="shared" si="44"/>
        <v>3.6159638257982565E-30</v>
      </c>
    </row>
    <row r="2893" spans="1:5" x14ac:dyDescent="0.25">
      <c r="A2893">
        <v>3</v>
      </c>
      <c r="B2893">
        <v>4</v>
      </c>
      <c r="C2893">
        <v>22</v>
      </c>
      <c r="D2893">
        <v>19</v>
      </c>
      <c r="E2893">
        <f t="shared" si="44"/>
        <v>2.4106425505321723E-29</v>
      </c>
    </row>
    <row r="2894" spans="1:5" x14ac:dyDescent="0.25">
      <c r="A2894">
        <v>3</v>
      </c>
      <c r="B2894">
        <v>4</v>
      </c>
      <c r="C2894">
        <v>23</v>
      </c>
      <c r="D2894">
        <v>18</v>
      </c>
      <c r="E2894">
        <f t="shared" ref="E2894:E2957" si="45">COMBIN(A$4,A2894)*COMBIN(B$4,B2894)*COMBIN(C$4,C2894)*COMBIN(D$4,D2894)/COMBIN($G$4,$F$4)</f>
        <v>1.2232887973818542E-28</v>
      </c>
    </row>
    <row r="2895" spans="1:5" x14ac:dyDescent="0.25">
      <c r="A2895">
        <v>3</v>
      </c>
      <c r="B2895">
        <v>4</v>
      </c>
      <c r="C2895">
        <v>24</v>
      </c>
      <c r="D2895">
        <v>17</v>
      </c>
      <c r="E2895">
        <f t="shared" si="45"/>
        <v>4.8166996396910497E-28</v>
      </c>
    </row>
    <row r="2896" spans="1:5" x14ac:dyDescent="0.25">
      <c r="A2896">
        <v>3</v>
      </c>
      <c r="B2896">
        <v>4</v>
      </c>
      <c r="C2896">
        <v>25</v>
      </c>
      <c r="D2896">
        <v>16</v>
      </c>
      <c r="E2896">
        <f t="shared" si="45"/>
        <v>1.4921065106065169E-27</v>
      </c>
    </row>
    <row r="2897" spans="1:5" x14ac:dyDescent="0.25">
      <c r="A2897">
        <v>3</v>
      </c>
      <c r="B2897">
        <v>4</v>
      </c>
      <c r="C2897">
        <v>26</v>
      </c>
      <c r="D2897">
        <v>15</v>
      </c>
      <c r="E2897">
        <f t="shared" si="45"/>
        <v>3.6728775645698847E-27</v>
      </c>
    </row>
    <row r="2898" spans="1:5" x14ac:dyDescent="0.25">
      <c r="A2898">
        <v>3</v>
      </c>
      <c r="B2898">
        <v>4</v>
      </c>
      <c r="C2898">
        <v>27</v>
      </c>
      <c r="D2898">
        <v>14</v>
      </c>
      <c r="E2898">
        <f t="shared" si="45"/>
        <v>7.2344558090012883E-27</v>
      </c>
    </row>
    <row r="2899" spans="1:5" x14ac:dyDescent="0.25">
      <c r="A2899">
        <v>3</v>
      </c>
      <c r="B2899">
        <v>4</v>
      </c>
      <c r="C2899">
        <v>28</v>
      </c>
      <c r="D2899">
        <v>13</v>
      </c>
      <c r="E2899">
        <f t="shared" si="45"/>
        <v>1.1454555030918713E-26</v>
      </c>
    </row>
    <row r="2900" spans="1:5" x14ac:dyDescent="0.25">
      <c r="A2900">
        <v>3</v>
      </c>
      <c r="B2900">
        <v>4</v>
      </c>
      <c r="C2900">
        <v>29</v>
      </c>
      <c r="D2900">
        <v>12</v>
      </c>
      <c r="E2900">
        <f t="shared" si="45"/>
        <v>1.4614432280827322E-26</v>
      </c>
    </row>
    <row r="2901" spans="1:5" x14ac:dyDescent="0.25">
      <c r="A2901">
        <v>3</v>
      </c>
      <c r="B2901">
        <v>4</v>
      </c>
      <c r="C2901">
        <v>30</v>
      </c>
      <c r="D2901">
        <v>11</v>
      </c>
      <c r="E2901">
        <f t="shared" si="45"/>
        <v>1.5031987488850957E-26</v>
      </c>
    </row>
    <row r="2902" spans="1:5" x14ac:dyDescent="0.25">
      <c r="A2902">
        <v>3</v>
      </c>
      <c r="B2902">
        <v>4</v>
      </c>
      <c r="C2902">
        <v>31</v>
      </c>
      <c r="D2902">
        <v>10</v>
      </c>
      <c r="E2902">
        <f t="shared" si="45"/>
        <v>1.2445839103672298E-26</v>
      </c>
    </row>
    <row r="2903" spans="1:5" x14ac:dyDescent="0.25">
      <c r="A2903">
        <v>3</v>
      </c>
      <c r="B2903">
        <v>4</v>
      </c>
      <c r="C2903">
        <v>32</v>
      </c>
      <c r="D2903">
        <v>9</v>
      </c>
      <c r="E2903">
        <f t="shared" si="45"/>
        <v>8.2648150297823856E-27</v>
      </c>
    </row>
    <row r="2904" spans="1:5" x14ac:dyDescent="0.25">
      <c r="A2904">
        <v>3</v>
      </c>
      <c r="B2904">
        <v>4</v>
      </c>
      <c r="C2904">
        <v>33</v>
      </c>
      <c r="D2904">
        <v>8</v>
      </c>
      <c r="E2904">
        <f t="shared" si="45"/>
        <v>4.375490309884792E-27</v>
      </c>
    </row>
    <row r="2905" spans="1:5" x14ac:dyDescent="0.25">
      <c r="A2905">
        <v>3</v>
      </c>
      <c r="B2905">
        <v>4</v>
      </c>
      <c r="C2905">
        <v>34</v>
      </c>
      <c r="D2905">
        <v>7</v>
      </c>
      <c r="E2905">
        <f t="shared" si="45"/>
        <v>1.8302704564223974E-27</v>
      </c>
    </row>
    <row r="2906" spans="1:5" x14ac:dyDescent="0.25">
      <c r="A2906">
        <v>3</v>
      </c>
      <c r="B2906">
        <v>4</v>
      </c>
      <c r="C2906">
        <v>35</v>
      </c>
      <c r="D2906">
        <v>6</v>
      </c>
      <c r="E2906">
        <f t="shared" si="45"/>
        <v>5.9724614893783467E-28</v>
      </c>
    </row>
    <row r="2907" spans="1:5" x14ac:dyDescent="0.25">
      <c r="A2907">
        <v>3</v>
      </c>
      <c r="B2907">
        <v>4</v>
      </c>
      <c r="C2907">
        <v>36</v>
      </c>
      <c r="D2907">
        <v>5</v>
      </c>
      <c r="E2907">
        <f t="shared" si="45"/>
        <v>1.4931153723445867E-28</v>
      </c>
    </row>
    <row r="2908" spans="1:5" x14ac:dyDescent="0.25">
      <c r="A2908">
        <v>3</v>
      </c>
      <c r="B2908">
        <v>4</v>
      </c>
      <c r="C2908">
        <v>37</v>
      </c>
      <c r="D2908">
        <v>4</v>
      </c>
      <c r="E2908">
        <f t="shared" si="45"/>
        <v>2.7863800384808897E-29</v>
      </c>
    </row>
    <row r="2909" spans="1:5" x14ac:dyDescent="0.25">
      <c r="A2909">
        <v>3</v>
      </c>
      <c r="B2909">
        <v>4</v>
      </c>
      <c r="C2909">
        <v>38</v>
      </c>
      <c r="D2909">
        <v>3</v>
      </c>
      <c r="E2909">
        <f t="shared" si="45"/>
        <v>3.7329493338499941E-30</v>
      </c>
    </row>
    <row r="2910" spans="1:5" x14ac:dyDescent="0.25">
      <c r="A2910">
        <v>3</v>
      </c>
      <c r="B2910">
        <v>4</v>
      </c>
      <c r="C2910">
        <v>39</v>
      </c>
      <c r="D2910">
        <v>2</v>
      </c>
      <c r="E2910">
        <f t="shared" si="45"/>
        <v>3.3708907028076872E-31</v>
      </c>
    </row>
    <row r="2911" spans="1:5" x14ac:dyDescent="0.25">
      <c r="A2911">
        <v>3</v>
      </c>
      <c r="B2911">
        <v>4</v>
      </c>
      <c r="C2911">
        <v>40</v>
      </c>
      <c r="D2911">
        <v>1</v>
      </c>
      <c r="E2911">
        <f t="shared" si="45"/>
        <v>1.8258991306874984E-32</v>
      </c>
    </row>
    <row r="2912" spans="1:5" x14ac:dyDescent="0.25">
      <c r="A2912">
        <v>3</v>
      </c>
      <c r="B2912">
        <v>4</v>
      </c>
      <c r="C2912">
        <v>41</v>
      </c>
      <c r="D2912">
        <v>0</v>
      </c>
      <c r="E2912">
        <f t="shared" si="45"/>
        <v>4.4534125138719458E-34</v>
      </c>
    </row>
    <row r="2913" spans="1:5" x14ac:dyDescent="0.25">
      <c r="A2913">
        <v>3</v>
      </c>
      <c r="B2913">
        <v>5</v>
      </c>
      <c r="C2913">
        <v>15</v>
      </c>
      <c r="D2913">
        <v>25</v>
      </c>
      <c r="E2913">
        <f t="shared" si="45"/>
        <v>1.3247315884098012E-35</v>
      </c>
    </row>
    <row r="2914" spans="1:5" x14ac:dyDescent="0.25">
      <c r="A2914">
        <v>3</v>
      </c>
      <c r="B2914">
        <v>5</v>
      </c>
      <c r="C2914">
        <v>16</v>
      </c>
      <c r="D2914">
        <v>24</v>
      </c>
      <c r="E2914">
        <f t="shared" si="45"/>
        <v>1.0349465534451575E-33</v>
      </c>
    </row>
    <row r="2915" spans="1:5" x14ac:dyDescent="0.25">
      <c r="A2915">
        <v>3</v>
      </c>
      <c r="B2915">
        <v>5</v>
      </c>
      <c r="C2915">
        <v>17</v>
      </c>
      <c r="D2915">
        <v>23</v>
      </c>
      <c r="E2915">
        <f t="shared" si="45"/>
        <v>3.5796974907397223E-32</v>
      </c>
    </row>
    <row r="2916" spans="1:5" x14ac:dyDescent="0.25">
      <c r="A2916">
        <v>3</v>
      </c>
      <c r="B2916">
        <v>5</v>
      </c>
      <c r="C2916">
        <v>18</v>
      </c>
      <c r="D2916">
        <v>22</v>
      </c>
      <c r="E2916">
        <f t="shared" si="45"/>
        <v>7.3184926477345376E-31</v>
      </c>
    </row>
    <row r="2917" spans="1:5" x14ac:dyDescent="0.25">
      <c r="A2917">
        <v>3</v>
      </c>
      <c r="B2917">
        <v>5</v>
      </c>
      <c r="C2917">
        <v>19</v>
      </c>
      <c r="D2917">
        <v>21</v>
      </c>
      <c r="E2917">
        <f t="shared" si="45"/>
        <v>9.9570018391546267E-30</v>
      </c>
    </row>
    <row r="2918" spans="1:5" x14ac:dyDescent="0.25">
      <c r="A2918">
        <v>3</v>
      </c>
      <c r="B2918">
        <v>5</v>
      </c>
      <c r="C2918">
        <v>20</v>
      </c>
      <c r="D2918">
        <v>20</v>
      </c>
      <c r="E2918">
        <f t="shared" si="45"/>
        <v>9.6184637766233737E-29</v>
      </c>
    </row>
    <row r="2919" spans="1:5" x14ac:dyDescent="0.25">
      <c r="A2919">
        <v>3</v>
      </c>
      <c r="B2919">
        <v>5</v>
      </c>
      <c r="C2919">
        <v>21</v>
      </c>
      <c r="D2919">
        <v>19</v>
      </c>
      <c r="E2919">
        <f t="shared" si="45"/>
        <v>6.8703312690166876E-28</v>
      </c>
    </row>
    <row r="2920" spans="1:5" x14ac:dyDescent="0.25">
      <c r="A2920">
        <v>3</v>
      </c>
      <c r="B2920">
        <v>5</v>
      </c>
      <c r="C2920">
        <v>22</v>
      </c>
      <c r="D2920">
        <v>18</v>
      </c>
      <c r="E2920">
        <f t="shared" si="45"/>
        <v>3.729608403180491E-27</v>
      </c>
    </row>
    <row r="2921" spans="1:5" x14ac:dyDescent="0.25">
      <c r="A2921">
        <v>3</v>
      </c>
      <c r="B2921">
        <v>5</v>
      </c>
      <c r="C2921">
        <v>23</v>
      </c>
      <c r="D2921">
        <v>17</v>
      </c>
      <c r="E2921">
        <f t="shared" si="45"/>
        <v>1.5688678826422275E-26</v>
      </c>
    </row>
    <row r="2922" spans="1:5" x14ac:dyDescent="0.25">
      <c r="A2922">
        <v>3</v>
      </c>
      <c r="B2922">
        <v>5</v>
      </c>
      <c r="C2922">
        <v>24</v>
      </c>
      <c r="D2922">
        <v>16</v>
      </c>
      <c r="E2922">
        <f t="shared" si="45"/>
        <v>5.1859799454006969E-26</v>
      </c>
    </row>
    <row r="2923" spans="1:5" x14ac:dyDescent="0.25">
      <c r="A2923">
        <v>3</v>
      </c>
      <c r="B2923">
        <v>5</v>
      </c>
      <c r="C2923">
        <v>25</v>
      </c>
      <c r="D2923">
        <v>15</v>
      </c>
      <c r="E2923">
        <f t="shared" si="45"/>
        <v>1.3608011376731431E-25</v>
      </c>
    </row>
    <row r="2924" spans="1:5" x14ac:dyDescent="0.25">
      <c r="A2924">
        <v>3</v>
      </c>
      <c r="B2924">
        <v>5</v>
      </c>
      <c r="C2924">
        <v>26</v>
      </c>
      <c r="D2924">
        <v>14</v>
      </c>
      <c r="E2924">
        <f t="shared" si="45"/>
        <v>2.8548275615520475E-25</v>
      </c>
    </row>
    <row r="2925" spans="1:5" x14ac:dyDescent="0.25">
      <c r="A2925">
        <v>3</v>
      </c>
      <c r="B2925">
        <v>5</v>
      </c>
      <c r="C2925">
        <v>27</v>
      </c>
      <c r="D2925">
        <v>13</v>
      </c>
      <c r="E2925">
        <f t="shared" si="45"/>
        <v>4.8109131129858574E-25</v>
      </c>
    </row>
    <row r="2926" spans="1:5" x14ac:dyDescent="0.25">
      <c r="A2926">
        <v>3</v>
      </c>
      <c r="B2926">
        <v>5</v>
      </c>
      <c r="C2926">
        <v>28</v>
      </c>
      <c r="D2926">
        <v>12</v>
      </c>
      <c r="E2926">
        <f t="shared" si="45"/>
        <v>6.529096367623665E-25</v>
      </c>
    </row>
    <row r="2927" spans="1:5" x14ac:dyDescent="0.25">
      <c r="A2927">
        <v>3</v>
      </c>
      <c r="B2927">
        <v>5</v>
      </c>
      <c r="C2927">
        <v>29</v>
      </c>
      <c r="D2927">
        <v>11</v>
      </c>
      <c r="E2927">
        <f t="shared" si="45"/>
        <v>7.1401940572042052E-25</v>
      </c>
    </row>
    <row r="2928" spans="1:5" x14ac:dyDescent="0.25">
      <c r="A2928">
        <v>3</v>
      </c>
      <c r="B2928">
        <v>5</v>
      </c>
      <c r="C2928">
        <v>30</v>
      </c>
      <c r="D2928">
        <v>10</v>
      </c>
      <c r="E2928">
        <f t="shared" si="45"/>
        <v>6.2833707703396987E-25</v>
      </c>
    </row>
    <row r="2929" spans="1:5" x14ac:dyDescent="0.25">
      <c r="A2929">
        <v>3</v>
      </c>
      <c r="B2929">
        <v>5</v>
      </c>
      <c r="C2929">
        <v>31</v>
      </c>
      <c r="D2929">
        <v>9</v>
      </c>
      <c r="E2929">
        <f t="shared" si="45"/>
        <v>4.4338301806832561E-25</v>
      </c>
    </row>
    <row r="2930" spans="1:5" x14ac:dyDescent="0.25">
      <c r="A2930">
        <v>3</v>
      </c>
      <c r="B2930">
        <v>5</v>
      </c>
      <c r="C2930">
        <v>32</v>
      </c>
      <c r="D2930">
        <v>8</v>
      </c>
      <c r="E2930">
        <f t="shared" si="45"/>
        <v>2.494029476634331E-25</v>
      </c>
    </row>
    <row r="2931" spans="1:5" x14ac:dyDescent="0.25">
      <c r="A2931">
        <v>3</v>
      </c>
      <c r="B2931">
        <v>5</v>
      </c>
      <c r="C2931">
        <v>33</v>
      </c>
      <c r="D2931">
        <v>7</v>
      </c>
      <c r="E2931">
        <f t="shared" si="45"/>
        <v>1.1084575451708142E-25</v>
      </c>
    </row>
    <row r="2932" spans="1:5" x14ac:dyDescent="0.25">
      <c r="A2932">
        <v>3</v>
      </c>
      <c r="B2932">
        <v>5</v>
      </c>
      <c r="C2932">
        <v>34</v>
      </c>
      <c r="D2932">
        <v>6</v>
      </c>
      <c r="E2932">
        <f t="shared" si="45"/>
        <v>3.8435679584870334E-26</v>
      </c>
    </row>
    <row r="2933" spans="1:5" x14ac:dyDescent="0.25">
      <c r="A2933">
        <v>3</v>
      </c>
      <c r="B2933">
        <v>5</v>
      </c>
      <c r="C2933">
        <v>35</v>
      </c>
      <c r="D2933">
        <v>5</v>
      </c>
      <c r="E2933">
        <f t="shared" si="45"/>
        <v>1.0212909146836972E-26</v>
      </c>
    </row>
    <row r="2934" spans="1:5" x14ac:dyDescent="0.25">
      <c r="A2934">
        <v>3</v>
      </c>
      <c r="B2934">
        <v>5</v>
      </c>
      <c r="C2934">
        <v>36</v>
      </c>
      <c r="D2934">
        <v>4</v>
      </c>
      <c r="E2934">
        <f t="shared" si="45"/>
        <v>2.0263708624676542E-27</v>
      </c>
    </row>
    <row r="2935" spans="1:5" x14ac:dyDescent="0.25">
      <c r="A2935">
        <v>3</v>
      </c>
      <c r="B2935">
        <v>5</v>
      </c>
      <c r="C2935">
        <v>37</v>
      </c>
      <c r="D2935">
        <v>3</v>
      </c>
      <c r="E2935">
        <f t="shared" si="45"/>
        <v>2.8877029489711027E-28</v>
      </c>
    </row>
    <row r="2936" spans="1:5" x14ac:dyDescent="0.25">
      <c r="A2936">
        <v>3</v>
      </c>
      <c r="B2936">
        <v>5</v>
      </c>
      <c r="C2936">
        <v>38</v>
      </c>
      <c r="D2936">
        <v>2</v>
      </c>
      <c r="E2936">
        <f t="shared" si="45"/>
        <v>2.7753666786449959E-29</v>
      </c>
    </row>
    <row r="2937" spans="1:5" x14ac:dyDescent="0.25">
      <c r="A2937">
        <v>3</v>
      </c>
      <c r="B2937">
        <v>5</v>
      </c>
      <c r="C2937">
        <v>39</v>
      </c>
      <c r="D2937">
        <v>1</v>
      </c>
      <c r="E2937">
        <f t="shared" si="45"/>
        <v>1.6011730838336514E-30</v>
      </c>
    </row>
    <row r="2938" spans="1:5" x14ac:dyDescent="0.25">
      <c r="A2938">
        <v>3</v>
      </c>
      <c r="B2938">
        <v>5</v>
      </c>
      <c r="C2938">
        <v>40</v>
      </c>
      <c r="D2938">
        <v>0</v>
      </c>
      <c r="E2938">
        <f t="shared" si="45"/>
        <v>4.1630500179674964E-32</v>
      </c>
    </row>
    <row r="2939" spans="1:5" x14ac:dyDescent="0.25">
      <c r="A2939">
        <v>3</v>
      </c>
      <c r="B2939">
        <v>6</v>
      </c>
      <c r="C2939">
        <v>14</v>
      </c>
      <c r="D2939">
        <v>25</v>
      </c>
      <c r="E2939">
        <f t="shared" si="45"/>
        <v>1.84423417209992E-34</v>
      </c>
    </row>
    <row r="2940" spans="1:5" x14ac:dyDescent="0.25">
      <c r="A2940">
        <v>3</v>
      </c>
      <c r="B2940">
        <v>6</v>
      </c>
      <c r="C2940">
        <v>15</v>
      </c>
      <c r="D2940">
        <v>24</v>
      </c>
      <c r="E2940">
        <f t="shared" si="45"/>
        <v>1.5675990462849315E-32</v>
      </c>
    </row>
    <row r="2941" spans="1:5" x14ac:dyDescent="0.25">
      <c r="A2941">
        <v>3</v>
      </c>
      <c r="B2941">
        <v>6</v>
      </c>
      <c r="C2941">
        <v>16</v>
      </c>
      <c r="D2941">
        <v>23</v>
      </c>
      <c r="E2941">
        <f t="shared" si="45"/>
        <v>5.8784964235684939E-31</v>
      </c>
    </row>
    <row r="2942" spans="1:5" x14ac:dyDescent="0.25">
      <c r="A2942">
        <v>3</v>
      </c>
      <c r="B2942">
        <v>6</v>
      </c>
      <c r="C2942">
        <v>17</v>
      </c>
      <c r="D2942">
        <v>22</v>
      </c>
      <c r="E2942">
        <f t="shared" si="45"/>
        <v>1.2990324449728814E-29</v>
      </c>
    </row>
    <row r="2943" spans="1:5" x14ac:dyDescent="0.25">
      <c r="A2943">
        <v>3</v>
      </c>
      <c r="B2943">
        <v>6</v>
      </c>
      <c r="C2943">
        <v>18</v>
      </c>
      <c r="D2943">
        <v>21</v>
      </c>
      <c r="E2943">
        <f t="shared" si="45"/>
        <v>1.9052475859602251E-28</v>
      </c>
    </row>
    <row r="2944" spans="1:5" x14ac:dyDescent="0.25">
      <c r="A2944">
        <v>3</v>
      </c>
      <c r="B2944">
        <v>6</v>
      </c>
      <c r="C2944">
        <v>19</v>
      </c>
      <c r="D2944">
        <v>20</v>
      </c>
      <c r="E2944">
        <f t="shared" si="45"/>
        <v>1.9794519656239395E-27</v>
      </c>
    </row>
    <row r="2945" spans="1:5" x14ac:dyDescent="0.25">
      <c r="A2945">
        <v>3</v>
      </c>
      <c r="B2945">
        <v>6</v>
      </c>
      <c r="C2945">
        <v>20</v>
      </c>
      <c r="D2945">
        <v>19</v>
      </c>
      <c r="E2945">
        <f t="shared" si="45"/>
        <v>1.5175798403116878E-26</v>
      </c>
    </row>
    <row r="2946" spans="1:5" x14ac:dyDescent="0.25">
      <c r="A2946">
        <v>3</v>
      </c>
      <c r="B2946">
        <v>6</v>
      </c>
      <c r="C2946">
        <v>21</v>
      </c>
      <c r="D2946">
        <v>18</v>
      </c>
      <c r="E2946">
        <f t="shared" si="45"/>
        <v>8.8267398875271572E-26</v>
      </c>
    </row>
    <row r="2947" spans="1:5" x14ac:dyDescent="0.25">
      <c r="A2947">
        <v>3</v>
      </c>
      <c r="B2947">
        <v>6</v>
      </c>
      <c r="C2947">
        <v>22</v>
      </c>
      <c r="D2947">
        <v>17</v>
      </c>
      <c r="E2947">
        <f t="shared" si="45"/>
        <v>3.9720329493872222E-25</v>
      </c>
    </row>
    <row r="2948" spans="1:5" x14ac:dyDescent="0.25">
      <c r="A2948">
        <v>3</v>
      </c>
      <c r="B2948">
        <v>6</v>
      </c>
      <c r="C2948">
        <v>23</v>
      </c>
      <c r="D2948">
        <v>16</v>
      </c>
      <c r="E2948">
        <f t="shared" si="45"/>
        <v>1.4026840995179027E-24</v>
      </c>
    </row>
    <row r="2949" spans="1:5" x14ac:dyDescent="0.25">
      <c r="A2949">
        <v>3</v>
      </c>
      <c r="B2949">
        <v>6</v>
      </c>
      <c r="C2949">
        <v>24</v>
      </c>
      <c r="D2949">
        <v>15</v>
      </c>
      <c r="E2949">
        <f t="shared" si="45"/>
        <v>3.9275154786501269E-24</v>
      </c>
    </row>
    <row r="2950" spans="1:5" x14ac:dyDescent="0.25">
      <c r="A2950">
        <v>3</v>
      </c>
      <c r="B2950">
        <v>6</v>
      </c>
      <c r="C2950">
        <v>25</v>
      </c>
      <c r="D2950">
        <v>14</v>
      </c>
      <c r="E2950">
        <f t="shared" si="45"/>
        <v>8.7833527977084701E-24</v>
      </c>
    </row>
    <row r="2951" spans="1:5" x14ac:dyDescent="0.25">
      <c r="A2951">
        <v>3</v>
      </c>
      <c r="B2951">
        <v>6</v>
      </c>
      <c r="C2951">
        <v>26</v>
      </c>
      <c r="D2951">
        <v>13</v>
      </c>
      <c r="E2951">
        <f t="shared" si="45"/>
        <v>1.5764992201015198E-23</v>
      </c>
    </row>
    <row r="2952" spans="1:5" x14ac:dyDescent="0.25">
      <c r="A2952">
        <v>3</v>
      </c>
      <c r="B2952">
        <v>6</v>
      </c>
      <c r="C2952">
        <v>27</v>
      </c>
      <c r="D2952">
        <v>12</v>
      </c>
      <c r="E2952">
        <f t="shared" si="45"/>
        <v>2.2771655401466398E-23</v>
      </c>
    </row>
    <row r="2953" spans="1:5" x14ac:dyDescent="0.25">
      <c r="A2953">
        <v>3</v>
      </c>
      <c r="B2953">
        <v>6</v>
      </c>
      <c r="C2953">
        <v>28</v>
      </c>
      <c r="D2953">
        <v>11</v>
      </c>
      <c r="E2953">
        <f t="shared" si="45"/>
        <v>2.6489476691501722E-23</v>
      </c>
    </row>
    <row r="2954" spans="1:5" x14ac:dyDescent="0.25">
      <c r="A2954">
        <v>3</v>
      </c>
      <c r="B2954">
        <v>6</v>
      </c>
      <c r="C2954">
        <v>29</v>
      </c>
      <c r="D2954">
        <v>10</v>
      </c>
      <c r="E2954">
        <f t="shared" si="45"/>
        <v>2.478440692745104E-23</v>
      </c>
    </row>
    <row r="2955" spans="1:5" x14ac:dyDescent="0.25">
      <c r="A2955">
        <v>3</v>
      </c>
      <c r="B2955">
        <v>6</v>
      </c>
      <c r="C2955">
        <v>30</v>
      </c>
      <c r="D2955">
        <v>9</v>
      </c>
      <c r="E2955">
        <f t="shared" si="45"/>
        <v>1.8588305195588277E-23</v>
      </c>
    </row>
    <row r="2956" spans="1:5" x14ac:dyDescent="0.25">
      <c r="A2956">
        <v>3</v>
      </c>
      <c r="B2956">
        <v>6</v>
      </c>
      <c r="C2956">
        <v>31</v>
      </c>
      <c r="D2956">
        <v>8</v>
      </c>
      <c r="E2956">
        <f t="shared" si="45"/>
        <v>1.1110656805712161E-23</v>
      </c>
    </row>
    <row r="2957" spans="1:5" x14ac:dyDescent="0.25">
      <c r="A2957">
        <v>3</v>
      </c>
      <c r="B2957">
        <v>6</v>
      </c>
      <c r="C2957">
        <v>32</v>
      </c>
      <c r="D2957">
        <v>7</v>
      </c>
      <c r="E2957">
        <f t="shared" si="45"/>
        <v>5.246699047141853E-24</v>
      </c>
    </row>
    <row r="2958" spans="1:5" x14ac:dyDescent="0.25">
      <c r="A2958">
        <v>3</v>
      </c>
      <c r="B2958">
        <v>6</v>
      </c>
      <c r="C2958">
        <v>33</v>
      </c>
      <c r="D2958">
        <v>6</v>
      </c>
      <c r="E2958">
        <f t="shared" ref="E2958:E3021" si="46">COMBIN(A$4,A2958)*COMBIN(B$4,B2958)*COMBIN(C$4,C2958)*COMBIN(D$4,D2958)/COMBIN($G$4,$F$4)</f>
        <v>1.932994385789103E-24</v>
      </c>
    </row>
    <row r="2959" spans="1:5" x14ac:dyDescent="0.25">
      <c r="A2959">
        <v>3</v>
      </c>
      <c r="B2959">
        <v>6</v>
      </c>
      <c r="C2959">
        <v>34</v>
      </c>
      <c r="D2959">
        <v>5</v>
      </c>
      <c r="E2959">
        <f t="shared" si="46"/>
        <v>5.457866501051586E-25</v>
      </c>
    </row>
    <row r="2960" spans="1:5" x14ac:dyDescent="0.25">
      <c r="A2960">
        <v>3</v>
      </c>
      <c r="B2960">
        <v>6</v>
      </c>
      <c r="C2960">
        <v>35</v>
      </c>
      <c r="D2960">
        <v>4</v>
      </c>
      <c r="E2960">
        <f t="shared" si="46"/>
        <v>1.1509786498816273E-25</v>
      </c>
    </row>
    <row r="2961" spans="1:5" x14ac:dyDescent="0.25">
      <c r="A2961">
        <v>3</v>
      </c>
      <c r="B2961">
        <v>6</v>
      </c>
      <c r="C2961">
        <v>36</v>
      </c>
      <c r="D2961">
        <v>3</v>
      </c>
      <c r="E2961">
        <f t="shared" si="46"/>
        <v>1.743907045275193E-26</v>
      </c>
    </row>
    <row r="2962" spans="1:5" x14ac:dyDescent="0.25">
      <c r="A2962">
        <v>3</v>
      </c>
      <c r="B2962">
        <v>6</v>
      </c>
      <c r="C2962">
        <v>37</v>
      </c>
      <c r="D2962">
        <v>2</v>
      </c>
      <c r="E2962">
        <f t="shared" si="46"/>
        <v>1.782842690234333E-27</v>
      </c>
    </row>
    <row r="2963" spans="1:5" x14ac:dyDescent="0.25">
      <c r="A2963">
        <v>3</v>
      </c>
      <c r="B2963">
        <v>6</v>
      </c>
      <c r="C2963">
        <v>38</v>
      </c>
      <c r="D2963">
        <v>1</v>
      </c>
      <c r="E2963">
        <f t="shared" si="46"/>
        <v>1.0947279676877485E-28</v>
      </c>
    </row>
    <row r="2964" spans="1:5" x14ac:dyDescent="0.25">
      <c r="A2964">
        <v>3</v>
      </c>
      <c r="B2964">
        <v>6</v>
      </c>
      <c r="C2964">
        <v>39</v>
      </c>
      <c r="D2964">
        <v>0</v>
      </c>
      <c r="E2964">
        <f t="shared" si="46"/>
        <v>3.0315543720583801E-30</v>
      </c>
    </row>
    <row r="2965" spans="1:5" x14ac:dyDescent="0.25">
      <c r="A2965">
        <v>3</v>
      </c>
      <c r="B2965">
        <v>7</v>
      </c>
      <c r="C2965">
        <v>13</v>
      </c>
      <c r="D2965">
        <v>25</v>
      </c>
      <c r="E2965">
        <f t="shared" si="46"/>
        <v>2.0073779642472209E-33</v>
      </c>
    </row>
    <row r="2966" spans="1:5" x14ac:dyDescent="0.25">
      <c r="A2966">
        <v>3</v>
      </c>
      <c r="B2966">
        <v>7</v>
      </c>
      <c r="C2966">
        <v>14</v>
      </c>
      <c r="D2966">
        <v>24</v>
      </c>
      <c r="E2966">
        <f t="shared" si="46"/>
        <v>1.8639938239438482E-31</v>
      </c>
    </row>
    <row r="2967" spans="1:5" x14ac:dyDescent="0.25">
      <c r="A2967">
        <v>3</v>
      </c>
      <c r="B2967">
        <v>7</v>
      </c>
      <c r="C2967">
        <v>15</v>
      </c>
      <c r="D2967">
        <v>23</v>
      </c>
      <c r="E2967">
        <f t="shared" si="46"/>
        <v>7.6050948016908968E-30</v>
      </c>
    </row>
    <row r="2968" spans="1:5" x14ac:dyDescent="0.25">
      <c r="A2968">
        <v>3</v>
      </c>
      <c r="B2968">
        <v>7</v>
      </c>
      <c r="C2968">
        <v>16</v>
      </c>
      <c r="D2968">
        <v>22</v>
      </c>
      <c r="E2968">
        <f t="shared" si="46"/>
        <v>1.8220539629051111E-28</v>
      </c>
    </row>
    <row r="2969" spans="1:5" x14ac:dyDescent="0.25">
      <c r="A2969">
        <v>3</v>
      </c>
      <c r="B2969">
        <v>7</v>
      </c>
      <c r="C2969">
        <v>17</v>
      </c>
      <c r="D2969">
        <v>21</v>
      </c>
      <c r="E2969">
        <f t="shared" si="46"/>
        <v>2.8884914294289873E-27</v>
      </c>
    </row>
    <row r="2970" spans="1:5" x14ac:dyDescent="0.25">
      <c r="A2970">
        <v>3</v>
      </c>
      <c r="B2970">
        <v>7</v>
      </c>
      <c r="C2970">
        <v>18</v>
      </c>
      <c r="D2970">
        <v>20</v>
      </c>
      <c r="E2970">
        <f t="shared" si="46"/>
        <v>3.2351104009604614E-26</v>
      </c>
    </row>
    <row r="2971" spans="1:5" x14ac:dyDescent="0.25">
      <c r="A2971">
        <v>3</v>
      </c>
      <c r="B2971">
        <v>7</v>
      </c>
      <c r="C2971">
        <v>19</v>
      </c>
      <c r="D2971">
        <v>19</v>
      </c>
      <c r="E2971">
        <f t="shared" si="46"/>
        <v>2.6675471727217853E-25</v>
      </c>
    </row>
    <row r="2972" spans="1:5" x14ac:dyDescent="0.25">
      <c r="A2972">
        <v>3</v>
      </c>
      <c r="B2972">
        <v>7</v>
      </c>
      <c r="C2972">
        <v>20</v>
      </c>
      <c r="D2972">
        <v>18</v>
      </c>
      <c r="E2972">
        <f t="shared" si="46"/>
        <v>1.6653115921134593E-24</v>
      </c>
    </row>
    <row r="2973" spans="1:5" x14ac:dyDescent="0.25">
      <c r="A2973">
        <v>3</v>
      </c>
      <c r="B2973">
        <v>7</v>
      </c>
      <c r="C2973">
        <v>21</v>
      </c>
      <c r="D2973">
        <v>17</v>
      </c>
      <c r="E2973">
        <f t="shared" si="46"/>
        <v>8.0291808905470244E-24</v>
      </c>
    </row>
    <row r="2974" spans="1:5" x14ac:dyDescent="0.25">
      <c r="A2974">
        <v>3</v>
      </c>
      <c r="B2974">
        <v>7</v>
      </c>
      <c r="C2974">
        <v>22</v>
      </c>
      <c r="D2974">
        <v>16</v>
      </c>
      <c r="E2974">
        <f t="shared" si="46"/>
        <v>3.0332461142066556E-23</v>
      </c>
    </row>
    <row r="2975" spans="1:5" x14ac:dyDescent="0.25">
      <c r="A2975">
        <v>3</v>
      </c>
      <c r="B2975">
        <v>7</v>
      </c>
      <c r="C2975">
        <v>23</v>
      </c>
      <c r="D2975">
        <v>15</v>
      </c>
      <c r="E2975">
        <f t="shared" si="46"/>
        <v>9.0733622894529494E-23</v>
      </c>
    </row>
    <row r="2976" spans="1:5" x14ac:dyDescent="0.25">
      <c r="A2976">
        <v>3</v>
      </c>
      <c r="B2976">
        <v>7</v>
      </c>
      <c r="C2976">
        <v>24</v>
      </c>
      <c r="D2976">
        <v>14</v>
      </c>
      <c r="E2976">
        <f t="shared" si="46"/>
        <v>2.1652341827103631E-22</v>
      </c>
    </row>
    <row r="2977" spans="1:5" x14ac:dyDescent="0.25">
      <c r="A2977">
        <v>3</v>
      </c>
      <c r="B2977">
        <v>7</v>
      </c>
      <c r="C2977">
        <v>25</v>
      </c>
      <c r="D2977">
        <v>13</v>
      </c>
      <c r="E2977">
        <f t="shared" si="46"/>
        <v>4.1428147362524969E-22</v>
      </c>
    </row>
    <row r="2978" spans="1:5" x14ac:dyDescent="0.25">
      <c r="A2978">
        <v>3</v>
      </c>
      <c r="B2978">
        <v>7</v>
      </c>
      <c r="C2978">
        <v>26</v>
      </c>
      <c r="D2978">
        <v>12</v>
      </c>
      <c r="E2978">
        <f t="shared" si="46"/>
        <v>6.373561132696145E-22</v>
      </c>
    </row>
    <row r="2979" spans="1:5" x14ac:dyDescent="0.25">
      <c r="A2979">
        <v>3</v>
      </c>
      <c r="B2979">
        <v>7</v>
      </c>
      <c r="C2979">
        <v>27</v>
      </c>
      <c r="D2979">
        <v>11</v>
      </c>
      <c r="E2979">
        <f t="shared" si="46"/>
        <v>7.8910756880999886E-22</v>
      </c>
    </row>
    <row r="2980" spans="1:5" x14ac:dyDescent="0.25">
      <c r="A2980">
        <v>3</v>
      </c>
      <c r="B2980">
        <v>7</v>
      </c>
      <c r="C2980">
        <v>28</v>
      </c>
      <c r="D2980">
        <v>10</v>
      </c>
      <c r="E2980">
        <f t="shared" si="46"/>
        <v>7.8534991372042726E-22</v>
      </c>
    </row>
    <row r="2981" spans="1:5" x14ac:dyDescent="0.25">
      <c r="A2981">
        <v>3</v>
      </c>
      <c r="B2981">
        <v>7</v>
      </c>
      <c r="C2981">
        <v>29</v>
      </c>
      <c r="D2981">
        <v>9</v>
      </c>
      <c r="E2981">
        <f t="shared" si="46"/>
        <v>6.2624885361327193E-22</v>
      </c>
    </row>
    <row r="2982" spans="1:5" x14ac:dyDescent="0.25">
      <c r="A2982">
        <v>3</v>
      </c>
      <c r="B2982">
        <v>7</v>
      </c>
      <c r="C2982">
        <v>30</v>
      </c>
      <c r="D2982">
        <v>8</v>
      </c>
      <c r="E2982">
        <f t="shared" si="46"/>
        <v>3.9785221288372564E-22</v>
      </c>
    </row>
    <row r="2983" spans="1:5" x14ac:dyDescent="0.25">
      <c r="A2983">
        <v>3</v>
      </c>
      <c r="B2983">
        <v>7</v>
      </c>
      <c r="C2983">
        <v>31</v>
      </c>
      <c r="D2983">
        <v>7</v>
      </c>
      <c r="E2983">
        <f t="shared" si="46"/>
        <v>1.9963910323914557E-22</v>
      </c>
    </row>
    <row r="2984" spans="1:5" x14ac:dyDescent="0.25">
      <c r="A2984">
        <v>3</v>
      </c>
      <c r="B2984">
        <v>7</v>
      </c>
      <c r="C2984">
        <v>32</v>
      </c>
      <c r="D2984">
        <v>6</v>
      </c>
      <c r="E2984">
        <f t="shared" si="46"/>
        <v>7.8148201596902331E-23</v>
      </c>
    </row>
    <row r="2985" spans="1:5" x14ac:dyDescent="0.25">
      <c r="A2985">
        <v>3</v>
      </c>
      <c r="B2985">
        <v>7</v>
      </c>
      <c r="C2985">
        <v>33</v>
      </c>
      <c r="D2985">
        <v>5</v>
      </c>
      <c r="E2985">
        <f t="shared" si="46"/>
        <v>2.3444460479070701E-23</v>
      </c>
    </row>
    <row r="2986" spans="1:5" x14ac:dyDescent="0.25">
      <c r="A2986">
        <v>3</v>
      </c>
      <c r="B2986">
        <v>7</v>
      </c>
      <c r="C2986">
        <v>34</v>
      </c>
      <c r="D2986">
        <v>4</v>
      </c>
      <c r="E2986">
        <f t="shared" si="46"/>
        <v>5.2536606115564614E-24</v>
      </c>
    </row>
    <row r="2987" spans="1:5" x14ac:dyDescent="0.25">
      <c r="A2987">
        <v>3</v>
      </c>
      <c r="B2987">
        <v>7</v>
      </c>
      <c r="C2987">
        <v>35</v>
      </c>
      <c r="D2987">
        <v>3</v>
      </c>
      <c r="E2987">
        <f t="shared" si="46"/>
        <v>8.4604404653636495E-25</v>
      </c>
    </row>
    <row r="2988" spans="1:5" x14ac:dyDescent="0.25">
      <c r="A2988">
        <v>3</v>
      </c>
      <c r="B2988">
        <v>7</v>
      </c>
      <c r="C2988">
        <v>36</v>
      </c>
      <c r="D2988">
        <v>2</v>
      </c>
      <c r="E2988">
        <f t="shared" si="46"/>
        <v>9.1961309406126641E-26</v>
      </c>
    </row>
    <row r="2989" spans="1:5" x14ac:dyDescent="0.25">
      <c r="A2989">
        <v>3</v>
      </c>
      <c r="B2989">
        <v>7</v>
      </c>
      <c r="C2989">
        <v>37</v>
      </c>
      <c r="D2989">
        <v>1</v>
      </c>
      <c r="E2989">
        <f t="shared" si="46"/>
        <v>6.0064819206704333E-27</v>
      </c>
    </row>
    <row r="2990" spans="1:5" x14ac:dyDescent="0.25">
      <c r="A2990">
        <v>3</v>
      </c>
      <c r="B2990">
        <v>7</v>
      </c>
      <c r="C2990">
        <v>38</v>
      </c>
      <c r="D2990">
        <v>0</v>
      </c>
      <c r="E2990">
        <f t="shared" si="46"/>
        <v>1.7703315134607591E-28</v>
      </c>
    </row>
    <row r="2991" spans="1:5" x14ac:dyDescent="0.25">
      <c r="A2991">
        <v>3</v>
      </c>
      <c r="B2991">
        <v>8</v>
      </c>
      <c r="C2991">
        <v>12</v>
      </c>
      <c r="D2991">
        <v>25</v>
      </c>
      <c r="E2991">
        <f t="shared" si="46"/>
        <v>1.7356244379552609E-32</v>
      </c>
    </row>
    <row r="2992" spans="1:5" x14ac:dyDescent="0.25">
      <c r="A2992">
        <v>3</v>
      </c>
      <c r="B2992">
        <v>8</v>
      </c>
      <c r="C2992">
        <v>13</v>
      </c>
      <c r="D2992">
        <v>24</v>
      </c>
      <c r="E2992">
        <f t="shared" si="46"/>
        <v>1.7690018309928629E-30</v>
      </c>
    </row>
    <row r="2993" spans="1:5" x14ac:dyDescent="0.25">
      <c r="A2993">
        <v>3</v>
      </c>
      <c r="B2993">
        <v>8</v>
      </c>
      <c r="C2993">
        <v>14</v>
      </c>
      <c r="D2993">
        <v>23</v>
      </c>
      <c r="E2993">
        <f t="shared" si="46"/>
        <v>7.8846938752824765E-29</v>
      </c>
    </row>
    <row r="2994" spans="1:5" x14ac:dyDescent="0.25">
      <c r="A2994">
        <v>3</v>
      </c>
      <c r="B2994">
        <v>8</v>
      </c>
      <c r="C2994">
        <v>15</v>
      </c>
      <c r="D2994">
        <v>22</v>
      </c>
      <c r="E2994">
        <f t="shared" si="46"/>
        <v>2.055276870156965E-27</v>
      </c>
    </row>
    <row r="2995" spans="1:5" x14ac:dyDescent="0.25">
      <c r="A2995">
        <v>3</v>
      </c>
      <c r="B2995">
        <v>8</v>
      </c>
      <c r="C2995">
        <v>16</v>
      </c>
      <c r="D2995">
        <v>21</v>
      </c>
      <c r="E2995">
        <f t="shared" si="46"/>
        <v>3.532507120582284E-26</v>
      </c>
    </row>
    <row r="2996" spans="1:5" x14ac:dyDescent="0.25">
      <c r="A2996">
        <v>3</v>
      </c>
      <c r="B2996">
        <v>8</v>
      </c>
      <c r="C2996">
        <v>17</v>
      </c>
      <c r="D2996">
        <v>20</v>
      </c>
      <c r="E2996">
        <f t="shared" si="46"/>
        <v>4.2764115612696128E-25</v>
      </c>
    </row>
    <row r="2997" spans="1:5" x14ac:dyDescent="0.25">
      <c r="A2997">
        <v>3</v>
      </c>
      <c r="B2997">
        <v>8</v>
      </c>
      <c r="C2997">
        <v>18</v>
      </c>
      <c r="D2997">
        <v>19</v>
      </c>
      <c r="E2997">
        <f t="shared" si="46"/>
        <v>3.8012547211285416E-24</v>
      </c>
    </row>
    <row r="2998" spans="1:5" x14ac:dyDescent="0.25">
      <c r="A2998">
        <v>3</v>
      </c>
      <c r="B2998">
        <v>8</v>
      </c>
      <c r="C2998">
        <v>19</v>
      </c>
      <c r="D2998">
        <v>18</v>
      </c>
      <c r="E2998">
        <f t="shared" si="46"/>
        <v>2.5522710270434517E-23</v>
      </c>
    </row>
    <row r="2999" spans="1:5" x14ac:dyDescent="0.25">
      <c r="A2999">
        <v>3</v>
      </c>
      <c r="B2999">
        <v>8</v>
      </c>
      <c r="C2999">
        <v>20</v>
      </c>
      <c r="D2999">
        <v>17</v>
      </c>
      <c r="E2999">
        <f t="shared" si="46"/>
        <v>1.3208002564949868E-22</v>
      </c>
    </row>
    <row r="3000" spans="1:5" x14ac:dyDescent="0.25">
      <c r="A3000">
        <v>3</v>
      </c>
      <c r="B3000">
        <v>8</v>
      </c>
      <c r="C3000">
        <v>21</v>
      </c>
      <c r="D3000">
        <v>16</v>
      </c>
      <c r="E3000">
        <f t="shared" si="46"/>
        <v>5.3460962762892253E-22</v>
      </c>
    </row>
    <row r="3001" spans="1:5" x14ac:dyDescent="0.25">
      <c r="A3001">
        <v>3</v>
      </c>
      <c r="B3001">
        <v>8</v>
      </c>
      <c r="C3001">
        <v>22</v>
      </c>
      <c r="D3001">
        <v>15</v>
      </c>
      <c r="E3001">
        <f t="shared" si="46"/>
        <v>1.7107508084125534E-21</v>
      </c>
    </row>
    <row r="3002" spans="1:5" x14ac:dyDescent="0.25">
      <c r="A3002">
        <v>3</v>
      </c>
      <c r="B3002">
        <v>8</v>
      </c>
      <c r="C3002">
        <v>23</v>
      </c>
      <c r="D3002">
        <v>14</v>
      </c>
      <c r="E3002">
        <f t="shared" si="46"/>
        <v>4.3614002823165884E-21</v>
      </c>
    </row>
    <row r="3003" spans="1:5" x14ac:dyDescent="0.25">
      <c r="A3003">
        <v>3</v>
      </c>
      <c r="B3003">
        <v>8</v>
      </c>
      <c r="C3003">
        <v>24</v>
      </c>
      <c r="D3003">
        <v>13</v>
      </c>
      <c r="E3003">
        <f t="shared" si="46"/>
        <v>8.9045255763963672E-21</v>
      </c>
    </row>
    <row r="3004" spans="1:5" x14ac:dyDescent="0.25">
      <c r="A3004">
        <v>3</v>
      </c>
      <c r="B3004">
        <v>8</v>
      </c>
      <c r="C3004">
        <v>25</v>
      </c>
      <c r="D3004">
        <v>12</v>
      </c>
      <c r="E3004">
        <f t="shared" si="46"/>
        <v>1.4603421945290048E-20</v>
      </c>
    </row>
    <row r="3005" spans="1:5" x14ac:dyDescent="0.25">
      <c r="A3005">
        <v>3</v>
      </c>
      <c r="B3005">
        <v>8</v>
      </c>
      <c r="C3005">
        <v>26</v>
      </c>
      <c r="D3005">
        <v>11</v>
      </c>
      <c r="E3005">
        <f t="shared" si="46"/>
        <v>1.9257259708074773E-20</v>
      </c>
    </row>
    <row r="3006" spans="1:5" x14ac:dyDescent="0.25">
      <c r="A3006">
        <v>3</v>
      </c>
      <c r="B3006">
        <v>8</v>
      </c>
      <c r="C3006">
        <v>27</v>
      </c>
      <c r="D3006">
        <v>10</v>
      </c>
      <c r="E3006">
        <f t="shared" si="46"/>
        <v>2.0398430653738463E-20</v>
      </c>
    </row>
    <row r="3007" spans="1:5" x14ac:dyDescent="0.25">
      <c r="A3007">
        <v>3</v>
      </c>
      <c r="B3007">
        <v>8</v>
      </c>
      <c r="C3007">
        <v>28</v>
      </c>
      <c r="D3007">
        <v>9</v>
      </c>
      <c r="E3007">
        <f t="shared" si="46"/>
        <v>1.7302240286653166E-20</v>
      </c>
    </row>
    <row r="3008" spans="1:5" x14ac:dyDescent="0.25">
      <c r="A3008">
        <v>3</v>
      </c>
      <c r="B3008">
        <v>8</v>
      </c>
      <c r="C3008">
        <v>29</v>
      </c>
      <c r="D3008">
        <v>8</v>
      </c>
      <c r="E3008">
        <f t="shared" si="46"/>
        <v>1.1686908753459442E-20</v>
      </c>
    </row>
    <row r="3009" spans="1:5" x14ac:dyDescent="0.25">
      <c r="A3009">
        <v>3</v>
      </c>
      <c r="B3009">
        <v>8</v>
      </c>
      <c r="C3009">
        <v>30</v>
      </c>
      <c r="D3009">
        <v>7</v>
      </c>
      <c r="E3009">
        <f t="shared" si="46"/>
        <v>6.2330180018450358E-21</v>
      </c>
    </row>
    <row r="3010" spans="1:5" x14ac:dyDescent="0.25">
      <c r="A3010">
        <v>3</v>
      </c>
      <c r="B3010">
        <v>8</v>
      </c>
      <c r="C3010">
        <v>31</v>
      </c>
      <c r="D3010">
        <v>6</v>
      </c>
      <c r="E3010">
        <f t="shared" si="46"/>
        <v>2.5926815118031125E-21</v>
      </c>
    </row>
    <row r="3011" spans="1:5" x14ac:dyDescent="0.25">
      <c r="A3011">
        <v>3</v>
      </c>
      <c r="B3011">
        <v>8</v>
      </c>
      <c r="C3011">
        <v>32</v>
      </c>
      <c r="D3011">
        <v>5</v>
      </c>
      <c r="E3011">
        <f t="shared" si="46"/>
        <v>8.2641723188724209E-22</v>
      </c>
    </row>
    <row r="3012" spans="1:5" x14ac:dyDescent="0.25">
      <c r="A3012">
        <v>3</v>
      </c>
      <c r="B3012">
        <v>8</v>
      </c>
      <c r="C3012">
        <v>33</v>
      </c>
      <c r="D3012">
        <v>4</v>
      </c>
      <c r="E3012">
        <f t="shared" si="46"/>
        <v>1.9676600759220055E-22</v>
      </c>
    </row>
    <row r="3013" spans="1:5" x14ac:dyDescent="0.25">
      <c r="A3013">
        <v>3</v>
      </c>
      <c r="B3013">
        <v>8</v>
      </c>
      <c r="C3013">
        <v>34</v>
      </c>
      <c r="D3013">
        <v>3</v>
      </c>
      <c r="E3013">
        <f t="shared" si="46"/>
        <v>3.3671188464975495E-23</v>
      </c>
    </row>
    <row r="3014" spans="1:5" x14ac:dyDescent="0.25">
      <c r="A3014">
        <v>3</v>
      </c>
      <c r="B3014">
        <v>8</v>
      </c>
      <c r="C3014">
        <v>35</v>
      </c>
      <c r="D3014">
        <v>2</v>
      </c>
      <c r="E3014">
        <f t="shared" si="46"/>
        <v>3.8899633878791558E-24</v>
      </c>
    </row>
    <row r="3015" spans="1:5" x14ac:dyDescent="0.25">
      <c r="A3015">
        <v>3</v>
      </c>
      <c r="B3015">
        <v>8</v>
      </c>
      <c r="C3015">
        <v>36</v>
      </c>
      <c r="D3015">
        <v>1</v>
      </c>
      <c r="E3015">
        <f t="shared" si="46"/>
        <v>2.7013634638049702E-25</v>
      </c>
    </row>
    <row r="3016" spans="1:5" x14ac:dyDescent="0.25">
      <c r="A3016">
        <v>3</v>
      </c>
      <c r="B3016">
        <v>8</v>
      </c>
      <c r="C3016">
        <v>37</v>
      </c>
      <c r="D3016">
        <v>0</v>
      </c>
      <c r="E3016">
        <f t="shared" si="46"/>
        <v>8.4691395081453105E-27</v>
      </c>
    </row>
    <row r="3017" spans="1:5" x14ac:dyDescent="0.25">
      <c r="A3017">
        <v>3</v>
      </c>
      <c r="B3017">
        <v>9</v>
      </c>
      <c r="C3017">
        <v>11</v>
      </c>
      <c r="D3017">
        <v>25</v>
      </c>
      <c r="E3017">
        <f t="shared" si="46"/>
        <v>1.2042233754701942E-31</v>
      </c>
    </row>
    <row r="3018" spans="1:5" x14ac:dyDescent="0.25">
      <c r="A3018">
        <v>3</v>
      </c>
      <c r="B3018">
        <v>9</v>
      </c>
      <c r="C3018">
        <v>12</v>
      </c>
      <c r="D3018">
        <v>24</v>
      </c>
      <c r="E3018">
        <f t="shared" si="46"/>
        <v>1.3547512974039676E-29</v>
      </c>
    </row>
    <row r="3019" spans="1:5" x14ac:dyDescent="0.25">
      <c r="A3019">
        <v>3</v>
      </c>
      <c r="B3019">
        <v>9</v>
      </c>
      <c r="C3019">
        <v>13</v>
      </c>
      <c r="D3019">
        <v>23</v>
      </c>
      <c r="E3019">
        <f t="shared" si="46"/>
        <v>6.6278601934532593E-28</v>
      </c>
    </row>
    <row r="3020" spans="1:5" x14ac:dyDescent="0.25">
      <c r="A3020">
        <v>3</v>
      </c>
      <c r="B3020">
        <v>9</v>
      </c>
      <c r="C3020">
        <v>14</v>
      </c>
      <c r="D3020">
        <v>22</v>
      </c>
      <c r="E3020">
        <f t="shared" si="46"/>
        <v>1.8873620931833573E-26</v>
      </c>
    </row>
    <row r="3021" spans="1:5" x14ac:dyDescent="0.25">
      <c r="A3021">
        <v>3</v>
      </c>
      <c r="B3021">
        <v>9</v>
      </c>
      <c r="C3021">
        <v>15</v>
      </c>
      <c r="D3021">
        <v>21</v>
      </c>
      <c r="E3021">
        <f t="shared" si="46"/>
        <v>3.529367114252877E-25</v>
      </c>
    </row>
    <row r="3022" spans="1:5" x14ac:dyDescent="0.25">
      <c r="A3022">
        <v>3</v>
      </c>
      <c r="B3022">
        <v>9</v>
      </c>
      <c r="C3022">
        <v>16</v>
      </c>
      <c r="D3022">
        <v>20</v>
      </c>
      <c r="E3022">
        <f t="shared" ref="E3022:E3085" si="47">COMBIN(A$4,A3022)*COMBIN(B$4,B3022)*COMBIN(C$4,C3022)*COMBIN(D$4,D3022)/COMBIN($G$4,$F$4)</f>
        <v>4.6322943374569003E-24</v>
      </c>
    </row>
    <row r="3023" spans="1:5" x14ac:dyDescent="0.25">
      <c r="A3023">
        <v>3</v>
      </c>
      <c r="B3023">
        <v>9</v>
      </c>
      <c r="C3023">
        <v>17</v>
      </c>
      <c r="D3023">
        <v>19</v>
      </c>
      <c r="E3023">
        <f t="shared" si="47"/>
        <v>4.4506357359880046E-23</v>
      </c>
    </row>
    <row r="3024" spans="1:5" x14ac:dyDescent="0.25">
      <c r="A3024">
        <v>3</v>
      </c>
      <c r="B3024">
        <v>9</v>
      </c>
      <c r="C3024">
        <v>18</v>
      </c>
      <c r="D3024">
        <v>18</v>
      </c>
      <c r="E3024">
        <f t="shared" si="47"/>
        <v>3.2214125327151252E-22</v>
      </c>
    </row>
    <row r="3025" spans="1:5" x14ac:dyDescent="0.25">
      <c r="A3025">
        <v>3</v>
      </c>
      <c r="B3025">
        <v>9</v>
      </c>
      <c r="C3025">
        <v>19</v>
      </c>
      <c r="D3025">
        <v>17</v>
      </c>
      <c r="E3025">
        <f t="shared" si="47"/>
        <v>1.7929703964980241E-21</v>
      </c>
    </row>
    <row r="3026" spans="1:5" x14ac:dyDescent="0.25">
      <c r="A3026">
        <v>3</v>
      </c>
      <c r="B3026">
        <v>9</v>
      </c>
      <c r="C3026">
        <v>20</v>
      </c>
      <c r="D3026">
        <v>16</v>
      </c>
      <c r="E3026">
        <f t="shared" si="47"/>
        <v>7.7894602781192003E-21</v>
      </c>
    </row>
    <row r="3027" spans="1:5" x14ac:dyDescent="0.25">
      <c r="A3027">
        <v>3</v>
      </c>
      <c r="B3027">
        <v>9</v>
      </c>
      <c r="C3027">
        <v>21</v>
      </c>
      <c r="D3027">
        <v>15</v>
      </c>
      <c r="E3027">
        <f t="shared" si="47"/>
        <v>2.6706720953551505E-20</v>
      </c>
    </row>
    <row r="3028" spans="1:5" x14ac:dyDescent="0.25">
      <c r="A3028">
        <v>3</v>
      </c>
      <c r="B3028">
        <v>9</v>
      </c>
      <c r="C3028">
        <v>22</v>
      </c>
      <c r="D3028">
        <v>14</v>
      </c>
      <c r="E3028">
        <f t="shared" si="47"/>
        <v>7.2836511691504164E-20</v>
      </c>
    </row>
    <row r="3029" spans="1:5" x14ac:dyDescent="0.25">
      <c r="A3029">
        <v>3</v>
      </c>
      <c r="B3029">
        <v>9</v>
      </c>
      <c r="C3029">
        <v>23</v>
      </c>
      <c r="D3029">
        <v>13</v>
      </c>
      <c r="E3029">
        <f t="shared" si="47"/>
        <v>1.5886804361697647E-19</v>
      </c>
    </row>
    <row r="3030" spans="1:5" x14ac:dyDescent="0.25">
      <c r="A3030">
        <v>3</v>
      </c>
      <c r="B3030">
        <v>9</v>
      </c>
      <c r="C3030">
        <v>24</v>
      </c>
      <c r="D3030">
        <v>12</v>
      </c>
      <c r="E3030">
        <f t="shared" si="47"/>
        <v>2.7801907632970881E-19</v>
      </c>
    </row>
    <row r="3031" spans="1:5" x14ac:dyDescent="0.25">
      <c r="A3031">
        <v>3</v>
      </c>
      <c r="B3031">
        <v>9</v>
      </c>
      <c r="C3031">
        <v>25</v>
      </c>
      <c r="D3031">
        <v>11</v>
      </c>
      <c r="E3031">
        <f t="shared" si="47"/>
        <v>3.9081538729776217E-19</v>
      </c>
    </row>
    <row r="3032" spans="1:5" x14ac:dyDescent="0.25">
      <c r="A3032">
        <v>3</v>
      </c>
      <c r="B3032">
        <v>9</v>
      </c>
      <c r="C3032">
        <v>26</v>
      </c>
      <c r="D3032">
        <v>10</v>
      </c>
      <c r="E3032">
        <f t="shared" si="47"/>
        <v>4.4091992413080821E-19</v>
      </c>
    </row>
    <row r="3033" spans="1:5" x14ac:dyDescent="0.25">
      <c r="A3033">
        <v>3</v>
      </c>
      <c r="B3033">
        <v>9</v>
      </c>
      <c r="C3033">
        <v>27</v>
      </c>
      <c r="D3033">
        <v>9</v>
      </c>
      <c r="E3033">
        <f t="shared" si="47"/>
        <v>3.9805270928475747E-19</v>
      </c>
    </row>
    <row r="3034" spans="1:5" x14ac:dyDescent="0.25">
      <c r="A3034">
        <v>3</v>
      </c>
      <c r="B3034">
        <v>9</v>
      </c>
      <c r="C3034">
        <v>28</v>
      </c>
      <c r="D3034">
        <v>8</v>
      </c>
      <c r="E3034">
        <f t="shared" si="47"/>
        <v>2.8599585414997294E-19</v>
      </c>
    </row>
    <row r="3035" spans="1:5" x14ac:dyDescent="0.25">
      <c r="A3035">
        <v>3</v>
      </c>
      <c r="B3035">
        <v>9</v>
      </c>
      <c r="C3035">
        <v>29</v>
      </c>
      <c r="D3035">
        <v>7</v>
      </c>
      <c r="E3035">
        <f t="shared" si="47"/>
        <v>1.6217389430726438E-19</v>
      </c>
    </row>
    <row r="3036" spans="1:5" x14ac:dyDescent="0.25">
      <c r="A3036">
        <v>3</v>
      </c>
      <c r="B3036">
        <v>9</v>
      </c>
      <c r="C3036">
        <v>30</v>
      </c>
      <c r="D3036">
        <v>6</v>
      </c>
      <c r="E3036">
        <f t="shared" si="47"/>
        <v>7.1697932220053685E-20</v>
      </c>
    </row>
    <row r="3037" spans="1:5" x14ac:dyDescent="0.25">
      <c r="A3037">
        <v>3</v>
      </c>
      <c r="B3037">
        <v>9</v>
      </c>
      <c r="C3037">
        <v>31</v>
      </c>
      <c r="D3037">
        <v>5</v>
      </c>
      <c r="E3037">
        <f t="shared" si="47"/>
        <v>2.4284783493889155E-20</v>
      </c>
    </row>
    <row r="3038" spans="1:5" x14ac:dyDescent="0.25">
      <c r="A3038">
        <v>3</v>
      </c>
      <c r="B3038">
        <v>9</v>
      </c>
      <c r="C3038">
        <v>32</v>
      </c>
      <c r="D3038">
        <v>4</v>
      </c>
      <c r="E3038">
        <f t="shared" si="47"/>
        <v>6.1434720148231495E-21</v>
      </c>
    </row>
    <row r="3039" spans="1:5" x14ac:dyDescent="0.25">
      <c r="A3039">
        <v>3</v>
      </c>
      <c r="B3039">
        <v>9</v>
      </c>
      <c r="C3039">
        <v>33</v>
      </c>
      <c r="D3039">
        <v>3</v>
      </c>
      <c r="E3039">
        <f t="shared" si="47"/>
        <v>1.1169949117860271E-21</v>
      </c>
    </row>
    <row r="3040" spans="1:5" x14ac:dyDescent="0.25">
      <c r="A3040">
        <v>3</v>
      </c>
      <c r="B3040">
        <v>9</v>
      </c>
      <c r="C3040">
        <v>34</v>
      </c>
      <c r="D3040">
        <v>2</v>
      </c>
      <c r="E3040">
        <f t="shared" si="47"/>
        <v>1.3712469505301616E-22</v>
      </c>
    </row>
    <row r="3041" spans="1:5" x14ac:dyDescent="0.25">
      <c r="A3041">
        <v>3</v>
      </c>
      <c r="B3041">
        <v>9</v>
      </c>
      <c r="C3041">
        <v>35</v>
      </c>
      <c r="D3041">
        <v>1</v>
      </c>
      <c r="E3041">
        <f t="shared" si="47"/>
        <v>1.0121108444389285E-23</v>
      </c>
    </row>
    <row r="3042" spans="1:5" x14ac:dyDescent="0.25">
      <c r="A3042">
        <v>3</v>
      </c>
      <c r="B3042">
        <v>9</v>
      </c>
      <c r="C3042">
        <v>36</v>
      </c>
      <c r="D3042">
        <v>0</v>
      </c>
      <c r="E3042">
        <f t="shared" si="47"/>
        <v>3.3737028147964292E-25</v>
      </c>
    </row>
    <row r="3043" spans="1:5" x14ac:dyDescent="0.25">
      <c r="A3043">
        <v>3</v>
      </c>
      <c r="B3043">
        <v>10</v>
      </c>
      <c r="C3043">
        <v>10</v>
      </c>
      <c r="D3043">
        <v>25</v>
      </c>
      <c r="E3043">
        <f t="shared" si="47"/>
        <v>6.7436509026330873E-31</v>
      </c>
    </row>
    <row r="3044" spans="1:5" x14ac:dyDescent="0.25">
      <c r="A3044">
        <v>3</v>
      </c>
      <c r="B3044">
        <v>10</v>
      </c>
      <c r="C3044">
        <v>11</v>
      </c>
      <c r="D3044">
        <v>24</v>
      </c>
      <c r="E3044">
        <f t="shared" si="47"/>
        <v>8.42956362829136E-29</v>
      </c>
    </row>
    <row r="3045" spans="1:5" x14ac:dyDescent="0.25">
      <c r="A3045">
        <v>3</v>
      </c>
      <c r="B3045">
        <v>10</v>
      </c>
      <c r="C3045">
        <v>12</v>
      </c>
      <c r="D3045">
        <v>23</v>
      </c>
      <c r="E3045">
        <f t="shared" si="47"/>
        <v>4.5519643592773317E-27</v>
      </c>
    </row>
    <row r="3046" spans="1:5" x14ac:dyDescent="0.25">
      <c r="A3046">
        <v>3</v>
      </c>
      <c r="B3046">
        <v>10</v>
      </c>
      <c r="C3046">
        <v>13</v>
      </c>
      <c r="D3046">
        <v>22</v>
      </c>
      <c r="E3046">
        <f t="shared" si="47"/>
        <v>1.4227806548613001E-25</v>
      </c>
    </row>
    <row r="3047" spans="1:5" x14ac:dyDescent="0.25">
      <c r="A3047">
        <v>3</v>
      </c>
      <c r="B3047">
        <v>10</v>
      </c>
      <c r="C3047">
        <v>14</v>
      </c>
      <c r="D3047">
        <v>21</v>
      </c>
      <c r="E3047">
        <f t="shared" si="47"/>
        <v>2.9065376235023705E-24</v>
      </c>
    </row>
    <row r="3048" spans="1:5" x14ac:dyDescent="0.25">
      <c r="A3048">
        <v>3</v>
      </c>
      <c r="B3048">
        <v>10</v>
      </c>
      <c r="C3048">
        <v>15</v>
      </c>
      <c r="D3048">
        <v>20</v>
      </c>
      <c r="E3048">
        <f t="shared" si="47"/>
        <v>4.1505357263613825E-23</v>
      </c>
    </row>
    <row r="3049" spans="1:5" x14ac:dyDescent="0.25">
      <c r="A3049">
        <v>3</v>
      </c>
      <c r="B3049">
        <v>10</v>
      </c>
      <c r="C3049">
        <v>16</v>
      </c>
      <c r="D3049">
        <v>19</v>
      </c>
      <c r="E3049">
        <f t="shared" si="47"/>
        <v>4.3234747149597734E-22</v>
      </c>
    </row>
    <row r="3050" spans="1:5" x14ac:dyDescent="0.25">
      <c r="A3050">
        <v>3</v>
      </c>
      <c r="B3050">
        <v>10</v>
      </c>
      <c r="C3050">
        <v>17</v>
      </c>
      <c r="D3050">
        <v>18</v>
      </c>
      <c r="E3050">
        <f t="shared" si="47"/>
        <v>3.3824831593508853E-21</v>
      </c>
    </row>
    <row r="3051" spans="1:5" x14ac:dyDescent="0.25">
      <c r="A3051">
        <v>3</v>
      </c>
      <c r="B3051">
        <v>10</v>
      </c>
      <c r="C3051">
        <v>18</v>
      </c>
      <c r="D3051">
        <v>17</v>
      </c>
      <c r="E3051">
        <f t="shared" si="47"/>
        <v>2.0294898956105287E-20</v>
      </c>
    </row>
    <row r="3052" spans="1:5" x14ac:dyDescent="0.25">
      <c r="A3052">
        <v>3</v>
      </c>
      <c r="B3052">
        <v>10</v>
      </c>
      <c r="C3052">
        <v>19</v>
      </c>
      <c r="D3052">
        <v>16</v>
      </c>
      <c r="E3052">
        <f t="shared" si="47"/>
        <v>9.482821208145104E-20</v>
      </c>
    </row>
    <row r="3053" spans="1:5" x14ac:dyDescent="0.25">
      <c r="A3053">
        <v>3</v>
      </c>
      <c r="B3053">
        <v>10</v>
      </c>
      <c r="C3053">
        <v>20</v>
      </c>
      <c r="D3053">
        <v>15</v>
      </c>
      <c r="E3053">
        <f t="shared" si="47"/>
        <v>3.4896782045974019E-19</v>
      </c>
    </row>
    <row r="3054" spans="1:5" x14ac:dyDescent="0.25">
      <c r="A3054">
        <v>3</v>
      </c>
      <c r="B3054">
        <v>10</v>
      </c>
      <c r="C3054">
        <v>21</v>
      </c>
      <c r="D3054">
        <v>14</v>
      </c>
      <c r="E3054">
        <f t="shared" si="47"/>
        <v>1.0197111636810576E-18</v>
      </c>
    </row>
    <row r="3055" spans="1:5" x14ac:dyDescent="0.25">
      <c r="A3055">
        <v>3</v>
      </c>
      <c r="B3055">
        <v>10</v>
      </c>
      <c r="C3055">
        <v>22</v>
      </c>
      <c r="D3055">
        <v>13</v>
      </c>
      <c r="E3055">
        <f t="shared" si="47"/>
        <v>2.3793260485891365E-18</v>
      </c>
    </row>
    <row r="3056" spans="1:5" x14ac:dyDescent="0.25">
      <c r="A3056">
        <v>3</v>
      </c>
      <c r="B3056">
        <v>10</v>
      </c>
      <c r="C3056">
        <v>23</v>
      </c>
      <c r="D3056">
        <v>12</v>
      </c>
      <c r="E3056">
        <f t="shared" si="47"/>
        <v>4.4483052212753417E-18</v>
      </c>
    </row>
    <row r="3057" spans="1:5" x14ac:dyDescent="0.25">
      <c r="A3057">
        <v>3</v>
      </c>
      <c r="B3057">
        <v>10</v>
      </c>
      <c r="C3057">
        <v>24</v>
      </c>
      <c r="D3057">
        <v>11</v>
      </c>
      <c r="E3057">
        <f t="shared" si="47"/>
        <v>6.6724578319130106E-18</v>
      </c>
    </row>
    <row r="3058" spans="1:5" x14ac:dyDescent="0.25">
      <c r="A3058">
        <v>3</v>
      </c>
      <c r="B3058">
        <v>10</v>
      </c>
      <c r="C3058">
        <v>25</v>
      </c>
      <c r="D3058">
        <v>10</v>
      </c>
      <c r="E3058">
        <f t="shared" si="47"/>
        <v>8.0247426191807159E-18</v>
      </c>
    </row>
    <row r="3059" spans="1:5" x14ac:dyDescent="0.25">
      <c r="A3059">
        <v>3</v>
      </c>
      <c r="B3059">
        <v>10</v>
      </c>
      <c r="C3059">
        <v>26</v>
      </c>
      <c r="D3059">
        <v>9</v>
      </c>
      <c r="E3059">
        <f t="shared" si="47"/>
        <v>7.7160986722891462E-18</v>
      </c>
    </row>
    <row r="3060" spans="1:5" x14ac:dyDescent="0.25">
      <c r="A3060">
        <v>3</v>
      </c>
      <c r="B3060">
        <v>10</v>
      </c>
      <c r="C3060">
        <v>27</v>
      </c>
      <c r="D3060">
        <v>8</v>
      </c>
      <c r="E3060">
        <f t="shared" si="47"/>
        <v>5.9005460435152294E-18</v>
      </c>
    </row>
    <row r="3061" spans="1:5" x14ac:dyDescent="0.25">
      <c r="A3061">
        <v>3</v>
      </c>
      <c r="B3061">
        <v>10</v>
      </c>
      <c r="C3061">
        <v>28</v>
      </c>
      <c r="D3061">
        <v>7</v>
      </c>
      <c r="E3061">
        <f t="shared" si="47"/>
        <v>3.5590595183107746E-18</v>
      </c>
    </row>
    <row r="3062" spans="1:5" x14ac:dyDescent="0.25">
      <c r="A3062">
        <v>3</v>
      </c>
      <c r="B3062">
        <v>10</v>
      </c>
      <c r="C3062">
        <v>29</v>
      </c>
      <c r="D3062">
        <v>6</v>
      </c>
      <c r="E3062">
        <f t="shared" si="47"/>
        <v>1.6729517518012531E-18</v>
      </c>
    </row>
    <row r="3063" spans="1:5" x14ac:dyDescent="0.25">
      <c r="A3063">
        <v>3</v>
      </c>
      <c r="B3063">
        <v>10</v>
      </c>
      <c r="C3063">
        <v>30</v>
      </c>
      <c r="D3063">
        <v>5</v>
      </c>
      <c r="E3063">
        <f t="shared" si="47"/>
        <v>6.0226263064845103E-19</v>
      </c>
    </row>
    <row r="3064" spans="1:5" x14ac:dyDescent="0.25">
      <c r="A3064">
        <v>3</v>
      </c>
      <c r="B3064">
        <v>10</v>
      </c>
      <c r="C3064">
        <v>31</v>
      </c>
      <c r="D3064">
        <v>4</v>
      </c>
      <c r="E3064">
        <f t="shared" si="47"/>
        <v>1.6189855662592776E-19</v>
      </c>
    </row>
    <row r="3065" spans="1:5" x14ac:dyDescent="0.25">
      <c r="A3065">
        <v>3</v>
      </c>
      <c r="B3065">
        <v>10</v>
      </c>
      <c r="C3065">
        <v>32</v>
      </c>
      <c r="D3065">
        <v>3</v>
      </c>
      <c r="E3065">
        <f t="shared" si="47"/>
        <v>3.1275857530008759E-20</v>
      </c>
    </row>
    <row r="3066" spans="1:5" x14ac:dyDescent="0.25">
      <c r="A3066">
        <v>3</v>
      </c>
      <c r="B3066">
        <v>10</v>
      </c>
      <c r="C3066">
        <v>33</v>
      </c>
      <c r="D3066">
        <v>2</v>
      </c>
      <c r="E3066">
        <f t="shared" si="47"/>
        <v>4.0794596778272288E-21</v>
      </c>
    </row>
    <row r="3067" spans="1:5" x14ac:dyDescent="0.25">
      <c r="A3067">
        <v>3</v>
      </c>
      <c r="B3067">
        <v>10</v>
      </c>
      <c r="C3067">
        <v>34</v>
      </c>
      <c r="D3067">
        <v>1</v>
      </c>
      <c r="E3067">
        <f t="shared" si="47"/>
        <v>3.1995762179037102E-22</v>
      </c>
    </row>
    <row r="3068" spans="1:5" x14ac:dyDescent="0.25">
      <c r="A3068">
        <v>3</v>
      </c>
      <c r="B3068">
        <v>10</v>
      </c>
      <c r="C3068">
        <v>35</v>
      </c>
      <c r="D3068">
        <v>0</v>
      </c>
      <c r="E3068">
        <f t="shared" si="47"/>
        <v>1.1335641457716001E-23</v>
      </c>
    </row>
    <row r="3069" spans="1:5" x14ac:dyDescent="0.25">
      <c r="A3069">
        <v>3</v>
      </c>
      <c r="B3069">
        <v>11</v>
      </c>
      <c r="C3069">
        <v>9</v>
      </c>
      <c r="D3069">
        <v>25</v>
      </c>
      <c r="E3069">
        <f t="shared" si="47"/>
        <v>3.0543483796016736E-30</v>
      </c>
    </row>
    <row r="3070" spans="1:5" x14ac:dyDescent="0.25">
      <c r="A3070">
        <v>3</v>
      </c>
      <c r="B3070">
        <v>11</v>
      </c>
      <c r="C3070">
        <v>10</v>
      </c>
      <c r="D3070">
        <v>24</v>
      </c>
      <c r="E3070">
        <f t="shared" si="47"/>
        <v>4.2760877314423441E-28</v>
      </c>
    </row>
    <row r="3071" spans="1:5" x14ac:dyDescent="0.25">
      <c r="A3071">
        <v>3</v>
      </c>
      <c r="B3071">
        <v>11</v>
      </c>
      <c r="C3071">
        <v>11</v>
      </c>
      <c r="D3071">
        <v>23</v>
      </c>
      <c r="E3071">
        <f t="shared" si="47"/>
        <v>2.5656526388654065E-26</v>
      </c>
    </row>
    <row r="3072" spans="1:5" x14ac:dyDescent="0.25">
      <c r="A3072">
        <v>3</v>
      </c>
      <c r="B3072">
        <v>11</v>
      </c>
      <c r="C3072">
        <v>12</v>
      </c>
      <c r="D3072">
        <v>22</v>
      </c>
      <c r="E3072">
        <f t="shared" si="47"/>
        <v>8.851501604085647E-25</v>
      </c>
    </row>
    <row r="3073" spans="1:5" x14ac:dyDescent="0.25">
      <c r="A3073">
        <v>3</v>
      </c>
      <c r="B3073">
        <v>11</v>
      </c>
      <c r="C3073">
        <v>13</v>
      </c>
      <c r="D3073">
        <v>21</v>
      </c>
      <c r="E3073">
        <f t="shared" si="47"/>
        <v>1.9847790135315133E-23</v>
      </c>
    </row>
    <row r="3074" spans="1:5" x14ac:dyDescent="0.25">
      <c r="A3074">
        <v>3</v>
      </c>
      <c r="B3074">
        <v>11</v>
      </c>
      <c r="C3074">
        <v>14</v>
      </c>
      <c r="D3074">
        <v>20</v>
      </c>
      <c r="E3074">
        <f t="shared" si="47"/>
        <v>3.0962552611091608E-22</v>
      </c>
    </row>
    <row r="3075" spans="1:5" x14ac:dyDescent="0.25">
      <c r="A3075">
        <v>3</v>
      </c>
      <c r="B3075">
        <v>11</v>
      </c>
      <c r="C3075">
        <v>15</v>
      </c>
      <c r="D3075">
        <v>19</v>
      </c>
      <c r="E3075">
        <f t="shared" si="47"/>
        <v>3.5090892959237141E-21</v>
      </c>
    </row>
    <row r="3076" spans="1:5" x14ac:dyDescent="0.25">
      <c r="A3076">
        <v>3</v>
      </c>
      <c r="B3076">
        <v>11</v>
      </c>
      <c r="C3076">
        <v>16</v>
      </c>
      <c r="D3076">
        <v>18</v>
      </c>
      <c r="E3076">
        <f t="shared" si="47"/>
        <v>2.9764596706495806E-20</v>
      </c>
    </row>
    <row r="3077" spans="1:5" x14ac:dyDescent="0.25">
      <c r="A3077">
        <v>3</v>
      </c>
      <c r="B3077">
        <v>11</v>
      </c>
      <c r="C3077">
        <v>17</v>
      </c>
      <c r="D3077">
        <v>17</v>
      </c>
      <c r="E3077">
        <f t="shared" si="47"/>
        <v>1.9303216393477431E-19</v>
      </c>
    </row>
    <row r="3078" spans="1:5" x14ac:dyDescent="0.25">
      <c r="A3078">
        <v>3</v>
      </c>
      <c r="B3078">
        <v>11</v>
      </c>
      <c r="C3078">
        <v>18</v>
      </c>
      <c r="D3078">
        <v>16</v>
      </c>
      <c r="E3078">
        <f t="shared" si="47"/>
        <v>9.7231015907886226E-19</v>
      </c>
    </row>
    <row r="3079" spans="1:5" x14ac:dyDescent="0.25">
      <c r="A3079">
        <v>3</v>
      </c>
      <c r="B3079">
        <v>11</v>
      </c>
      <c r="C3079">
        <v>19</v>
      </c>
      <c r="D3079">
        <v>15</v>
      </c>
      <c r="E3079">
        <f t="shared" si="47"/>
        <v>3.8483012611963401E-18</v>
      </c>
    </row>
    <row r="3080" spans="1:5" x14ac:dyDescent="0.25">
      <c r="A3080">
        <v>3</v>
      </c>
      <c r="B3080">
        <v>11</v>
      </c>
      <c r="C3080">
        <v>20</v>
      </c>
      <c r="D3080">
        <v>14</v>
      </c>
      <c r="E3080">
        <f t="shared" si="47"/>
        <v>1.2069672137388534E-17</v>
      </c>
    </row>
    <row r="3081" spans="1:5" x14ac:dyDescent="0.25">
      <c r="A3081">
        <v>3</v>
      </c>
      <c r="B3081">
        <v>11</v>
      </c>
      <c r="C3081">
        <v>21</v>
      </c>
      <c r="D3081">
        <v>13</v>
      </c>
      <c r="E3081">
        <f t="shared" si="47"/>
        <v>3.01741803434713E-17</v>
      </c>
    </row>
    <row r="3082" spans="1:5" x14ac:dyDescent="0.25">
      <c r="A3082">
        <v>3</v>
      </c>
      <c r="B3082">
        <v>11</v>
      </c>
      <c r="C3082">
        <v>22</v>
      </c>
      <c r="D3082">
        <v>12</v>
      </c>
      <c r="E3082">
        <f t="shared" si="47"/>
        <v>6.0348360686942637E-17</v>
      </c>
    </row>
    <row r="3083" spans="1:5" x14ac:dyDescent="0.25">
      <c r="A3083">
        <v>3</v>
      </c>
      <c r="B3083">
        <v>11</v>
      </c>
      <c r="C3083">
        <v>23</v>
      </c>
      <c r="D3083">
        <v>11</v>
      </c>
      <c r="E3083">
        <f t="shared" si="47"/>
        <v>9.6707310914479462E-17</v>
      </c>
    </row>
    <row r="3084" spans="1:5" x14ac:dyDescent="0.25">
      <c r="A3084">
        <v>3</v>
      </c>
      <c r="B3084">
        <v>11</v>
      </c>
      <c r="C3084">
        <v>24</v>
      </c>
      <c r="D3084">
        <v>10</v>
      </c>
      <c r="E3084">
        <f t="shared" si="47"/>
        <v>1.2410771567358198E-16</v>
      </c>
    </row>
    <row r="3085" spans="1:5" x14ac:dyDescent="0.25">
      <c r="A3085">
        <v>3</v>
      </c>
      <c r="B3085">
        <v>11</v>
      </c>
      <c r="C3085">
        <v>25</v>
      </c>
      <c r="D3085">
        <v>9</v>
      </c>
      <c r="E3085">
        <f t="shared" si="47"/>
        <v>1.2721040856542159E-16</v>
      </c>
    </row>
    <row r="3086" spans="1:5" x14ac:dyDescent="0.25">
      <c r="A3086">
        <v>3</v>
      </c>
      <c r="B3086">
        <v>11</v>
      </c>
      <c r="C3086">
        <v>26</v>
      </c>
      <c r="D3086">
        <v>8</v>
      </c>
      <c r="E3086">
        <f t="shared" ref="E3086:E3149" si="48">COMBIN(A$4,A3086)*COMBIN(B$4,B3086)*COMBIN(C$4,C3086)*COMBIN(D$4,D3086)/COMBIN($G$4,$F$4)</f>
        <v>1.0361028751934783E-16</v>
      </c>
    </row>
    <row r="3087" spans="1:5" x14ac:dyDescent="0.25">
      <c r="A3087">
        <v>3</v>
      </c>
      <c r="B3087">
        <v>11</v>
      </c>
      <c r="C3087">
        <v>27</v>
      </c>
      <c r="D3087">
        <v>7</v>
      </c>
      <c r="E3087">
        <f t="shared" si="48"/>
        <v>6.6515246308717135E-17</v>
      </c>
    </row>
    <row r="3088" spans="1:5" x14ac:dyDescent="0.25">
      <c r="A3088">
        <v>3</v>
      </c>
      <c r="B3088">
        <v>11</v>
      </c>
      <c r="C3088">
        <v>28</v>
      </c>
      <c r="D3088">
        <v>6</v>
      </c>
      <c r="E3088">
        <f t="shared" si="48"/>
        <v>3.3257623154358562E-17</v>
      </c>
    </row>
    <row r="3089" spans="1:5" x14ac:dyDescent="0.25">
      <c r="A3089">
        <v>3</v>
      </c>
      <c r="B3089">
        <v>11</v>
      </c>
      <c r="C3089">
        <v>29</v>
      </c>
      <c r="D3089">
        <v>5</v>
      </c>
      <c r="E3089">
        <f t="shared" si="48"/>
        <v>1.2729641965978625E-17</v>
      </c>
    </row>
    <row r="3090" spans="1:5" x14ac:dyDescent="0.25">
      <c r="A3090">
        <v>3</v>
      </c>
      <c r="B3090">
        <v>11</v>
      </c>
      <c r="C3090">
        <v>30</v>
      </c>
      <c r="D3090">
        <v>4</v>
      </c>
      <c r="E3090">
        <f t="shared" si="48"/>
        <v>3.6370405617081785E-18</v>
      </c>
    </row>
    <row r="3091" spans="1:5" x14ac:dyDescent="0.25">
      <c r="A3091">
        <v>3</v>
      </c>
      <c r="B3091">
        <v>11</v>
      </c>
      <c r="C3091">
        <v>31</v>
      </c>
      <c r="D3091">
        <v>3</v>
      </c>
      <c r="E3091">
        <f t="shared" si="48"/>
        <v>7.4660656691956752E-19</v>
      </c>
    </row>
    <row r="3092" spans="1:5" x14ac:dyDescent="0.25">
      <c r="A3092">
        <v>3</v>
      </c>
      <c r="B3092">
        <v>11</v>
      </c>
      <c r="C3092">
        <v>32</v>
      </c>
      <c r="D3092">
        <v>2</v>
      </c>
      <c r="E3092">
        <f t="shared" si="48"/>
        <v>1.03469931828527E-19</v>
      </c>
    </row>
    <row r="3093" spans="1:5" x14ac:dyDescent="0.25">
      <c r="A3093">
        <v>3</v>
      </c>
      <c r="B3093">
        <v>11</v>
      </c>
      <c r="C3093">
        <v>33</v>
      </c>
      <c r="D3093">
        <v>1</v>
      </c>
      <c r="E3093">
        <f t="shared" si="48"/>
        <v>8.6224943190439179E-21</v>
      </c>
    </row>
    <row r="3094" spans="1:5" x14ac:dyDescent="0.25">
      <c r="A3094">
        <v>3</v>
      </c>
      <c r="B3094">
        <v>11</v>
      </c>
      <c r="C3094">
        <v>34</v>
      </c>
      <c r="D3094">
        <v>0</v>
      </c>
      <c r="E3094">
        <f t="shared" si="48"/>
        <v>3.2461155083459454E-22</v>
      </c>
    </row>
    <row r="3095" spans="1:5" x14ac:dyDescent="0.25">
      <c r="A3095">
        <v>3</v>
      </c>
      <c r="B3095">
        <v>12</v>
      </c>
      <c r="C3095">
        <v>8</v>
      </c>
      <c r="D3095">
        <v>25</v>
      </c>
      <c r="E3095">
        <f t="shared" si="48"/>
        <v>1.1172484862227177E-29</v>
      </c>
    </row>
    <row r="3096" spans="1:5" x14ac:dyDescent="0.25">
      <c r="A3096">
        <v>3</v>
      </c>
      <c r="B3096">
        <v>12</v>
      </c>
      <c r="C3096">
        <v>9</v>
      </c>
      <c r="D3096">
        <v>24</v>
      </c>
      <c r="E3096">
        <f t="shared" si="48"/>
        <v>1.768976769852636E-27</v>
      </c>
    </row>
    <row r="3097" spans="1:5" x14ac:dyDescent="0.25">
      <c r="A3097">
        <v>3</v>
      </c>
      <c r="B3097">
        <v>12</v>
      </c>
      <c r="C3097">
        <v>10</v>
      </c>
      <c r="D3097">
        <v>23</v>
      </c>
      <c r="E3097">
        <f t="shared" si="48"/>
        <v>1.1887523893409716E-25</v>
      </c>
    </row>
    <row r="3098" spans="1:5" x14ac:dyDescent="0.25">
      <c r="A3098">
        <v>3</v>
      </c>
      <c r="B3098">
        <v>12</v>
      </c>
      <c r="C3098">
        <v>11</v>
      </c>
      <c r="D3098">
        <v>22</v>
      </c>
      <c r="E3098">
        <f t="shared" si="48"/>
        <v>4.5568841591403912E-24</v>
      </c>
    </row>
    <row r="3099" spans="1:5" x14ac:dyDescent="0.25">
      <c r="A3099">
        <v>3</v>
      </c>
      <c r="B3099">
        <v>12</v>
      </c>
      <c r="C3099">
        <v>12</v>
      </c>
      <c r="D3099">
        <v>21</v>
      </c>
      <c r="E3099">
        <f t="shared" si="48"/>
        <v>1.1278288293872463E-22</v>
      </c>
    </row>
    <row r="3100" spans="1:5" x14ac:dyDescent="0.25">
      <c r="A3100">
        <v>3</v>
      </c>
      <c r="B3100">
        <v>12</v>
      </c>
      <c r="C3100">
        <v>13</v>
      </c>
      <c r="D3100">
        <v>20</v>
      </c>
      <c r="E3100">
        <f t="shared" si="48"/>
        <v>1.931189980166162E-21</v>
      </c>
    </row>
    <row r="3101" spans="1:5" x14ac:dyDescent="0.25">
      <c r="A3101">
        <v>3</v>
      </c>
      <c r="B3101">
        <v>12</v>
      </c>
      <c r="C3101">
        <v>14</v>
      </c>
      <c r="D3101">
        <v>19</v>
      </c>
      <c r="E3101">
        <f t="shared" si="48"/>
        <v>2.390997118300963E-20</v>
      </c>
    </row>
    <row r="3102" spans="1:5" x14ac:dyDescent="0.25">
      <c r="A3102">
        <v>3</v>
      </c>
      <c r="B3102">
        <v>12</v>
      </c>
      <c r="C3102">
        <v>15</v>
      </c>
      <c r="D3102">
        <v>18</v>
      </c>
      <c r="E3102">
        <f t="shared" si="48"/>
        <v>2.2065487691748887E-19</v>
      </c>
    </row>
    <row r="3103" spans="1:5" x14ac:dyDescent="0.25">
      <c r="A3103">
        <v>3</v>
      </c>
      <c r="B3103">
        <v>12</v>
      </c>
      <c r="C3103">
        <v>16</v>
      </c>
      <c r="D3103">
        <v>17</v>
      </c>
      <c r="E3103">
        <f t="shared" si="48"/>
        <v>1.5514796033260933E-18</v>
      </c>
    </row>
    <row r="3104" spans="1:5" x14ac:dyDescent="0.25">
      <c r="A3104">
        <v>3</v>
      </c>
      <c r="B3104">
        <v>12</v>
      </c>
      <c r="C3104">
        <v>17</v>
      </c>
      <c r="D3104">
        <v>16</v>
      </c>
      <c r="E3104">
        <f t="shared" si="48"/>
        <v>8.4469445069976245E-18</v>
      </c>
    </row>
    <row r="3105" spans="1:5" x14ac:dyDescent="0.25">
      <c r="A3105">
        <v>3</v>
      </c>
      <c r="B3105">
        <v>12</v>
      </c>
      <c r="C3105">
        <v>18</v>
      </c>
      <c r="D3105">
        <v>15</v>
      </c>
      <c r="E3105">
        <f t="shared" si="48"/>
        <v>3.6040296563189826E-17</v>
      </c>
    </row>
    <row r="3106" spans="1:5" x14ac:dyDescent="0.25">
      <c r="A3106">
        <v>3</v>
      </c>
      <c r="B3106">
        <v>12</v>
      </c>
      <c r="C3106">
        <v>19</v>
      </c>
      <c r="D3106">
        <v>14</v>
      </c>
      <c r="E3106">
        <f t="shared" si="48"/>
        <v>1.215713352968844E-16</v>
      </c>
    </row>
    <row r="3107" spans="1:5" x14ac:dyDescent="0.25">
      <c r="A3107">
        <v>3</v>
      </c>
      <c r="B3107">
        <v>12</v>
      </c>
      <c r="C3107">
        <v>20</v>
      </c>
      <c r="D3107">
        <v>13</v>
      </c>
      <c r="E3107">
        <f t="shared" si="48"/>
        <v>3.2621641637997352E-16</v>
      </c>
    </row>
    <row r="3108" spans="1:5" x14ac:dyDescent="0.25">
      <c r="A3108">
        <v>3</v>
      </c>
      <c r="B3108">
        <v>12</v>
      </c>
      <c r="C3108">
        <v>21</v>
      </c>
      <c r="D3108">
        <v>12</v>
      </c>
      <c r="E3108">
        <f t="shared" si="48"/>
        <v>6.9903517795708513E-16</v>
      </c>
    </row>
    <row r="3109" spans="1:5" x14ac:dyDescent="0.25">
      <c r="A3109">
        <v>3</v>
      </c>
      <c r="B3109">
        <v>12</v>
      </c>
      <c r="C3109">
        <v>22</v>
      </c>
      <c r="D3109">
        <v>11</v>
      </c>
      <c r="E3109">
        <f t="shared" si="48"/>
        <v>1.1983460193550034E-15</v>
      </c>
    </row>
    <row r="3110" spans="1:5" x14ac:dyDescent="0.25">
      <c r="A3110">
        <v>3</v>
      </c>
      <c r="B3110">
        <v>12</v>
      </c>
      <c r="C3110">
        <v>23</v>
      </c>
      <c r="D3110">
        <v>10</v>
      </c>
      <c r="E3110">
        <f t="shared" si="48"/>
        <v>1.6429497598693235E-15</v>
      </c>
    </row>
    <row r="3111" spans="1:5" x14ac:dyDescent="0.25">
      <c r="A3111">
        <v>3</v>
      </c>
      <c r="B3111">
        <v>12</v>
      </c>
      <c r="C3111">
        <v>24</v>
      </c>
      <c r="D3111">
        <v>9</v>
      </c>
      <c r="E3111">
        <f t="shared" si="48"/>
        <v>1.7969762998570723E-15</v>
      </c>
    </row>
    <row r="3112" spans="1:5" x14ac:dyDescent="0.25">
      <c r="A3112">
        <v>3</v>
      </c>
      <c r="B3112">
        <v>12</v>
      </c>
      <c r="C3112">
        <v>25</v>
      </c>
      <c r="D3112">
        <v>8</v>
      </c>
      <c r="E3112">
        <f t="shared" si="48"/>
        <v>1.5601982462288472E-15</v>
      </c>
    </row>
    <row r="3113" spans="1:5" x14ac:dyDescent="0.25">
      <c r="A3113">
        <v>3</v>
      </c>
      <c r="B3113">
        <v>12</v>
      </c>
      <c r="C3113">
        <v>26</v>
      </c>
      <c r="D3113">
        <v>7</v>
      </c>
      <c r="E3113">
        <f t="shared" si="48"/>
        <v>1.0668022196436556E-15</v>
      </c>
    </row>
    <row r="3114" spans="1:5" x14ac:dyDescent="0.25">
      <c r="A3114">
        <v>3</v>
      </c>
      <c r="B3114">
        <v>12</v>
      </c>
      <c r="C3114">
        <v>27</v>
      </c>
      <c r="D3114">
        <v>6</v>
      </c>
      <c r="E3114">
        <f t="shared" si="48"/>
        <v>5.6771346191562937E-16</v>
      </c>
    </row>
    <row r="3115" spans="1:5" x14ac:dyDescent="0.25">
      <c r="A3115">
        <v>3</v>
      </c>
      <c r="B3115">
        <v>12</v>
      </c>
      <c r="C3115">
        <v>28</v>
      </c>
      <c r="D3115">
        <v>5</v>
      </c>
      <c r="E3115">
        <f t="shared" si="48"/>
        <v>2.3114048092279199E-16</v>
      </c>
    </row>
    <row r="3116" spans="1:5" x14ac:dyDescent="0.25">
      <c r="A3116">
        <v>3</v>
      </c>
      <c r="B3116">
        <v>12</v>
      </c>
      <c r="C3116">
        <v>29</v>
      </c>
      <c r="D3116">
        <v>4</v>
      </c>
      <c r="E3116">
        <f t="shared" si="48"/>
        <v>7.0215088621866254E-17</v>
      </c>
    </row>
    <row r="3117" spans="1:5" x14ac:dyDescent="0.25">
      <c r="A3117">
        <v>3</v>
      </c>
      <c r="B3117">
        <v>12</v>
      </c>
      <c r="C3117">
        <v>30</v>
      </c>
      <c r="D3117">
        <v>3</v>
      </c>
      <c r="E3117">
        <f t="shared" si="48"/>
        <v>1.5319655699316268E-17</v>
      </c>
    </row>
    <row r="3118" spans="1:5" x14ac:dyDescent="0.25">
      <c r="A3118">
        <v>3</v>
      </c>
      <c r="B3118">
        <v>12</v>
      </c>
      <c r="C3118">
        <v>31</v>
      </c>
      <c r="D3118">
        <v>2</v>
      </c>
      <c r="E3118">
        <f t="shared" si="48"/>
        <v>2.2560502783004323E-18</v>
      </c>
    </row>
    <row r="3119" spans="1:5" x14ac:dyDescent="0.25">
      <c r="A3119">
        <v>3</v>
      </c>
      <c r="B3119">
        <v>12</v>
      </c>
      <c r="C3119">
        <v>32</v>
      </c>
      <c r="D3119">
        <v>1</v>
      </c>
      <c r="E3119">
        <f t="shared" si="48"/>
        <v>1.9975445172451741E-19</v>
      </c>
    </row>
    <row r="3120" spans="1:5" x14ac:dyDescent="0.25">
      <c r="A3120">
        <v>3</v>
      </c>
      <c r="B3120">
        <v>12</v>
      </c>
      <c r="C3120">
        <v>33</v>
      </c>
      <c r="D3120">
        <v>0</v>
      </c>
      <c r="E3120">
        <f t="shared" si="48"/>
        <v>7.9901780689806961E-21</v>
      </c>
    </row>
    <row r="3121" spans="1:5" x14ac:dyDescent="0.25">
      <c r="A3121">
        <v>3</v>
      </c>
      <c r="B3121">
        <v>13</v>
      </c>
      <c r="C3121">
        <v>7</v>
      </c>
      <c r="D3121">
        <v>25</v>
      </c>
      <c r="E3121">
        <f t="shared" si="48"/>
        <v>3.2835844104370584E-29</v>
      </c>
    </row>
    <row r="3122" spans="1:5" x14ac:dyDescent="0.25">
      <c r="A3122">
        <v>3</v>
      </c>
      <c r="B3122">
        <v>13</v>
      </c>
      <c r="C3122">
        <v>8</v>
      </c>
      <c r="D3122">
        <v>24</v>
      </c>
      <c r="E3122">
        <f t="shared" si="48"/>
        <v>5.9514967439171695E-27</v>
      </c>
    </row>
    <row r="3123" spans="1:5" x14ac:dyDescent="0.25">
      <c r="A3123">
        <v>3</v>
      </c>
      <c r="B3123">
        <v>13</v>
      </c>
      <c r="C3123">
        <v>9</v>
      </c>
      <c r="D3123">
        <v>23</v>
      </c>
      <c r="E3123">
        <f t="shared" si="48"/>
        <v>4.5231375253770476E-25</v>
      </c>
    </row>
    <row r="3124" spans="1:5" x14ac:dyDescent="0.25">
      <c r="A3124">
        <v>3</v>
      </c>
      <c r="B3124">
        <v>13</v>
      </c>
      <c r="C3124">
        <v>10</v>
      </c>
      <c r="D3124">
        <v>22</v>
      </c>
      <c r="E3124">
        <f t="shared" si="48"/>
        <v>1.9419337108952127E-23</v>
      </c>
    </row>
    <row r="3125" spans="1:5" x14ac:dyDescent="0.25">
      <c r="A3125">
        <v>3</v>
      </c>
      <c r="B3125">
        <v>13</v>
      </c>
      <c r="C3125">
        <v>11</v>
      </c>
      <c r="D3125">
        <v>21</v>
      </c>
      <c r="E3125">
        <f t="shared" si="48"/>
        <v>5.3403177049618375E-22</v>
      </c>
    </row>
    <row r="3126" spans="1:5" x14ac:dyDescent="0.25">
      <c r="A3126">
        <v>3</v>
      </c>
      <c r="B3126">
        <v>13</v>
      </c>
      <c r="C3126">
        <v>12</v>
      </c>
      <c r="D3126">
        <v>20</v>
      </c>
      <c r="E3126">
        <f t="shared" si="48"/>
        <v>1.0093200462377862E-20</v>
      </c>
    </row>
    <row r="3127" spans="1:5" x14ac:dyDescent="0.25">
      <c r="A3127">
        <v>3</v>
      </c>
      <c r="B3127">
        <v>13</v>
      </c>
      <c r="C3127">
        <v>13</v>
      </c>
      <c r="D3127">
        <v>19</v>
      </c>
      <c r="E3127">
        <f t="shared" si="48"/>
        <v>1.3716400628359665E-19</v>
      </c>
    </row>
    <row r="3128" spans="1:5" x14ac:dyDescent="0.25">
      <c r="A3128">
        <v>3</v>
      </c>
      <c r="B3128">
        <v>13</v>
      </c>
      <c r="C3128">
        <v>14</v>
      </c>
      <c r="D3128">
        <v>18</v>
      </c>
      <c r="E3128">
        <f t="shared" si="48"/>
        <v>1.3828371245734037E-18</v>
      </c>
    </row>
    <row r="3129" spans="1:5" x14ac:dyDescent="0.25">
      <c r="A3129">
        <v>3</v>
      </c>
      <c r="B3129">
        <v>13</v>
      </c>
      <c r="C3129">
        <v>15</v>
      </c>
      <c r="D3129">
        <v>17</v>
      </c>
      <c r="E3129">
        <f t="shared" si="48"/>
        <v>1.0578704002986532E-17</v>
      </c>
    </row>
    <row r="3130" spans="1:5" x14ac:dyDescent="0.25">
      <c r="A3130">
        <v>3</v>
      </c>
      <c r="B3130">
        <v>13</v>
      </c>
      <c r="C3130">
        <v>16</v>
      </c>
      <c r="D3130">
        <v>16</v>
      </c>
      <c r="E3130">
        <f t="shared" si="48"/>
        <v>6.2443738906517734E-17</v>
      </c>
    </row>
    <row r="3131" spans="1:5" x14ac:dyDescent="0.25">
      <c r="A3131">
        <v>3</v>
      </c>
      <c r="B3131">
        <v>13</v>
      </c>
      <c r="C3131">
        <v>17</v>
      </c>
      <c r="D3131">
        <v>15</v>
      </c>
      <c r="E3131">
        <f t="shared" si="48"/>
        <v>2.8797583119241129E-16</v>
      </c>
    </row>
    <row r="3132" spans="1:5" x14ac:dyDescent="0.25">
      <c r="A3132">
        <v>3</v>
      </c>
      <c r="B3132">
        <v>13</v>
      </c>
      <c r="C3132">
        <v>18</v>
      </c>
      <c r="D3132">
        <v>14</v>
      </c>
      <c r="E3132">
        <f t="shared" si="48"/>
        <v>1.0471848406996767E-15</v>
      </c>
    </row>
    <row r="3133" spans="1:5" x14ac:dyDescent="0.25">
      <c r="A3133">
        <v>3</v>
      </c>
      <c r="B3133">
        <v>13</v>
      </c>
      <c r="C3133">
        <v>19</v>
      </c>
      <c r="D3133">
        <v>13</v>
      </c>
      <c r="E3133">
        <f t="shared" si="48"/>
        <v>3.0221387069315244E-15</v>
      </c>
    </row>
    <row r="3134" spans="1:5" x14ac:dyDescent="0.25">
      <c r="A3134">
        <v>3</v>
      </c>
      <c r="B3134">
        <v>13</v>
      </c>
      <c r="C3134">
        <v>20</v>
      </c>
      <c r="D3134">
        <v>12</v>
      </c>
      <c r="E3134">
        <f t="shared" si="48"/>
        <v>6.950919025942512E-15</v>
      </c>
    </row>
    <row r="3135" spans="1:5" x14ac:dyDescent="0.25">
      <c r="A3135">
        <v>3</v>
      </c>
      <c r="B3135">
        <v>13</v>
      </c>
      <c r="C3135">
        <v>21</v>
      </c>
      <c r="D3135">
        <v>11</v>
      </c>
      <c r="E3135">
        <f t="shared" si="48"/>
        <v>1.2766994129282148E-14</v>
      </c>
    </row>
    <row r="3136" spans="1:5" x14ac:dyDescent="0.25">
      <c r="A3136">
        <v>3</v>
      </c>
      <c r="B3136">
        <v>13</v>
      </c>
      <c r="C3136">
        <v>22</v>
      </c>
      <c r="D3136">
        <v>10</v>
      </c>
      <c r="E3136">
        <f t="shared" si="48"/>
        <v>1.872492472294716E-14</v>
      </c>
    </row>
    <row r="3137" spans="1:5" x14ac:dyDescent="0.25">
      <c r="A3137">
        <v>3</v>
      </c>
      <c r="B3137">
        <v>13</v>
      </c>
      <c r="C3137">
        <v>23</v>
      </c>
      <c r="D3137">
        <v>9</v>
      </c>
      <c r="E3137">
        <f t="shared" si="48"/>
        <v>2.1879667475182818E-14</v>
      </c>
    </row>
    <row r="3138" spans="1:5" x14ac:dyDescent="0.25">
      <c r="A3138">
        <v>3</v>
      </c>
      <c r="B3138">
        <v>13</v>
      </c>
      <c r="C3138">
        <v>24</v>
      </c>
      <c r="D3138">
        <v>8</v>
      </c>
      <c r="E3138">
        <f t="shared" si="48"/>
        <v>2.027086839612526E-14</v>
      </c>
    </row>
    <row r="3139" spans="1:5" x14ac:dyDescent="0.25">
      <c r="A3139">
        <v>3</v>
      </c>
      <c r="B3139">
        <v>13</v>
      </c>
      <c r="C3139">
        <v>25</v>
      </c>
      <c r="D3139">
        <v>7</v>
      </c>
      <c r="E3139">
        <f t="shared" si="48"/>
        <v>1.4775210742064643E-14</v>
      </c>
    </row>
    <row r="3140" spans="1:5" x14ac:dyDescent="0.25">
      <c r="A3140">
        <v>3</v>
      </c>
      <c r="B3140">
        <v>13</v>
      </c>
      <c r="C3140">
        <v>26</v>
      </c>
      <c r="D3140">
        <v>6</v>
      </c>
      <c r="E3140">
        <f t="shared" si="48"/>
        <v>8.3746133760690201E-15</v>
      </c>
    </row>
    <row r="3141" spans="1:5" x14ac:dyDescent="0.25">
      <c r="A3141">
        <v>3</v>
      </c>
      <c r="B3141">
        <v>13</v>
      </c>
      <c r="C3141">
        <v>27</v>
      </c>
      <c r="D3141">
        <v>5</v>
      </c>
      <c r="E3141">
        <f t="shared" si="48"/>
        <v>3.6289991296299088E-15</v>
      </c>
    </row>
    <row r="3142" spans="1:5" x14ac:dyDescent="0.25">
      <c r="A3142">
        <v>3</v>
      </c>
      <c r="B3142">
        <v>13</v>
      </c>
      <c r="C3142">
        <v>28</v>
      </c>
      <c r="D3142">
        <v>4</v>
      </c>
      <c r="E3142">
        <f t="shared" si="48"/>
        <v>1.1726357731797329E-15</v>
      </c>
    </row>
    <row r="3143" spans="1:5" x14ac:dyDescent="0.25">
      <c r="A3143">
        <v>3</v>
      </c>
      <c r="B3143">
        <v>13</v>
      </c>
      <c r="C3143">
        <v>29</v>
      </c>
      <c r="D3143">
        <v>3</v>
      </c>
      <c r="E3143">
        <f t="shared" si="48"/>
        <v>2.7202209158401327E-16</v>
      </c>
    </row>
    <row r="3144" spans="1:5" x14ac:dyDescent="0.25">
      <c r="A3144">
        <v>3</v>
      </c>
      <c r="B3144">
        <v>13</v>
      </c>
      <c r="C3144">
        <v>30</v>
      </c>
      <c r="D3144">
        <v>2</v>
      </c>
      <c r="E3144">
        <f t="shared" si="48"/>
        <v>4.2577370856628154E-17</v>
      </c>
    </row>
    <row r="3145" spans="1:5" x14ac:dyDescent="0.25">
      <c r="A3145">
        <v>3</v>
      </c>
      <c r="B3145">
        <v>13</v>
      </c>
      <c r="C3145">
        <v>31</v>
      </c>
      <c r="D3145">
        <v>1</v>
      </c>
      <c r="E3145">
        <f t="shared" si="48"/>
        <v>4.0059354300591006E-18</v>
      </c>
    </row>
    <row r="3146" spans="1:5" x14ac:dyDescent="0.25">
      <c r="A3146">
        <v>3</v>
      </c>
      <c r="B3146">
        <v>13</v>
      </c>
      <c r="C3146">
        <v>32</v>
      </c>
      <c r="D3146">
        <v>0</v>
      </c>
      <c r="E3146">
        <f t="shared" si="48"/>
        <v>1.7025225577751178E-19</v>
      </c>
    </row>
    <row r="3147" spans="1:5" x14ac:dyDescent="0.25">
      <c r="A3147">
        <v>3</v>
      </c>
      <c r="B3147">
        <v>14</v>
      </c>
      <c r="C3147">
        <v>6</v>
      </c>
      <c r="D3147">
        <v>25</v>
      </c>
      <c r="E3147">
        <f t="shared" si="48"/>
        <v>7.6802482820392199E-29</v>
      </c>
    </row>
    <row r="3148" spans="1:5" x14ac:dyDescent="0.25">
      <c r="A3148">
        <v>3</v>
      </c>
      <c r="B3148">
        <v>14</v>
      </c>
      <c r="C3148">
        <v>7</v>
      </c>
      <c r="D3148">
        <v>24</v>
      </c>
      <c r="E3148">
        <f t="shared" si="48"/>
        <v>1.6183380308582642E-26</v>
      </c>
    </row>
    <row r="3149" spans="1:5" x14ac:dyDescent="0.25">
      <c r="A3149">
        <v>3</v>
      </c>
      <c r="B3149">
        <v>14</v>
      </c>
      <c r="C3149">
        <v>8</v>
      </c>
      <c r="D3149">
        <v>23</v>
      </c>
      <c r="E3149">
        <f t="shared" si="48"/>
        <v>1.4079540868466903E-24</v>
      </c>
    </row>
    <row r="3150" spans="1:5" x14ac:dyDescent="0.25">
      <c r="A3150">
        <v>3</v>
      </c>
      <c r="B3150">
        <v>14</v>
      </c>
      <c r="C3150">
        <v>9</v>
      </c>
      <c r="D3150">
        <v>22</v>
      </c>
      <c r="E3150">
        <f t="shared" ref="E3150:E3213" si="49">COMBIN(A$4,A3150)*COMBIN(B$4,B3150)*COMBIN(C$4,C3150)*COMBIN(D$4,D3150)/COMBIN($G$4,$F$4)</f>
        <v>6.8363992883555939E-23</v>
      </c>
    </row>
    <row r="3151" spans="1:5" x14ac:dyDescent="0.25">
      <c r="A3151">
        <v>3</v>
      </c>
      <c r="B3151">
        <v>14</v>
      </c>
      <c r="C3151">
        <v>10</v>
      </c>
      <c r="D3151">
        <v>21</v>
      </c>
      <c r="E3151">
        <f t="shared" si="49"/>
        <v>2.1056109808135237E-21</v>
      </c>
    </row>
    <row r="3152" spans="1:5" x14ac:dyDescent="0.25">
      <c r="A3152">
        <v>3</v>
      </c>
      <c r="B3152">
        <v>14</v>
      </c>
      <c r="C3152">
        <v>11</v>
      </c>
      <c r="D3152">
        <v>20</v>
      </c>
      <c r="E3152">
        <f t="shared" si="49"/>
        <v>4.4217830597083995E-20</v>
      </c>
    </row>
    <row r="3153" spans="1:5" x14ac:dyDescent="0.25">
      <c r="A3153">
        <v>3</v>
      </c>
      <c r="B3153">
        <v>14</v>
      </c>
      <c r="C3153">
        <v>12</v>
      </c>
      <c r="D3153">
        <v>19</v>
      </c>
      <c r="E3153">
        <f t="shared" si="49"/>
        <v>6.6326745895625951E-19</v>
      </c>
    </row>
    <row r="3154" spans="1:5" x14ac:dyDescent="0.25">
      <c r="A3154">
        <v>3</v>
      </c>
      <c r="B3154">
        <v>14</v>
      </c>
      <c r="C3154">
        <v>13</v>
      </c>
      <c r="D3154">
        <v>18</v>
      </c>
      <c r="E3154">
        <f t="shared" si="49"/>
        <v>7.339673968889603E-18</v>
      </c>
    </row>
    <row r="3155" spans="1:5" x14ac:dyDescent="0.25">
      <c r="A3155">
        <v>3</v>
      </c>
      <c r="B3155">
        <v>14</v>
      </c>
      <c r="C3155">
        <v>14</v>
      </c>
      <c r="D3155">
        <v>17</v>
      </c>
      <c r="E3155">
        <f t="shared" si="49"/>
        <v>6.1338703882863098E-17</v>
      </c>
    </row>
    <row r="3156" spans="1:5" x14ac:dyDescent="0.25">
      <c r="A3156">
        <v>3</v>
      </c>
      <c r="B3156">
        <v>14</v>
      </c>
      <c r="C3156">
        <v>15</v>
      </c>
      <c r="D3156">
        <v>16</v>
      </c>
      <c r="E3156">
        <f t="shared" si="49"/>
        <v>3.9393078715883179E-16</v>
      </c>
    </row>
    <row r="3157" spans="1:5" x14ac:dyDescent="0.25">
      <c r="A3157">
        <v>3</v>
      </c>
      <c r="B3157">
        <v>14</v>
      </c>
      <c r="C3157">
        <v>16</v>
      </c>
      <c r="D3157">
        <v>15</v>
      </c>
      <c r="E3157">
        <f t="shared" si="49"/>
        <v>1.9696539357941585E-15</v>
      </c>
    </row>
    <row r="3158" spans="1:5" x14ac:dyDescent="0.25">
      <c r="A3158">
        <v>3</v>
      </c>
      <c r="B3158">
        <v>14</v>
      </c>
      <c r="C3158">
        <v>17</v>
      </c>
      <c r="D3158">
        <v>14</v>
      </c>
      <c r="E3158">
        <f t="shared" si="49"/>
        <v>7.7416879294583296E-15</v>
      </c>
    </row>
    <row r="3159" spans="1:5" x14ac:dyDescent="0.25">
      <c r="A3159">
        <v>3</v>
      </c>
      <c r="B3159">
        <v>14</v>
      </c>
      <c r="C3159">
        <v>18</v>
      </c>
      <c r="D3159">
        <v>13</v>
      </c>
      <c r="E3159">
        <f t="shared" si="49"/>
        <v>2.4085251336092562E-14</v>
      </c>
    </row>
    <row r="3160" spans="1:5" x14ac:dyDescent="0.25">
      <c r="A3160">
        <v>3</v>
      </c>
      <c r="B3160">
        <v>14</v>
      </c>
      <c r="C3160">
        <v>19</v>
      </c>
      <c r="D3160">
        <v>12</v>
      </c>
      <c r="E3160">
        <f t="shared" si="49"/>
        <v>5.9579305936650047E-14</v>
      </c>
    </row>
    <row r="3161" spans="1:5" x14ac:dyDescent="0.25">
      <c r="A3161">
        <v>3</v>
      </c>
      <c r="B3161">
        <v>14</v>
      </c>
      <c r="C3161">
        <v>20</v>
      </c>
      <c r="D3161">
        <v>11</v>
      </c>
      <c r="E3161">
        <f t="shared" si="49"/>
        <v>1.1745634598939589E-13</v>
      </c>
    </row>
    <row r="3162" spans="1:5" x14ac:dyDescent="0.25">
      <c r="A3162">
        <v>3</v>
      </c>
      <c r="B3162">
        <v>14</v>
      </c>
      <c r="C3162">
        <v>21</v>
      </c>
      <c r="D3162">
        <v>10</v>
      </c>
      <c r="E3162">
        <f t="shared" si="49"/>
        <v>1.8457425798333615E-13</v>
      </c>
    </row>
    <row r="3163" spans="1:5" x14ac:dyDescent="0.25">
      <c r="A3163">
        <v>3</v>
      </c>
      <c r="B3163">
        <v>14</v>
      </c>
      <c r="C3163">
        <v>22</v>
      </c>
      <c r="D3163">
        <v>9</v>
      </c>
      <c r="E3163">
        <f t="shared" si="49"/>
        <v>2.3071782247917037E-13</v>
      </c>
    </row>
    <row r="3164" spans="1:5" x14ac:dyDescent="0.25">
      <c r="A3164">
        <v>3</v>
      </c>
      <c r="B3164">
        <v>14</v>
      </c>
      <c r="C3164">
        <v>23</v>
      </c>
      <c r="D3164">
        <v>8</v>
      </c>
      <c r="E3164">
        <f t="shared" si="49"/>
        <v>2.2835753785022737E-13</v>
      </c>
    </row>
    <row r="3165" spans="1:5" x14ac:dyDescent="0.25">
      <c r="A3165">
        <v>3</v>
      </c>
      <c r="B3165">
        <v>14</v>
      </c>
      <c r="C3165">
        <v>24</v>
      </c>
      <c r="D3165">
        <v>7</v>
      </c>
      <c r="E3165">
        <f t="shared" si="49"/>
        <v>1.7761141832795464E-13</v>
      </c>
    </row>
    <row r="3166" spans="1:5" x14ac:dyDescent="0.25">
      <c r="A3166">
        <v>3</v>
      </c>
      <c r="B3166">
        <v>14</v>
      </c>
      <c r="C3166">
        <v>25</v>
      </c>
      <c r="D3166">
        <v>6</v>
      </c>
      <c r="E3166">
        <f t="shared" si="49"/>
        <v>1.0731468854762735E-13</v>
      </c>
    </row>
    <row r="3167" spans="1:5" x14ac:dyDescent="0.25">
      <c r="A3167">
        <v>3</v>
      </c>
      <c r="B3167">
        <v>14</v>
      </c>
      <c r="C3167">
        <v>26</v>
      </c>
      <c r="D3167">
        <v>5</v>
      </c>
      <c r="E3167">
        <f t="shared" si="49"/>
        <v>4.9529856252751052E-14</v>
      </c>
    </row>
    <row r="3168" spans="1:5" x14ac:dyDescent="0.25">
      <c r="A3168">
        <v>3</v>
      </c>
      <c r="B3168">
        <v>14</v>
      </c>
      <c r="C3168">
        <v>27</v>
      </c>
      <c r="D3168">
        <v>4</v>
      </c>
      <c r="E3168">
        <f t="shared" si="49"/>
        <v>1.703407754724243E-14</v>
      </c>
    </row>
    <row r="3169" spans="1:5" x14ac:dyDescent="0.25">
      <c r="A3169">
        <v>3</v>
      </c>
      <c r="B3169">
        <v>14</v>
      </c>
      <c r="C3169">
        <v>28</v>
      </c>
      <c r="D3169">
        <v>3</v>
      </c>
      <c r="E3169">
        <f t="shared" si="49"/>
        <v>4.2032139402286521E-15</v>
      </c>
    </row>
    <row r="3170" spans="1:5" x14ac:dyDescent="0.25">
      <c r="A3170">
        <v>3</v>
      </c>
      <c r="B3170">
        <v>14</v>
      </c>
      <c r="C3170">
        <v>29</v>
      </c>
      <c r="D3170">
        <v>2</v>
      </c>
      <c r="E3170">
        <f t="shared" si="49"/>
        <v>6.9948537835889114E-16</v>
      </c>
    </row>
    <row r="3171" spans="1:5" x14ac:dyDescent="0.25">
      <c r="A3171">
        <v>3</v>
      </c>
      <c r="B3171">
        <v>14</v>
      </c>
      <c r="C3171">
        <v>30</v>
      </c>
      <c r="D3171">
        <v>1</v>
      </c>
      <c r="E3171">
        <f t="shared" si="49"/>
        <v>6.9948537835889097E-17</v>
      </c>
    </row>
    <row r="3172" spans="1:5" x14ac:dyDescent="0.25">
      <c r="A3172">
        <v>3</v>
      </c>
      <c r="B3172">
        <v>14</v>
      </c>
      <c r="C3172">
        <v>31</v>
      </c>
      <c r="D3172">
        <v>0</v>
      </c>
      <c r="E3172">
        <f t="shared" si="49"/>
        <v>3.1589662248466052E-18</v>
      </c>
    </row>
    <row r="3173" spans="1:5" x14ac:dyDescent="0.25">
      <c r="A3173">
        <v>3</v>
      </c>
      <c r="B3173">
        <v>15</v>
      </c>
      <c r="C3173">
        <v>5</v>
      </c>
      <c r="D3173">
        <v>25</v>
      </c>
      <c r="E3173">
        <f t="shared" si="49"/>
        <v>1.4080455183738571E-28</v>
      </c>
    </row>
    <row r="3174" spans="1:5" x14ac:dyDescent="0.25">
      <c r="A3174">
        <v>3</v>
      </c>
      <c r="B3174">
        <v>15</v>
      </c>
      <c r="C3174">
        <v>6</v>
      </c>
      <c r="D3174">
        <v>24</v>
      </c>
      <c r="E3174">
        <f t="shared" si="49"/>
        <v>3.5201137959346423E-26</v>
      </c>
    </row>
    <row r="3175" spans="1:5" x14ac:dyDescent="0.25">
      <c r="A3175">
        <v>3</v>
      </c>
      <c r="B3175">
        <v>15</v>
      </c>
      <c r="C3175">
        <v>7</v>
      </c>
      <c r="D3175">
        <v>23</v>
      </c>
      <c r="E3175">
        <f t="shared" si="49"/>
        <v>3.5603436678881806E-24</v>
      </c>
    </row>
    <row r="3176" spans="1:5" x14ac:dyDescent="0.25">
      <c r="A3176">
        <v>3</v>
      </c>
      <c r="B3176">
        <v>15</v>
      </c>
      <c r="C3176">
        <v>8</v>
      </c>
      <c r="D3176">
        <v>22</v>
      </c>
      <c r="E3176">
        <f t="shared" si="49"/>
        <v>1.9789576887345143E-22</v>
      </c>
    </row>
    <row r="3177" spans="1:5" x14ac:dyDescent="0.25">
      <c r="A3177">
        <v>3</v>
      </c>
      <c r="B3177">
        <v>15</v>
      </c>
      <c r="C3177">
        <v>9</v>
      </c>
      <c r="D3177">
        <v>21</v>
      </c>
      <c r="E3177">
        <f t="shared" si="49"/>
        <v>6.8933692824252238E-21</v>
      </c>
    </row>
    <row r="3178" spans="1:5" x14ac:dyDescent="0.25">
      <c r="A3178">
        <v>3</v>
      </c>
      <c r="B3178">
        <v>15</v>
      </c>
      <c r="C3178">
        <v>10</v>
      </c>
      <c r="D3178">
        <v>20</v>
      </c>
      <c r="E3178">
        <f t="shared" si="49"/>
        <v>1.6213204552264126E-19</v>
      </c>
    </row>
    <row r="3179" spans="1:5" x14ac:dyDescent="0.25">
      <c r="A3179">
        <v>3</v>
      </c>
      <c r="B3179">
        <v>15</v>
      </c>
      <c r="C3179">
        <v>11</v>
      </c>
      <c r="D3179">
        <v>19</v>
      </c>
      <c r="E3179">
        <f t="shared" si="49"/>
        <v>2.7022007587106882E-18</v>
      </c>
    </row>
    <row r="3180" spans="1:5" x14ac:dyDescent="0.25">
      <c r="A3180">
        <v>3</v>
      </c>
      <c r="B3180">
        <v>15</v>
      </c>
      <c r="C3180">
        <v>12</v>
      </c>
      <c r="D3180">
        <v>18</v>
      </c>
      <c r="E3180">
        <f t="shared" si="49"/>
        <v>3.3005452124251966E-17</v>
      </c>
    </row>
    <row r="3181" spans="1:5" x14ac:dyDescent="0.25">
      <c r="A3181">
        <v>3</v>
      </c>
      <c r="B3181">
        <v>15</v>
      </c>
      <c r="C3181">
        <v>13</v>
      </c>
      <c r="D3181">
        <v>17</v>
      </c>
      <c r="E3181">
        <f t="shared" si="49"/>
        <v>3.02761551216696E-16</v>
      </c>
    </row>
    <row r="3182" spans="1:5" x14ac:dyDescent="0.25">
      <c r="A3182">
        <v>3</v>
      </c>
      <c r="B3182">
        <v>15</v>
      </c>
      <c r="C3182">
        <v>14</v>
      </c>
      <c r="D3182">
        <v>16</v>
      </c>
      <c r="E3182">
        <f t="shared" si="49"/>
        <v>2.1241365974250737E-15</v>
      </c>
    </row>
    <row r="3183" spans="1:5" x14ac:dyDescent="0.25">
      <c r="A3183">
        <v>3</v>
      </c>
      <c r="B3183">
        <v>15</v>
      </c>
      <c r="C3183">
        <v>15</v>
      </c>
      <c r="D3183">
        <v>15</v>
      </c>
      <c r="E3183">
        <f t="shared" si="49"/>
        <v>1.1555303089992394E-14</v>
      </c>
    </row>
    <row r="3184" spans="1:5" x14ac:dyDescent="0.25">
      <c r="A3184">
        <v>3</v>
      </c>
      <c r="B3184">
        <v>15</v>
      </c>
      <c r="C3184">
        <v>16</v>
      </c>
      <c r="D3184">
        <v>14</v>
      </c>
      <c r="E3184">
        <f t="shared" si="49"/>
        <v>4.9241348394853974E-14</v>
      </c>
    </row>
    <row r="3185" spans="1:5" x14ac:dyDescent="0.25">
      <c r="A3185">
        <v>3</v>
      </c>
      <c r="B3185">
        <v>15</v>
      </c>
      <c r="C3185">
        <v>17</v>
      </c>
      <c r="D3185">
        <v>13</v>
      </c>
      <c r="E3185">
        <f t="shared" si="49"/>
        <v>1.655861029356365E-13</v>
      </c>
    </row>
    <row r="3186" spans="1:5" x14ac:dyDescent="0.25">
      <c r="A3186">
        <v>3</v>
      </c>
      <c r="B3186">
        <v>15</v>
      </c>
      <c r="C3186">
        <v>18</v>
      </c>
      <c r="D3186">
        <v>12</v>
      </c>
      <c r="E3186">
        <f t="shared" si="49"/>
        <v>4.4156294116169696E-13</v>
      </c>
    </row>
    <row r="3187" spans="1:5" x14ac:dyDescent="0.25">
      <c r="A3187">
        <v>3</v>
      </c>
      <c r="B3187">
        <v>15</v>
      </c>
      <c r="C3187">
        <v>19</v>
      </c>
      <c r="D3187">
        <v>11</v>
      </c>
      <c r="E3187">
        <f t="shared" si="49"/>
        <v>9.3624623614735757E-13</v>
      </c>
    </row>
    <row r="3188" spans="1:5" x14ac:dyDescent="0.25">
      <c r="A3188">
        <v>3</v>
      </c>
      <c r="B3188">
        <v>15</v>
      </c>
      <c r="C3188">
        <v>20</v>
      </c>
      <c r="D3188">
        <v>10</v>
      </c>
      <c r="E3188">
        <f t="shared" si="49"/>
        <v>1.5791353183018777E-12</v>
      </c>
    </row>
    <row r="3189" spans="1:5" x14ac:dyDescent="0.25">
      <c r="A3189">
        <v>3</v>
      </c>
      <c r="B3189">
        <v>15</v>
      </c>
      <c r="C3189">
        <v>21</v>
      </c>
      <c r="D3189">
        <v>9</v>
      </c>
      <c r="E3189">
        <f t="shared" si="49"/>
        <v>2.1149133727257265E-12</v>
      </c>
    </row>
    <row r="3190" spans="1:5" x14ac:dyDescent="0.25">
      <c r="A3190">
        <v>3</v>
      </c>
      <c r="B3190">
        <v>15</v>
      </c>
      <c r="C3190">
        <v>22</v>
      </c>
      <c r="D3190">
        <v>8</v>
      </c>
      <c r="E3190">
        <f t="shared" si="49"/>
        <v>2.2393200417095947E-12</v>
      </c>
    </row>
    <row r="3191" spans="1:5" x14ac:dyDescent="0.25">
      <c r="A3191">
        <v>3</v>
      </c>
      <c r="B3191">
        <v>15</v>
      </c>
      <c r="C3191">
        <v>23</v>
      </c>
      <c r="D3191">
        <v>7</v>
      </c>
      <c r="E3191">
        <f t="shared" si="49"/>
        <v>1.8606910491500013E-12</v>
      </c>
    </row>
    <row r="3192" spans="1:5" x14ac:dyDescent="0.25">
      <c r="A3192">
        <v>3</v>
      </c>
      <c r="B3192">
        <v>15</v>
      </c>
      <c r="C3192">
        <v>24</v>
      </c>
      <c r="D3192">
        <v>6</v>
      </c>
      <c r="E3192">
        <f t="shared" si="49"/>
        <v>1.1996560711625002E-12</v>
      </c>
    </row>
    <row r="3193" spans="1:5" x14ac:dyDescent="0.25">
      <c r="A3193">
        <v>3</v>
      </c>
      <c r="B3193">
        <v>15</v>
      </c>
      <c r="C3193">
        <v>25</v>
      </c>
      <c r="D3193">
        <v>5</v>
      </c>
      <c r="E3193">
        <f t="shared" si="49"/>
        <v>5.9023078701195026E-13</v>
      </c>
    </row>
    <row r="3194" spans="1:5" x14ac:dyDescent="0.25">
      <c r="A3194">
        <v>3</v>
      </c>
      <c r="B3194">
        <v>15</v>
      </c>
      <c r="C3194">
        <v>26</v>
      </c>
      <c r="D3194">
        <v>4</v>
      </c>
      <c r="E3194">
        <f t="shared" si="49"/>
        <v>2.162017534842308E-13</v>
      </c>
    </row>
    <row r="3195" spans="1:5" x14ac:dyDescent="0.25">
      <c r="A3195">
        <v>3</v>
      </c>
      <c r="B3195">
        <v>15</v>
      </c>
      <c r="C3195">
        <v>27</v>
      </c>
      <c r="D3195">
        <v>3</v>
      </c>
      <c r="E3195">
        <f t="shared" si="49"/>
        <v>5.6780258490808085E-14</v>
      </c>
    </row>
    <row r="3196" spans="1:5" x14ac:dyDescent="0.25">
      <c r="A3196">
        <v>3</v>
      </c>
      <c r="B3196">
        <v>15</v>
      </c>
      <c r="C3196">
        <v>28</v>
      </c>
      <c r="D3196">
        <v>2</v>
      </c>
      <c r="E3196">
        <f t="shared" si="49"/>
        <v>1.0051163770111991E-14</v>
      </c>
    </row>
    <row r="3197" spans="1:5" x14ac:dyDescent="0.25">
      <c r="A3197">
        <v>3</v>
      </c>
      <c r="B3197">
        <v>15</v>
      </c>
      <c r="C3197">
        <v>29</v>
      </c>
      <c r="D3197">
        <v>1</v>
      </c>
      <c r="E3197">
        <f t="shared" si="49"/>
        <v>1.0686582169371947E-15</v>
      </c>
    </row>
    <row r="3198" spans="1:5" x14ac:dyDescent="0.25">
      <c r="A3198">
        <v>3</v>
      </c>
      <c r="B3198">
        <v>15</v>
      </c>
      <c r="C3198">
        <v>30</v>
      </c>
      <c r="D3198">
        <v>0</v>
      </c>
      <c r="E3198">
        <f t="shared" si="49"/>
        <v>5.1295594412985336E-17</v>
      </c>
    </row>
    <row r="3199" spans="1:5" x14ac:dyDescent="0.25">
      <c r="A3199">
        <v>3</v>
      </c>
      <c r="B3199">
        <v>16</v>
      </c>
      <c r="C3199">
        <v>4</v>
      </c>
      <c r="D3199">
        <v>25</v>
      </c>
      <c r="E3199">
        <f t="shared" si="49"/>
        <v>1.9764573362419918E-28</v>
      </c>
    </row>
    <row r="3200" spans="1:5" x14ac:dyDescent="0.25">
      <c r="A3200">
        <v>3</v>
      </c>
      <c r="B3200">
        <v>16</v>
      </c>
      <c r="C3200">
        <v>5</v>
      </c>
      <c r="D3200">
        <v>24</v>
      </c>
      <c r="E3200">
        <f t="shared" si="49"/>
        <v>6.0281948755380754E-26</v>
      </c>
    </row>
    <row r="3201" spans="1:5" x14ac:dyDescent="0.25">
      <c r="A3201">
        <v>3</v>
      </c>
      <c r="B3201">
        <v>16</v>
      </c>
      <c r="C3201">
        <v>6</v>
      </c>
      <c r="D3201">
        <v>23</v>
      </c>
      <c r="E3201">
        <f t="shared" si="49"/>
        <v>7.2338338506456904E-24</v>
      </c>
    </row>
    <row r="3202" spans="1:5" x14ac:dyDescent="0.25">
      <c r="A3202">
        <v>3</v>
      </c>
      <c r="B3202">
        <v>16</v>
      </c>
      <c r="C3202">
        <v>7</v>
      </c>
      <c r="D3202">
        <v>22</v>
      </c>
      <c r="E3202">
        <f t="shared" si="49"/>
        <v>4.6744345406315243E-22</v>
      </c>
    </row>
    <row r="3203" spans="1:5" x14ac:dyDescent="0.25">
      <c r="A3203">
        <v>3</v>
      </c>
      <c r="B3203">
        <v>16</v>
      </c>
      <c r="C3203">
        <v>8</v>
      </c>
      <c r="D3203">
        <v>21</v>
      </c>
      <c r="E3203">
        <f t="shared" si="49"/>
        <v>1.863930773076821E-20</v>
      </c>
    </row>
    <row r="3204" spans="1:5" x14ac:dyDescent="0.25">
      <c r="A3204">
        <v>3</v>
      </c>
      <c r="B3204">
        <v>16</v>
      </c>
      <c r="C3204">
        <v>9</v>
      </c>
      <c r="D3204">
        <v>20</v>
      </c>
      <c r="E3204">
        <f t="shared" si="49"/>
        <v>4.9580558563843413E-19</v>
      </c>
    </row>
    <row r="3205" spans="1:5" x14ac:dyDescent="0.25">
      <c r="A3205">
        <v>3</v>
      </c>
      <c r="B3205">
        <v>16</v>
      </c>
      <c r="C3205">
        <v>10</v>
      </c>
      <c r="D3205">
        <v>19</v>
      </c>
      <c r="E3205">
        <f t="shared" si="49"/>
        <v>9.2550375985841059E-18</v>
      </c>
    </row>
    <row r="3206" spans="1:5" x14ac:dyDescent="0.25">
      <c r="A3206">
        <v>3</v>
      </c>
      <c r="B3206">
        <v>16</v>
      </c>
      <c r="C3206">
        <v>11</v>
      </c>
      <c r="D3206">
        <v>18</v>
      </c>
      <c r="E3206">
        <f t="shared" si="49"/>
        <v>1.2560408169507006E-16</v>
      </c>
    </row>
    <row r="3207" spans="1:5" x14ac:dyDescent="0.25">
      <c r="A3207">
        <v>3</v>
      </c>
      <c r="B3207">
        <v>16</v>
      </c>
      <c r="C3207">
        <v>12</v>
      </c>
      <c r="D3207">
        <v>17</v>
      </c>
      <c r="E3207">
        <f t="shared" si="49"/>
        <v>1.2717413271625833E-15</v>
      </c>
    </row>
    <row r="3208" spans="1:5" x14ac:dyDescent="0.25">
      <c r="A3208">
        <v>3</v>
      </c>
      <c r="B3208">
        <v>16</v>
      </c>
      <c r="C3208">
        <v>13</v>
      </c>
      <c r="D3208">
        <v>16</v>
      </c>
      <c r="E3208">
        <f t="shared" si="49"/>
        <v>9.7934951775511821E-15</v>
      </c>
    </row>
    <row r="3209" spans="1:5" x14ac:dyDescent="0.25">
      <c r="A3209">
        <v>3</v>
      </c>
      <c r="B3209">
        <v>16</v>
      </c>
      <c r="C3209">
        <v>14</v>
      </c>
      <c r="D3209">
        <v>15</v>
      </c>
      <c r="E3209">
        <f t="shared" si="49"/>
        <v>5.8201342769447018E-14</v>
      </c>
    </row>
    <row r="3210" spans="1:5" x14ac:dyDescent="0.25">
      <c r="A3210">
        <v>3</v>
      </c>
      <c r="B3210">
        <v>16</v>
      </c>
      <c r="C3210">
        <v>15</v>
      </c>
      <c r="D3210">
        <v>14</v>
      </c>
      <c r="E3210">
        <f t="shared" si="49"/>
        <v>2.6984258920379978E-13</v>
      </c>
    </row>
    <row r="3211" spans="1:5" x14ac:dyDescent="0.25">
      <c r="A3211">
        <v>3</v>
      </c>
      <c r="B3211">
        <v>16</v>
      </c>
      <c r="C3211">
        <v>16</v>
      </c>
      <c r="D3211">
        <v>13</v>
      </c>
      <c r="E3211">
        <f t="shared" si="49"/>
        <v>9.8380110647218699E-13</v>
      </c>
    </row>
    <row r="3212" spans="1:5" x14ac:dyDescent="0.25">
      <c r="A3212">
        <v>3</v>
      </c>
      <c r="B3212">
        <v>16</v>
      </c>
      <c r="C3212">
        <v>17</v>
      </c>
      <c r="D3212">
        <v>12</v>
      </c>
      <c r="E3212">
        <f t="shared" si="49"/>
        <v>2.8356620127727753E-12</v>
      </c>
    </row>
    <row r="3213" spans="1:5" x14ac:dyDescent="0.25">
      <c r="A3213">
        <v>3</v>
      </c>
      <c r="B3213">
        <v>16</v>
      </c>
      <c r="C3213">
        <v>18</v>
      </c>
      <c r="D3213">
        <v>11</v>
      </c>
      <c r="E3213">
        <f t="shared" si="49"/>
        <v>6.481513172052052E-12</v>
      </c>
    </row>
    <row r="3214" spans="1:5" x14ac:dyDescent="0.25">
      <c r="A3214">
        <v>3</v>
      </c>
      <c r="B3214">
        <v>16</v>
      </c>
      <c r="C3214">
        <v>19</v>
      </c>
      <c r="D3214">
        <v>10</v>
      </c>
      <c r="E3214">
        <f t="shared" ref="E3214:E3277" si="50">COMBIN(A$4,A3214)*COMBIN(B$4,B3214)*COMBIN(C$4,C3214)*COMBIN(D$4,D3214)/COMBIN($G$4,$F$4)</f>
        <v>1.1757692315617232E-11</v>
      </c>
    </row>
    <row r="3215" spans="1:5" x14ac:dyDescent="0.25">
      <c r="A3215">
        <v>3</v>
      </c>
      <c r="B3215">
        <v>16</v>
      </c>
      <c r="C3215">
        <v>20</v>
      </c>
      <c r="D3215">
        <v>9</v>
      </c>
      <c r="E3215">
        <f t="shared" si="50"/>
        <v>1.6901682703699788E-11</v>
      </c>
    </row>
    <row r="3216" spans="1:5" x14ac:dyDescent="0.25">
      <c r="A3216">
        <v>3</v>
      </c>
      <c r="B3216">
        <v>16</v>
      </c>
      <c r="C3216">
        <v>21</v>
      </c>
      <c r="D3216">
        <v>8</v>
      </c>
      <c r="E3216">
        <f t="shared" si="50"/>
        <v>1.9174177857138394E-11</v>
      </c>
    </row>
    <row r="3217" spans="1:5" x14ac:dyDescent="0.25">
      <c r="A3217">
        <v>3</v>
      </c>
      <c r="B3217">
        <v>16</v>
      </c>
      <c r="C3217">
        <v>22</v>
      </c>
      <c r="D3217">
        <v>7</v>
      </c>
      <c r="E3217">
        <f t="shared" si="50"/>
        <v>1.7043713650789699E-11</v>
      </c>
    </row>
    <row r="3218" spans="1:5" x14ac:dyDescent="0.25">
      <c r="A3218">
        <v>3</v>
      </c>
      <c r="B3218">
        <v>16</v>
      </c>
      <c r="C3218">
        <v>23</v>
      </c>
      <c r="D3218">
        <v>6</v>
      </c>
      <c r="E3218">
        <f t="shared" si="50"/>
        <v>1.1739491553518754E-11</v>
      </c>
    </row>
    <row r="3219" spans="1:5" x14ac:dyDescent="0.25">
      <c r="A3219">
        <v>3</v>
      </c>
      <c r="B3219">
        <v>16</v>
      </c>
      <c r="C3219">
        <v>24</v>
      </c>
      <c r="D3219">
        <v>5</v>
      </c>
      <c r="E3219">
        <f t="shared" si="50"/>
        <v>6.163233065597345E-12</v>
      </c>
    </row>
    <row r="3220" spans="1:5" x14ac:dyDescent="0.25">
      <c r="A3220">
        <v>3</v>
      </c>
      <c r="B3220">
        <v>16</v>
      </c>
      <c r="C3220">
        <v>25</v>
      </c>
      <c r="D3220">
        <v>4</v>
      </c>
      <c r="E3220">
        <f t="shared" si="50"/>
        <v>2.406595768471346E-12</v>
      </c>
    </row>
    <row r="3221" spans="1:5" x14ac:dyDescent="0.25">
      <c r="A3221">
        <v>3</v>
      </c>
      <c r="B3221">
        <v>16</v>
      </c>
      <c r="C3221">
        <v>26</v>
      </c>
      <c r="D3221">
        <v>3</v>
      </c>
      <c r="E3221">
        <f t="shared" si="50"/>
        <v>6.7317364153044594E-13</v>
      </c>
    </row>
    <row r="3222" spans="1:5" x14ac:dyDescent="0.25">
      <c r="A3222">
        <v>3</v>
      </c>
      <c r="B3222">
        <v>16</v>
      </c>
      <c r="C3222">
        <v>27</v>
      </c>
      <c r="D3222">
        <v>2</v>
      </c>
      <c r="E3222">
        <f t="shared" si="50"/>
        <v>1.2682981652022894E-13</v>
      </c>
    </row>
    <row r="3223" spans="1:5" x14ac:dyDescent="0.25">
      <c r="A3223">
        <v>3</v>
      </c>
      <c r="B3223">
        <v>16</v>
      </c>
      <c r="C3223">
        <v>28</v>
      </c>
      <c r="D3223">
        <v>1</v>
      </c>
      <c r="E3223">
        <f t="shared" si="50"/>
        <v>1.4343848296930659E-14</v>
      </c>
    </row>
    <row r="3224" spans="1:5" x14ac:dyDescent="0.25">
      <c r="A3224">
        <v>3</v>
      </c>
      <c r="B3224">
        <v>16</v>
      </c>
      <c r="C3224">
        <v>29</v>
      </c>
      <c r="D3224">
        <v>0</v>
      </c>
      <c r="E3224">
        <f t="shared" si="50"/>
        <v>7.3203087860197846E-16</v>
      </c>
    </row>
    <row r="3225" spans="1:5" x14ac:dyDescent="0.25">
      <c r="A3225">
        <v>3</v>
      </c>
      <c r="B3225">
        <v>17</v>
      </c>
      <c r="C3225">
        <v>3</v>
      </c>
      <c r="D3225">
        <v>25</v>
      </c>
      <c r="E3225">
        <f t="shared" si="50"/>
        <v>2.0477148113626716E-28</v>
      </c>
    </row>
    <row r="3226" spans="1:5" x14ac:dyDescent="0.25">
      <c r="A3226">
        <v>3</v>
      </c>
      <c r="B3226">
        <v>17</v>
      </c>
      <c r="C3226">
        <v>4</v>
      </c>
      <c r="D3226">
        <v>24</v>
      </c>
      <c r="E3226">
        <f t="shared" si="50"/>
        <v>7.9348948940303515E-26</v>
      </c>
    </row>
    <row r="3227" spans="1:5" x14ac:dyDescent="0.25">
      <c r="A3227">
        <v>3</v>
      </c>
      <c r="B3227">
        <v>17</v>
      </c>
      <c r="C3227">
        <v>5</v>
      </c>
      <c r="D3227">
        <v>23</v>
      </c>
      <c r="E3227">
        <f t="shared" si="50"/>
        <v>1.1616686124860437E-23</v>
      </c>
    </row>
    <row r="3228" spans="1:5" x14ac:dyDescent="0.25">
      <c r="A3228">
        <v>3</v>
      </c>
      <c r="B3228">
        <v>17</v>
      </c>
      <c r="C3228">
        <v>6</v>
      </c>
      <c r="D3228">
        <v>22</v>
      </c>
      <c r="E3228">
        <f t="shared" si="50"/>
        <v>8.9061260290596669E-22</v>
      </c>
    </row>
    <row r="3229" spans="1:5" x14ac:dyDescent="0.25">
      <c r="A3229">
        <v>3</v>
      </c>
      <c r="B3229">
        <v>17</v>
      </c>
      <c r="C3229">
        <v>7</v>
      </c>
      <c r="D3229">
        <v>21</v>
      </c>
      <c r="E3229">
        <f t="shared" si="50"/>
        <v>4.1286255663283753E-20</v>
      </c>
    </row>
    <row r="3230" spans="1:5" x14ac:dyDescent="0.25">
      <c r="A3230">
        <v>3</v>
      </c>
      <c r="B3230">
        <v>17</v>
      </c>
      <c r="C3230">
        <v>8</v>
      </c>
      <c r="D3230">
        <v>20</v>
      </c>
      <c r="E3230">
        <f t="shared" si="50"/>
        <v>1.25716648494699E-18</v>
      </c>
    </row>
    <row r="3231" spans="1:5" x14ac:dyDescent="0.25">
      <c r="A3231">
        <v>3</v>
      </c>
      <c r="B3231">
        <v>17</v>
      </c>
      <c r="C3231">
        <v>9</v>
      </c>
      <c r="D3231">
        <v>19</v>
      </c>
      <c r="E3231">
        <f t="shared" si="50"/>
        <v>2.6540181348880895E-17</v>
      </c>
    </row>
    <row r="3232" spans="1:5" x14ac:dyDescent="0.25">
      <c r="A3232">
        <v>3</v>
      </c>
      <c r="B3232">
        <v>17</v>
      </c>
      <c r="C3232">
        <v>10</v>
      </c>
      <c r="D3232">
        <v>18</v>
      </c>
      <c r="E3232">
        <f t="shared" si="50"/>
        <v>4.0341075650298986E-16</v>
      </c>
    </row>
    <row r="3233" spans="1:5" x14ac:dyDescent="0.25">
      <c r="A3233">
        <v>3</v>
      </c>
      <c r="B3233">
        <v>17</v>
      </c>
      <c r="C3233">
        <v>11</v>
      </c>
      <c r="D3233">
        <v>17</v>
      </c>
      <c r="E3233">
        <f t="shared" si="50"/>
        <v>4.5383710106586344E-15</v>
      </c>
    </row>
    <row r="3234" spans="1:5" x14ac:dyDescent="0.25">
      <c r="A3234">
        <v>3</v>
      </c>
      <c r="B3234">
        <v>17</v>
      </c>
      <c r="C3234">
        <v>12</v>
      </c>
      <c r="D3234">
        <v>16</v>
      </c>
      <c r="E3234">
        <f t="shared" si="50"/>
        <v>3.8576153590598377E-14</v>
      </c>
    </row>
    <row r="3235" spans="1:5" x14ac:dyDescent="0.25">
      <c r="A3235">
        <v>3</v>
      </c>
      <c r="B3235">
        <v>17</v>
      </c>
      <c r="C3235">
        <v>13</v>
      </c>
      <c r="D3235">
        <v>15</v>
      </c>
      <c r="E3235">
        <f t="shared" si="50"/>
        <v>2.5163521726790332E-13</v>
      </c>
    </row>
    <row r="3236" spans="1:5" x14ac:dyDescent="0.25">
      <c r="A3236">
        <v>3</v>
      </c>
      <c r="B3236">
        <v>17</v>
      </c>
      <c r="C3236">
        <v>14</v>
      </c>
      <c r="D3236">
        <v>14</v>
      </c>
      <c r="E3236">
        <f t="shared" si="50"/>
        <v>1.2745160355127574E-12</v>
      </c>
    </row>
    <row r="3237" spans="1:5" x14ac:dyDescent="0.25">
      <c r="A3237">
        <v>3</v>
      </c>
      <c r="B3237">
        <v>17</v>
      </c>
      <c r="C3237">
        <v>15</v>
      </c>
      <c r="D3237">
        <v>13</v>
      </c>
      <c r="E3237">
        <f t="shared" si="50"/>
        <v>5.0555802742006038E-12</v>
      </c>
    </row>
    <row r="3238" spans="1:5" x14ac:dyDescent="0.25">
      <c r="A3238">
        <v>3</v>
      </c>
      <c r="B3238">
        <v>17</v>
      </c>
      <c r="C3238">
        <v>16</v>
      </c>
      <c r="D3238">
        <v>12</v>
      </c>
      <c r="E3238">
        <f t="shared" si="50"/>
        <v>1.5798688356876886E-11</v>
      </c>
    </row>
    <row r="3239" spans="1:5" x14ac:dyDescent="0.25">
      <c r="A3239">
        <v>3</v>
      </c>
      <c r="B3239">
        <v>17</v>
      </c>
      <c r="C3239">
        <v>17</v>
      </c>
      <c r="D3239">
        <v>11</v>
      </c>
      <c r="E3239">
        <f t="shared" si="50"/>
        <v>3.9032053587578206E-11</v>
      </c>
    </row>
    <row r="3240" spans="1:5" x14ac:dyDescent="0.25">
      <c r="A3240">
        <v>3</v>
      </c>
      <c r="B3240">
        <v>17</v>
      </c>
      <c r="C3240">
        <v>18</v>
      </c>
      <c r="D3240">
        <v>10</v>
      </c>
      <c r="E3240">
        <f t="shared" si="50"/>
        <v>7.6329349237930634E-11</v>
      </c>
    </row>
    <row r="3241" spans="1:5" x14ac:dyDescent="0.25">
      <c r="A3241">
        <v>3</v>
      </c>
      <c r="B3241">
        <v>17</v>
      </c>
      <c r="C3241">
        <v>19</v>
      </c>
      <c r="D3241">
        <v>9</v>
      </c>
      <c r="E3241">
        <f t="shared" si="50"/>
        <v>1.1800919125601126E-10</v>
      </c>
    </row>
    <row r="3242" spans="1:5" x14ac:dyDescent="0.25">
      <c r="A3242">
        <v>3</v>
      </c>
      <c r="B3242">
        <v>17</v>
      </c>
      <c r="C3242">
        <v>20</v>
      </c>
      <c r="D3242">
        <v>8</v>
      </c>
      <c r="E3242">
        <f t="shared" si="50"/>
        <v>1.4369354464702559E-10</v>
      </c>
    </row>
    <row r="3243" spans="1:5" x14ac:dyDescent="0.25">
      <c r="A3243">
        <v>3</v>
      </c>
      <c r="B3243">
        <v>17</v>
      </c>
      <c r="C3243">
        <v>21</v>
      </c>
      <c r="D3243">
        <v>7</v>
      </c>
      <c r="E3243">
        <f t="shared" si="50"/>
        <v>1.3685099490192899E-10</v>
      </c>
    </row>
    <row r="3244" spans="1:5" x14ac:dyDescent="0.25">
      <c r="A3244">
        <v>3</v>
      </c>
      <c r="B3244">
        <v>17</v>
      </c>
      <c r="C3244">
        <v>22</v>
      </c>
      <c r="D3244">
        <v>6</v>
      </c>
      <c r="E3244">
        <f t="shared" si="50"/>
        <v>1.0083757519089507E-10</v>
      </c>
    </row>
    <row r="3245" spans="1:5" x14ac:dyDescent="0.25">
      <c r="A3245">
        <v>3</v>
      </c>
      <c r="B3245">
        <v>17</v>
      </c>
      <c r="C3245">
        <v>23</v>
      </c>
      <c r="D3245">
        <v>5</v>
      </c>
      <c r="E3245">
        <f t="shared" si="50"/>
        <v>5.6556726954893305E-11</v>
      </c>
    </row>
    <row r="3246" spans="1:5" x14ac:dyDescent="0.25">
      <c r="A3246">
        <v>3</v>
      </c>
      <c r="B3246">
        <v>17</v>
      </c>
      <c r="C3246">
        <v>24</v>
      </c>
      <c r="D3246">
        <v>4</v>
      </c>
      <c r="E3246">
        <f t="shared" si="50"/>
        <v>2.3565302897872215E-11</v>
      </c>
    </row>
    <row r="3247" spans="1:5" x14ac:dyDescent="0.25">
      <c r="A3247">
        <v>3</v>
      </c>
      <c r="B3247">
        <v>17</v>
      </c>
      <c r="C3247">
        <v>25</v>
      </c>
      <c r="D3247">
        <v>3</v>
      </c>
      <c r="E3247">
        <f t="shared" si="50"/>
        <v>7.026744864092809E-12</v>
      </c>
    </row>
    <row r="3248" spans="1:5" x14ac:dyDescent="0.25">
      <c r="A3248">
        <v>3</v>
      </c>
      <c r="B3248">
        <v>17</v>
      </c>
      <c r="C3248">
        <v>26</v>
      </c>
      <c r="D3248">
        <v>2</v>
      </c>
      <c r="E3248">
        <f t="shared" si="50"/>
        <v>1.4100491366072515E-12</v>
      </c>
    </row>
    <row r="3249" spans="1:5" x14ac:dyDescent="0.25">
      <c r="A3249">
        <v>3</v>
      </c>
      <c r="B3249">
        <v>17</v>
      </c>
      <c r="C3249">
        <v>27</v>
      </c>
      <c r="D3249">
        <v>1</v>
      </c>
      <c r="E3249">
        <f t="shared" si="50"/>
        <v>1.6972813681383584E-13</v>
      </c>
    </row>
    <row r="3250" spans="1:5" x14ac:dyDescent="0.25">
      <c r="A3250">
        <v>3</v>
      </c>
      <c r="B3250">
        <v>17</v>
      </c>
      <c r="C3250">
        <v>28</v>
      </c>
      <c r="D3250">
        <v>0</v>
      </c>
      <c r="E3250">
        <f t="shared" si="50"/>
        <v>9.2138131413225182E-15</v>
      </c>
    </row>
    <row r="3251" spans="1:5" x14ac:dyDescent="0.25">
      <c r="A3251">
        <v>3</v>
      </c>
      <c r="B3251">
        <v>18</v>
      </c>
      <c r="C3251">
        <v>2</v>
      </c>
      <c r="D3251">
        <v>25</v>
      </c>
      <c r="E3251">
        <f t="shared" si="50"/>
        <v>1.4734879065890121E-28</v>
      </c>
    </row>
    <row r="3252" spans="1:5" x14ac:dyDescent="0.25">
      <c r="A3252">
        <v>3</v>
      </c>
      <c r="B3252">
        <v>18</v>
      </c>
      <c r="C3252">
        <v>3</v>
      </c>
      <c r="D3252">
        <v>24</v>
      </c>
      <c r="E3252">
        <f t="shared" si="50"/>
        <v>7.7358115095923136E-26</v>
      </c>
    </row>
    <row r="3253" spans="1:5" x14ac:dyDescent="0.25">
      <c r="A3253">
        <v>3</v>
      </c>
      <c r="B3253">
        <v>18</v>
      </c>
      <c r="C3253">
        <v>4</v>
      </c>
      <c r="D3253">
        <v>23</v>
      </c>
      <c r="E3253">
        <f t="shared" si="50"/>
        <v>1.4388609407841704E-23</v>
      </c>
    </row>
    <row r="3254" spans="1:5" x14ac:dyDescent="0.25">
      <c r="A3254">
        <v>3</v>
      </c>
      <c r="B3254">
        <v>18</v>
      </c>
      <c r="C3254">
        <v>5</v>
      </c>
      <c r="D3254">
        <v>22</v>
      </c>
      <c r="E3254">
        <f t="shared" si="50"/>
        <v>1.3458145999467939E-21</v>
      </c>
    </row>
    <row r="3255" spans="1:5" x14ac:dyDescent="0.25">
      <c r="A3255">
        <v>3</v>
      </c>
      <c r="B3255">
        <v>18</v>
      </c>
      <c r="C3255">
        <v>6</v>
      </c>
      <c r="D3255">
        <v>21</v>
      </c>
      <c r="E3255">
        <f t="shared" si="50"/>
        <v>7.4019802997073682E-20</v>
      </c>
    </row>
    <row r="3256" spans="1:5" x14ac:dyDescent="0.25">
      <c r="A3256">
        <v>3</v>
      </c>
      <c r="B3256">
        <v>18</v>
      </c>
      <c r="C3256">
        <v>7</v>
      </c>
      <c r="D3256">
        <v>20</v>
      </c>
      <c r="E3256">
        <f t="shared" si="50"/>
        <v>2.6203010260964079E-18</v>
      </c>
    </row>
    <row r="3257" spans="1:5" x14ac:dyDescent="0.25">
      <c r="A3257">
        <v>3</v>
      </c>
      <c r="B3257">
        <v>18</v>
      </c>
      <c r="C3257">
        <v>8</v>
      </c>
      <c r="D3257">
        <v>19</v>
      </c>
      <c r="E3257">
        <f t="shared" si="50"/>
        <v>6.3323941463996521E-17</v>
      </c>
    </row>
    <row r="3258" spans="1:5" x14ac:dyDescent="0.25">
      <c r="A3258">
        <v>3</v>
      </c>
      <c r="B3258">
        <v>18</v>
      </c>
      <c r="C3258">
        <v>9</v>
      </c>
      <c r="D3258">
        <v>18</v>
      </c>
      <c r="E3258">
        <f t="shared" si="50"/>
        <v>1.0885687080239406E-15</v>
      </c>
    </row>
    <row r="3259" spans="1:5" x14ac:dyDescent="0.25">
      <c r="A3259">
        <v>3</v>
      </c>
      <c r="B3259">
        <v>18</v>
      </c>
      <c r="C3259">
        <v>10</v>
      </c>
      <c r="D3259">
        <v>17</v>
      </c>
      <c r="E3259">
        <f t="shared" si="50"/>
        <v>1.3715965721101648E-14</v>
      </c>
    </row>
    <row r="3260" spans="1:5" x14ac:dyDescent="0.25">
      <c r="A3260">
        <v>3</v>
      </c>
      <c r="B3260">
        <v>18</v>
      </c>
      <c r="C3260">
        <v>11</v>
      </c>
      <c r="D3260">
        <v>16</v>
      </c>
      <c r="E3260">
        <f t="shared" si="50"/>
        <v>1.2953967625484893E-13</v>
      </c>
    </row>
    <row r="3261" spans="1:5" x14ac:dyDescent="0.25">
      <c r="A3261">
        <v>3</v>
      </c>
      <c r="B3261">
        <v>18</v>
      </c>
      <c r="C3261">
        <v>12</v>
      </c>
      <c r="D3261">
        <v>15</v>
      </c>
      <c r="E3261">
        <f t="shared" si="50"/>
        <v>9.3268566903491148E-13</v>
      </c>
    </row>
    <row r="3262" spans="1:5" x14ac:dyDescent="0.25">
      <c r="A3262">
        <v>3</v>
      </c>
      <c r="B3262">
        <v>18</v>
      </c>
      <c r="C3262">
        <v>13</v>
      </c>
      <c r="D3262">
        <v>14</v>
      </c>
      <c r="E3262">
        <f t="shared" si="50"/>
        <v>5.1852105376416452E-12</v>
      </c>
    </row>
    <row r="3263" spans="1:5" x14ac:dyDescent="0.25">
      <c r="A3263">
        <v>3</v>
      </c>
      <c r="B3263">
        <v>18</v>
      </c>
      <c r="C3263">
        <v>14</v>
      </c>
      <c r="D3263">
        <v>13</v>
      </c>
      <c r="E3263">
        <f t="shared" si="50"/>
        <v>2.2469245663113802E-11</v>
      </c>
    </row>
    <row r="3264" spans="1:5" x14ac:dyDescent="0.25">
      <c r="A3264">
        <v>3</v>
      </c>
      <c r="B3264">
        <v>18</v>
      </c>
      <c r="C3264">
        <v>15</v>
      </c>
      <c r="D3264">
        <v>12</v>
      </c>
      <c r="E3264">
        <f t="shared" si="50"/>
        <v>7.6395435254586893E-11</v>
      </c>
    </row>
    <row r="3265" spans="1:5" x14ac:dyDescent="0.25">
      <c r="A3265">
        <v>3</v>
      </c>
      <c r="B3265">
        <v>18</v>
      </c>
      <c r="C3265">
        <v>16</v>
      </c>
      <c r="D3265">
        <v>11</v>
      </c>
      <c r="E3265">
        <f t="shared" si="50"/>
        <v>2.0463063014621486E-10</v>
      </c>
    </row>
    <row r="3266" spans="1:5" x14ac:dyDescent="0.25">
      <c r="A3266">
        <v>3</v>
      </c>
      <c r="B3266">
        <v>18</v>
      </c>
      <c r="C3266">
        <v>17</v>
      </c>
      <c r="D3266">
        <v>10</v>
      </c>
      <c r="E3266">
        <f t="shared" si="50"/>
        <v>4.3253297901494059E-10</v>
      </c>
    </row>
    <row r="3267" spans="1:5" x14ac:dyDescent="0.25">
      <c r="A3267">
        <v>3</v>
      </c>
      <c r="B3267">
        <v>18</v>
      </c>
      <c r="C3267">
        <v>18</v>
      </c>
      <c r="D3267">
        <v>9</v>
      </c>
      <c r="E3267">
        <f t="shared" si="50"/>
        <v>7.2088829835823369E-10</v>
      </c>
    </row>
    <row r="3268" spans="1:5" x14ac:dyDescent="0.25">
      <c r="A3268">
        <v>3</v>
      </c>
      <c r="B3268">
        <v>18</v>
      </c>
      <c r="C3268">
        <v>19</v>
      </c>
      <c r="D3268">
        <v>8</v>
      </c>
      <c r="E3268">
        <f t="shared" si="50"/>
        <v>9.4407353004808984E-10</v>
      </c>
    </row>
    <row r="3269" spans="1:5" x14ac:dyDescent="0.25">
      <c r="A3269">
        <v>3</v>
      </c>
      <c r="B3269">
        <v>18</v>
      </c>
      <c r="C3269">
        <v>20</v>
      </c>
      <c r="D3269">
        <v>7</v>
      </c>
      <c r="E3269">
        <f t="shared" si="50"/>
        <v>9.6505294182693732E-10</v>
      </c>
    </row>
    <row r="3270" spans="1:5" x14ac:dyDescent="0.25">
      <c r="A3270">
        <v>3</v>
      </c>
      <c r="B3270">
        <v>18</v>
      </c>
      <c r="C3270">
        <v>21</v>
      </c>
      <c r="D3270">
        <v>6</v>
      </c>
      <c r="E3270">
        <f t="shared" si="50"/>
        <v>7.6188390144231767E-10</v>
      </c>
    </row>
    <row r="3271" spans="1:5" x14ac:dyDescent="0.25">
      <c r="A3271">
        <v>3</v>
      </c>
      <c r="B3271">
        <v>18</v>
      </c>
      <c r="C3271">
        <v>22</v>
      </c>
      <c r="D3271">
        <v>5</v>
      </c>
      <c r="E3271">
        <f t="shared" si="50"/>
        <v>4.57130340865391E-10</v>
      </c>
    </row>
    <row r="3272" spans="1:5" x14ac:dyDescent="0.25">
      <c r="A3272">
        <v>3</v>
      </c>
      <c r="B3272">
        <v>18</v>
      </c>
      <c r="C3272">
        <v>23</v>
      </c>
      <c r="D3272">
        <v>4</v>
      </c>
      <c r="E3272">
        <f t="shared" si="50"/>
        <v>2.034845202609918E-10</v>
      </c>
    </row>
    <row r="3273" spans="1:5" x14ac:dyDescent="0.25">
      <c r="A3273">
        <v>3</v>
      </c>
      <c r="B3273">
        <v>18</v>
      </c>
      <c r="C3273">
        <v>24</v>
      </c>
      <c r="D3273">
        <v>3</v>
      </c>
      <c r="E3273">
        <f t="shared" si="50"/>
        <v>6.4745074628497383E-11</v>
      </c>
    </row>
    <row r="3274" spans="1:5" x14ac:dyDescent="0.25">
      <c r="A3274">
        <v>3</v>
      </c>
      <c r="B3274">
        <v>18</v>
      </c>
      <c r="C3274">
        <v>25</v>
      </c>
      <c r="D3274">
        <v>2</v>
      </c>
      <c r="E3274">
        <f t="shared" si="50"/>
        <v>1.3849815964009011E-11</v>
      </c>
    </row>
    <row r="3275" spans="1:5" x14ac:dyDescent="0.25">
      <c r="A3275">
        <v>3</v>
      </c>
      <c r="B3275">
        <v>18</v>
      </c>
      <c r="C3275">
        <v>26</v>
      </c>
      <c r="D3275">
        <v>1</v>
      </c>
      <c r="E3275">
        <f t="shared" si="50"/>
        <v>1.7756174312832054E-12</v>
      </c>
    </row>
    <row r="3276" spans="1:5" x14ac:dyDescent="0.25">
      <c r="A3276">
        <v>3</v>
      </c>
      <c r="B3276">
        <v>18</v>
      </c>
      <c r="C3276">
        <v>27</v>
      </c>
      <c r="D3276">
        <v>0</v>
      </c>
      <c r="E3276">
        <f t="shared" si="50"/>
        <v>1.0259122936302966E-13</v>
      </c>
    </row>
    <row r="3277" spans="1:5" x14ac:dyDescent="0.25">
      <c r="A3277">
        <v>3</v>
      </c>
      <c r="B3277">
        <v>19</v>
      </c>
      <c r="C3277">
        <v>1</v>
      </c>
      <c r="D3277">
        <v>25</v>
      </c>
      <c r="E3277">
        <f t="shared" si="50"/>
        <v>6.5676845836451019E-29</v>
      </c>
    </row>
    <row r="3278" spans="1:5" x14ac:dyDescent="0.25">
      <c r="A3278">
        <v>3</v>
      </c>
      <c r="B3278">
        <v>19</v>
      </c>
      <c r="C3278">
        <v>2</v>
      </c>
      <c r="D3278">
        <v>24</v>
      </c>
      <c r="E3278">
        <f t="shared" ref="E3278:E3341" si="51">COMBIN(A$4,A3278)*COMBIN(B$4,B3278)*COMBIN(C$4,C3278)*COMBIN(D$4,D3278)/COMBIN($G$4,$F$4)</f>
        <v>5.2541476669160816E-26</v>
      </c>
    </row>
    <row r="3279" spans="1:5" x14ac:dyDescent="0.25">
      <c r="A3279">
        <v>3</v>
      </c>
      <c r="B3279">
        <v>19</v>
      </c>
      <c r="C3279">
        <v>3</v>
      </c>
      <c r="D3279">
        <v>23</v>
      </c>
      <c r="E3279">
        <f t="shared" si="51"/>
        <v>1.3240452120628526E-23</v>
      </c>
    </row>
    <row r="3280" spans="1:5" x14ac:dyDescent="0.25">
      <c r="A3280">
        <v>3</v>
      </c>
      <c r="B3280">
        <v>19</v>
      </c>
      <c r="C3280">
        <v>4</v>
      </c>
      <c r="D3280">
        <v>22</v>
      </c>
      <c r="E3280">
        <f t="shared" si="51"/>
        <v>1.57340706033469E-21</v>
      </c>
    </row>
    <row r="3281" spans="1:5" x14ac:dyDescent="0.25">
      <c r="A3281">
        <v>3</v>
      </c>
      <c r="B3281">
        <v>19</v>
      </c>
      <c r="C3281">
        <v>5</v>
      </c>
      <c r="D3281">
        <v>21</v>
      </c>
      <c r="E3281">
        <f t="shared" si="51"/>
        <v>1.0557561374845772E-19</v>
      </c>
    </row>
    <row r="3282" spans="1:5" x14ac:dyDescent="0.25">
      <c r="A3282">
        <v>3</v>
      </c>
      <c r="B3282">
        <v>19</v>
      </c>
      <c r="C3282">
        <v>6</v>
      </c>
      <c r="D3282">
        <v>20</v>
      </c>
      <c r="E3282">
        <f t="shared" si="51"/>
        <v>4.4341757774352223E-18</v>
      </c>
    </row>
    <row r="3283" spans="1:5" x14ac:dyDescent="0.25">
      <c r="A3283">
        <v>3</v>
      </c>
      <c r="B3283">
        <v>19</v>
      </c>
      <c r="C3283">
        <v>7</v>
      </c>
      <c r="D3283">
        <v>19</v>
      </c>
      <c r="E3283">
        <f t="shared" si="51"/>
        <v>1.2457922422318006E-16</v>
      </c>
    </row>
    <row r="3284" spans="1:5" x14ac:dyDescent="0.25">
      <c r="A3284">
        <v>3</v>
      </c>
      <c r="B3284">
        <v>19</v>
      </c>
      <c r="C3284">
        <v>8</v>
      </c>
      <c r="D3284">
        <v>18</v>
      </c>
      <c r="E3284">
        <f t="shared" si="51"/>
        <v>2.4515411623918667E-15</v>
      </c>
    </row>
    <row r="3285" spans="1:5" x14ac:dyDescent="0.25">
      <c r="A3285">
        <v>3</v>
      </c>
      <c r="B3285">
        <v>19</v>
      </c>
      <c r="C3285">
        <v>9</v>
      </c>
      <c r="D3285">
        <v>17</v>
      </c>
      <c r="E3285">
        <f t="shared" si="51"/>
        <v>3.4934461564084079E-14</v>
      </c>
    </row>
    <row r="3286" spans="1:5" x14ac:dyDescent="0.25">
      <c r="A3286">
        <v>3</v>
      </c>
      <c r="B3286">
        <v>19</v>
      </c>
      <c r="C3286">
        <v>10</v>
      </c>
      <c r="D3286">
        <v>16</v>
      </c>
      <c r="E3286">
        <f t="shared" si="51"/>
        <v>3.6952897121120049E-13</v>
      </c>
    </row>
    <row r="3287" spans="1:5" x14ac:dyDescent="0.25">
      <c r="A3287">
        <v>3</v>
      </c>
      <c r="B3287">
        <v>19</v>
      </c>
      <c r="C3287">
        <v>11</v>
      </c>
      <c r="D3287">
        <v>15</v>
      </c>
      <c r="E3287">
        <f t="shared" si="51"/>
        <v>2.9562317696896039E-12</v>
      </c>
    </row>
    <row r="3288" spans="1:5" x14ac:dyDescent="0.25">
      <c r="A3288">
        <v>3</v>
      </c>
      <c r="B3288">
        <v>19</v>
      </c>
      <c r="C3288">
        <v>12</v>
      </c>
      <c r="D3288">
        <v>14</v>
      </c>
      <c r="E3288">
        <f t="shared" si="51"/>
        <v>1.8140513132186196E-11</v>
      </c>
    </row>
    <row r="3289" spans="1:5" x14ac:dyDescent="0.25">
      <c r="A3289">
        <v>3</v>
      </c>
      <c r="B3289">
        <v>19</v>
      </c>
      <c r="C3289">
        <v>13</v>
      </c>
      <c r="D3289">
        <v>13</v>
      </c>
      <c r="E3289">
        <f t="shared" si="51"/>
        <v>8.6283722718475433E-11</v>
      </c>
    </row>
    <row r="3290" spans="1:5" x14ac:dyDescent="0.25">
      <c r="A3290">
        <v>3</v>
      </c>
      <c r="B3290">
        <v>19</v>
      </c>
      <c r="C3290">
        <v>14</v>
      </c>
      <c r="D3290">
        <v>12</v>
      </c>
      <c r="E3290">
        <f t="shared" si="51"/>
        <v>3.2048239866862308E-10</v>
      </c>
    </row>
    <row r="3291" spans="1:5" x14ac:dyDescent="0.25">
      <c r="A3291">
        <v>3</v>
      </c>
      <c r="B3291">
        <v>19</v>
      </c>
      <c r="C3291">
        <v>15</v>
      </c>
      <c r="D3291">
        <v>11</v>
      </c>
      <c r="E3291">
        <f t="shared" si="51"/>
        <v>9.339772761199867E-10</v>
      </c>
    </row>
    <row r="3292" spans="1:5" x14ac:dyDescent="0.25">
      <c r="A3292">
        <v>3</v>
      </c>
      <c r="B3292">
        <v>19</v>
      </c>
      <c r="C3292">
        <v>16</v>
      </c>
      <c r="D3292">
        <v>10</v>
      </c>
      <c r="E3292">
        <f t="shared" si="51"/>
        <v>2.1403645911083031E-9</v>
      </c>
    </row>
    <row r="3293" spans="1:5" x14ac:dyDescent="0.25">
      <c r="A3293">
        <v>3</v>
      </c>
      <c r="B3293">
        <v>19</v>
      </c>
      <c r="C3293">
        <v>17</v>
      </c>
      <c r="D3293">
        <v>9</v>
      </c>
      <c r="E3293">
        <f t="shared" si="51"/>
        <v>3.8558038589818723E-9</v>
      </c>
    </row>
    <row r="3294" spans="1:5" x14ac:dyDescent="0.25">
      <c r="A3294">
        <v>3</v>
      </c>
      <c r="B3294">
        <v>19</v>
      </c>
      <c r="C3294">
        <v>18</v>
      </c>
      <c r="D3294">
        <v>8</v>
      </c>
      <c r="E3294">
        <f t="shared" si="51"/>
        <v>5.4434878009155784E-9</v>
      </c>
    </row>
    <row r="3295" spans="1:5" x14ac:dyDescent="0.25">
      <c r="A3295">
        <v>3</v>
      </c>
      <c r="B3295">
        <v>19</v>
      </c>
      <c r="C3295">
        <v>19</v>
      </c>
      <c r="D3295">
        <v>7</v>
      </c>
      <c r="E3295">
        <f t="shared" si="51"/>
        <v>5.9846532548077745E-9</v>
      </c>
    </row>
    <row r="3296" spans="1:5" x14ac:dyDescent="0.25">
      <c r="A3296">
        <v>3</v>
      </c>
      <c r="B3296">
        <v>19</v>
      </c>
      <c r="C3296">
        <v>20</v>
      </c>
      <c r="D3296">
        <v>6</v>
      </c>
      <c r="E3296">
        <f t="shared" si="51"/>
        <v>5.0712061790739583E-9</v>
      </c>
    </row>
    <row r="3297" spans="1:5" x14ac:dyDescent="0.25">
      <c r="A3297">
        <v>3</v>
      </c>
      <c r="B3297">
        <v>19</v>
      </c>
      <c r="C3297">
        <v>21</v>
      </c>
      <c r="D3297">
        <v>5</v>
      </c>
      <c r="E3297">
        <f t="shared" si="51"/>
        <v>3.2600611151189694E-9</v>
      </c>
    </row>
    <row r="3298" spans="1:5" x14ac:dyDescent="0.25">
      <c r="A3298">
        <v>3</v>
      </c>
      <c r="B3298">
        <v>19</v>
      </c>
      <c r="C3298">
        <v>22</v>
      </c>
      <c r="D3298">
        <v>4</v>
      </c>
      <c r="E3298">
        <f t="shared" si="51"/>
        <v>1.5524100548185583E-9</v>
      </c>
    </row>
    <row r="3299" spans="1:5" x14ac:dyDescent="0.25">
      <c r="A3299">
        <v>3</v>
      </c>
      <c r="B3299">
        <v>19</v>
      </c>
      <c r="C3299">
        <v>23</v>
      </c>
      <c r="D3299">
        <v>3</v>
      </c>
      <c r="E3299">
        <f t="shared" si="51"/>
        <v>5.2769669847587343E-10</v>
      </c>
    </row>
    <row r="3300" spans="1:5" x14ac:dyDescent="0.25">
      <c r="A3300">
        <v>3</v>
      </c>
      <c r="B3300">
        <v>19</v>
      </c>
      <c r="C3300">
        <v>24</v>
      </c>
      <c r="D3300">
        <v>2</v>
      </c>
      <c r="E3300">
        <f t="shared" si="51"/>
        <v>1.2045250726079719E-10</v>
      </c>
    </row>
    <row r="3301" spans="1:5" x14ac:dyDescent="0.25">
      <c r="A3301">
        <v>3</v>
      </c>
      <c r="B3301">
        <v>19</v>
      </c>
      <c r="C3301">
        <v>25</v>
      </c>
      <c r="D3301">
        <v>1</v>
      </c>
      <c r="E3301">
        <f t="shared" si="51"/>
        <v>1.6461842658975623E-11</v>
      </c>
    </row>
    <row r="3302" spans="1:5" x14ac:dyDescent="0.25">
      <c r="A3302">
        <v>3</v>
      </c>
      <c r="B3302">
        <v>19</v>
      </c>
      <c r="C3302">
        <v>26</v>
      </c>
      <c r="D3302">
        <v>0</v>
      </c>
      <c r="E3302">
        <f t="shared" si="51"/>
        <v>1.013036471321576E-12</v>
      </c>
    </row>
    <row r="3303" spans="1:5" x14ac:dyDescent="0.25">
      <c r="A3303">
        <v>3</v>
      </c>
      <c r="B3303">
        <v>20</v>
      </c>
      <c r="C3303">
        <v>0</v>
      </c>
      <c r="D3303">
        <v>25</v>
      </c>
      <c r="E3303">
        <f t="shared" si="51"/>
        <v>1.3640575673724443E-29</v>
      </c>
    </row>
    <row r="3304" spans="1:5" x14ac:dyDescent="0.25">
      <c r="A3304">
        <v>3</v>
      </c>
      <c r="B3304">
        <v>20</v>
      </c>
      <c r="C3304">
        <v>1</v>
      </c>
      <c r="D3304">
        <v>24</v>
      </c>
      <c r="E3304">
        <f t="shared" si="51"/>
        <v>2.2165935469802221E-26</v>
      </c>
    </row>
    <row r="3305" spans="1:5" x14ac:dyDescent="0.25">
      <c r="A3305">
        <v>3</v>
      </c>
      <c r="B3305">
        <v>20</v>
      </c>
      <c r="C3305">
        <v>2</v>
      </c>
      <c r="D3305">
        <v>23</v>
      </c>
      <c r="E3305">
        <f t="shared" si="51"/>
        <v>8.5117192204040523E-24</v>
      </c>
    </row>
    <row r="3306" spans="1:5" x14ac:dyDescent="0.25">
      <c r="A3306">
        <v>3</v>
      </c>
      <c r="B3306">
        <v>20</v>
      </c>
      <c r="C3306">
        <v>3</v>
      </c>
      <c r="D3306">
        <v>22</v>
      </c>
      <c r="E3306">
        <f t="shared" si="51"/>
        <v>1.3703867944850525E-21</v>
      </c>
    </row>
    <row r="3307" spans="1:5" x14ac:dyDescent="0.25">
      <c r="A3307">
        <v>3</v>
      </c>
      <c r="B3307">
        <v>20</v>
      </c>
      <c r="C3307">
        <v>4</v>
      </c>
      <c r="D3307">
        <v>21</v>
      </c>
      <c r="E3307">
        <f t="shared" si="51"/>
        <v>1.1682547422985072E-19</v>
      </c>
    </row>
    <row r="3308" spans="1:5" x14ac:dyDescent="0.25">
      <c r="A3308">
        <v>3</v>
      </c>
      <c r="B3308">
        <v>20</v>
      </c>
      <c r="C3308">
        <v>5</v>
      </c>
      <c r="D3308">
        <v>20</v>
      </c>
      <c r="E3308">
        <f t="shared" si="51"/>
        <v>5.9861372995375505E-18</v>
      </c>
    </row>
    <row r="3309" spans="1:5" x14ac:dyDescent="0.25">
      <c r="A3309">
        <v>3</v>
      </c>
      <c r="B3309">
        <v>20</v>
      </c>
      <c r="C3309">
        <v>6</v>
      </c>
      <c r="D3309">
        <v>19</v>
      </c>
      <c r="E3309">
        <f t="shared" si="51"/>
        <v>1.9953790998458501E-16</v>
      </c>
    </row>
    <row r="3310" spans="1:5" x14ac:dyDescent="0.25">
      <c r="A3310">
        <v>3</v>
      </c>
      <c r="B3310">
        <v>20</v>
      </c>
      <c r="C3310">
        <v>7</v>
      </c>
      <c r="D3310">
        <v>18</v>
      </c>
      <c r="E3310">
        <f t="shared" si="51"/>
        <v>4.5649387161779553E-15</v>
      </c>
    </row>
    <row r="3311" spans="1:5" x14ac:dyDescent="0.25">
      <c r="A3311">
        <v>3</v>
      </c>
      <c r="B3311">
        <v>20</v>
      </c>
      <c r="C3311">
        <v>8</v>
      </c>
      <c r="D3311">
        <v>17</v>
      </c>
      <c r="E3311">
        <f t="shared" si="51"/>
        <v>7.4465562807652911E-14</v>
      </c>
    </row>
    <row r="3312" spans="1:5" x14ac:dyDescent="0.25">
      <c r="A3312">
        <v>3</v>
      </c>
      <c r="B3312">
        <v>20</v>
      </c>
      <c r="C3312">
        <v>9</v>
      </c>
      <c r="D3312">
        <v>16</v>
      </c>
      <c r="E3312">
        <f t="shared" si="51"/>
        <v>8.9082876988414393E-13</v>
      </c>
    </row>
    <row r="3313" spans="1:5" x14ac:dyDescent="0.25">
      <c r="A3313">
        <v>3</v>
      </c>
      <c r="B3313">
        <v>20</v>
      </c>
      <c r="C3313">
        <v>10</v>
      </c>
      <c r="D3313">
        <v>15</v>
      </c>
      <c r="E3313">
        <f t="shared" si="51"/>
        <v>7.9818257781619279E-12</v>
      </c>
    </row>
    <row r="3314" spans="1:5" x14ac:dyDescent="0.25">
      <c r="A3314">
        <v>3</v>
      </c>
      <c r="B3314">
        <v>20</v>
      </c>
      <c r="C3314">
        <v>11</v>
      </c>
      <c r="D3314">
        <v>14</v>
      </c>
      <c r="E3314">
        <f t="shared" si="51"/>
        <v>5.4421539396558626E-11</v>
      </c>
    </row>
    <row r="3315" spans="1:5" x14ac:dyDescent="0.25">
      <c r="A3315">
        <v>3</v>
      </c>
      <c r="B3315">
        <v>20</v>
      </c>
      <c r="C3315">
        <v>12</v>
      </c>
      <c r="D3315">
        <v>13</v>
      </c>
      <c r="E3315">
        <f t="shared" si="51"/>
        <v>2.8571308183193266E-10</v>
      </c>
    </row>
    <row r="3316" spans="1:5" x14ac:dyDescent="0.25">
      <c r="A3316">
        <v>3</v>
      </c>
      <c r="B3316">
        <v>20</v>
      </c>
      <c r="C3316">
        <v>13</v>
      </c>
      <c r="D3316">
        <v>12</v>
      </c>
      <c r="E3316">
        <f t="shared" si="51"/>
        <v>1.1648302566994182E-9</v>
      </c>
    </row>
    <row r="3317" spans="1:5" x14ac:dyDescent="0.25">
      <c r="A3317">
        <v>3</v>
      </c>
      <c r="B3317">
        <v>20</v>
      </c>
      <c r="C3317">
        <v>14</v>
      </c>
      <c r="D3317">
        <v>11</v>
      </c>
      <c r="E3317">
        <f t="shared" si="51"/>
        <v>3.7084391845940661E-9</v>
      </c>
    </row>
    <row r="3318" spans="1:5" x14ac:dyDescent="0.25">
      <c r="A3318">
        <v>3</v>
      </c>
      <c r="B3318">
        <v>20</v>
      </c>
      <c r="C3318">
        <v>15</v>
      </c>
      <c r="D3318">
        <v>10</v>
      </c>
      <c r="E3318">
        <f t="shared" si="51"/>
        <v>9.2463750335878666E-9</v>
      </c>
    </row>
    <row r="3319" spans="1:5" x14ac:dyDescent="0.25">
      <c r="A3319">
        <v>3</v>
      </c>
      <c r="B3319">
        <v>20</v>
      </c>
      <c r="C3319">
        <v>16</v>
      </c>
      <c r="D3319">
        <v>9</v>
      </c>
      <c r="E3319">
        <f t="shared" si="51"/>
        <v>1.8059326237476306E-8</v>
      </c>
    </row>
    <row r="3320" spans="1:5" x14ac:dyDescent="0.25">
      <c r="A3320">
        <v>3</v>
      </c>
      <c r="B3320">
        <v>20</v>
      </c>
      <c r="C3320">
        <v>17</v>
      </c>
      <c r="D3320">
        <v>8</v>
      </c>
      <c r="E3320">
        <f t="shared" si="51"/>
        <v>2.7557656992135141E-8</v>
      </c>
    </row>
    <row r="3321" spans="1:5" x14ac:dyDescent="0.25">
      <c r="A3321">
        <v>3</v>
      </c>
      <c r="B3321">
        <v>20</v>
      </c>
      <c r="C3321">
        <v>18</v>
      </c>
      <c r="D3321">
        <v>7</v>
      </c>
      <c r="E3321">
        <f t="shared" si="51"/>
        <v>3.2660926805493479E-8</v>
      </c>
    </row>
    <row r="3322" spans="1:5" x14ac:dyDescent="0.25">
      <c r="A3322">
        <v>3</v>
      </c>
      <c r="B3322">
        <v>20</v>
      </c>
      <c r="C3322">
        <v>19</v>
      </c>
      <c r="D3322">
        <v>6</v>
      </c>
      <c r="E3322">
        <f t="shared" si="51"/>
        <v>2.9765775398912338E-8</v>
      </c>
    </row>
    <row r="3323" spans="1:5" x14ac:dyDescent="0.25">
      <c r="A3323">
        <v>3</v>
      </c>
      <c r="B3323">
        <v>20</v>
      </c>
      <c r="C3323">
        <v>20</v>
      </c>
      <c r="D3323">
        <v>5</v>
      </c>
      <c r="E3323">
        <f t="shared" si="51"/>
        <v>2.0538385025249531E-8</v>
      </c>
    </row>
    <row r="3324" spans="1:5" x14ac:dyDescent="0.25">
      <c r="A3324">
        <v>3</v>
      </c>
      <c r="B3324">
        <v>20</v>
      </c>
      <c r="C3324">
        <v>21</v>
      </c>
      <c r="D3324">
        <v>4</v>
      </c>
      <c r="E3324">
        <f t="shared" si="51"/>
        <v>1.047876787002526E-8</v>
      </c>
    </row>
    <row r="3325" spans="1:5" x14ac:dyDescent="0.25">
      <c r="A3325">
        <v>3</v>
      </c>
      <c r="B3325">
        <v>20</v>
      </c>
      <c r="C3325">
        <v>22</v>
      </c>
      <c r="D3325">
        <v>3</v>
      </c>
      <c r="E3325">
        <f t="shared" si="51"/>
        <v>3.8104610436455518E-9</v>
      </c>
    </row>
    <row r="3326" spans="1:5" x14ac:dyDescent="0.25">
      <c r="A3326">
        <v>3</v>
      </c>
      <c r="B3326">
        <v>20</v>
      </c>
      <c r="C3326">
        <v>23</v>
      </c>
      <c r="D3326">
        <v>2</v>
      </c>
      <c r="E3326">
        <f t="shared" si="51"/>
        <v>9.2920505601186402E-10</v>
      </c>
    </row>
    <row r="3327" spans="1:5" x14ac:dyDescent="0.25">
      <c r="A3327">
        <v>3</v>
      </c>
      <c r="B3327">
        <v>20</v>
      </c>
      <c r="C3327">
        <v>24</v>
      </c>
      <c r="D3327">
        <v>1</v>
      </c>
      <c r="E3327">
        <f t="shared" si="51"/>
        <v>1.355090706683968E-10</v>
      </c>
    </row>
    <row r="3328" spans="1:5" x14ac:dyDescent="0.25">
      <c r="A3328">
        <v>3</v>
      </c>
      <c r="B3328">
        <v>20</v>
      </c>
      <c r="C3328">
        <v>25</v>
      </c>
      <c r="D3328">
        <v>0</v>
      </c>
      <c r="E3328">
        <f t="shared" si="51"/>
        <v>8.8893950358468339E-12</v>
      </c>
    </row>
    <row r="3329" spans="1:5" x14ac:dyDescent="0.25">
      <c r="A3329">
        <v>3</v>
      </c>
      <c r="B3329">
        <v>21</v>
      </c>
      <c r="C3329">
        <v>0</v>
      </c>
      <c r="D3329">
        <v>24</v>
      </c>
      <c r="E3329">
        <f t="shared" si="51"/>
        <v>4.3682319717046149E-27</v>
      </c>
    </row>
    <row r="3330" spans="1:5" x14ac:dyDescent="0.25">
      <c r="A3330">
        <v>3</v>
      </c>
      <c r="B3330">
        <v>21</v>
      </c>
      <c r="C3330">
        <v>1</v>
      </c>
      <c r="D3330">
        <v>23</v>
      </c>
      <c r="E3330">
        <f t="shared" si="51"/>
        <v>3.4072209379296E-24</v>
      </c>
    </row>
    <row r="3331" spans="1:5" x14ac:dyDescent="0.25">
      <c r="A3331">
        <v>3</v>
      </c>
      <c r="B3331">
        <v>21</v>
      </c>
      <c r="C3331">
        <v>2</v>
      </c>
      <c r="D3331">
        <v>22</v>
      </c>
      <c r="E3331">
        <f t="shared" si="51"/>
        <v>8.3590487010539509E-22</v>
      </c>
    </row>
    <row r="3332" spans="1:5" x14ac:dyDescent="0.25">
      <c r="A3332">
        <v>3</v>
      </c>
      <c r="B3332">
        <v>21</v>
      </c>
      <c r="C3332">
        <v>3</v>
      </c>
      <c r="D3332">
        <v>21</v>
      </c>
      <c r="E3332">
        <f t="shared" si="51"/>
        <v>9.6547012497173147E-20</v>
      </c>
    </row>
    <row r="3333" spans="1:5" x14ac:dyDescent="0.25">
      <c r="A3333">
        <v>3</v>
      </c>
      <c r="B3333">
        <v>21</v>
      </c>
      <c r="C3333">
        <v>4</v>
      </c>
      <c r="D3333">
        <v>20</v>
      </c>
      <c r="E3333">
        <f t="shared" si="51"/>
        <v>6.2852105135659699E-18</v>
      </c>
    </row>
    <row r="3334" spans="1:5" x14ac:dyDescent="0.25">
      <c r="A3334">
        <v>3</v>
      </c>
      <c r="B3334">
        <v>21</v>
      </c>
      <c r="C3334">
        <v>5</v>
      </c>
      <c r="D3334">
        <v>19</v>
      </c>
      <c r="E3334">
        <f t="shared" si="51"/>
        <v>2.5559856088501611E-16</v>
      </c>
    </row>
    <row r="3335" spans="1:5" x14ac:dyDescent="0.25">
      <c r="A3335">
        <v>3</v>
      </c>
      <c r="B3335">
        <v>21</v>
      </c>
      <c r="C3335">
        <v>6</v>
      </c>
      <c r="D3335">
        <v>18</v>
      </c>
      <c r="E3335">
        <f t="shared" si="51"/>
        <v>6.9376752240218681E-15</v>
      </c>
    </row>
    <row r="3336" spans="1:5" x14ac:dyDescent="0.25">
      <c r="A3336">
        <v>3</v>
      </c>
      <c r="B3336">
        <v>21</v>
      </c>
      <c r="C3336">
        <v>7</v>
      </c>
      <c r="D3336">
        <v>17</v>
      </c>
      <c r="E3336">
        <f t="shared" si="51"/>
        <v>1.3156805514127183E-13</v>
      </c>
    </row>
    <row r="3337" spans="1:5" x14ac:dyDescent="0.25">
      <c r="A3337">
        <v>3</v>
      </c>
      <c r="B3337">
        <v>21</v>
      </c>
      <c r="C3337">
        <v>8</v>
      </c>
      <c r="D3337">
        <v>16</v>
      </c>
      <c r="E3337">
        <f t="shared" si="51"/>
        <v>1.8017514217957508E-12</v>
      </c>
    </row>
    <row r="3338" spans="1:5" x14ac:dyDescent="0.25">
      <c r="A3338">
        <v>3</v>
      </c>
      <c r="B3338">
        <v>21</v>
      </c>
      <c r="C3338">
        <v>9</v>
      </c>
      <c r="D3338">
        <v>15</v>
      </c>
      <c r="E3338">
        <f t="shared" si="51"/>
        <v>1.8257747740863603E-11</v>
      </c>
    </row>
    <row r="3339" spans="1:5" x14ac:dyDescent="0.25">
      <c r="A3339">
        <v>3</v>
      </c>
      <c r="B3339">
        <v>21</v>
      </c>
      <c r="C3339">
        <v>10</v>
      </c>
      <c r="D3339">
        <v>14</v>
      </c>
      <c r="E3339">
        <f t="shared" si="51"/>
        <v>1.394228009302312E-10</v>
      </c>
    </row>
    <row r="3340" spans="1:5" x14ac:dyDescent="0.25">
      <c r="A3340">
        <v>3</v>
      </c>
      <c r="B3340">
        <v>21</v>
      </c>
      <c r="C3340">
        <v>11</v>
      </c>
      <c r="D3340">
        <v>13</v>
      </c>
      <c r="E3340">
        <f t="shared" si="51"/>
        <v>8.1329967209301557E-10</v>
      </c>
    </row>
    <row r="3341" spans="1:5" x14ac:dyDescent="0.25">
      <c r="A3341">
        <v>3</v>
      </c>
      <c r="B3341">
        <v>21</v>
      </c>
      <c r="C3341">
        <v>12</v>
      </c>
      <c r="D3341">
        <v>12</v>
      </c>
      <c r="E3341">
        <f t="shared" si="51"/>
        <v>3.6598485244185668E-9</v>
      </c>
    </row>
    <row r="3342" spans="1:5" x14ac:dyDescent="0.25">
      <c r="A3342">
        <v>3</v>
      </c>
      <c r="B3342">
        <v>21</v>
      </c>
      <c r="C3342">
        <v>13</v>
      </c>
      <c r="D3342">
        <v>11</v>
      </c>
      <c r="E3342">
        <f t="shared" ref="E3342:E3405" si="52">COMBIN(A$4,A3342)*COMBIN(B$4,B3342)*COMBIN(C$4,C3342)*COMBIN(D$4,D3342)/COMBIN($G$4,$F$4)</f>
        <v>1.2789360777638513E-8</v>
      </c>
    </row>
    <row r="3343" spans="1:5" x14ac:dyDescent="0.25">
      <c r="A3343">
        <v>3</v>
      </c>
      <c r="B3343">
        <v>21</v>
      </c>
      <c r="C3343">
        <v>14</v>
      </c>
      <c r="D3343">
        <v>10</v>
      </c>
      <c r="E3343">
        <f t="shared" si="52"/>
        <v>3.4835782689567761E-8</v>
      </c>
    </row>
    <row r="3344" spans="1:5" x14ac:dyDescent="0.25">
      <c r="A3344">
        <v>3</v>
      </c>
      <c r="B3344">
        <v>21</v>
      </c>
      <c r="C3344">
        <v>15</v>
      </c>
      <c r="D3344">
        <v>9</v>
      </c>
      <c r="E3344">
        <f t="shared" si="52"/>
        <v>7.4026038215331468E-8</v>
      </c>
    </row>
    <row r="3345" spans="1:5" x14ac:dyDescent="0.25">
      <c r="A3345">
        <v>3</v>
      </c>
      <c r="B3345">
        <v>21</v>
      </c>
      <c r="C3345">
        <v>16</v>
      </c>
      <c r="D3345">
        <v>8</v>
      </c>
      <c r="E3345">
        <f t="shared" si="52"/>
        <v>1.2246954851801164E-7</v>
      </c>
    </row>
    <row r="3346" spans="1:5" x14ac:dyDescent="0.25">
      <c r="A3346">
        <v>3</v>
      </c>
      <c r="B3346">
        <v>21</v>
      </c>
      <c r="C3346">
        <v>17</v>
      </c>
      <c r="D3346">
        <v>7</v>
      </c>
      <c r="E3346">
        <f t="shared" si="52"/>
        <v>1.5688909483353139E-7</v>
      </c>
    </row>
    <row r="3347" spans="1:5" x14ac:dyDescent="0.25">
      <c r="A3347">
        <v>3</v>
      </c>
      <c r="B3347">
        <v>21</v>
      </c>
      <c r="C3347">
        <v>18</v>
      </c>
      <c r="D3347">
        <v>6</v>
      </c>
      <c r="E3347">
        <f t="shared" si="52"/>
        <v>1.5413665457329378E-7</v>
      </c>
    </row>
    <row r="3348" spans="1:5" x14ac:dyDescent="0.25">
      <c r="A3348">
        <v>3</v>
      </c>
      <c r="B3348">
        <v>21</v>
      </c>
      <c r="C3348">
        <v>19</v>
      </c>
      <c r="D3348">
        <v>5</v>
      </c>
      <c r="E3348">
        <f t="shared" si="52"/>
        <v>1.1438562260439174E-7</v>
      </c>
    </row>
    <row r="3349" spans="1:5" x14ac:dyDescent="0.25">
      <c r="A3349">
        <v>3</v>
      </c>
      <c r="B3349">
        <v>21</v>
      </c>
      <c r="C3349">
        <v>20</v>
      </c>
      <c r="D3349">
        <v>4</v>
      </c>
      <c r="E3349">
        <f t="shared" si="52"/>
        <v>6.2639745711928888E-8</v>
      </c>
    </row>
    <row r="3350" spans="1:5" x14ac:dyDescent="0.25">
      <c r="A3350">
        <v>3</v>
      </c>
      <c r="B3350">
        <v>21</v>
      </c>
      <c r="C3350">
        <v>21</v>
      </c>
      <c r="D3350">
        <v>3</v>
      </c>
      <c r="E3350">
        <f t="shared" si="52"/>
        <v>2.4405095731920312E-8</v>
      </c>
    </row>
    <row r="3351" spans="1:5" x14ac:dyDescent="0.25">
      <c r="A3351">
        <v>3</v>
      </c>
      <c r="B3351">
        <v>21</v>
      </c>
      <c r="C3351">
        <v>22</v>
      </c>
      <c r="D3351">
        <v>2</v>
      </c>
      <c r="E3351">
        <f t="shared" si="52"/>
        <v>6.3665467126748673E-9</v>
      </c>
    </row>
    <row r="3352" spans="1:5" x14ac:dyDescent="0.25">
      <c r="A3352">
        <v>3</v>
      </c>
      <c r="B3352">
        <v>21</v>
      </c>
      <c r="C3352">
        <v>23</v>
      </c>
      <c r="D3352">
        <v>1</v>
      </c>
      <c r="E3352">
        <f t="shared" si="52"/>
        <v>9.9188952407615674E-10</v>
      </c>
    </row>
    <row r="3353" spans="1:5" x14ac:dyDescent="0.25">
      <c r="A3353">
        <v>3</v>
      </c>
      <c r="B3353">
        <v>21</v>
      </c>
      <c r="C3353">
        <v>24</v>
      </c>
      <c r="D3353">
        <v>0</v>
      </c>
      <c r="E3353">
        <f t="shared" si="52"/>
        <v>6.9432266685330966E-11</v>
      </c>
    </row>
    <row r="3354" spans="1:5" x14ac:dyDescent="0.25">
      <c r="A3354">
        <v>3</v>
      </c>
      <c r="B3354">
        <v>22</v>
      </c>
      <c r="C3354">
        <v>0</v>
      </c>
      <c r="D3354">
        <v>23</v>
      </c>
      <c r="E3354">
        <f t="shared" si="52"/>
        <v>6.3855609186372914E-25</v>
      </c>
    </row>
    <row r="3355" spans="1:5" x14ac:dyDescent="0.25">
      <c r="A3355">
        <v>3</v>
      </c>
      <c r="B3355">
        <v>22</v>
      </c>
      <c r="C3355">
        <v>1</v>
      </c>
      <c r="D3355">
        <v>22</v>
      </c>
      <c r="E3355">
        <f t="shared" si="52"/>
        <v>3.1821378577875833E-22</v>
      </c>
    </row>
    <row r="3356" spans="1:5" x14ac:dyDescent="0.25">
      <c r="A3356">
        <v>3</v>
      </c>
      <c r="B3356">
        <v>22</v>
      </c>
      <c r="C3356">
        <v>2</v>
      </c>
      <c r="D3356">
        <v>21</v>
      </c>
      <c r="E3356">
        <f t="shared" si="52"/>
        <v>5.6005626297061472E-20</v>
      </c>
    </row>
    <row r="3357" spans="1:5" x14ac:dyDescent="0.25">
      <c r="A3357">
        <v>3</v>
      </c>
      <c r="B3357">
        <v>22</v>
      </c>
      <c r="C3357">
        <v>3</v>
      </c>
      <c r="D3357">
        <v>20</v>
      </c>
      <c r="E3357">
        <f t="shared" si="52"/>
        <v>4.9396962394008209E-18</v>
      </c>
    </row>
    <row r="3358" spans="1:5" x14ac:dyDescent="0.25">
      <c r="A3358">
        <v>3</v>
      </c>
      <c r="B3358">
        <v>22</v>
      </c>
      <c r="C3358">
        <v>4</v>
      </c>
      <c r="D3358">
        <v>19</v>
      </c>
      <c r="E3358">
        <f t="shared" si="52"/>
        <v>2.5521763903570907E-16</v>
      </c>
    </row>
    <row r="3359" spans="1:5" x14ac:dyDescent="0.25">
      <c r="A3359">
        <v>3</v>
      </c>
      <c r="B3359">
        <v>22</v>
      </c>
      <c r="C3359">
        <v>5</v>
      </c>
      <c r="D3359">
        <v>18</v>
      </c>
      <c r="E3359">
        <f t="shared" si="52"/>
        <v>8.4513498183539119E-15</v>
      </c>
    </row>
    <row r="3360" spans="1:5" x14ac:dyDescent="0.25">
      <c r="A3360">
        <v>3</v>
      </c>
      <c r="B3360">
        <v>22</v>
      </c>
      <c r="C3360">
        <v>6</v>
      </c>
      <c r="D3360">
        <v>17</v>
      </c>
      <c r="E3360">
        <f t="shared" si="52"/>
        <v>1.90155370912963E-13</v>
      </c>
    </row>
    <row r="3361" spans="1:5" x14ac:dyDescent="0.25">
      <c r="A3361">
        <v>3</v>
      </c>
      <c r="B3361">
        <v>22</v>
      </c>
      <c r="C3361">
        <v>7</v>
      </c>
      <c r="D3361">
        <v>16</v>
      </c>
      <c r="E3361">
        <f t="shared" si="52"/>
        <v>3.0273942385032042E-12</v>
      </c>
    </row>
    <row r="3362" spans="1:5" x14ac:dyDescent="0.25">
      <c r="A3362">
        <v>3</v>
      </c>
      <c r="B3362">
        <v>22</v>
      </c>
      <c r="C3362">
        <v>8</v>
      </c>
      <c r="D3362">
        <v>15</v>
      </c>
      <c r="E3362">
        <f t="shared" si="52"/>
        <v>3.5117773166637167E-11</v>
      </c>
    </row>
    <row r="3363" spans="1:5" x14ac:dyDescent="0.25">
      <c r="A3363">
        <v>3</v>
      </c>
      <c r="B3363">
        <v>22</v>
      </c>
      <c r="C3363">
        <v>9</v>
      </c>
      <c r="D3363">
        <v>14</v>
      </c>
      <c r="E3363">
        <f t="shared" si="52"/>
        <v>3.0328985916641193E-10</v>
      </c>
    </row>
    <row r="3364" spans="1:5" x14ac:dyDescent="0.25">
      <c r="A3364">
        <v>3</v>
      </c>
      <c r="B3364">
        <v>22</v>
      </c>
      <c r="C3364">
        <v>10</v>
      </c>
      <c r="D3364">
        <v>13</v>
      </c>
      <c r="E3364">
        <f t="shared" si="52"/>
        <v>1.9814937465538919E-9</v>
      </c>
    </row>
    <row r="3365" spans="1:5" x14ac:dyDescent="0.25">
      <c r="A3365">
        <v>3</v>
      </c>
      <c r="B3365">
        <v>22</v>
      </c>
      <c r="C3365">
        <v>11</v>
      </c>
      <c r="D3365">
        <v>12</v>
      </c>
      <c r="E3365">
        <f t="shared" si="52"/>
        <v>9.9074687327694609E-9</v>
      </c>
    </row>
    <row r="3366" spans="1:5" x14ac:dyDescent="0.25">
      <c r="A3366">
        <v>3</v>
      </c>
      <c r="B3366">
        <v>22</v>
      </c>
      <c r="C3366">
        <v>12</v>
      </c>
      <c r="D3366">
        <v>11</v>
      </c>
      <c r="E3366">
        <f t="shared" si="52"/>
        <v>3.821452225496789E-8</v>
      </c>
    </row>
    <row r="3367" spans="1:5" x14ac:dyDescent="0.25">
      <c r="A3367">
        <v>3</v>
      </c>
      <c r="B3367">
        <v>22</v>
      </c>
      <c r="C3367">
        <v>13</v>
      </c>
      <c r="D3367">
        <v>10</v>
      </c>
      <c r="E3367">
        <f t="shared" si="52"/>
        <v>1.1425162294690402E-7</v>
      </c>
    </row>
    <row r="3368" spans="1:5" x14ac:dyDescent="0.25">
      <c r="A3368">
        <v>3</v>
      </c>
      <c r="B3368">
        <v>22</v>
      </c>
      <c r="C3368">
        <v>14</v>
      </c>
      <c r="D3368">
        <v>9</v>
      </c>
      <c r="E3368">
        <f t="shared" si="52"/>
        <v>2.6522698184102728E-7</v>
      </c>
    </row>
    <row r="3369" spans="1:5" x14ac:dyDescent="0.25">
      <c r="A3369">
        <v>3</v>
      </c>
      <c r="B3369">
        <v>22</v>
      </c>
      <c r="C3369">
        <v>15</v>
      </c>
      <c r="D3369">
        <v>8</v>
      </c>
      <c r="E3369">
        <f t="shared" si="52"/>
        <v>4.7740856731384892E-7</v>
      </c>
    </row>
    <row r="3370" spans="1:5" x14ac:dyDescent="0.25">
      <c r="A3370">
        <v>3</v>
      </c>
      <c r="B3370">
        <v>22</v>
      </c>
      <c r="C3370">
        <v>16</v>
      </c>
      <c r="D3370">
        <v>7</v>
      </c>
      <c r="E3370">
        <f t="shared" si="52"/>
        <v>6.6306745460256817E-7</v>
      </c>
    </row>
    <row r="3371" spans="1:5" x14ac:dyDescent="0.25">
      <c r="A3371">
        <v>3</v>
      </c>
      <c r="B3371">
        <v>22</v>
      </c>
      <c r="C3371">
        <v>17</v>
      </c>
      <c r="D3371">
        <v>6</v>
      </c>
      <c r="E3371">
        <f t="shared" si="52"/>
        <v>7.0412426293709265E-7</v>
      </c>
    </row>
    <row r="3372" spans="1:5" x14ac:dyDescent="0.25">
      <c r="A3372">
        <v>3</v>
      </c>
      <c r="B3372">
        <v>22</v>
      </c>
      <c r="C3372">
        <v>18</v>
      </c>
      <c r="D3372">
        <v>5</v>
      </c>
      <c r="E3372">
        <f t="shared" si="52"/>
        <v>5.6329941034967368E-7</v>
      </c>
    </row>
    <row r="3373" spans="1:5" x14ac:dyDescent="0.25">
      <c r="A3373">
        <v>3</v>
      </c>
      <c r="B3373">
        <v>22</v>
      </c>
      <c r="C3373">
        <v>19</v>
      </c>
      <c r="D3373">
        <v>4</v>
      </c>
      <c r="E3373">
        <f t="shared" si="52"/>
        <v>3.3176782313827914E-7</v>
      </c>
    </row>
    <row r="3374" spans="1:5" x14ac:dyDescent="0.25">
      <c r="A3374">
        <v>3</v>
      </c>
      <c r="B3374">
        <v>22</v>
      </c>
      <c r="C3374">
        <v>20</v>
      </c>
      <c r="D3374">
        <v>3</v>
      </c>
      <c r="E3374">
        <f t="shared" si="52"/>
        <v>1.3873927149418955E-7</v>
      </c>
    </row>
    <row r="3375" spans="1:5" x14ac:dyDescent="0.25">
      <c r="A3375">
        <v>3</v>
      </c>
      <c r="B3375">
        <v>22</v>
      </c>
      <c r="C3375">
        <v>21</v>
      </c>
      <c r="D3375">
        <v>2</v>
      </c>
      <c r="E3375">
        <f t="shared" si="52"/>
        <v>3.8778057249928711E-8</v>
      </c>
    </row>
    <row r="3376" spans="1:5" x14ac:dyDescent="0.25">
      <c r="A3376">
        <v>3</v>
      </c>
      <c r="B3376">
        <v>22</v>
      </c>
      <c r="C3376">
        <v>22</v>
      </c>
      <c r="D3376">
        <v>1</v>
      </c>
      <c r="E3376">
        <f t="shared" si="52"/>
        <v>6.4630095416547893E-9</v>
      </c>
    </row>
    <row r="3377" spans="1:5" x14ac:dyDescent="0.25">
      <c r="A3377">
        <v>3</v>
      </c>
      <c r="B3377">
        <v>22</v>
      </c>
      <c r="C3377">
        <v>23</v>
      </c>
      <c r="D3377">
        <v>0</v>
      </c>
      <c r="E3377">
        <f t="shared" si="52"/>
        <v>4.8332071354983629E-10</v>
      </c>
    </row>
    <row r="3378" spans="1:5" x14ac:dyDescent="0.25">
      <c r="A3378">
        <v>3</v>
      </c>
      <c r="B3378">
        <v>23</v>
      </c>
      <c r="C3378">
        <v>0</v>
      </c>
      <c r="D3378">
        <v>22</v>
      </c>
      <c r="E3378">
        <f t="shared" si="52"/>
        <v>5.6831492175871861E-23</v>
      </c>
    </row>
    <row r="3379" spans="1:5" x14ac:dyDescent="0.25">
      <c r="A3379">
        <v>3</v>
      </c>
      <c r="B3379">
        <v>23</v>
      </c>
      <c r="C3379">
        <v>1</v>
      </c>
      <c r="D3379">
        <v>21</v>
      </c>
      <c r="E3379">
        <f t="shared" si="52"/>
        <v>2.0317258452874193E-20</v>
      </c>
    </row>
    <row r="3380" spans="1:5" x14ac:dyDescent="0.25">
      <c r="A3380">
        <v>3</v>
      </c>
      <c r="B3380">
        <v>23</v>
      </c>
      <c r="C3380">
        <v>2</v>
      </c>
      <c r="D3380">
        <v>20</v>
      </c>
      <c r="E3380">
        <f t="shared" si="52"/>
        <v>2.730639536066291E-18</v>
      </c>
    </row>
    <row r="3381" spans="1:5" x14ac:dyDescent="0.25">
      <c r="A3381">
        <v>3</v>
      </c>
      <c r="B3381">
        <v>23</v>
      </c>
      <c r="C3381">
        <v>3</v>
      </c>
      <c r="D3381">
        <v>19</v>
      </c>
      <c r="E3381">
        <f t="shared" si="52"/>
        <v>1.9114476752464036E-16</v>
      </c>
    </row>
    <row r="3382" spans="1:5" x14ac:dyDescent="0.25">
      <c r="A3382">
        <v>3</v>
      </c>
      <c r="B3382">
        <v>23</v>
      </c>
      <c r="C3382">
        <v>4</v>
      </c>
      <c r="D3382">
        <v>18</v>
      </c>
      <c r="E3382">
        <f t="shared" si="52"/>
        <v>8.0417334337152304E-15</v>
      </c>
    </row>
    <row r="3383" spans="1:5" x14ac:dyDescent="0.25">
      <c r="A3383">
        <v>3</v>
      </c>
      <c r="B3383">
        <v>23</v>
      </c>
      <c r="C3383">
        <v>5</v>
      </c>
      <c r="D3383">
        <v>17</v>
      </c>
      <c r="E3383">
        <f t="shared" si="52"/>
        <v>2.2074558275548302E-13</v>
      </c>
    </row>
    <row r="3384" spans="1:5" x14ac:dyDescent="0.25">
      <c r="A3384">
        <v>3</v>
      </c>
      <c r="B3384">
        <v>23</v>
      </c>
      <c r="C3384">
        <v>6</v>
      </c>
      <c r="D3384">
        <v>16</v>
      </c>
      <c r="E3384">
        <f t="shared" si="52"/>
        <v>4.1696387853813454E-12</v>
      </c>
    </row>
    <row r="3385" spans="1:5" x14ac:dyDescent="0.25">
      <c r="A3385">
        <v>3</v>
      </c>
      <c r="B3385">
        <v>23</v>
      </c>
      <c r="C3385">
        <v>7</v>
      </c>
      <c r="D3385">
        <v>15</v>
      </c>
      <c r="E3385">
        <f t="shared" si="52"/>
        <v>5.6230557334285562E-11</v>
      </c>
    </row>
    <row r="3386" spans="1:5" x14ac:dyDescent="0.25">
      <c r="A3386">
        <v>3</v>
      </c>
      <c r="B3386">
        <v>23</v>
      </c>
      <c r="C3386">
        <v>8</v>
      </c>
      <c r="D3386">
        <v>14</v>
      </c>
      <c r="E3386">
        <f t="shared" si="52"/>
        <v>5.5591573728214158E-10</v>
      </c>
    </row>
    <row r="3387" spans="1:5" x14ac:dyDescent="0.25">
      <c r="A3387">
        <v>3</v>
      </c>
      <c r="B3387">
        <v>23</v>
      </c>
      <c r="C3387">
        <v>9</v>
      </c>
      <c r="D3387">
        <v>13</v>
      </c>
      <c r="E3387">
        <f t="shared" si="52"/>
        <v>4.10759961436249E-9</v>
      </c>
    </row>
    <row r="3388" spans="1:5" x14ac:dyDescent="0.25">
      <c r="A3388">
        <v>3</v>
      </c>
      <c r="B3388">
        <v>23</v>
      </c>
      <c r="C3388">
        <v>10</v>
      </c>
      <c r="D3388">
        <v>12</v>
      </c>
      <c r="E3388">
        <f t="shared" si="52"/>
        <v>2.300255784042995E-8</v>
      </c>
    </row>
    <row r="3389" spans="1:5" x14ac:dyDescent="0.25">
      <c r="A3389">
        <v>3</v>
      </c>
      <c r="B3389">
        <v>23</v>
      </c>
      <c r="C3389">
        <v>11</v>
      </c>
      <c r="D3389">
        <v>11</v>
      </c>
      <c r="E3389">
        <f t="shared" si="52"/>
        <v>9.8582390744699788E-8</v>
      </c>
    </row>
    <row r="3390" spans="1:5" x14ac:dyDescent="0.25">
      <c r="A3390">
        <v>3</v>
      </c>
      <c r="B3390">
        <v>23</v>
      </c>
      <c r="C3390">
        <v>12</v>
      </c>
      <c r="D3390">
        <v>10</v>
      </c>
      <c r="E3390">
        <f t="shared" si="52"/>
        <v>3.2532188945750904E-7</v>
      </c>
    </row>
    <row r="3391" spans="1:5" x14ac:dyDescent="0.25">
      <c r="A3391">
        <v>3</v>
      </c>
      <c r="B3391">
        <v>23</v>
      </c>
      <c r="C3391">
        <v>13</v>
      </c>
      <c r="D3391">
        <v>9</v>
      </c>
      <c r="E3391">
        <f t="shared" si="52"/>
        <v>8.2894519909846099E-7</v>
      </c>
    </row>
    <row r="3392" spans="1:5" x14ac:dyDescent="0.25">
      <c r="A3392">
        <v>3</v>
      </c>
      <c r="B3392">
        <v>23</v>
      </c>
      <c r="C3392">
        <v>14</v>
      </c>
      <c r="D3392">
        <v>8</v>
      </c>
      <c r="E3392">
        <f t="shared" si="52"/>
        <v>1.6300266940255454E-6</v>
      </c>
    </row>
    <row r="3393" spans="1:5" x14ac:dyDescent="0.25">
      <c r="A3393">
        <v>3</v>
      </c>
      <c r="B3393">
        <v>23</v>
      </c>
      <c r="C3393">
        <v>15</v>
      </c>
      <c r="D3393">
        <v>7</v>
      </c>
      <c r="E3393">
        <f t="shared" si="52"/>
        <v>2.4631514487497127E-6</v>
      </c>
    </row>
    <row r="3394" spans="1:5" x14ac:dyDescent="0.25">
      <c r="A3394">
        <v>3</v>
      </c>
      <c r="B3394">
        <v>23</v>
      </c>
      <c r="C3394">
        <v>16</v>
      </c>
      <c r="D3394">
        <v>6</v>
      </c>
      <c r="E3394">
        <f t="shared" si="52"/>
        <v>2.835865154810524E-6</v>
      </c>
    </row>
    <row r="3395" spans="1:5" x14ac:dyDescent="0.25">
      <c r="A3395">
        <v>3</v>
      </c>
      <c r="B3395">
        <v>23</v>
      </c>
      <c r="C3395">
        <v>17</v>
      </c>
      <c r="D3395">
        <v>5</v>
      </c>
      <c r="E3395">
        <f t="shared" si="52"/>
        <v>2.4521892809243955E-6</v>
      </c>
    </row>
    <row r="3396" spans="1:5" x14ac:dyDescent="0.25">
      <c r="A3396">
        <v>3</v>
      </c>
      <c r="B3396">
        <v>23</v>
      </c>
      <c r="C3396">
        <v>18</v>
      </c>
      <c r="D3396">
        <v>4</v>
      </c>
      <c r="E3396">
        <f t="shared" si="52"/>
        <v>1.5569455751900913E-6</v>
      </c>
    </row>
    <row r="3397" spans="1:5" x14ac:dyDescent="0.25">
      <c r="A3397">
        <v>3</v>
      </c>
      <c r="B3397">
        <v>23</v>
      </c>
      <c r="C3397">
        <v>19</v>
      </c>
      <c r="D3397">
        <v>3</v>
      </c>
      <c r="E3397">
        <f t="shared" si="52"/>
        <v>7.0025303381755321E-7</v>
      </c>
    </row>
    <row r="3398" spans="1:5" x14ac:dyDescent="0.25">
      <c r="A3398">
        <v>3</v>
      </c>
      <c r="B3398">
        <v>23</v>
      </c>
      <c r="C3398">
        <v>20</v>
      </c>
      <c r="D3398">
        <v>2</v>
      </c>
      <c r="E3398">
        <f t="shared" si="52"/>
        <v>2.1007591014526615E-7</v>
      </c>
    </row>
    <row r="3399" spans="1:5" x14ac:dyDescent="0.25">
      <c r="A3399">
        <v>3</v>
      </c>
      <c r="B3399">
        <v>23</v>
      </c>
      <c r="C3399">
        <v>21</v>
      </c>
      <c r="D3399">
        <v>1</v>
      </c>
      <c r="E3399">
        <f t="shared" si="52"/>
        <v>3.7513555383083192E-8</v>
      </c>
    </row>
    <row r="3400" spans="1:5" x14ac:dyDescent="0.25">
      <c r="A3400">
        <v>3</v>
      </c>
      <c r="B3400">
        <v>23</v>
      </c>
      <c r="C3400">
        <v>22</v>
      </c>
      <c r="D3400">
        <v>0</v>
      </c>
      <c r="E3400">
        <f t="shared" si="52"/>
        <v>3.0010844306466574E-9</v>
      </c>
    </row>
    <row r="3401" spans="1:5" x14ac:dyDescent="0.25">
      <c r="A3401">
        <v>3</v>
      </c>
      <c r="B3401">
        <v>24</v>
      </c>
      <c r="C3401">
        <v>0</v>
      </c>
      <c r="D3401">
        <v>21</v>
      </c>
      <c r="E3401">
        <f t="shared" si="52"/>
        <v>3.4643530438875246E-21</v>
      </c>
    </row>
    <row r="3402" spans="1:5" x14ac:dyDescent="0.25">
      <c r="A3402">
        <v>3</v>
      </c>
      <c r="B3402">
        <v>24</v>
      </c>
      <c r="C3402">
        <v>1</v>
      </c>
      <c r="D3402">
        <v>20</v>
      </c>
      <c r="E3402">
        <f t="shared" si="52"/>
        <v>9.4576838098129403E-19</v>
      </c>
    </row>
    <row r="3403" spans="1:5" x14ac:dyDescent="0.25">
      <c r="A3403">
        <v>3</v>
      </c>
      <c r="B3403">
        <v>24</v>
      </c>
      <c r="C3403">
        <v>2</v>
      </c>
      <c r="D3403">
        <v>19</v>
      </c>
      <c r="E3403">
        <f t="shared" si="52"/>
        <v>1.0088196063800468E-16</v>
      </c>
    </row>
    <row r="3404" spans="1:5" x14ac:dyDescent="0.25">
      <c r="A3404">
        <v>3</v>
      </c>
      <c r="B3404">
        <v>24</v>
      </c>
      <c r="C3404">
        <v>3</v>
      </c>
      <c r="D3404">
        <v>18</v>
      </c>
      <c r="E3404">
        <f t="shared" si="52"/>
        <v>5.7502717563662699E-15</v>
      </c>
    </row>
    <row r="3405" spans="1:5" x14ac:dyDescent="0.25">
      <c r="A3405">
        <v>3</v>
      </c>
      <c r="B3405">
        <v>24</v>
      </c>
      <c r="C3405">
        <v>4</v>
      </c>
      <c r="D3405">
        <v>17</v>
      </c>
      <c r="E3405">
        <f t="shared" si="52"/>
        <v>2.0054072750327357E-13</v>
      </c>
    </row>
    <row r="3406" spans="1:5" x14ac:dyDescent="0.25">
      <c r="A3406">
        <v>3</v>
      </c>
      <c r="B3406">
        <v>24</v>
      </c>
      <c r="C3406">
        <v>5</v>
      </c>
      <c r="D3406">
        <v>16</v>
      </c>
      <c r="E3406">
        <f t="shared" ref="E3406:E3469" si="53">COMBIN(A$4,A3406)*COMBIN(B$4,B3406)*COMBIN(C$4,C3406)*COMBIN(D$4,D3406)/COMBIN($G$4,$F$4)</f>
        <v>4.621349653797661E-12</v>
      </c>
    </row>
    <row r="3407" spans="1:5" x14ac:dyDescent="0.25">
      <c r="A3407">
        <v>3</v>
      </c>
      <c r="B3407">
        <v>24</v>
      </c>
      <c r="C3407">
        <v>6</v>
      </c>
      <c r="D3407">
        <v>15</v>
      </c>
      <c r="E3407">
        <f t="shared" si="53"/>
        <v>7.3941594460762563E-11</v>
      </c>
    </row>
    <row r="3408" spans="1:5" x14ac:dyDescent="0.25">
      <c r="A3408">
        <v>3</v>
      </c>
      <c r="B3408">
        <v>24</v>
      </c>
      <c r="C3408">
        <v>7</v>
      </c>
      <c r="D3408">
        <v>14</v>
      </c>
      <c r="E3408">
        <f t="shared" si="53"/>
        <v>8.4984819607499828E-10</v>
      </c>
    </row>
    <row r="3409" spans="1:5" x14ac:dyDescent="0.25">
      <c r="A3409">
        <v>3</v>
      </c>
      <c r="B3409">
        <v>24</v>
      </c>
      <c r="C3409">
        <v>8</v>
      </c>
      <c r="D3409">
        <v>13</v>
      </c>
      <c r="E3409">
        <f t="shared" si="53"/>
        <v>7.1882993251343642E-9</v>
      </c>
    </row>
    <row r="3410" spans="1:5" x14ac:dyDescent="0.25">
      <c r="A3410">
        <v>3</v>
      </c>
      <c r="B3410">
        <v>24</v>
      </c>
      <c r="C3410">
        <v>9</v>
      </c>
      <c r="D3410">
        <v>12</v>
      </c>
      <c r="E3410">
        <f t="shared" si="53"/>
        <v>4.5525895725850964E-8</v>
      </c>
    </row>
    <row r="3411" spans="1:5" x14ac:dyDescent="0.25">
      <c r="A3411">
        <v>3</v>
      </c>
      <c r="B3411">
        <v>24</v>
      </c>
      <c r="C3411">
        <v>10</v>
      </c>
      <c r="D3411">
        <v>11</v>
      </c>
      <c r="E3411">
        <f t="shared" si="53"/>
        <v>2.185242994840846E-7</v>
      </c>
    </row>
    <row r="3412" spans="1:5" x14ac:dyDescent="0.25">
      <c r="A3412">
        <v>3</v>
      </c>
      <c r="B3412">
        <v>24</v>
      </c>
      <c r="C3412">
        <v>11</v>
      </c>
      <c r="D3412">
        <v>10</v>
      </c>
      <c r="E3412">
        <f t="shared" si="53"/>
        <v>8.0125576477497681E-7</v>
      </c>
    </row>
    <row r="3413" spans="1:5" x14ac:dyDescent="0.25">
      <c r="A3413">
        <v>3</v>
      </c>
      <c r="B3413">
        <v>24</v>
      </c>
      <c r="C3413">
        <v>12</v>
      </c>
      <c r="D3413">
        <v>9</v>
      </c>
      <c r="E3413">
        <f t="shared" si="53"/>
        <v>2.2535318384296212E-6</v>
      </c>
    </row>
    <row r="3414" spans="1:5" x14ac:dyDescent="0.25">
      <c r="A3414">
        <v>3</v>
      </c>
      <c r="B3414">
        <v>24</v>
      </c>
      <c r="C3414">
        <v>13</v>
      </c>
      <c r="D3414">
        <v>8</v>
      </c>
      <c r="E3414">
        <f t="shared" si="53"/>
        <v>4.863957859415972E-6</v>
      </c>
    </row>
    <row r="3415" spans="1:5" x14ac:dyDescent="0.25">
      <c r="A3415">
        <v>3</v>
      </c>
      <c r="B3415">
        <v>24</v>
      </c>
      <c r="C3415">
        <v>14</v>
      </c>
      <c r="D3415">
        <v>7</v>
      </c>
      <c r="E3415">
        <f t="shared" si="53"/>
        <v>8.0293907520517673E-6</v>
      </c>
    </row>
    <row r="3416" spans="1:5" x14ac:dyDescent="0.25">
      <c r="A3416">
        <v>3</v>
      </c>
      <c r="B3416">
        <v>24</v>
      </c>
      <c r="C3416">
        <v>15</v>
      </c>
      <c r="D3416">
        <v>6</v>
      </c>
      <c r="E3416">
        <f t="shared" si="53"/>
        <v>1.0057868415727994E-5</v>
      </c>
    </row>
    <row r="3417" spans="1:5" x14ac:dyDescent="0.25">
      <c r="A3417">
        <v>3</v>
      </c>
      <c r="B3417">
        <v>24</v>
      </c>
      <c r="C3417">
        <v>16</v>
      </c>
      <c r="D3417">
        <v>5</v>
      </c>
      <c r="E3417">
        <f t="shared" si="53"/>
        <v>9.4292516397449969E-6</v>
      </c>
    </row>
    <row r="3418" spans="1:5" x14ac:dyDescent="0.25">
      <c r="A3418">
        <v>3</v>
      </c>
      <c r="B3418">
        <v>24</v>
      </c>
      <c r="C3418">
        <v>17</v>
      </c>
      <c r="D3418">
        <v>4</v>
      </c>
      <c r="E3418">
        <f t="shared" si="53"/>
        <v>6.4710550468838267E-6</v>
      </c>
    </row>
    <row r="3419" spans="1:5" x14ac:dyDescent="0.25">
      <c r="A3419">
        <v>3</v>
      </c>
      <c r="B3419">
        <v>24</v>
      </c>
      <c r="C3419">
        <v>18</v>
      </c>
      <c r="D3419">
        <v>3</v>
      </c>
      <c r="E3419">
        <f t="shared" si="53"/>
        <v>3.1374812348527609E-6</v>
      </c>
    </row>
    <row r="3420" spans="1:5" x14ac:dyDescent="0.25">
      <c r="A3420">
        <v>3</v>
      </c>
      <c r="B3420">
        <v>24</v>
      </c>
      <c r="C3420">
        <v>19</v>
      </c>
      <c r="D3420">
        <v>2</v>
      </c>
      <c r="E3420">
        <f t="shared" si="53"/>
        <v>1.0123223206275503E-6</v>
      </c>
    </row>
    <row r="3421" spans="1:5" x14ac:dyDescent="0.25">
      <c r="A3421">
        <v>3</v>
      </c>
      <c r="B3421">
        <v>24</v>
      </c>
      <c r="C3421">
        <v>20</v>
      </c>
      <c r="D3421">
        <v>1</v>
      </c>
      <c r="E3421">
        <f t="shared" si="53"/>
        <v>1.9402844478694731E-7</v>
      </c>
    </row>
    <row r="3422" spans="1:5" x14ac:dyDescent="0.25">
      <c r="A3422">
        <v>3</v>
      </c>
      <c r="B3422">
        <v>24</v>
      </c>
      <c r="C3422">
        <v>21</v>
      </c>
      <c r="D3422">
        <v>0</v>
      </c>
      <c r="E3422">
        <f t="shared" si="53"/>
        <v>1.6631009553166891E-8</v>
      </c>
    </row>
    <row r="3423" spans="1:5" x14ac:dyDescent="0.25">
      <c r="A3423">
        <v>3</v>
      </c>
      <c r="B3423">
        <v>25</v>
      </c>
      <c r="C3423">
        <v>0</v>
      </c>
      <c r="D3423">
        <v>20</v>
      </c>
      <c r="E3423">
        <f t="shared" si="53"/>
        <v>1.5423299751387261E-19</v>
      </c>
    </row>
    <row r="3424" spans="1:5" x14ac:dyDescent="0.25">
      <c r="A3424">
        <v>3</v>
      </c>
      <c r="B3424">
        <v>25</v>
      </c>
      <c r="C3424">
        <v>1</v>
      </c>
      <c r="D3424">
        <v>19</v>
      </c>
      <c r="E3424">
        <f t="shared" si="53"/>
        <v>3.3417149461339061E-17</v>
      </c>
    </row>
    <row r="3425" spans="1:5" x14ac:dyDescent="0.25">
      <c r="A3425">
        <v>3</v>
      </c>
      <c r="B3425">
        <v>25</v>
      </c>
      <c r="C3425">
        <v>2</v>
      </c>
      <c r="D3425">
        <v>18</v>
      </c>
      <c r="E3425">
        <f t="shared" si="53"/>
        <v>2.9025181246420224E-15</v>
      </c>
    </row>
    <row r="3426" spans="1:5" x14ac:dyDescent="0.25">
      <c r="A3426">
        <v>3</v>
      </c>
      <c r="B3426">
        <v>25</v>
      </c>
      <c r="C3426">
        <v>3</v>
      </c>
      <c r="D3426">
        <v>17</v>
      </c>
      <c r="E3426">
        <f t="shared" si="53"/>
        <v>1.3714398138933554E-13</v>
      </c>
    </row>
    <row r="3427" spans="1:5" x14ac:dyDescent="0.25">
      <c r="A3427">
        <v>3</v>
      </c>
      <c r="B3427">
        <v>25</v>
      </c>
      <c r="C3427">
        <v>4</v>
      </c>
      <c r="D3427">
        <v>16</v>
      </c>
      <c r="E3427">
        <f t="shared" si="53"/>
        <v>4.0152710106766575E-12</v>
      </c>
    </row>
    <row r="3428" spans="1:5" x14ac:dyDescent="0.25">
      <c r="A3428">
        <v>3</v>
      </c>
      <c r="B3428">
        <v>25</v>
      </c>
      <c r="C3428">
        <v>5</v>
      </c>
      <c r="D3428">
        <v>15</v>
      </c>
      <c r="E3428">
        <f t="shared" si="53"/>
        <v>7.8378090128408353E-11</v>
      </c>
    </row>
    <row r="3429" spans="1:5" x14ac:dyDescent="0.25">
      <c r="A3429">
        <v>3</v>
      </c>
      <c r="B3429">
        <v>25</v>
      </c>
      <c r="C3429">
        <v>6</v>
      </c>
      <c r="D3429">
        <v>14</v>
      </c>
      <c r="E3429">
        <f t="shared" si="53"/>
        <v>1.0687921381146593E-9</v>
      </c>
    </row>
    <row r="3430" spans="1:5" x14ac:dyDescent="0.25">
      <c r="A3430">
        <v>3</v>
      </c>
      <c r="B3430">
        <v>25</v>
      </c>
      <c r="C3430">
        <v>7</v>
      </c>
      <c r="D3430">
        <v>13</v>
      </c>
      <c r="E3430">
        <f t="shared" si="53"/>
        <v>1.0509789358127484E-8</v>
      </c>
    </row>
    <row r="3431" spans="1:5" x14ac:dyDescent="0.25">
      <c r="A3431">
        <v>3</v>
      </c>
      <c r="B3431">
        <v>25</v>
      </c>
      <c r="C3431">
        <v>8</v>
      </c>
      <c r="D3431">
        <v>12</v>
      </c>
      <c r="E3431">
        <f t="shared" si="53"/>
        <v>7.6195972846424282E-8</v>
      </c>
    </row>
    <row r="3432" spans="1:5" x14ac:dyDescent="0.25">
      <c r="A3432">
        <v>3</v>
      </c>
      <c r="B3432">
        <v>25</v>
      </c>
      <c r="C3432">
        <v>9</v>
      </c>
      <c r="D3432">
        <v>11</v>
      </c>
      <c r="E3432">
        <f t="shared" si="53"/>
        <v>4.1363528116630303E-7</v>
      </c>
    </row>
    <row r="3433" spans="1:5" x14ac:dyDescent="0.25">
      <c r="A3433">
        <v>3</v>
      </c>
      <c r="B3433">
        <v>25</v>
      </c>
      <c r="C3433">
        <v>10</v>
      </c>
      <c r="D3433">
        <v>10</v>
      </c>
      <c r="E3433">
        <f t="shared" si="53"/>
        <v>1.6986622213229514E-6</v>
      </c>
    </row>
    <row r="3434" spans="1:5" x14ac:dyDescent="0.25">
      <c r="A3434">
        <v>3</v>
      </c>
      <c r="B3434">
        <v>25</v>
      </c>
      <c r="C3434">
        <v>11</v>
      </c>
      <c r="D3434">
        <v>9</v>
      </c>
      <c r="E3434">
        <f t="shared" si="53"/>
        <v>5.3083194416342246E-6</v>
      </c>
    </row>
    <row r="3435" spans="1:5" x14ac:dyDescent="0.25">
      <c r="A3435">
        <v>3</v>
      </c>
      <c r="B3435">
        <v>25</v>
      </c>
      <c r="C3435">
        <v>12</v>
      </c>
      <c r="D3435">
        <v>8</v>
      </c>
      <c r="E3435">
        <f t="shared" si="53"/>
        <v>1.2646290434481526E-5</v>
      </c>
    </row>
    <row r="3436" spans="1:5" x14ac:dyDescent="0.25">
      <c r="A3436">
        <v>3</v>
      </c>
      <c r="B3436">
        <v>25</v>
      </c>
      <c r="C3436">
        <v>13</v>
      </c>
      <c r="D3436">
        <v>7</v>
      </c>
      <c r="E3436">
        <f t="shared" si="53"/>
        <v>2.2914645915470816E-5</v>
      </c>
    </row>
    <row r="3437" spans="1:5" x14ac:dyDescent="0.25">
      <c r="A3437">
        <v>3</v>
      </c>
      <c r="B3437">
        <v>25</v>
      </c>
      <c r="C3437">
        <v>14</v>
      </c>
      <c r="D3437">
        <v>6</v>
      </c>
      <c r="E3437">
        <f t="shared" si="53"/>
        <v>3.1356883884328477E-5</v>
      </c>
    </row>
    <row r="3438" spans="1:5" x14ac:dyDescent="0.25">
      <c r="A3438">
        <v>3</v>
      </c>
      <c r="B3438">
        <v>25</v>
      </c>
      <c r="C3438">
        <v>15</v>
      </c>
      <c r="D3438">
        <v>5</v>
      </c>
      <c r="E3438">
        <f t="shared" si="53"/>
        <v>3.1984021562015036E-5</v>
      </c>
    </row>
    <row r="3439" spans="1:5" x14ac:dyDescent="0.25">
      <c r="A3439">
        <v>3</v>
      </c>
      <c r="B3439">
        <v>25</v>
      </c>
      <c r="C3439">
        <v>16</v>
      </c>
      <c r="D3439">
        <v>4</v>
      </c>
      <c r="E3439">
        <f t="shared" si="53"/>
        <v>2.3797635090785008E-5</v>
      </c>
    </row>
    <row r="3440" spans="1:5" x14ac:dyDescent="0.25">
      <c r="A3440">
        <v>3</v>
      </c>
      <c r="B3440">
        <v>25</v>
      </c>
      <c r="C3440">
        <v>17</v>
      </c>
      <c r="D3440">
        <v>3</v>
      </c>
      <c r="E3440">
        <f t="shared" si="53"/>
        <v>1.2471487908539742E-5</v>
      </c>
    </row>
    <row r="3441" spans="1:5" x14ac:dyDescent="0.25">
      <c r="A3441">
        <v>3</v>
      </c>
      <c r="B3441">
        <v>25</v>
      </c>
      <c r="C3441">
        <v>18</v>
      </c>
      <c r="D3441">
        <v>2</v>
      </c>
      <c r="E3441">
        <f t="shared" si="53"/>
        <v>4.337908837752949E-6</v>
      </c>
    </row>
    <row r="3442" spans="1:5" x14ac:dyDescent="0.25">
      <c r="A3442">
        <v>3</v>
      </c>
      <c r="B3442">
        <v>25</v>
      </c>
      <c r="C3442">
        <v>19</v>
      </c>
      <c r="D3442">
        <v>1</v>
      </c>
      <c r="E3442">
        <f t="shared" si="53"/>
        <v>8.9421804988766976E-7</v>
      </c>
    </row>
    <row r="3443" spans="1:5" x14ac:dyDescent="0.25">
      <c r="A3443">
        <v>3</v>
      </c>
      <c r="B3443">
        <v>25</v>
      </c>
      <c r="C3443">
        <v>20</v>
      </c>
      <c r="D3443">
        <v>0</v>
      </c>
      <c r="E3443">
        <f t="shared" si="53"/>
        <v>8.226806058966569E-8</v>
      </c>
    </row>
    <row r="3444" spans="1:5" x14ac:dyDescent="0.25">
      <c r="A3444">
        <v>3</v>
      </c>
      <c r="B3444">
        <v>26</v>
      </c>
      <c r="C3444">
        <v>0</v>
      </c>
      <c r="D3444">
        <v>19</v>
      </c>
      <c r="E3444">
        <f t="shared" si="53"/>
        <v>5.2201937620079911E-18</v>
      </c>
    </row>
    <row r="3445" spans="1:5" x14ac:dyDescent="0.25">
      <c r="A3445">
        <v>3</v>
      </c>
      <c r="B3445">
        <v>26</v>
      </c>
      <c r="C3445">
        <v>1</v>
      </c>
      <c r="D3445">
        <v>18</v>
      </c>
      <c r="E3445">
        <f t="shared" si="53"/>
        <v>9.209913280114102E-16</v>
      </c>
    </row>
    <row r="3446" spans="1:5" x14ac:dyDescent="0.25">
      <c r="A3446">
        <v>3</v>
      </c>
      <c r="B3446">
        <v>26</v>
      </c>
      <c r="C3446">
        <v>2</v>
      </c>
      <c r="D3446">
        <v>17</v>
      </c>
      <c r="E3446">
        <f t="shared" si="53"/>
        <v>6.631137561682152E-14</v>
      </c>
    </row>
    <row r="3447" spans="1:5" x14ac:dyDescent="0.25">
      <c r="A3447">
        <v>3</v>
      </c>
      <c r="B3447">
        <v>26</v>
      </c>
      <c r="C3447">
        <v>3</v>
      </c>
      <c r="D3447">
        <v>16</v>
      </c>
      <c r="E3447">
        <f t="shared" si="53"/>
        <v>2.6303512328005873E-12</v>
      </c>
    </row>
    <row r="3448" spans="1:5" x14ac:dyDescent="0.25">
      <c r="A3448">
        <v>3</v>
      </c>
      <c r="B3448">
        <v>26</v>
      </c>
      <c r="C3448">
        <v>4</v>
      </c>
      <c r="D3448">
        <v>15</v>
      </c>
      <c r="E3448">
        <f t="shared" si="53"/>
        <v>6.5232710573454557E-11</v>
      </c>
    </row>
    <row r="3449" spans="1:5" x14ac:dyDescent="0.25">
      <c r="A3449">
        <v>3</v>
      </c>
      <c r="B3449">
        <v>26</v>
      </c>
      <c r="C3449">
        <v>5</v>
      </c>
      <c r="D3449">
        <v>14</v>
      </c>
      <c r="E3449">
        <f t="shared" si="53"/>
        <v>1.0852350940856532E-9</v>
      </c>
    </row>
    <row r="3450" spans="1:5" x14ac:dyDescent="0.25">
      <c r="A3450">
        <v>3</v>
      </c>
      <c r="B3450">
        <v>26</v>
      </c>
      <c r="C3450">
        <v>6</v>
      </c>
      <c r="D3450">
        <v>13</v>
      </c>
      <c r="E3450">
        <f t="shared" si="53"/>
        <v>1.2661076097665956E-8</v>
      </c>
    </row>
    <row r="3451" spans="1:5" x14ac:dyDescent="0.25">
      <c r="A3451">
        <v>3</v>
      </c>
      <c r="B3451">
        <v>26</v>
      </c>
      <c r="C3451">
        <v>7</v>
      </c>
      <c r="D3451">
        <v>12</v>
      </c>
      <c r="E3451">
        <f t="shared" si="53"/>
        <v>1.0671478425175592E-7</v>
      </c>
    </row>
    <row r="3452" spans="1:5" x14ac:dyDescent="0.25">
      <c r="A3452">
        <v>3</v>
      </c>
      <c r="B3452">
        <v>26</v>
      </c>
      <c r="C3452">
        <v>8</v>
      </c>
      <c r="D3452">
        <v>11</v>
      </c>
      <c r="E3452">
        <f t="shared" si="53"/>
        <v>6.6315615927876877E-7</v>
      </c>
    </row>
    <row r="3453" spans="1:5" x14ac:dyDescent="0.25">
      <c r="A3453">
        <v>3</v>
      </c>
      <c r="B3453">
        <v>26</v>
      </c>
      <c r="C3453">
        <v>9</v>
      </c>
      <c r="D3453">
        <v>10</v>
      </c>
      <c r="E3453">
        <f t="shared" si="53"/>
        <v>3.0799919397613922E-6</v>
      </c>
    </row>
    <row r="3454" spans="1:5" x14ac:dyDescent="0.25">
      <c r="A3454">
        <v>3</v>
      </c>
      <c r="B3454">
        <v>26</v>
      </c>
      <c r="C3454">
        <v>10</v>
      </c>
      <c r="D3454">
        <v>9</v>
      </c>
      <c r="E3454">
        <f t="shared" si="53"/>
        <v>1.0779971789164877E-5</v>
      </c>
    </row>
    <row r="3455" spans="1:5" x14ac:dyDescent="0.25">
      <c r="A3455">
        <v>3</v>
      </c>
      <c r="B3455">
        <v>26</v>
      </c>
      <c r="C3455">
        <v>11</v>
      </c>
      <c r="D3455">
        <v>8</v>
      </c>
      <c r="E3455">
        <f t="shared" si="53"/>
        <v>2.8535219441907029E-5</v>
      </c>
    </row>
    <row r="3456" spans="1:5" x14ac:dyDescent="0.25">
      <c r="A3456">
        <v>3</v>
      </c>
      <c r="B3456">
        <v>26</v>
      </c>
      <c r="C3456">
        <v>12</v>
      </c>
      <c r="D3456">
        <v>7</v>
      </c>
      <c r="E3456">
        <f t="shared" si="53"/>
        <v>5.7070438883814044E-5</v>
      </c>
    </row>
    <row r="3457" spans="1:5" x14ac:dyDescent="0.25">
      <c r="A3457">
        <v>3</v>
      </c>
      <c r="B3457">
        <v>26</v>
      </c>
      <c r="C3457">
        <v>13</v>
      </c>
      <c r="D3457">
        <v>6</v>
      </c>
      <c r="E3457">
        <f t="shared" si="53"/>
        <v>8.5721185529939313E-5</v>
      </c>
    </row>
    <row r="3458" spans="1:5" x14ac:dyDescent="0.25">
      <c r="A3458">
        <v>3</v>
      </c>
      <c r="B3458">
        <v>26</v>
      </c>
      <c r="C3458">
        <v>14</v>
      </c>
      <c r="D3458">
        <v>5</v>
      </c>
      <c r="E3458">
        <f t="shared" si="53"/>
        <v>9.5517892447646681E-5</v>
      </c>
    </row>
    <row r="3459" spans="1:5" x14ac:dyDescent="0.25">
      <c r="A3459">
        <v>3</v>
      </c>
      <c r="B3459">
        <v>26</v>
      </c>
      <c r="C3459">
        <v>15</v>
      </c>
      <c r="D3459">
        <v>4</v>
      </c>
      <c r="E3459">
        <f t="shared" si="53"/>
        <v>7.7324008171904431E-5</v>
      </c>
    </row>
    <row r="3460" spans="1:5" x14ac:dyDescent="0.25">
      <c r="A3460">
        <v>3</v>
      </c>
      <c r="B3460">
        <v>26</v>
      </c>
      <c r="C3460">
        <v>16</v>
      </c>
      <c r="D3460">
        <v>3</v>
      </c>
      <c r="E3460">
        <f t="shared" si="53"/>
        <v>4.3934095552218437E-5</v>
      </c>
    </row>
    <row r="3461" spans="1:5" x14ac:dyDescent="0.25">
      <c r="A3461">
        <v>3</v>
      </c>
      <c r="B3461">
        <v>26</v>
      </c>
      <c r="C3461">
        <v>17</v>
      </c>
      <c r="D3461">
        <v>2</v>
      </c>
      <c r="E3461">
        <f t="shared" si="53"/>
        <v>1.6517422112982386E-5</v>
      </c>
    </row>
    <row r="3462" spans="1:5" x14ac:dyDescent="0.25">
      <c r="A3462">
        <v>3</v>
      </c>
      <c r="B3462">
        <v>26</v>
      </c>
      <c r="C3462">
        <v>18</v>
      </c>
      <c r="D3462">
        <v>1</v>
      </c>
      <c r="E3462">
        <f t="shared" si="53"/>
        <v>3.6705382473294155E-6</v>
      </c>
    </row>
    <row r="3463" spans="1:5" x14ac:dyDescent="0.25">
      <c r="A3463">
        <v>3</v>
      </c>
      <c r="B3463">
        <v>26</v>
      </c>
      <c r="C3463">
        <v>19</v>
      </c>
      <c r="D3463">
        <v>0</v>
      </c>
      <c r="E3463">
        <f t="shared" si="53"/>
        <v>3.6319010026206861E-7</v>
      </c>
    </row>
    <row r="3464" spans="1:5" x14ac:dyDescent="0.25">
      <c r="A3464">
        <v>3</v>
      </c>
      <c r="B3464">
        <v>27</v>
      </c>
      <c r="C3464">
        <v>0</v>
      </c>
      <c r="D3464">
        <v>18</v>
      </c>
      <c r="E3464">
        <f t="shared" si="53"/>
        <v>1.3801750385584095E-16</v>
      </c>
    </row>
    <row r="3465" spans="1:5" x14ac:dyDescent="0.25">
      <c r="A3465">
        <v>3</v>
      </c>
      <c r="B3465">
        <v>27</v>
      </c>
      <c r="C3465">
        <v>1</v>
      </c>
      <c r="D3465">
        <v>17</v>
      </c>
      <c r="E3465">
        <f t="shared" si="53"/>
        <v>2.0185059938916733E-14</v>
      </c>
    </row>
    <row r="3466" spans="1:5" x14ac:dyDescent="0.25">
      <c r="A3466">
        <v>3</v>
      </c>
      <c r="B3466">
        <v>27</v>
      </c>
      <c r="C3466">
        <v>2</v>
      </c>
      <c r="D3466">
        <v>16</v>
      </c>
      <c r="E3466">
        <f t="shared" si="53"/>
        <v>1.2200747340856337E-12</v>
      </c>
    </row>
    <row r="3467" spans="1:5" x14ac:dyDescent="0.25">
      <c r="A3467">
        <v>3</v>
      </c>
      <c r="B3467">
        <v>27</v>
      </c>
      <c r="C3467">
        <v>3</v>
      </c>
      <c r="D3467">
        <v>15</v>
      </c>
      <c r="E3467">
        <f t="shared" si="53"/>
        <v>4.0994511065277293E-11</v>
      </c>
    </row>
    <row r="3468" spans="1:5" x14ac:dyDescent="0.25">
      <c r="A3468">
        <v>3</v>
      </c>
      <c r="B3468">
        <v>27</v>
      </c>
      <c r="C3468">
        <v>4</v>
      </c>
      <c r="D3468">
        <v>14</v>
      </c>
      <c r="E3468">
        <f t="shared" si="53"/>
        <v>8.6647489297063375E-10</v>
      </c>
    </row>
    <row r="3469" spans="1:5" x14ac:dyDescent="0.25">
      <c r="A3469">
        <v>3</v>
      </c>
      <c r="B3469">
        <v>27</v>
      </c>
      <c r="C3469">
        <v>5</v>
      </c>
      <c r="D3469">
        <v>13</v>
      </c>
      <c r="E3469">
        <f t="shared" si="53"/>
        <v>1.2332825976615355E-8</v>
      </c>
    </row>
    <row r="3470" spans="1:5" x14ac:dyDescent="0.25">
      <c r="A3470">
        <v>3</v>
      </c>
      <c r="B3470">
        <v>27</v>
      </c>
      <c r="C3470">
        <v>6</v>
      </c>
      <c r="D3470">
        <v>12</v>
      </c>
      <c r="E3470">
        <f t="shared" ref="E3470:E3533" si="54">COMBIN(A$4,A3470)*COMBIN(B$4,B3470)*COMBIN(C$4,C3470)*COMBIN(D$4,D3470)/COMBIN($G$4,$F$4)</f>
        <v>1.2332825976615352E-7</v>
      </c>
    </row>
    <row r="3471" spans="1:5" x14ac:dyDescent="0.25">
      <c r="A3471">
        <v>3</v>
      </c>
      <c r="B3471">
        <v>27</v>
      </c>
      <c r="C3471">
        <v>7</v>
      </c>
      <c r="D3471">
        <v>11</v>
      </c>
      <c r="E3471">
        <f t="shared" si="54"/>
        <v>8.9098375422894598E-7</v>
      </c>
    </row>
    <row r="3472" spans="1:5" x14ac:dyDescent="0.25">
      <c r="A3472">
        <v>3</v>
      </c>
      <c r="B3472">
        <v>27</v>
      </c>
      <c r="C3472">
        <v>8</v>
      </c>
      <c r="D3472">
        <v>10</v>
      </c>
      <c r="E3472">
        <f t="shared" si="54"/>
        <v>4.7370636266505627E-6</v>
      </c>
    </row>
    <row r="3473" spans="1:5" x14ac:dyDescent="0.25">
      <c r="A3473">
        <v>3</v>
      </c>
      <c r="B3473">
        <v>27</v>
      </c>
      <c r="C3473">
        <v>9</v>
      </c>
      <c r="D3473">
        <v>9</v>
      </c>
      <c r="E3473">
        <f t="shared" si="54"/>
        <v>1.8750876855491809E-5</v>
      </c>
    </row>
    <row r="3474" spans="1:5" x14ac:dyDescent="0.25">
      <c r="A3474">
        <v>3</v>
      </c>
      <c r="B3474">
        <v>27</v>
      </c>
      <c r="C3474">
        <v>10</v>
      </c>
      <c r="D3474">
        <v>8</v>
      </c>
      <c r="E3474">
        <f t="shared" si="54"/>
        <v>5.5590834912752197E-5</v>
      </c>
    </row>
    <row r="3475" spans="1:5" x14ac:dyDescent="0.25">
      <c r="A3475">
        <v>3</v>
      </c>
      <c r="B3475">
        <v>27</v>
      </c>
      <c r="C3475">
        <v>11</v>
      </c>
      <c r="D3475">
        <v>7</v>
      </c>
      <c r="E3475">
        <f t="shared" si="54"/>
        <v>1.2353518869500491E-4</v>
      </c>
    </row>
    <row r="3476" spans="1:5" x14ac:dyDescent="0.25">
      <c r="A3476">
        <v>3</v>
      </c>
      <c r="B3476">
        <v>27</v>
      </c>
      <c r="C3476">
        <v>12</v>
      </c>
      <c r="D3476">
        <v>6</v>
      </c>
      <c r="E3476">
        <f t="shared" si="54"/>
        <v>2.0480833915224479E-4</v>
      </c>
    </row>
    <row r="3477" spans="1:5" x14ac:dyDescent="0.25">
      <c r="A3477">
        <v>3</v>
      </c>
      <c r="B3477">
        <v>27</v>
      </c>
      <c r="C3477">
        <v>13</v>
      </c>
      <c r="D3477">
        <v>5</v>
      </c>
      <c r="E3477">
        <f t="shared" si="54"/>
        <v>2.504963532708226E-4</v>
      </c>
    </row>
    <row r="3478" spans="1:5" x14ac:dyDescent="0.25">
      <c r="A3478">
        <v>3</v>
      </c>
      <c r="B3478">
        <v>27</v>
      </c>
      <c r="C3478">
        <v>14</v>
      </c>
      <c r="D3478">
        <v>4</v>
      </c>
      <c r="E3478">
        <f t="shared" si="54"/>
        <v>2.2152738724630578E-4</v>
      </c>
    </row>
    <row r="3479" spans="1:5" x14ac:dyDescent="0.25">
      <c r="A3479">
        <v>3</v>
      </c>
      <c r="B3479">
        <v>27</v>
      </c>
      <c r="C3479">
        <v>15</v>
      </c>
      <c r="D3479">
        <v>3</v>
      </c>
      <c r="E3479">
        <f t="shared" si="54"/>
        <v>1.3694420302498897E-4</v>
      </c>
    </row>
    <row r="3480" spans="1:5" x14ac:dyDescent="0.25">
      <c r="A3480">
        <v>3</v>
      </c>
      <c r="B3480">
        <v>27</v>
      </c>
      <c r="C3480">
        <v>16</v>
      </c>
      <c r="D3480">
        <v>2</v>
      </c>
      <c r="E3480">
        <f t="shared" si="54"/>
        <v>5.5819647972142246E-5</v>
      </c>
    </row>
    <row r="3481" spans="1:5" x14ac:dyDescent="0.25">
      <c r="A3481">
        <v>3</v>
      </c>
      <c r="B3481">
        <v>27</v>
      </c>
      <c r="C3481">
        <v>17</v>
      </c>
      <c r="D3481">
        <v>1</v>
      </c>
      <c r="E3481">
        <f t="shared" si="54"/>
        <v>1.3407660542328292E-5</v>
      </c>
    </row>
    <row r="3482" spans="1:5" x14ac:dyDescent="0.25">
      <c r="A3482">
        <v>3</v>
      </c>
      <c r="B3482">
        <v>27</v>
      </c>
      <c r="C3482">
        <v>18</v>
      </c>
      <c r="D3482">
        <v>0</v>
      </c>
      <c r="E3482">
        <f t="shared" si="54"/>
        <v>1.4301504578483499E-6</v>
      </c>
    </row>
    <row r="3483" spans="1:5" x14ac:dyDescent="0.25">
      <c r="A3483">
        <v>3</v>
      </c>
      <c r="B3483">
        <v>28</v>
      </c>
      <c r="C3483">
        <v>0</v>
      </c>
      <c r="D3483">
        <v>17</v>
      </c>
      <c r="E3483">
        <f t="shared" si="54"/>
        <v>2.9057613758220825E-15</v>
      </c>
    </row>
    <row r="3484" spans="1:5" x14ac:dyDescent="0.25">
      <c r="A3484">
        <v>3</v>
      </c>
      <c r="B3484">
        <v>28</v>
      </c>
      <c r="C3484">
        <v>1</v>
      </c>
      <c r="D3484">
        <v>16</v>
      </c>
      <c r="E3484">
        <f t="shared" si="54"/>
        <v>3.5676292447593348E-13</v>
      </c>
    </row>
    <row r="3485" spans="1:5" x14ac:dyDescent="0.25">
      <c r="A3485">
        <v>3</v>
      </c>
      <c r="B3485">
        <v>28</v>
      </c>
      <c r="C3485">
        <v>2</v>
      </c>
      <c r="D3485">
        <v>15</v>
      </c>
      <c r="E3485">
        <f t="shared" si="54"/>
        <v>1.826626173316779E-11</v>
      </c>
    </row>
    <row r="3486" spans="1:5" x14ac:dyDescent="0.25">
      <c r="A3486">
        <v>3</v>
      </c>
      <c r="B3486">
        <v>28</v>
      </c>
      <c r="C3486">
        <v>3</v>
      </c>
      <c r="D3486">
        <v>14</v>
      </c>
      <c r="E3486">
        <f t="shared" si="54"/>
        <v>5.2307931326798685E-10</v>
      </c>
    </row>
    <row r="3487" spans="1:5" x14ac:dyDescent="0.25">
      <c r="A3487">
        <v>3</v>
      </c>
      <c r="B3487">
        <v>28</v>
      </c>
      <c r="C3487">
        <v>4</v>
      </c>
      <c r="D3487">
        <v>13</v>
      </c>
      <c r="E3487">
        <f t="shared" si="54"/>
        <v>9.4590175815960978E-9</v>
      </c>
    </row>
    <row r="3488" spans="1:5" x14ac:dyDescent="0.25">
      <c r="A3488">
        <v>3</v>
      </c>
      <c r="B3488">
        <v>28</v>
      </c>
      <c r="C3488">
        <v>5</v>
      </c>
      <c r="D3488">
        <v>12</v>
      </c>
      <c r="E3488">
        <f t="shared" si="54"/>
        <v>1.1540001449547238E-7</v>
      </c>
    </row>
    <row r="3489" spans="1:5" x14ac:dyDescent="0.25">
      <c r="A3489">
        <v>3</v>
      </c>
      <c r="B3489">
        <v>28</v>
      </c>
      <c r="C3489">
        <v>6</v>
      </c>
      <c r="D3489">
        <v>11</v>
      </c>
      <c r="E3489">
        <f t="shared" si="54"/>
        <v>9.8914298138976299E-7</v>
      </c>
    </row>
    <row r="3490" spans="1:5" x14ac:dyDescent="0.25">
      <c r="A3490">
        <v>3</v>
      </c>
      <c r="B3490">
        <v>28</v>
      </c>
      <c r="C3490">
        <v>7</v>
      </c>
      <c r="D3490">
        <v>10</v>
      </c>
      <c r="E3490">
        <f t="shared" si="54"/>
        <v>6.1138456659233919E-6</v>
      </c>
    </row>
    <row r="3491" spans="1:5" x14ac:dyDescent="0.25">
      <c r="A3491">
        <v>3</v>
      </c>
      <c r="B3491">
        <v>28</v>
      </c>
      <c r="C3491">
        <v>8</v>
      </c>
      <c r="D3491">
        <v>9</v>
      </c>
      <c r="E3491">
        <f t="shared" si="54"/>
        <v>2.770336317371538E-5</v>
      </c>
    </row>
    <row r="3492" spans="1:5" x14ac:dyDescent="0.25">
      <c r="A3492">
        <v>3</v>
      </c>
      <c r="B3492">
        <v>28</v>
      </c>
      <c r="C3492">
        <v>9</v>
      </c>
      <c r="D3492">
        <v>8</v>
      </c>
      <c r="E3492">
        <f t="shared" si="54"/>
        <v>9.288774711186919E-5</v>
      </c>
    </row>
    <row r="3493" spans="1:5" x14ac:dyDescent="0.25">
      <c r="A3493">
        <v>3</v>
      </c>
      <c r="B3493">
        <v>28</v>
      </c>
      <c r="C3493">
        <v>10</v>
      </c>
      <c r="D3493">
        <v>7</v>
      </c>
      <c r="E3493">
        <f t="shared" si="54"/>
        <v>2.311872817006523E-4</v>
      </c>
    </row>
    <row r="3494" spans="1:5" x14ac:dyDescent="0.25">
      <c r="A3494">
        <v>3</v>
      </c>
      <c r="B3494">
        <v>28</v>
      </c>
      <c r="C3494">
        <v>11</v>
      </c>
      <c r="D3494">
        <v>6</v>
      </c>
      <c r="E3494">
        <f t="shared" si="54"/>
        <v>4.2587130839593837E-4</v>
      </c>
    </row>
    <row r="3495" spans="1:5" x14ac:dyDescent="0.25">
      <c r="A3495">
        <v>3</v>
      </c>
      <c r="B3495">
        <v>28</v>
      </c>
      <c r="C3495">
        <v>12</v>
      </c>
      <c r="D3495">
        <v>5</v>
      </c>
      <c r="E3495">
        <f t="shared" si="54"/>
        <v>5.7492626633451642E-4</v>
      </c>
    </row>
    <row r="3496" spans="1:5" x14ac:dyDescent="0.25">
      <c r="A3496">
        <v>3</v>
      </c>
      <c r="B3496">
        <v>28</v>
      </c>
      <c r="C3496">
        <v>13</v>
      </c>
      <c r="D3496">
        <v>4</v>
      </c>
      <c r="E3496">
        <f t="shared" si="54"/>
        <v>5.5807861017819404E-4</v>
      </c>
    </row>
    <row r="3497" spans="1:5" x14ac:dyDescent="0.25">
      <c r="A3497">
        <v>3</v>
      </c>
      <c r="B3497">
        <v>28</v>
      </c>
      <c r="C3497">
        <v>14</v>
      </c>
      <c r="D3497">
        <v>3</v>
      </c>
      <c r="E3497">
        <f t="shared" si="54"/>
        <v>3.7688425622423488E-4</v>
      </c>
    </row>
    <row r="3498" spans="1:5" x14ac:dyDescent="0.25">
      <c r="A3498">
        <v>3</v>
      </c>
      <c r="B3498">
        <v>28</v>
      </c>
      <c r="C3498">
        <v>15</v>
      </c>
      <c r="D3498">
        <v>2</v>
      </c>
      <c r="E3498">
        <f t="shared" si="54"/>
        <v>1.6713997449944326E-4</v>
      </c>
    </row>
    <row r="3499" spans="1:5" x14ac:dyDescent="0.25">
      <c r="A3499">
        <v>3</v>
      </c>
      <c r="B3499">
        <v>28</v>
      </c>
      <c r="C3499">
        <v>16</v>
      </c>
      <c r="D3499">
        <v>1</v>
      </c>
      <c r="E3499">
        <f t="shared" si="54"/>
        <v>4.3526035025896689E-5</v>
      </c>
    </row>
    <row r="3500" spans="1:5" x14ac:dyDescent="0.25">
      <c r="A3500">
        <v>3</v>
      </c>
      <c r="B3500">
        <v>28</v>
      </c>
      <c r="C3500">
        <v>17</v>
      </c>
      <c r="D3500">
        <v>0</v>
      </c>
      <c r="E3500">
        <f t="shared" si="54"/>
        <v>5.0182958029857377E-6</v>
      </c>
    </row>
    <row r="3501" spans="1:5" x14ac:dyDescent="0.25">
      <c r="A3501">
        <v>3</v>
      </c>
      <c r="B3501">
        <v>29</v>
      </c>
      <c r="C3501">
        <v>0</v>
      </c>
      <c r="D3501">
        <v>16</v>
      </c>
      <c r="E3501">
        <f t="shared" si="54"/>
        <v>4.9397943388975348E-14</v>
      </c>
    </row>
    <row r="3502" spans="1:5" x14ac:dyDescent="0.25">
      <c r="A3502">
        <v>3</v>
      </c>
      <c r="B3502">
        <v>29</v>
      </c>
      <c r="C3502">
        <v>1</v>
      </c>
      <c r="D3502">
        <v>15</v>
      </c>
      <c r="E3502">
        <f t="shared" si="54"/>
        <v>5.1373861124534355E-12</v>
      </c>
    </row>
    <row r="3503" spans="1:5" x14ac:dyDescent="0.25">
      <c r="A3503">
        <v>3</v>
      </c>
      <c r="B3503">
        <v>29</v>
      </c>
      <c r="C3503">
        <v>2</v>
      </c>
      <c r="D3503">
        <v>14</v>
      </c>
      <c r="E3503">
        <f t="shared" si="54"/>
        <v>2.2417684854342265E-10</v>
      </c>
    </row>
    <row r="3504" spans="1:5" x14ac:dyDescent="0.25">
      <c r="A3504">
        <v>3</v>
      </c>
      <c r="B3504">
        <v>29</v>
      </c>
      <c r="C3504">
        <v>3</v>
      </c>
      <c r="D3504">
        <v>13</v>
      </c>
      <c r="E3504">
        <f t="shared" si="54"/>
        <v>5.4923327893138562E-9</v>
      </c>
    </row>
    <row r="3505" spans="1:5" x14ac:dyDescent="0.25">
      <c r="A3505">
        <v>3</v>
      </c>
      <c r="B3505">
        <v>29</v>
      </c>
      <c r="C3505">
        <v>4</v>
      </c>
      <c r="D3505">
        <v>12</v>
      </c>
      <c r="E3505">
        <f t="shared" si="54"/>
        <v>8.5131158234364779E-8</v>
      </c>
    </row>
    <row r="3506" spans="1:5" x14ac:dyDescent="0.25">
      <c r="A3506">
        <v>3</v>
      </c>
      <c r="B3506">
        <v>29</v>
      </c>
      <c r="C3506">
        <v>5</v>
      </c>
      <c r="D3506">
        <v>11</v>
      </c>
      <c r="E3506">
        <f t="shared" si="54"/>
        <v>8.9022868325078595E-7</v>
      </c>
    </row>
    <row r="3507" spans="1:5" x14ac:dyDescent="0.25">
      <c r="A3507">
        <v>3</v>
      </c>
      <c r="B3507">
        <v>29</v>
      </c>
      <c r="C3507">
        <v>6</v>
      </c>
      <c r="D3507">
        <v>10</v>
      </c>
      <c r="E3507">
        <f t="shared" si="54"/>
        <v>6.5283436771724286E-6</v>
      </c>
    </row>
    <row r="3508" spans="1:5" x14ac:dyDescent="0.25">
      <c r="A3508">
        <v>3</v>
      </c>
      <c r="B3508">
        <v>29</v>
      </c>
      <c r="C3508">
        <v>7</v>
      </c>
      <c r="D3508">
        <v>9</v>
      </c>
      <c r="E3508">
        <f t="shared" si="54"/>
        <v>3.4390381870819045E-5</v>
      </c>
    </row>
    <row r="3509" spans="1:5" x14ac:dyDescent="0.25">
      <c r="A3509">
        <v>3</v>
      </c>
      <c r="B3509">
        <v>29</v>
      </c>
      <c r="C3509">
        <v>8</v>
      </c>
      <c r="D3509">
        <v>8</v>
      </c>
      <c r="E3509">
        <f t="shared" si="54"/>
        <v>1.3199837747476136E-4</v>
      </c>
    </row>
    <row r="3510" spans="1:5" x14ac:dyDescent="0.25">
      <c r="A3510">
        <v>3</v>
      </c>
      <c r="B3510">
        <v>29</v>
      </c>
      <c r="C3510">
        <v>9</v>
      </c>
      <c r="D3510">
        <v>7</v>
      </c>
      <c r="E3510">
        <f t="shared" si="54"/>
        <v>3.7155098844747643E-4</v>
      </c>
    </row>
    <row r="3511" spans="1:5" x14ac:dyDescent="0.25">
      <c r="A3511">
        <v>3</v>
      </c>
      <c r="B3511">
        <v>29</v>
      </c>
      <c r="C3511">
        <v>10</v>
      </c>
      <c r="D3511">
        <v>6</v>
      </c>
      <c r="E3511">
        <f t="shared" si="54"/>
        <v>7.6656835511268809E-4</v>
      </c>
    </row>
    <row r="3512" spans="1:5" x14ac:dyDescent="0.25">
      <c r="A3512">
        <v>3</v>
      </c>
      <c r="B3512">
        <v>29</v>
      </c>
      <c r="C3512">
        <v>11</v>
      </c>
      <c r="D3512">
        <v>5</v>
      </c>
      <c r="E3512">
        <f t="shared" si="54"/>
        <v>1.1498525326690322E-3</v>
      </c>
    </row>
    <row r="3513" spans="1:5" x14ac:dyDescent="0.25">
      <c r="A3513">
        <v>3</v>
      </c>
      <c r="B3513">
        <v>29</v>
      </c>
      <c r="C3513">
        <v>12</v>
      </c>
      <c r="D3513">
        <v>4</v>
      </c>
      <c r="E3513">
        <f t="shared" si="54"/>
        <v>1.2319848564311057E-3</v>
      </c>
    </row>
    <row r="3514" spans="1:5" x14ac:dyDescent="0.25">
      <c r="A3514">
        <v>3</v>
      </c>
      <c r="B3514">
        <v>29</v>
      </c>
      <c r="C3514">
        <v>13</v>
      </c>
      <c r="D3514">
        <v>3</v>
      </c>
      <c r="E3514">
        <f t="shared" si="54"/>
        <v>9.1321954392795254E-4</v>
      </c>
    </row>
    <row r="3515" spans="1:5" x14ac:dyDescent="0.25">
      <c r="A3515">
        <v>3</v>
      </c>
      <c r="B3515">
        <v>29</v>
      </c>
      <c r="C3515">
        <v>14</v>
      </c>
      <c r="D3515">
        <v>2</v>
      </c>
      <c r="E3515">
        <f t="shared" si="54"/>
        <v>4.4242934426323179E-4</v>
      </c>
    </row>
    <row r="3516" spans="1:5" x14ac:dyDescent="0.25">
      <c r="A3516">
        <v>3</v>
      </c>
      <c r="B3516">
        <v>29</v>
      </c>
      <c r="C3516">
        <v>15</v>
      </c>
      <c r="D3516">
        <v>1</v>
      </c>
      <c r="E3516">
        <f t="shared" si="54"/>
        <v>1.2535498087458229E-4</v>
      </c>
    </row>
    <row r="3517" spans="1:5" x14ac:dyDescent="0.25">
      <c r="A3517">
        <v>3</v>
      </c>
      <c r="B3517">
        <v>29</v>
      </c>
      <c r="C3517">
        <v>16</v>
      </c>
      <c r="D3517">
        <v>0</v>
      </c>
      <c r="E3517">
        <f t="shared" si="54"/>
        <v>1.5669372609322786E-5</v>
      </c>
    </row>
    <row r="3518" spans="1:5" x14ac:dyDescent="0.25">
      <c r="A3518">
        <v>3</v>
      </c>
      <c r="B3518">
        <v>30</v>
      </c>
      <c r="C3518">
        <v>0</v>
      </c>
      <c r="D3518">
        <v>15</v>
      </c>
      <c r="E3518">
        <f t="shared" si="54"/>
        <v>6.8498481499379125E-13</v>
      </c>
    </row>
    <row r="3519" spans="1:5" x14ac:dyDescent="0.25">
      <c r="A3519">
        <v>3</v>
      </c>
      <c r="B3519">
        <v>30</v>
      </c>
      <c r="C3519">
        <v>1</v>
      </c>
      <c r="D3519">
        <v>14</v>
      </c>
      <c r="E3519">
        <f t="shared" si="54"/>
        <v>6.071456314717697E-11</v>
      </c>
    </row>
    <row r="3520" spans="1:5" x14ac:dyDescent="0.25">
      <c r="A3520">
        <v>3</v>
      </c>
      <c r="B3520">
        <v>30</v>
      </c>
      <c r="C3520">
        <v>2</v>
      </c>
      <c r="D3520">
        <v>13</v>
      </c>
      <c r="E3520">
        <f t="shared" si="54"/>
        <v>2.2666770241612738E-9</v>
      </c>
    </row>
    <row r="3521" spans="1:5" x14ac:dyDescent="0.25">
      <c r="A3521">
        <v>3</v>
      </c>
      <c r="B3521">
        <v>30</v>
      </c>
      <c r="C3521">
        <v>3</v>
      </c>
      <c r="D3521">
        <v>12</v>
      </c>
      <c r="E3521">
        <f t="shared" si="54"/>
        <v>4.7600217507386747E-8</v>
      </c>
    </row>
    <row r="3522" spans="1:5" x14ac:dyDescent="0.25">
      <c r="A3522">
        <v>3</v>
      </c>
      <c r="B3522">
        <v>30</v>
      </c>
      <c r="C3522">
        <v>4</v>
      </c>
      <c r="D3522">
        <v>11</v>
      </c>
      <c r="E3522">
        <f t="shared" si="54"/>
        <v>6.3240288974099519E-7</v>
      </c>
    </row>
    <row r="3523" spans="1:5" x14ac:dyDescent="0.25">
      <c r="A3523">
        <v>3</v>
      </c>
      <c r="B3523">
        <v>30</v>
      </c>
      <c r="C3523">
        <v>5</v>
      </c>
      <c r="D3523">
        <v>10</v>
      </c>
      <c r="E3523">
        <f t="shared" si="54"/>
        <v>5.6578978535494383E-6</v>
      </c>
    </row>
    <row r="3524" spans="1:5" x14ac:dyDescent="0.25">
      <c r="A3524">
        <v>3</v>
      </c>
      <c r="B3524">
        <v>30</v>
      </c>
      <c r="C3524">
        <v>6</v>
      </c>
      <c r="D3524">
        <v>9</v>
      </c>
      <c r="E3524">
        <f t="shared" si="54"/>
        <v>3.5361861584683985E-5</v>
      </c>
    </row>
    <row r="3525" spans="1:5" x14ac:dyDescent="0.25">
      <c r="A3525">
        <v>3</v>
      </c>
      <c r="B3525">
        <v>30</v>
      </c>
      <c r="C3525">
        <v>7</v>
      </c>
      <c r="D3525">
        <v>8</v>
      </c>
      <c r="E3525">
        <f t="shared" si="54"/>
        <v>1.5779116387787561E-4</v>
      </c>
    </row>
    <row r="3526" spans="1:5" x14ac:dyDescent="0.25">
      <c r="A3526">
        <v>3</v>
      </c>
      <c r="B3526">
        <v>30</v>
      </c>
      <c r="C3526">
        <v>8</v>
      </c>
      <c r="D3526">
        <v>7</v>
      </c>
      <c r="E3526">
        <f t="shared" si="54"/>
        <v>5.0843819471759941E-4</v>
      </c>
    </row>
    <row r="3527" spans="1:5" x14ac:dyDescent="0.25">
      <c r="A3527">
        <v>3</v>
      </c>
      <c r="B3527">
        <v>30</v>
      </c>
      <c r="C3527">
        <v>9</v>
      </c>
      <c r="D3527">
        <v>6</v>
      </c>
      <c r="E3527">
        <f t="shared" si="54"/>
        <v>1.1863557876743978E-3</v>
      </c>
    </row>
    <row r="3528" spans="1:5" x14ac:dyDescent="0.25">
      <c r="A3528">
        <v>3</v>
      </c>
      <c r="B3528">
        <v>30</v>
      </c>
      <c r="C3528">
        <v>10</v>
      </c>
      <c r="D3528">
        <v>5</v>
      </c>
      <c r="E3528">
        <f t="shared" si="54"/>
        <v>1.9930777232929887E-3</v>
      </c>
    </row>
    <row r="3529" spans="1:5" x14ac:dyDescent="0.25">
      <c r="A3529">
        <v>3</v>
      </c>
      <c r="B3529">
        <v>30</v>
      </c>
      <c r="C3529">
        <v>11</v>
      </c>
      <c r="D3529">
        <v>4</v>
      </c>
      <c r="E3529">
        <f t="shared" si="54"/>
        <v>2.3727115753487968E-3</v>
      </c>
    </row>
    <row r="3530" spans="1:5" x14ac:dyDescent="0.25">
      <c r="A3530">
        <v>3</v>
      </c>
      <c r="B3530">
        <v>30</v>
      </c>
      <c r="C3530">
        <v>12</v>
      </c>
      <c r="D3530">
        <v>3</v>
      </c>
      <c r="E3530">
        <f t="shared" si="54"/>
        <v>1.9413094707399232E-3</v>
      </c>
    </row>
    <row r="3531" spans="1:5" x14ac:dyDescent="0.25">
      <c r="A3531">
        <v>3</v>
      </c>
      <c r="B3531">
        <v>30</v>
      </c>
      <c r="C3531">
        <v>13</v>
      </c>
      <c r="D3531">
        <v>2</v>
      </c>
      <c r="E3531">
        <f t="shared" si="54"/>
        <v>1.0323351366142073E-3</v>
      </c>
    </row>
    <row r="3532" spans="1:5" x14ac:dyDescent="0.25">
      <c r="A3532">
        <v>3</v>
      </c>
      <c r="B3532">
        <v>30</v>
      </c>
      <c r="C3532">
        <v>14</v>
      </c>
      <c r="D3532">
        <v>1</v>
      </c>
      <c r="E3532">
        <f t="shared" si="54"/>
        <v>3.1953230419011182E-4</v>
      </c>
    </row>
    <row r="3533" spans="1:5" x14ac:dyDescent="0.25">
      <c r="A3533">
        <v>3</v>
      </c>
      <c r="B3533">
        <v>30</v>
      </c>
      <c r="C3533">
        <v>15</v>
      </c>
      <c r="D3533">
        <v>0</v>
      </c>
      <c r="E3533">
        <f t="shared" si="54"/>
        <v>4.3456393369855189E-5</v>
      </c>
    </row>
    <row r="3534" spans="1:5" x14ac:dyDescent="0.25">
      <c r="A3534">
        <v>3</v>
      </c>
      <c r="B3534">
        <v>31</v>
      </c>
      <c r="C3534">
        <v>0</v>
      </c>
      <c r="D3534">
        <v>14</v>
      </c>
      <c r="E3534">
        <f t="shared" ref="E3534:E3597" si="55">COMBIN(A$4,A3534)*COMBIN(B$4,B3534)*COMBIN(C$4,C3534)*COMBIN(D$4,D3534)/COMBIN($G$4,$F$4)</f>
        <v>7.804005883433673E-12</v>
      </c>
    </row>
    <row r="3535" spans="1:5" x14ac:dyDescent="0.25">
      <c r="A3535">
        <v>3</v>
      </c>
      <c r="B3535">
        <v>31</v>
      </c>
      <c r="C3535">
        <v>1</v>
      </c>
      <c r="D3535">
        <v>13</v>
      </c>
      <c r="E3535">
        <f t="shared" si="55"/>
        <v>5.9180377949372033E-10</v>
      </c>
    </row>
    <row r="3536" spans="1:5" x14ac:dyDescent="0.25">
      <c r="A3536">
        <v>3</v>
      </c>
      <c r="B3536">
        <v>31</v>
      </c>
      <c r="C3536">
        <v>2</v>
      </c>
      <c r="D3536">
        <v>12</v>
      </c>
      <c r="E3536">
        <f t="shared" si="55"/>
        <v>1.8937720943799051E-8</v>
      </c>
    </row>
    <row r="3537" spans="1:5" x14ac:dyDescent="0.25">
      <c r="A3537">
        <v>3</v>
      </c>
      <c r="B3537">
        <v>31</v>
      </c>
      <c r="C3537">
        <v>3</v>
      </c>
      <c r="D3537">
        <v>11</v>
      </c>
      <c r="E3537">
        <f t="shared" si="55"/>
        <v>3.4087897698838285E-7</v>
      </c>
    </row>
    <row r="3538" spans="1:5" x14ac:dyDescent="0.25">
      <c r="A3538">
        <v>3</v>
      </c>
      <c r="B3538">
        <v>31</v>
      </c>
      <c r="C3538">
        <v>4</v>
      </c>
      <c r="D3538">
        <v>10</v>
      </c>
      <c r="E3538">
        <f t="shared" si="55"/>
        <v>3.8746577051012845E-6</v>
      </c>
    </row>
    <row r="3539" spans="1:5" x14ac:dyDescent="0.25">
      <c r="A3539">
        <v>3</v>
      </c>
      <c r="B3539">
        <v>31</v>
      </c>
      <c r="C3539">
        <v>5</v>
      </c>
      <c r="D3539">
        <v>9</v>
      </c>
      <c r="E3539">
        <f t="shared" si="55"/>
        <v>2.9544265001397298E-5</v>
      </c>
    </row>
    <row r="3540" spans="1:5" x14ac:dyDescent="0.25">
      <c r="A3540">
        <v>3</v>
      </c>
      <c r="B3540">
        <v>31</v>
      </c>
      <c r="C3540">
        <v>6</v>
      </c>
      <c r="D3540">
        <v>8</v>
      </c>
      <c r="E3540">
        <f t="shared" si="55"/>
        <v>1.5641081471327981E-4</v>
      </c>
    </row>
    <row r="3541" spans="1:5" x14ac:dyDescent="0.25">
      <c r="A3541">
        <v>3</v>
      </c>
      <c r="B3541">
        <v>31</v>
      </c>
      <c r="C3541">
        <v>7</v>
      </c>
      <c r="D3541">
        <v>7</v>
      </c>
      <c r="E3541">
        <f t="shared" si="55"/>
        <v>5.8591987733863562E-4</v>
      </c>
    </row>
    <row r="3542" spans="1:5" x14ac:dyDescent="0.25">
      <c r="A3542">
        <v>3</v>
      </c>
      <c r="B3542">
        <v>31</v>
      </c>
      <c r="C3542">
        <v>8</v>
      </c>
      <c r="D3542">
        <v>6</v>
      </c>
      <c r="E3542">
        <f t="shared" si="55"/>
        <v>1.5650228302597766E-3</v>
      </c>
    </row>
    <row r="3543" spans="1:5" x14ac:dyDescent="0.25">
      <c r="A3543">
        <v>3</v>
      </c>
      <c r="B3543">
        <v>31</v>
      </c>
      <c r="C3543">
        <v>9</v>
      </c>
      <c r="D3543">
        <v>5</v>
      </c>
      <c r="E3543">
        <f t="shared" si="55"/>
        <v>2.9735433774935745E-3</v>
      </c>
    </row>
    <row r="3544" spans="1:5" x14ac:dyDescent="0.25">
      <c r="A3544">
        <v>3</v>
      </c>
      <c r="B3544">
        <v>31</v>
      </c>
      <c r="C3544">
        <v>10</v>
      </c>
      <c r="D3544">
        <v>4</v>
      </c>
      <c r="E3544">
        <f t="shared" si="55"/>
        <v>3.9647245033247683E-3</v>
      </c>
    </row>
    <row r="3545" spans="1:5" x14ac:dyDescent="0.25">
      <c r="A3545">
        <v>3</v>
      </c>
      <c r="B3545">
        <v>31</v>
      </c>
      <c r="C3545">
        <v>11</v>
      </c>
      <c r="D3545">
        <v>3</v>
      </c>
      <c r="E3545">
        <f t="shared" si="55"/>
        <v>3.6042950030225167E-3</v>
      </c>
    </row>
    <row r="3546" spans="1:5" x14ac:dyDescent="0.25">
      <c r="A3546">
        <v>3</v>
      </c>
      <c r="B3546">
        <v>31</v>
      </c>
      <c r="C3546">
        <v>12</v>
      </c>
      <c r="D3546">
        <v>2</v>
      </c>
      <c r="E3546">
        <f t="shared" si="55"/>
        <v>2.1155644582958235E-3</v>
      </c>
    </row>
    <row r="3547" spans="1:5" x14ac:dyDescent="0.25">
      <c r="A3547">
        <v>3</v>
      </c>
      <c r="B3547">
        <v>31</v>
      </c>
      <c r="C3547">
        <v>13</v>
      </c>
      <c r="D3547">
        <v>1</v>
      </c>
      <c r="E3547">
        <f t="shared" si="55"/>
        <v>7.187494633953763E-4</v>
      </c>
    </row>
    <row r="3548" spans="1:5" x14ac:dyDescent="0.25">
      <c r="A3548">
        <v>3</v>
      </c>
      <c r="B3548">
        <v>31</v>
      </c>
      <c r="C3548">
        <v>14</v>
      </c>
      <c r="D3548">
        <v>0</v>
      </c>
      <c r="E3548">
        <f t="shared" si="55"/>
        <v>1.0678563456159877E-4</v>
      </c>
    </row>
    <row r="3549" spans="1:5" x14ac:dyDescent="0.25">
      <c r="A3549">
        <v>3</v>
      </c>
      <c r="B3549">
        <v>32</v>
      </c>
      <c r="C3549">
        <v>0</v>
      </c>
      <c r="D3549">
        <v>13</v>
      </c>
      <c r="E3549">
        <f t="shared" si="55"/>
        <v>7.3406430341047913E-11</v>
      </c>
    </row>
    <row r="3550" spans="1:5" x14ac:dyDescent="0.25">
      <c r="A3550">
        <v>3</v>
      </c>
      <c r="B3550">
        <v>32</v>
      </c>
      <c r="C3550">
        <v>1</v>
      </c>
      <c r="D3550">
        <v>12</v>
      </c>
      <c r="E3550">
        <f t="shared" si="55"/>
        <v>4.7714179721681147E-9</v>
      </c>
    </row>
    <row r="3551" spans="1:5" x14ac:dyDescent="0.25">
      <c r="A3551">
        <v>3</v>
      </c>
      <c r="B3551">
        <v>32</v>
      </c>
      <c r="C3551">
        <v>2</v>
      </c>
      <c r="D3551">
        <v>11</v>
      </c>
      <c r="E3551">
        <f t="shared" si="55"/>
        <v>1.3087317866518259E-7</v>
      </c>
    </row>
    <row r="3552" spans="1:5" x14ac:dyDescent="0.25">
      <c r="A3552">
        <v>3</v>
      </c>
      <c r="B3552">
        <v>32</v>
      </c>
      <c r="C3552">
        <v>3</v>
      </c>
      <c r="D3552">
        <v>10</v>
      </c>
      <c r="E3552">
        <f t="shared" si="55"/>
        <v>2.0154469514438113E-6</v>
      </c>
    </row>
    <row r="3553" spans="1:5" x14ac:dyDescent="0.25">
      <c r="A3553">
        <v>3</v>
      </c>
      <c r="B3553">
        <v>32</v>
      </c>
      <c r="C3553">
        <v>4</v>
      </c>
      <c r="D3553">
        <v>9</v>
      </c>
      <c r="E3553">
        <f t="shared" si="55"/>
        <v>1.9524642342111923E-5</v>
      </c>
    </row>
    <row r="3554" spans="1:5" x14ac:dyDescent="0.25">
      <c r="A3554">
        <v>3</v>
      </c>
      <c r="B3554">
        <v>32</v>
      </c>
      <c r="C3554">
        <v>5</v>
      </c>
      <c r="D3554">
        <v>8</v>
      </c>
      <c r="E3554">
        <f t="shared" si="55"/>
        <v>1.2610621936258174E-4</v>
      </c>
    </row>
    <row r="3555" spans="1:5" x14ac:dyDescent="0.25">
      <c r="A3555">
        <v>3</v>
      </c>
      <c r="B3555">
        <v>32</v>
      </c>
      <c r="C3555">
        <v>6</v>
      </c>
      <c r="D3555">
        <v>7</v>
      </c>
      <c r="E3555">
        <f t="shared" si="55"/>
        <v>5.6047208605591891E-4</v>
      </c>
    </row>
    <row r="3556" spans="1:5" x14ac:dyDescent="0.25">
      <c r="A3556">
        <v>3</v>
      </c>
      <c r="B3556">
        <v>32</v>
      </c>
      <c r="C3556">
        <v>7</v>
      </c>
      <c r="D3556">
        <v>6</v>
      </c>
      <c r="E3556">
        <f t="shared" si="55"/>
        <v>1.7404133198578528E-3</v>
      </c>
    </row>
    <row r="3557" spans="1:5" x14ac:dyDescent="0.25">
      <c r="A3557">
        <v>3</v>
      </c>
      <c r="B3557">
        <v>32</v>
      </c>
      <c r="C3557">
        <v>8</v>
      </c>
      <c r="D3557">
        <v>5</v>
      </c>
      <c r="E3557">
        <f t="shared" si="55"/>
        <v>3.7853989706908304E-3</v>
      </c>
    </row>
    <row r="3558" spans="1:5" x14ac:dyDescent="0.25">
      <c r="A3558">
        <v>3</v>
      </c>
      <c r="B3558">
        <v>32</v>
      </c>
      <c r="C3558">
        <v>9</v>
      </c>
      <c r="D3558">
        <v>4</v>
      </c>
      <c r="E3558">
        <f t="shared" si="55"/>
        <v>5.7081413050099825E-3</v>
      </c>
    </row>
    <row r="3559" spans="1:5" x14ac:dyDescent="0.25">
      <c r="A3559">
        <v>3</v>
      </c>
      <c r="B3559">
        <v>32</v>
      </c>
      <c r="C3559">
        <v>10</v>
      </c>
      <c r="D3559">
        <v>3</v>
      </c>
      <c r="E3559">
        <f t="shared" si="55"/>
        <v>5.8119256923738014E-3</v>
      </c>
    </row>
    <row r="3560" spans="1:5" x14ac:dyDescent="0.25">
      <c r="A3560">
        <v>3</v>
      </c>
      <c r="B3560">
        <v>32</v>
      </c>
      <c r="C3560">
        <v>11</v>
      </c>
      <c r="D3560">
        <v>2</v>
      </c>
      <c r="E3560">
        <f t="shared" si="55"/>
        <v>3.7903863211133488E-3</v>
      </c>
    </row>
    <row r="3561" spans="1:5" x14ac:dyDescent="0.25">
      <c r="A3561">
        <v>3</v>
      </c>
      <c r="B3561">
        <v>32</v>
      </c>
      <c r="C3561">
        <v>12</v>
      </c>
      <c r="D3561">
        <v>1</v>
      </c>
      <c r="E3561">
        <f t="shared" si="55"/>
        <v>1.4213948704175049E-3</v>
      </c>
    </row>
    <row r="3562" spans="1:5" x14ac:dyDescent="0.25">
      <c r="A3562">
        <v>3</v>
      </c>
      <c r="B3562">
        <v>32</v>
      </c>
      <c r="C3562">
        <v>13</v>
      </c>
      <c r="D3562">
        <v>0</v>
      </c>
      <c r="E3562">
        <f t="shared" si="55"/>
        <v>2.3179670194500862E-4</v>
      </c>
    </row>
    <row r="3563" spans="1:5" x14ac:dyDescent="0.25">
      <c r="A3563">
        <v>3</v>
      </c>
      <c r="B3563">
        <v>33</v>
      </c>
      <c r="C3563">
        <v>0</v>
      </c>
      <c r="D3563">
        <v>12</v>
      </c>
      <c r="E3563">
        <f t="shared" si="55"/>
        <v>5.7168038174694949E-10</v>
      </c>
    </row>
    <row r="3564" spans="1:5" x14ac:dyDescent="0.25">
      <c r="A3564">
        <v>3</v>
      </c>
      <c r="B3564">
        <v>33</v>
      </c>
      <c r="C3564">
        <v>1</v>
      </c>
      <c r="D3564">
        <v>11</v>
      </c>
      <c r="E3564">
        <f t="shared" si="55"/>
        <v>3.1850764125901471E-8</v>
      </c>
    </row>
    <row r="3565" spans="1:5" x14ac:dyDescent="0.25">
      <c r="A3565">
        <v>3</v>
      </c>
      <c r="B3565">
        <v>33</v>
      </c>
      <c r="C3565">
        <v>2</v>
      </c>
      <c r="D3565">
        <v>10</v>
      </c>
      <c r="E3565">
        <f t="shared" si="55"/>
        <v>7.4743126482115434E-7</v>
      </c>
    </row>
    <row r="3566" spans="1:5" x14ac:dyDescent="0.25">
      <c r="A3566">
        <v>3</v>
      </c>
      <c r="B3566">
        <v>33</v>
      </c>
      <c r="C3566">
        <v>3</v>
      </c>
      <c r="D3566">
        <v>9</v>
      </c>
      <c r="E3566">
        <f t="shared" si="55"/>
        <v>9.8100353507776497E-6</v>
      </c>
    </row>
    <row r="3567" spans="1:5" x14ac:dyDescent="0.25">
      <c r="A3567">
        <v>3</v>
      </c>
      <c r="B3567">
        <v>33</v>
      </c>
      <c r="C3567">
        <v>4</v>
      </c>
      <c r="D3567">
        <v>8</v>
      </c>
      <c r="E3567">
        <f t="shared" si="55"/>
        <v>8.0499995966675428E-5</v>
      </c>
    </row>
    <row r="3568" spans="1:5" x14ac:dyDescent="0.25">
      <c r="A3568">
        <v>3</v>
      </c>
      <c r="B3568">
        <v>33</v>
      </c>
      <c r="C3568">
        <v>5</v>
      </c>
      <c r="D3568">
        <v>7</v>
      </c>
      <c r="E3568">
        <f t="shared" si="55"/>
        <v>4.3648886701930695E-4</v>
      </c>
    </row>
    <row r="3569" spans="1:5" x14ac:dyDescent="0.25">
      <c r="A3569">
        <v>3</v>
      </c>
      <c r="B3569">
        <v>33</v>
      </c>
      <c r="C3569">
        <v>6</v>
      </c>
      <c r="D3569">
        <v>6</v>
      </c>
      <c r="E3569">
        <f t="shared" si="55"/>
        <v>1.6081168784921828E-3</v>
      </c>
    </row>
    <row r="3570" spans="1:5" x14ac:dyDescent="0.25">
      <c r="A3570">
        <v>3</v>
      </c>
      <c r="B3570">
        <v>33</v>
      </c>
      <c r="C3570">
        <v>7</v>
      </c>
      <c r="D3570">
        <v>5</v>
      </c>
      <c r="E3570">
        <f t="shared" si="55"/>
        <v>4.0662383927588053E-3</v>
      </c>
    </row>
    <row r="3571" spans="1:5" x14ac:dyDescent="0.25">
      <c r="A3571">
        <v>3</v>
      </c>
      <c r="B3571">
        <v>33</v>
      </c>
      <c r="C3571">
        <v>8</v>
      </c>
      <c r="D3571">
        <v>4</v>
      </c>
      <c r="E3571">
        <f t="shared" si="55"/>
        <v>7.0191019875003218E-3</v>
      </c>
    </row>
    <row r="3572" spans="1:5" x14ac:dyDescent="0.25">
      <c r="A3572">
        <v>3</v>
      </c>
      <c r="B3572">
        <v>33</v>
      </c>
      <c r="C3572">
        <v>9</v>
      </c>
      <c r="D3572">
        <v>3</v>
      </c>
      <c r="E3572">
        <f t="shared" si="55"/>
        <v>8.0826022886367321E-3</v>
      </c>
    </row>
    <row r="3573" spans="1:5" x14ac:dyDescent="0.25">
      <c r="A3573">
        <v>3</v>
      </c>
      <c r="B3573">
        <v>33</v>
      </c>
      <c r="C3573">
        <v>10</v>
      </c>
      <c r="D3573">
        <v>2</v>
      </c>
      <c r="E3573">
        <f t="shared" si="55"/>
        <v>5.9038138456129182E-3</v>
      </c>
    </row>
    <row r="3574" spans="1:5" x14ac:dyDescent="0.25">
      <c r="A3574">
        <v>3</v>
      </c>
      <c r="B3574">
        <v>33</v>
      </c>
      <c r="C3574">
        <v>11</v>
      </c>
      <c r="D3574">
        <v>1</v>
      </c>
      <c r="E3574">
        <f t="shared" si="55"/>
        <v>2.4599224356720495E-3</v>
      </c>
    </row>
    <row r="3575" spans="1:5" x14ac:dyDescent="0.25">
      <c r="A3575">
        <v>3</v>
      </c>
      <c r="B3575">
        <v>33</v>
      </c>
      <c r="C3575">
        <v>12</v>
      </c>
      <c r="D3575">
        <v>0</v>
      </c>
      <c r="E3575">
        <f t="shared" si="55"/>
        <v>4.4278603842096858E-4</v>
      </c>
    </row>
    <row r="3576" spans="1:5" x14ac:dyDescent="0.25">
      <c r="A3576">
        <v>3</v>
      </c>
      <c r="B3576">
        <v>34</v>
      </c>
      <c r="C3576">
        <v>0</v>
      </c>
      <c r="D3576">
        <v>11</v>
      </c>
      <c r="E3576">
        <f t="shared" si="55"/>
        <v>3.6895002788374532E-9</v>
      </c>
    </row>
    <row r="3577" spans="1:5" x14ac:dyDescent="0.25">
      <c r="A3577">
        <v>3</v>
      </c>
      <c r="B3577">
        <v>34</v>
      </c>
      <c r="C3577">
        <v>1</v>
      </c>
      <c r="D3577">
        <v>10</v>
      </c>
      <c r="E3577">
        <f t="shared" si="55"/>
        <v>1.7586617995791859E-7</v>
      </c>
    </row>
    <row r="3578" spans="1:5" x14ac:dyDescent="0.25">
      <c r="A3578">
        <v>3</v>
      </c>
      <c r="B3578">
        <v>34</v>
      </c>
      <c r="C3578">
        <v>2</v>
      </c>
      <c r="D3578">
        <v>9</v>
      </c>
      <c r="E3578">
        <f t="shared" si="55"/>
        <v>3.5173235991583718E-6</v>
      </c>
    </row>
    <row r="3579" spans="1:5" x14ac:dyDescent="0.25">
      <c r="A3579">
        <v>3</v>
      </c>
      <c r="B3579">
        <v>34</v>
      </c>
      <c r="C3579">
        <v>3</v>
      </c>
      <c r="D3579">
        <v>8</v>
      </c>
      <c r="E3579">
        <f t="shared" si="55"/>
        <v>3.9104362367113668E-5</v>
      </c>
    </row>
    <row r="3580" spans="1:5" x14ac:dyDescent="0.25">
      <c r="A3580">
        <v>3</v>
      </c>
      <c r="B3580">
        <v>34</v>
      </c>
      <c r="C3580">
        <v>4</v>
      </c>
      <c r="D3580">
        <v>7</v>
      </c>
      <c r="E3580">
        <f t="shared" si="55"/>
        <v>2.6938560741789422E-4</v>
      </c>
    </row>
    <row r="3581" spans="1:5" x14ac:dyDescent="0.25">
      <c r="A3581">
        <v>3</v>
      </c>
      <c r="B3581">
        <v>34</v>
      </c>
      <c r="C3581">
        <v>5</v>
      </c>
      <c r="D3581">
        <v>6</v>
      </c>
      <c r="E3581">
        <f t="shared" si="55"/>
        <v>1.2108174143941135E-3</v>
      </c>
    </row>
    <row r="3582" spans="1:5" x14ac:dyDescent="0.25">
      <c r="A3582">
        <v>3</v>
      </c>
      <c r="B3582">
        <v>34</v>
      </c>
      <c r="C3582">
        <v>6</v>
      </c>
      <c r="D3582">
        <v>5</v>
      </c>
      <c r="E3582">
        <f t="shared" si="55"/>
        <v>3.632452243182341E-3</v>
      </c>
    </row>
    <row r="3583" spans="1:5" x14ac:dyDescent="0.25">
      <c r="A3583">
        <v>3</v>
      </c>
      <c r="B3583">
        <v>34</v>
      </c>
      <c r="C3583">
        <v>7</v>
      </c>
      <c r="D3583">
        <v>4</v>
      </c>
      <c r="E3583">
        <f t="shared" si="55"/>
        <v>7.2896150458421141E-3</v>
      </c>
    </row>
    <row r="3584" spans="1:5" x14ac:dyDescent="0.25">
      <c r="A3584">
        <v>3</v>
      </c>
      <c r="B3584">
        <v>34</v>
      </c>
      <c r="C3584">
        <v>8</v>
      </c>
      <c r="D3584">
        <v>3</v>
      </c>
      <c r="E3584">
        <f t="shared" si="55"/>
        <v>9.6090380149736962E-3</v>
      </c>
    </row>
    <row r="3585" spans="1:5" x14ac:dyDescent="0.25">
      <c r="A3585">
        <v>3</v>
      </c>
      <c r="B3585">
        <v>34</v>
      </c>
      <c r="C3585">
        <v>9</v>
      </c>
      <c r="D3585">
        <v>2</v>
      </c>
      <c r="E3585">
        <f t="shared" si="55"/>
        <v>7.9379009688913139E-3</v>
      </c>
    </row>
    <row r="3586" spans="1:5" x14ac:dyDescent="0.25">
      <c r="A3586">
        <v>3</v>
      </c>
      <c r="B3586">
        <v>34</v>
      </c>
      <c r="C3586">
        <v>10</v>
      </c>
      <c r="D3586">
        <v>1</v>
      </c>
      <c r="E3586">
        <f t="shared" si="55"/>
        <v>3.7043537854826131E-3</v>
      </c>
    </row>
    <row r="3587" spans="1:5" x14ac:dyDescent="0.25">
      <c r="A3587">
        <v>3</v>
      </c>
      <c r="B3587">
        <v>34</v>
      </c>
      <c r="C3587">
        <v>11</v>
      </c>
      <c r="D3587">
        <v>0</v>
      </c>
      <c r="E3587">
        <f t="shared" si="55"/>
        <v>7.4087075709652276E-4</v>
      </c>
    </row>
    <row r="3588" spans="1:5" x14ac:dyDescent="0.25">
      <c r="A3588">
        <v>3</v>
      </c>
      <c r="B3588">
        <v>35</v>
      </c>
      <c r="C3588">
        <v>0</v>
      </c>
      <c r="D3588">
        <v>10</v>
      </c>
      <c r="E3588">
        <f t="shared" si="55"/>
        <v>1.9712472918360099E-8</v>
      </c>
    </row>
    <row r="3589" spans="1:5" x14ac:dyDescent="0.25">
      <c r="A3589">
        <v>3</v>
      </c>
      <c r="B3589">
        <v>35</v>
      </c>
      <c r="C3589">
        <v>1</v>
      </c>
      <c r="D3589">
        <v>9</v>
      </c>
      <c r="E3589">
        <f t="shared" si="55"/>
        <v>8.0081921230837923E-7</v>
      </c>
    </row>
    <row r="3590" spans="1:5" x14ac:dyDescent="0.25">
      <c r="A3590">
        <v>3</v>
      </c>
      <c r="B3590">
        <v>35</v>
      </c>
      <c r="C3590">
        <v>2</v>
      </c>
      <c r="D3590">
        <v>8</v>
      </c>
      <c r="E3590">
        <f t="shared" si="55"/>
        <v>1.3566819596753719E-5</v>
      </c>
    </row>
    <row r="3591" spans="1:5" x14ac:dyDescent="0.25">
      <c r="A3591">
        <v>3</v>
      </c>
      <c r="B3591">
        <v>35</v>
      </c>
      <c r="C3591">
        <v>3</v>
      </c>
      <c r="D3591">
        <v>7</v>
      </c>
      <c r="E3591">
        <f t="shared" si="55"/>
        <v>1.2662364956970141E-4</v>
      </c>
    </row>
    <row r="3592" spans="1:5" x14ac:dyDescent="0.25">
      <c r="A3592">
        <v>3</v>
      </c>
      <c r="B3592">
        <v>35</v>
      </c>
      <c r="C3592">
        <v>4</v>
      </c>
      <c r="D3592">
        <v>6</v>
      </c>
      <c r="E3592">
        <f t="shared" si="55"/>
        <v>7.2308768306908412E-4</v>
      </c>
    </row>
    <row r="3593" spans="1:5" x14ac:dyDescent="0.25">
      <c r="A3593">
        <v>3</v>
      </c>
      <c r="B3593">
        <v>35</v>
      </c>
      <c r="C3593">
        <v>5</v>
      </c>
      <c r="D3593">
        <v>5</v>
      </c>
      <c r="E3593">
        <f t="shared" si="55"/>
        <v>2.6465009200328476E-3</v>
      </c>
    </row>
    <row r="3594" spans="1:5" x14ac:dyDescent="0.25">
      <c r="A3594">
        <v>3</v>
      </c>
      <c r="B3594">
        <v>35</v>
      </c>
      <c r="C3594">
        <v>6</v>
      </c>
      <c r="D3594">
        <v>4</v>
      </c>
      <c r="E3594">
        <f t="shared" si="55"/>
        <v>6.3011926667448778E-3</v>
      </c>
    </row>
    <row r="3595" spans="1:5" x14ac:dyDescent="0.25">
      <c r="A3595">
        <v>3</v>
      </c>
      <c r="B3595">
        <v>35</v>
      </c>
      <c r="C3595">
        <v>7</v>
      </c>
      <c r="D3595">
        <v>3</v>
      </c>
      <c r="E3595">
        <f t="shared" si="55"/>
        <v>9.656373177609031E-3</v>
      </c>
    </row>
    <row r="3596" spans="1:5" x14ac:dyDescent="0.25">
      <c r="A3596">
        <v>3</v>
      </c>
      <c r="B3596">
        <v>35</v>
      </c>
      <c r="C3596">
        <v>8</v>
      </c>
      <c r="D3596">
        <v>2</v>
      </c>
      <c r="E3596">
        <f t="shared" si="55"/>
        <v>9.1315702875215867E-3</v>
      </c>
    </row>
    <row r="3597" spans="1:5" x14ac:dyDescent="0.25">
      <c r="A3597">
        <v>3</v>
      </c>
      <c r="B3597">
        <v>35</v>
      </c>
      <c r="C3597">
        <v>9</v>
      </c>
      <c r="D3597">
        <v>1</v>
      </c>
      <c r="E3597">
        <f t="shared" si="55"/>
        <v>4.8194398739697247E-3</v>
      </c>
    </row>
    <row r="3598" spans="1:5" x14ac:dyDescent="0.25">
      <c r="A3598">
        <v>3</v>
      </c>
      <c r="B3598">
        <v>35</v>
      </c>
      <c r="C3598">
        <v>10</v>
      </c>
      <c r="D3598">
        <v>0</v>
      </c>
      <c r="E3598">
        <f t="shared" ref="E3598:E3661" si="56">COMBIN(A$4,A3598)*COMBIN(B$4,B3598)*COMBIN(C$4,C3598)*COMBIN(D$4,D3598)/COMBIN($G$4,$F$4)</f>
        <v>1.0795545317692184E-3</v>
      </c>
    </row>
    <row r="3599" spans="1:5" x14ac:dyDescent="0.25">
      <c r="A3599">
        <v>3</v>
      </c>
      <c r="B3599">
        <v>36</v>
      </c>
      <c r="C3599">
        <v>0</v>
      </c>
      <c r="D3599">
        <v>9</v>
      </c>
      <c r="E3599">
        <f t="shared" si="56"/>
        <v>8.6926529883046347E-8</v>
      </c>
    </row>
    <row r="3600" spans="1:5" x14ac:dyDescent="0.25">
      <c r="A3600">
        <v>3</v>
      </c>
      <c r="B3600">
        <v>36</v>
      </c>
      <c r="C3600">
        <v>1</v>
      </c>
      <c r="D3600">
        <v>8</v>
      </c>
      <c r="E3600">
        <f t="shared" si="56"/>
        <v>2.9912952930342415E-6</v>
      </c>
    </row>
    <row r="3601" spans="1:5" x14ac:dyDescent="0.25">
      <c r="A3601">
        <v>3</v>
      </c>
      <c r="B3601">
        <v>36</v>
      </c>
      <c r="C3601">
        <v>2</v>
      </c>
      <c r="D3601">
        <v>7</v>
      </c>
      <c r="E3601">
        <f t="shared" si="56"/>
        <v>4.254286638982034E-5</v>
      </c>
    </row>
    <row r="3602" spans="1:5" x14ac:dyDescent="0.25">
      <c r="A3602">
        <v>3</v>
      </c>
      <c r="B3602">
        <v>36</v>
      </c>
      <c r="C3602">
        <v>3</v>
      </c>
      <c r="D3602">
        <v>6</v>
      </c>
      <c r="E3602">
        <f t="shared" si="56"/>
        <v>3.2914743996334669E-4</v>
      </c>
    </row>
    <row r="3603" spans="1:5" x14ac:dyDescent="0.25">
      <c r="A3603">
        <v>3</v>
      </c>
      <c r="B3603">
        <v>36</v>
      </c>
      <c r="C3603">
        <v>4</v>
      </c>
      <c r="D3603">
        <v>5</v>
      </c>
      <c r="E3603">
        <f t="shared" si="56"/>
        <v>1.5305355958295623E-3</v>
      </c>
    </row>
    <row r="3604" spans="1:5" x14ac:dyDescent="0.25">
      <c r="A3604">
        <v>3</v>
      </c>
      <c r="B3604">
        <v>36</v>
      </c>
      <c r="C3604">
        <v>5</v>
      </c>
      <c r="D3604">
        <v>4</v>
      </c>
      <c r="E3604">
        <f t="shared" si="56"/>
        <v>4.4458414926477783E-3</v>
      </c>
    </row>
    <row r="3605" spans="1:5" x14ac:dyDescent="0.25">
      <c r="A3605">
        <v>3</v>
      </c>
      <c r="B3605">
        <v>36</v>
      </c>
      <c r="C3605">
        <v>6</v>
      </c>
      <c r="D3605">
        <v>3</v>
      </c>
      <c r="E3605">
        <f t="shared" si="56"/>
        <v>8.0833481684505024E-3</v>
      </c>
    </row>
    <row r="3606" spans="1:5" x14ac:dyDescent="0.25">
      <c r="A3606">
        <v>3</v>
      </c>
      <c r="B3606">
        <v>36</v>
      </c>
      <c r="C3606">
        <v>7</v>
      </c>
      <c r="D3606">
        <v>2</v>
      </c>
      <c r="E3606">
        <f t="shared" si="56"/>
        <v>8.886662272147447E-3</v>
      </c>
    </row>
    <row r="3607" spans="1:5" x14ac:dyDescent="0.25">
      <c r="A3607">
        <v>3</v>
      </c>
      <c r="B3607">
        <v>36</v>
      </c>
      <c r="C3607">
        <v>8</v>
      </c>
      <c r="D3607">
        <v>1</v>
      </c>
      <c r="E3607">
        <f t="shared" si="56"/>
        <v>5.3690251227557495E-3</v>
      </c>
    </row>
    <row r="3608" spans="1:5" x14ac:dyDescent="0.25">
      <c r="A3608">
        <v>3</v>
      </c>
      <c r="B3608">
        <v>36</v>
      </c>
      <c r="C3608">
        <v>9</v>
      </c>
      <c r="D3608">
        <v>0</v>
      </c>
      <c r="E3608">
        <f t="shared" si="56"/>
        <v>1.360153031098123E-3</v>
      </c>
    </row>
    <row r="3609" spans="1:5" x14ac:dyDescent="0.25">
      <c r="A3609">
        <v>3</v>
      </c>
      <c r="B3609">
        <v>37</v>
      </c>
      <c r="C3609">
        <v>0</v>
      </c>
      <c r="D3609">
        <v>8</v>
      </c>
      <c r="E3609">
        <f t="shared" si="56"/>
        <v>3.1467680213624218E-7</v>
      </c>
    </row>
    <row r="3610" spans="1:5" x14ac:dyDescent="0.25">
      <c r="A3610">
        <v>3</v>
      </c>
      <c r="B3610">
        <v>37</v>
      </c>
      <c r="C3610">
        <v>1</v>
      </c>
      <c r="D3610">
        <v>7</v>
      </c>
      <c r="E3610">
        <f t="shared" si="56"/>
        <v>9.090663172824777E-6</v>
      </c>
    </row>
    <row r="3611" spans="1:5" x14ac:dyDescent="0.25">
      <c r="A3611">
        <v>3</v>
      </c>
      <c r="B3611">
        <v>37</v>
      </c>
      <c r="C3611">
        <v>2</v>
      </c>
      <c r="D3611">
        <v>6</v>
      </c>
      <c r="E3611">
        <f t="shared" si="56"/>
        <v>1.0717413424803943E-4</v>
      </c>
    </row>
    <row r="3612" spans="1:5" x14ac:dyDescent="0.25">
      <c r="A3612">
        <v>3</v>
      </c>
      <c r="B3612">
        <v>37</v>
      </c>
      <c r="C3612">
        <v>3</v>
      </c>
      <c r="D3612">
        <v>5</v>
      </c>
      <c r="E3612">
        <f t="shared" si="56"/>
        <v>6.7519704576264844E-4</v>
      </c>
    </row>
    <row r="3613" spans="1:5" x14ac:dyDescent="0.25">
      <c r="A3613">
        <v>3</v>
      </c>
      <c r="B3613">
        <v>37</v>
      </c>
      <c r="C3613">
        <v>4</v>
      </c>
      <c r="D3613">
        <v>4</v>
      </c>
      <c r="E3613">
        <f t="shared" si="56"/>
        <v>2.491798621266918E-3</v>
      </c>
    </row>
    <row r="3614" spans="1:5" x14ac:dyDescent="0.25">
      <c r="A3614">
        <v>3</v>
      </c>
      <c r="B3614">
        <v>37</v>
      </c>
      <c r="C3614">
        <v>5</v>
      </c>
      <c r="D3614">
        <v>3</v>
      </c>
      <c r="E3614">
        <f t="shared" si="56"/>
        <v>5.5272623962647994E-3</v>
      </c>
    </row>
    <row r="3615" spans="1:5" x14ac:dyDescent="0.25">
      <c r="A3615">
        <v>3</v>
      </c>
      <c r="B3615">
        <v>37</v>
      </c>
      <c r="C3615">
        <v>6</v>
      </c>
      <c r="D3615">
        <v>2</v>
      </c>
      <c r="E3615">
        <f t="shared" si="56"/>
        <v>7.2094726907801715E-3</v>
      </c>
    </row>
    <row r="3616" spans="1:5" x14ac:dyDescent="0.25">
      <c r="A3616">
        <v>3</v>
      </c>
      <c r="B3616">
        <v>37</v>
      </c>
      <c r="C3616">
        <v>7</v>
      </c>
      <c r="D3616">
        <v>1</v>
      </c>
      <c r="E3616">
        <f t="shared" si="56"/>
        <v>5.0637962947146448E-3</v>
      </c>
    </row>
    <row r="3617" spans="1:5" x14ac:dyDescent="0.25">
      <c r="A3617">
        <v>3</v>
      </c>
      <c r="B3617">
        <v>37</v>
      </c>
      <c r="C3617">
        <v>8</v>
      </c>
      <c r="D3617">
        <v>0</v>
      </c>
      <c r="E3617">
        <f t="shared" si="56"/>
        <v>1.4685009254672471E-3</v>
      </c>
    </row>
    <row r="3618" spans="1:5" x14ac:dyDescent="0.25">
      <c r="A3618">
        <v>3</v>
      </c>
      <c r="B3618">
        <v>38</v>
      </c>
      <c r="C3618">
        <v>0</v>
      </c>
      <c r="D3618">
        <v>7</v>
      </c>
      <c r="E3618">
        <f t="shared" si="56"/>
        <v>9.2746846945418847E-7</v>
      </c>
    </row>
    <row r="3619" spans="1:5" x14ac:dyDescent="0.25">
      <c r="A3619">
        <v>3</v>
      </c>
      <c r="B3619">
        <v>38</v>
      </c>
      <c r="C3619">
        <v>1</v>
      </c>
      <c r="D3619">
        <v>6</v>
      </c>
      <c r="E3619">
        <f t="shared" si="56"/>
        <v>2.2210429136929245E-5</v>
      </c>
    </row>
    <row r="3620" spans="1:5" x14ac:dyDescent="0.25">
      <c r="A3620">
        <v>3</v>
      </c>
      <c r="B3620">
        <v>38</v>
      </c>
      <c r="C3620">
        <v>2</v>
      </c>
      <c r="D3620">
        <v>5</v>
      </c>
      <c r="E3620">
        <f t="shared" si="56"/>
        <v>2.1322011971452073E-4</v>
      </c>
    </row>
    <row r="3621" spans="1:5" x14ac:dyDescent="0.25">
      <c r="A3621">
        <v>3</v>
      </c>
      <c r="B3621">
        <v>38</v>
      </c>
      <c r="C3621">
        <v>3</v>
      </c>
      <c r="D3621">
        <v>4</v>
      </c>
      <c r="E3621">
        <f t="shared" si="56"/>
        <v>1.066100598572604E-3</v>
      </c>
    </row>
    <row r="3622" spans="1:5" x14ac:dyDescent="0.25">
      <c r="A3622">
        <v>3</v>
      </c>
      <c r="B3622">
        <v>38</v>
      </c>
      <c r="C3622">
        <v>4</v>
      </c>
      <c r="D3622">
        <v>3</v>
      </c>
      <c r="E3622">
        <f t="shared" si="56"/>
        <v>3.0044653232500652E-3</v>
      </c>
    </row>
    <row r="3623" spans="1:5" x14ac:dyDescent="0.25">
      <c r="A3623">
        <v>3</v>
      </c>
      <c r="B3623">
        <v>38</v>
      </c>
      <c r="C3623">
        <v>5</v>
      </c>
      <c r="D3623">
        <v>2</v>
      </c>
      <c r="E3623">
        <f t="shared" si="56"/>
        <v>4.7810187317805387E-3</v>
      </c>
    </row>
    <row r="3624" spans="1:5" x14ac:dyDescent="0.25">
      <c r="A3624">
        <v>3</v>
      </c>
      <c r="B3624">
        <v>38</v>
      </c>
      <c r="C3624">
        <v>6</v>
      </c>
      <c r="D3624">
        <v>1</v>
      </c>
      <c r="E3624">
        <f t="shared" si="56"/>
        <v>3.9841822764837814E-3</v>
      </c>
    </row>
    <row r="3625" spans="1:5" x14ac:dyDescent="0.25">
      <c r="A3625">
        <v>3</v>
      </c>
      <c r="B3625">
        <v>38</v>
      </c>
      <c r="C3625">
        <v>7</v>
      </c>
      <c r="D3625">
        <v>0</v>
      </c>
      <c r="E3625">
        <f t="shared" si="56"/>
        <v>1.3432385960716752E-3</v>
      </c>
    </row>
    <row r="3626" spans="1:5" x14ac:dyDescent="0.25">
      <c r="A3626">
        <v>3</v>
      </c>
      <c r="B3626">
        <v>39</v>
      </c>
      <c r="C3626">
        <v>0</v>
      </c>
      <c r="D3626">
        <v>6</v>
      </c>
      <c r="E3626">
        <f t="shared" si="56"/>
        <v>2.1991391374237628E-6</v>
      </c>
    </row>
    <row r="3627" spans="1:5" x14ac:dyDescent="0.25">
      <c r="A3627">
        <v>3</v>
      </c>
      <c r="B3627">
        <v>39</v>
      </c>
      <c r="C3627">
        <v>1</v>
      </c>
      <c r="D3627">
        <v>5</v>
      </c>
      <c r="E3627">
        <f t="shared" si="56"/>
        <v>4.2883213179763375E-5</v>
      </c>
    </row>
    <row r="3628" spans="1:5" x14ac:dyDescent="0.25">
      <c r="A3628">
        <v>3</v>
      </c>
      <c r="B3628">
        <v>39</v>
      </c>
      <c r="C3628">
        <v>2</v>
      </c>
      <c r="D3628">
        <v>4</v>
      </c>
      <c r="E3628">
        <f t="shared" si="56"/>
        <v>3.2672924327438772E-4</v>
      </c>
    </row>
    <row r="3629" spans="1:5" x14ac:dyDescent="0.25">
      <c r="A3629">
        <v>3</v>
      </c>
      <c r="B3629">
        <v>39</v>
      </c>
      <c r="C3629">
        <v>3</v>
      </c>
      <c r="D3629">
        <v>3</v>
      </c>
      <c r="E3629">
        <f t="shared" si="56"/>
        <v>1.2475116561385712E-3</v>
      </c>
    </row>
    <row r="3630" spans="1:5" x14ac:dyDescent="0.25">
      <c r="A3630">
        <v>3</v>
      </c>
      <c r="B3630">
        <v>39</v>
      </c>
      <c r="C3630">
        <v>4</v>
      </c>
      <c r="D3630">
        <v>2</v>
      </c>
      <c r="E3630">
        <f t="shared" si="56"/>
        <v>2.5221431308888498E-3</v>
      </c>
    </row>
    <row r="3631" spans="1:5" x14ac:dyDescent="0.25">
      <c r="A3631">
        <v>3</v>
      </c>
      <c r="B3631">
        <v>39</v>
      </c>
      <c r="C3631">
        <v>5</v>
      </c>
      <c r="D3631">
        <v>1</v>
      </c>
      <c r="E3631">
        <f t="shared" si="56"/>
        <v>2.5641788497369976E-3</v>
      </c>
    </row>
    <row r="3632" spans="1:5" x14ac:dyDescent="0.25">
      <c r="A3632">
        <v>3</v>
      </c>
      <c r="B3632">
        <v>39</v>
      </c>
      <c r="C3632">
        <v>6</v>
      </c>
      <c r="D3632">
        <v>0</v>
      </c>
      <c r="E3632">
        <f t="shared" si="56"/>
        <v>1.0256715398947991E-3</v>
      </c>
    </row>
    <row r="3633" spans="1:5" x14ac:dyDescent="0.25">
      <c r="A3633">
        <v>3</v>
      </c>
      <c r="B3633">
        <v>40</v>
      </c>
      <c r="C3633">
        <v>0</v>
      </c>
      <c r="D3633">
        <v>5</v>
      </c>
      <c r="E3633">
        <f t="shared" si="56"/>
        <v>4.1233858826695588E-6</v>
      </c>
    </row>
    <row r="3634" spans="1:5" x14ac:dyDescent="0.25">
      <c r="A3634">
        <v>3</v>
      </c>
      <c r="B3634">
        <v>40</v>
      </c>
      <c r="C3634">
        <v>1</v>
      </c>
      <c r="D3634">
        <v>4</v>
      </c>
      <c r="E3634">
        <f t="shared" si="56"/>
        <v>6.3814305327028901E-5</v>
      </c>
    </row>
    <row r="3635" spans="1:5" x14ac:dyDescent="0.25">
      <c r="A3635">
        <v>3</v>
      </c>
      <c r="B3635">
        <v>40</v>
      </c>
      <c r="C3635">
        <v>2</v>
      </c>
      <c r="D3635">
        <v>3</v>
      </c>
      <c r="E3635">
        <f t="shared" si="56"/>
        <v>3.7128323099362264E-4</v>
      </c>
    </row>
    <row r="3636" spans="1:5" x14ac:dyDescent="0.25">
      <c r="A3636">
        <v>3</v>
      </c>
      <c r="B3636">
        <v>40</v>
      </c>
      <c r="C3636">
        <v>3</v>
      </c>
      <c r="D3636">
        <v>2</v>
      </c>
      <c r="E3636">
        <f t="shared" si="56"/>
        <v>1.0169931979390535E-3</v>
      </c>
    </row>
    <row r="3637" spans="1:5" x14ac:dyDescent="0.25">
      <c r="A3637">
        <v>3</v>
      </c>
      <c r="B3637">
        <v>40</v>
      </c>
      <c r="C3637">
        <v>4</v>
      </c>
      <c r="D3637">
        <v>1</v>
      </c>
      <c r="E3637">
        <f t="shared" si="56"/>
        <v>1.3136162140046103E-3</v>
      </c>
    </row>
    <row r="3638" spans="1:5" x14ac:dyDescent="0.25">
      <c r="A3638">
        <v>3</v>
      </c>
      <c r="B3638">
        <v>40</v>
      </c>
      <c r="C3638">
        <v>5</v>
      </c>
      <c r="D3638">
        <v>0</v>
      </c>
      <c r="E3638">
        <f t="shared" si="56"/>
        <v>6.4104471243424995E-4</v>
      </c>
    </row>
    <row r="3639" spans="1:5" x14ac:dyDescent="0.25">
      <c r="A3639">
        <v>3</v>
      </c>
      <c r="B3639">
        <v>41</v>
      </c>
      <c r="C3639">
        <v>0</v>
      </c>
      <c r="D3639">
        <v>4</v>
      </c>
      <c r="E3639">
        <f t="shared" si="56"/>
        <v>5.9623872519437822E-6</v>
      </c>
    </row>
    <row r="3640" spans="1:5" x14ac:dyDescent="0.25">
      <c r="A3640">
        <v>3</v>
      </c>
      <c r="B3640">
        <v>41</v>
      </c>
      <c r="C3640">
        <v>1</v>
      </c>
      <c r="D3640">
        <v>3</v>
      </c>
      <c r="E3640">
        <f t="shared" si="56"/>
        <v>7.0464576613881054E-5</v>
      </c>
    </row>
    <row r="3641" spans="1:5" x14ac:dyDescent="0.25">
      <c r="A3641">
        <v>3</v>
      </c>
      <c r="B3641">
        <v>41</v>
      </c>
      <c r="C3641">
        <v>2</v>
      </c>
      <c r="D3641">
        <v>2</v>
      </c>
      <c r="E3641">
        <f t="shared" si="56"/>
        <v>2.9411301543185136E-4</v>
      </c>
    </row>
    <row r="3642" spans="1:5" x14ac:dyDescent="0.25">
      <c r="A3642">
        <v>3</v>
      </c>
      <c r="B3642">
        <v>41</v>
      </c>
      <c r="C3642">
        <v>3</v>
      </c>
      <c r="D3642">
        <v>1</v>
      </c>
      <c r="E3642">
        <f t="shared" si="56"/>
        <v>5.1469777700573986E-4</v>
      </c>
    </row>
    <row r="3643" spans="1:5" x14ac:dyDescent="0.25">
      <c r="A3643">
        <v>3</v>
      </c>
      <c r="B3643">
        <v>41</v>
      </c>
      <c r="C3643">
        <v>4</v>
      </c>
      <c r="D3643">
        <v>0</v>
      </c>
      <c r="E3643">
        <f t="shared" si="56"/>
        <v>3.1911262174355869E-4</v>
      </c>
    </row>
    <row r="3644" spans="1:5" x14ac:dyDescent="0.25">
      <c r="A3644">
        <v>3</v>
      </c>
      <c r="B3644">
        <v>42</v>
      </c>
      <c r="C3644">
        <v>0</v>
      </c>
      <c r="D3644">
        <v>3</v>
      </c>
      <c r="E3644">
        <f t="shared" si="56"/>
        <v>6.4011776557664841E-6</v>
      </c>
    </row>
    <row r="3645" spans="1:5" x14ac:dyDescent="0.25">
      <c r="A3645">
        <v>3</v>
      </c>
      <c r="B3645">
        <v>42</v>
      </c>
      <c r="C3645">
        <v>1</v>
      </c>
      <c r="D3645">
        <v>2</v>
      </c>
      <c r="E3645">
        <f t="shared" si="56"/>
        <v>5.4270854038020195E-5</v>
      </c>
    </row>
    <row r="3646" spans="1:5" x14ac:dyDescent="0.25">
      <c r="A3646">
        <v>3</v>
      </c>
      <c r="B3646">
        <v>42</v>
      </c>
      <c r="C3646">
        <v>2</v>
      </c>
      <c r="D3646">
        <v>1</v>
      </c>
      <c r="E3646">
        <f t="shared" si="56"/>
        <v>1.447222774347205E-4</v>
      </c>
    </row>
    <row r="3647" spans="1:5" x14ac:dyDescent="0.25">
      <c r="A3647">
        <v>3</v>
      </c>
      <c r="B3647">
        <v>42</v>
      </c>
      <c r="C3647">
        <v>3</v>
      </c>
      <c r="D3647">
        <v>0</v>
      </c>
      <c r="E3647">
        <f t="shared" si="56"/>
        <v>1.2156671304516524E-4</v>
      </c>
    </row>
    <row r="3648" spans="1:5" x14ac:dyDescent="0.25">
      <c r="A3648">
        <v>3</v>
      </c>
      <c r="B3648">
        <v>43</v>
      </c>
      <c r="C3648">
        <v>0</v>
      </c>
      <c r="D3648">
        <v>2</v>
      </c>
      <c r="E3648">
        <f t="shared" si="56"/>
        <v>4.7960289614994613E-6</v>
      </c>
    </row>
    <row r="3649" spans="1:5" x14ac:dyDescent="0.25">
      <c r="A3649">
        <v>3</v>
      </c>
      <c r="B3649">
        <v>43</v>
      </c>
      <c r="C3649">
        <v>1</v>
      </c>
      <c r="D3649">
        <v>1</v>
      </c>
      <c r="E3649">
        <f t="shared" si="56"/>
        <v>2.5978490208122085E-5</v>
      </c>
    </row>
    <row r="3650" spans="1:5" x14ac:dyDescent="0.25">
      <c r="A3650">
        <v>3</v>
      </c>
      <c r="B3650">
        <v>43</v>
      </c>
      <c r="C3650">
        <v>2</v>
      </c>
      <c r="D3650">
        <v>0</v>
      </c>
      <c r="E3650">
        <f t="shared" si="56"/>
        <v>3.3252467466396267E-5</v>
      </c>
    </row>
    <row r="3651" spans="1:5" x14ac:dyDescent="0.25">
      <c r="A3651">
        <v>3</v>
      </c>
      <c r="B3651">
        <v>44</v>
      </c>
      <c r="C3651">
        <v>0</v>
      </c>
      <c r="D3651">
        <v>1</v>
      </c>
      <c r="E3651">
        <f t="shared" si="56"/>
        <v>2.2345134934258844E-6</v>
      </c>
    </row>
    <row r="3652" spans="1:5" x14ac:dyDescent="0.25">
      <c r="A3652">
        <v>3</v>
      </c>
      <c r="B3652">
        <v>44</v>
      </c>
      <c r="C3652">
        <v>1</v>
      </c>
      <c r="D3652">
        <v>0</v>
      </c>
      <c r="E3652">
        <f t="shared" si="56"/>
        <v>5.8097350829072998E-6</v>
      </c>
    </row>
    <row r="3653" spans="1:5" x14ac:dyDescent="0.25">
      <c r="A3653">
        <v>3</v>
      </c>
      <c r="B3653">
        <v>45</v>
      </c>
      <c r="C3653">
        <v>0</v>
      </c>
      <c r="D3653">
        <v>0</v>
      </c>
      <c r="E3653">
        <f t="shared" si="56"/>
        <v>4.8662738301274832E-7</v>
      </c>
    </row>
    <row r="3654" spans="1:5" x14ac:dyDescent="0.25">
      <c r="A3654">
        <v>4</v>
      </c>
      <c r="B3654">
        <v>0</v>
      </c>
      <c r="C3654">
        <v>19</v>
      </c>
      <c r="D3654">
        <v>25</v>
      </c>
      <c r="E3654">
        <f t="shared" si="56"/>
        <v>2.1829746943229554E-43</v>
      </c>
    </row>
    <row r="3655" spans="1:5" x14ac:dyDescent="0.25">
      <c r="A3655">
        <v>4</v>
      </c>
      <c r="B3655">
        <v>0</v>
      </c>
      <c r="C3655">
        <v>20</v>
      </c>
      <c r="D3655">
        <v>24</v>
      </c>
      <c r="E3655">
        <f t="shared" si="56"/>
        <v>1.2552104492357004E-41</v>
      </c>
    </row>
    <row r="3656" spans="1:5" x14ac:dyDescent="0.25">
      <c r="A3656">
        <v>4</v>
      </c>
      <c r="B3656">
        <v>0</v>
      </c>
      <c r="C3656">
        <v>21</v>
      </c>
      <c r="D3656">
        <v>23</v>
      </c>
      <c r="E3656">
        <f t="shared" si="56"/>
        <v>3.2276840123203686E-40</v>
      </c>
    </row>
    <row r="3657" spans="1:5" x14ac:dyDescent="0.25">
      <c r="A3657">
        <v>4</v>
      </c>
      <c r="B3657">
        <v>0</v>
      </c>
      <c r="C3657">
        <v>22</v>
      </c>
      <c r="D3657">
        <v>22</v>
      </c>
      <c r="E3657">
        <f t="shared" si="56"/>
        <v>4.9491154855579019E-39</v>
      </c>
    </row>
    <row r="3658" spans="1:5" x14ac:dyDescent="0.25">
      <c r="A3658">
        <v>4</v>
      </c>
      <c r="B3658">
        <v>0</v>
      </c>
      <c r="C3658">
        <v>23</v>
      </c>
      <c r="D3658">
        <v>21</v>
      </c>
      <c r="E3658">
        <f t="shared" si="56"/>
        <v>5.0889817927584506E-38</v>
      </c>
    </row>
    <row r="3659" spans="1:5" x14ac:dyDescent="0.25">
      <c r="A3659">
        <v>4</v>
      </c>
      <c r="B3659">
        <v>0</v>
      </c>
      <c r="C3659">
        <v>24</v>
      </c>
      <c r="D3659">
        <v>20</v>
      </c>
      <c r="E3659">
        <f t="shared" si="56"/>
        <v>3.7404016176774598E-37</v>
      </c>
    </row>
    <row r="3660" spans="1:5" x14ac:dyDescent="0.25">
      <c r="A3660">
        <v>4</v>
      </c>
      <c r="B3660">
        <v>0</v>
      </c>
      <c r="C3660">
        <v>25</v>
      </c>
      <c r="D3660">
        <v>19</v>
      </c>
      <c r="E3660">
        <f t="shared" si="56"/>
        <v>2.0447528843303455E-36</v>
      </c>
    </row>
    <row r="3661" spans="1:5" x14ac:dyDescent="0.25">
      <c r="A3661">
        <v>4</v>
      </c>
      <c r="B3661">
        <v>0</v>
      </c>
      <c r="C3661">
        <v>26</v>
      </c>
      <c r="D3661">
        <v>18</v>
      </c>
      <c r="E3661">
        <f t="shared" si="56"/>
        <v>8.5385285279728706E-36</v>
      </c>
    </row>
    <row r="3662" spans="1:5" x14ac:dyDescent="0.25">
      <c r="A3662">
        <v>4</v>
      </c>
      <c r="B3662">
        <v>0</v>
      </c>
      <c r="C3662">
        <v>27</v>
      </c>
      <c r="D3662">
        <v>17</v>
      </c>
      <c r="E3662">
        <f t="shared" ref="E3662:E3725" si="57">COMBIN(A$4,A3662)*COMBIN(B$4,B3662)*COMBIN(C$4,C3662)*COMBIN(D$4,D3662)/COMBIN($G$4,$F$4)</f>
        <v>2.7750217715911822E-35</v>
      </c>
    </row>
    <row r="3663" spans="1:5" x14ac:dyDescent="0.25">
      <c r="A3663">
        <v>4</v>
      </c>
      <c r="B3663">
        <v>0</v>
      </c>
      <c r="C3663">
        <v>28</v>
      </c>
      <c r="D3663">
        <v>16</v>
      </c>
      <c r="E3663">
        <f t="shared" si="57"/>
        <v>7.1137462874916818E-35</v>
      </c>
    </row>
    <row r="3664" spans="1:5" x14ac:dyDescent="0.25">
      <c r="A3664">
        <v>4</v>
      </c>
      <c r="B3664">
        <v>0</v>
      </c>
      <c r="C3664">
        <v>29</v>
      </c>
      <c r="D3664">
        <v>15</v>
      </c>
      <c r="E3664">
        <f t="shared" si="57"/>
        <v>1.4521854490327846E-34</v>
      </c>
    </row>
    <row r="3665" spans="1:5" x14ac:dyDescent="0.25">
      <c r="A3665">
        <v>4</v>
      </c>
      <c r="B3665">
        <v>0</v>
      </c>
      <c r="C3665">
        <v>30</v>
      </c>
      <c r="D3665">
        <v>14</v>
      </c>
      <c r="E3665">
        <f t="shared" si="57"/>
        <v>2.3763034620536478E-34</v>
      </c>
    </row>
    <row r="3666" spans="1:5" x14ac:dyDescent="0.25">
      <c r="A3666">
        <v>4</v>
      </c>
      <c r="B3666">
        <v>0</v>
      </c>
      <c r="C3666">
        <v>31</v>
      </c>
      <c r="D3666">
        <v>13</v>
      </c>
      <c r="E3666">
        <f t="shared" si="57"/>
        <v>3.1300771408771172E-34</v>
      </c>
    </row>
    <row r="3667" spans="1:5" x14ac:dyDescent="0.25">
      <c r="A3667">
        <v>4</v>
      </c>
      <c r="B3667">
        <v>0</v>
      </c>
      <c r="C3667">
        <v>32</v>
      </c>
      <c r="D3667">
        <v>12</v>
      </c>
      <c r="E3667">
        <f t="shared" si="57"/>
        <v>3.3257069621819367E-34</v>
      </c>
    </row>
    <row r="3668" spans="1:5" x14ac:dyDescent="0.25">
      <c r="A3668">
        <v>4</v>
      </c>
      <c r="B3668">
        <v>0</v>
      </c>
      <c r="C3668">
        <v>33</v>
      </c>
      <c r="D3668">
        <v>11</v>
      </c>
      <c r="E3668">
        <f t="shared" si="57"/>
        <v>2.8506059675845166E-34</v>
      </c>
    </row>
    <row r="3669" spans="1:5" x14ac:dyDescent="0.25">
      <c r="A3669">
        <v>4</v>
      </c>
      <c r="B3669">
        <v>0</v>
      </c>
      <c r="C3669">
        <v>34</v>
      </c>
      <c r="D3669">
        <v>10</v>
      </c>
      <c r="E3669">
        <f t="shared" si="57"/>
        <v>1.9674770599799013E-34</v>
      </c>
    </row>
    <row r="3670" spans="1:5" x14ac:dyDescent="0.25">
      <c r="A3670">
        <v>4</v>
      </c>
      <c r="B3670">
        <v>0</v>
      </c>
      <c r="C3670">
        <v>35</v>
      </c>
      <c r="D3670">
        <v>9</v>
      </c>
      <c r="E3670">
        <f t="shared" si="57"/>
        <v>1.0891390867745884E-34</v>
      </c>
    </row>
    <row r="3671" spans="1:5" x14ac:dyDescent="0.25">
      <c r="A3671">
        <v>4</v>
      </c>
      <c r="B3671">
        <v>0</v>
      </c>
      <c r="C3671">
        <v>36</v>
      </c>
      <c r="D3671">
        <v>8</v>
      </c>
      <c r="E3671">
        <f t="shared" si="57"/>
        <v>4.8050253828290678E-35</v>
      </c>
    </row>
    <row r="3672" spans="1:5" x14ac:dyDescent="0.25">
      <c r="A3672">
        <v>4</v>
      </c>
      <c r="B3672">
        <v>0</v>
      </c>
      <c r="C3672">
        <v>37</v>
      </c>
      <c r="D3672">
        <v>7</v>
      </c>
      <c r="E3672">
        <f t="shared" si="57"/>
        <v>1.6738226558803961E-35</v>
      </c>
    </row>
    <row r="3673" spans="1:5" x14ac:dyDescent="0.25">
      <c r="A3673">
        <v>4</v>
      </c>
      <c r="B3673">
        <v>0</v>
      </c>
      <c r="C3673">
        <v>38</v>
      </c>
      <c r="D3673">
        <v>6</v>
      </c>
      <c r="E3673">
        <f t="shared" si="57"/>
        <v>4.5438952985118761E-36</v>
      </c>
    </row>
    <row r="3674" spans="1:5" x14ac:dyDescent="0.25">
      <c r="A3674">
        <v>4</v>
      </c>
      <c r="B3674">
        <v>0</v>
      </c>
      <c r="C3674">
        <v>39</v>
      </c>
      <c r="D3674">
        <v>5</v>
      </c>
      <c r="E3674">
        <f t="shared" si="57"/>
        <v>9.4373210046015907E-37</v>
      </c>
    </row>
    <row r="3675" spans="1:5" x14ac:dyDescent="0.25">
      <c r="A3675">
        <v>4</v>
      </c>
      <c r="B3675">
        <v>0</v>
      </c>
      <c r="C3675">
        <v>40</v>
      </c>
      <c r="D3675">
        <v>4</v>
      </c>
      <c r="E3675">
        <f t="shared" si="57"/>
        <v>1.4605377745216757E-37</v>
      </c>
    </row>
    <row r="3676" spans="1:5" x14ac:dyDescent="0.25">
      <c r="A3676">
        <v>4</v>
      </c>
      <c r="B3676">
        <v>0</v>
      </c>
      <c r="C3676">
        <v>41</v>
      </c>
      <c r="D3676">
        <v>3</v>
      </c>
      <c r="E3676">
        <f t="shared" si="57"/>
        <v>1.6192214795140521E-38</v>
      </c>
    </row>
    <row r="3677" spans="1:5" x14ac:dyDescent="0.25">
      <c r="A3677">
        <v>4</v>
      </c>
      <c r="B3677">
        <v>0</v>
      </c>
      <c r="C3677">
        <v>42</v>
      </c>
      <c r="D3677">
        <v>2</v>
      </c>
      <c r="E3677">
        <f t="shared" si="57"/>
        <v>1.2068731524328338E-39</v>
      </c>
    </row>
    <row r="3678" spans="1:5" x14ac:dyDescent="0.25">
      <c r="A3678">
        <v>4</v>
      </c>
      <c r="B3678">
        <v>0</v>
      </c>
      <c r="C3678">
        <v>43</v>
      </c>
      <c r="D3678">
        <v>1</v>
      </c>
      <c r="E3678">
        <f t="shared" si="57"/>
        <v>5.3794733538672845E-41</v>
      </c>
    </row>
    <row r="3679" spans="1:5" x14ac:dyDescent="0.25">
      <c r="A3679">
        <v>4</v>
      </c>
      <c r="B3679">
        <v>0</v>
      </c>
      <c r="C3679">
        <v>44</v>
      </c>
      <c r="D3679">
        <v>0</v>
      </c>
      <c r="E3679">
        <f t="shared" si="57"/>
        <v>1.0758946707734561E-42</v>
      </c>
    </row>
    <row r="3680" spans="1:5" x14ac:dyDescent="0.25">
      <c r="A3680">
        <v>4</v>
      </c>
      <c r="B3680">
        <v>1</v>
      </c>
      <c r="C3680">
        <v>18</v>
      </c>
      <c r="D3680">
        <v>25</v>
      </c>
      <c r="E3680">
        <f t="shared" si="57"/>
        <v>2.5503646907504986E-41</v>
      </c>
    </row>
    <row r="3681" spans="1:5" x14ac:dyDescent="0.25">
      <c r="A3681">
        <v>4</v>
      </c>
      <c r="B3681">
        <v>1</v>
      </c>
      <c r="C3681">
        <v>19</v>
      </c>
      <c r="D3681">
        <v>24</v>
      </c>
      <c r="E3681">
        <f t="shared" si="57"/>
        <v>1.5771992166483354E-39</v>
      </c>
    </row>
    <row r="3682" spans="1:5" x14ac:dyDescent="0.25">
      <c r="A3682">
        <v>4</v>
      </c>
      <c r="B3682">
        <v>1</v>
      </c>
      <c r="C3682">
        <v>20</v>
      </c>
      <c r="D3682">
        <v>23</v>
      </c>
      <c r="E3682">
        <f t="shared" si="57"/>
        <v>4.3530698379494088E-38</v>
      </c>
    </row>
    <row r="3683" spans="1:5" x14ac:dyDescent="0.25">
      <c r="A3683">
        <v>4</v>
      </c>
      <c r="B3683">
        <v>1</v>
      </c>
      <c r="C3683">
        <v>21</v>
      </c>
      <c r="D3683">
        <v>22</v>
      </c>
      <c r="E3683">
        <f t="shared" si="57"/>
        <v>7.1514718766311631E-37</v>
      </c>
    </row>
    <row r="3684" spans="1:5" x14ac:dyDescent="0.25">
      <c r="A3684">
        <v>4</v>
      </c>
      <c r="B3684">
        <v>1</v>
      </c>
      <c r="C3684">
        <v>22</v>
      </c>
      <c r="D3684">
        <v>21</v>
      </c>
      <c r="E3684">
        <f t="shared" si="57"/>
        <v>7.8666190642942855E-36</v>
      </c>
    </row>
    <row r="3685" spans="1:5" x14ac:dyDescent="0.25">
      <c r="A3685">
        <v>4</v>
      </c>
      <c r="B3685">
        <v>1</v>
      </c>
      <c r="C3685">
        <v>23</v>
      </c>
      <c r="D3685">
        <v>20</v>
      </c>
      <c r="E3685">
        <f t="shared" si="57"/>
        <v>6.1770061000502063E-35</v>
      </c>
    </row>
    <row r="3686" spans="1:5" x14ac:dyDescent="0.25">
      <c r="A3686">
        <v>4</v>
      </c>
      <c r="B3686">
        <v>1</v>
      </c>
      <c r="C3686">
        <v>24</v>
      </c>
      <c r="D3686">
        <v>19</v>
      </c>
      <c r="E3686">
        <f t="shared" si="57"/>
        <v>3.6032535583626195E-34</v>
      </c>
    </row>
    <row r="3687" spans="1:5" x14ac:dyDescent="0.25">
      <c r="A3687">
        <v>4</v>
      </c>
      <c r="B3687">
        <v>1</v>
      </c>
      <c r="C3687">
        <v>25</v>
      </c>
      <c r="D3687">
        <v>18</v>
      </c>
      <c r="E3687">
        <f t="shared" si="57"/>
        <v>1.6039625839797045E-33</v>
      </c>
    </row>
    <row r="3688" spans="1:5" x14ac:dyDescent="0.25">
      <c r="A3688">
        <v>4</v>
      </c>
      <c r="B3688">
        <v>1</v>
      </c>
      <c r="C3688">
        <v>26</v>
      </c>
      <c r="D3688">
        <v>17</v>
      </c>
      <c r="E3688">
        <f t="shared" si="57"/>
        <v>5.5521781753143565E-33</v>
      </c>
    </row>
    <row r="3689" spans="1:5" x14ac:dyDescent="0.25">
      <c r="A3689">
        <v>4</v>
      </c>
      <c r="B3689">
        <v>1</v>
      </c>
      <c r="C3689">
        <v>27</v>
      </c>
      <c r="D3689">
        <v>16</v>
      </c>
      <c r="E3689">
        <f t="shared" si="57"/>
        <v>1.5148535515363864E-32</v>
      </c>
    </row>
    <row r="3690" spans="1:5" x14ac:dyDescent="0.25">
      <c r="A3690">
        <v>4</v>
      </c>
      <c r="B3690">
        <v>1</v>
      </c>
      <c r="C3690">
        <v>28</v>
      </c>
      <c r="D3690">
        <v>15</v>
      </c>
      <c r="E3690">
        <f t="shared" si="57"/>
        <v>3.2893962833361531E-32</v>
      </c>
    </row>
    <row r="3691" spans="1:5" x14ac:dyDescent="0.25">
      <c r="A3691">
        <v>4</v>
      </c>
      <c r="B3691">
        <v>1</v>
      </c>
      <c r="C3691">
        <v>29</v>
      </c>
      <c r="D3691">
        <v>14</v>
      </c>
      <c r="E3691">
        <f t="shared" si="57"/>
        <v>5.7229308377792028E-32</v>
      </c>
    </row>
    <row r="3692" spans="1:5" x14ac:dyDescent="0.25">
      <c r="A3692">
        <v>4</v>
      </c>
      <c r="B3692">
        <v>1</v>
      </c>
      <c r="C3692">
        <v>30</v>
      </c>
      <c r="D3692">
        <v>13</v>
      </c>
      <c r="E3692">
        <f t="shared" si="57"/>
        <v>8.0121031728908837E-32</v>
      </c>
    </row>
    <row r="3693" spans="1:5" x14ac:dyDescent="0.25">
      <c r="A3693">
        <v>4</v>
      </c>
      <c r="B3693">
        <v>1</v>
      </c>
      <c r="C3693">
        <v>31</v>
      </c>
      <c r="D3693">
        <v>12</v>
      </c>
      <c r="E3693">
        <f t="shared" si="57"/>
        <v>9.0459229371348686E-32</v>
      </c>
    </row>
    <row r="3694" spans="1:5" x14ac:dyDescent="0.25">
      <c r="A3694">
        <v>4</v>
      </c>
      <c r="B3694">
        <v>1</v>
      </c>
      <c r="C3694">
        <v>32</v>
      </c>
      <c r="D3694">
        <v>11</v>
      </c>
      <c r="E3694">
        <f t="shared" si="57"/>
        <v>8.2382512463192525E-32</v>
      </c>
    </row>
    <row r="3695" spans="1:5" x14ac:dyDescent="0.25">
      <c r="A3695">
        <v>4</v>
      </c>
      <c r="B3695">
        <v>1</v>
      </c>
      <c r="C3695">
        <v>33</v>
      </c>
      <c r="D3695">
        <v>10</v>
      </c>
      <c r="E3695">
        <f t="shared" si="57"/>
        <v>6.0413842473007843E-32</v>
      </c>
    </row>
    <row r="3696" spans="1:5" x14ac:dyDescent="0.25">
      <c r="A3696">
        <v>4</v>
      </c>
      <c r="B3696">
        <v>1</v>
      </c>
      <c r="C3696">
        <v>34</v>
      </c>
      <c r="D3696">
        <v>9</v>
      </c>
      <c r="E3696">
        <f t="shared" si="57"/>
        <v>3.553755439588698E-32</v>
      </c>
    </row>
    <row r="3697" spans="1:5" x14ac:dyDescent="0.25">
      <c r="A3697">
        <v>4</v>
      </c>
      <c r="B3697">
        <v>1</v>
      </c>
      <c r="C3697">
        <v>35</v>
      </c>
      <c r="D3697">
        <v>8</v>
      </c>
      <c r="E3697">
        <f t="shared" si="57"/>
        <v>1.6663828027651206E-32</v>
      </c>
    </row>
    <row r="3698" spans="1:5" x14ac:dyDescent="0.25">
      <c r="A3698">
        <v>4</v>
      </c>
      <c r="B3698">
        <v>1</v>
      </c>
      <c r="C3698">
        <v>36</v>
      </c>
      <c r="D3698">
        <v>7</v>
      </c>
      <c r="E3698">
        <f t="shared" si="57"/>
        <v>6.171788158389337E-33</v>
      </c>
    </row>
    <row r="3699" spans="1:5" x14ac:dyDescent="0.25">
      <c r="A3699">
        <v>4</v>
      </c>
      <c r="B3699">
        <v>1</v>
      </c>
      <c r="C3699">
        <v>37</v>
      </c>
      <c r="D3699">
        <v>6</v>
      </c>
      <c r="E3699">
        <f t="shared" si="57"/>
        <v>1.7821806488663367E-33</v>
      </c>
    </row>
    <row r="3700" spans="1:5" x14ac:dyDescent="0.25">
      <c r="A3700">
        <v>4</v>
      </c>
      <c r="B3700">
        <v>1</v>
      </c>
      <c r="C3700">
        <v>38</v>
      </c>
      <c r="D3700">
        <v>5</v>
      </c>
      <c r="E3700">
        <f t="shared" si="57"/>
        <v>3.9395572238097964E-34</v>
      </c>
    </row>
    <row r="3701" spans="1:5" x14ac:dyDescent="0.25">
      <c r="A3701">
        <v>4</v>
      </c>
      <c r="B3701">
        <v>1</v>
      </c>
      <c r="C3701">
        <v>39</v>
      </c>
      <c r="D3701">
        <v>4</v>
      </c>
      <c r="E3701">
        <f t="shared" si="57"/>
        <v>6.4937756436425245E-35</v>
      </c>
    </row>
    <row r="3702" spans="1:5" x14ac:dyDescent="0.25">
      <c r="A3702">
        <v>4</v>
      </c>
      <c r="B3702">
        <v>1</v>
      </c>
      <c r="C3702">
        <v>40</v>
      </c>
      <c r="D3702">
        <v>3</v>
      </c>
      <c r="E3702">
        <f t="shared" si="57"/>
        <v>7.6744621243048042E-36</v>
      </c>
    </row>
    <row r="3703" spans="1:5" x14ac:dyDescent="0.25">
      <c r="A3703">
        <v>4</v>
      </c>
      <c r="B3703">
        <v>1</v>
      </c>
      <c r="C3703">
        <v>41</v>
      </c>
      <c r="D3703">
        <v>2</v>
      </c>
      <c r="E3703">
        <f t="shared" si="57"/>
        <v>6.1037609684290573E-37</v>
      </c>
    </row>
    <row r="3704" spans="1:5" x14ac:dyDescent="0.25">
      <c r="A3704">
        <v>4</v>
      </c>
      <c r="B3704">
        <v>1</v>
      </c>
      <c r="C3704">
        <v>42</v>
      </c>
      <c r="D3704">
        <v>1</v>
      </c>
      <c r="E3704">
        <f t="shared" si="57"/>
        <v>2.9065528421090752E-38</v>
      </c>
    </row>
    <row r="3705" spans="1:5" x14ac:dyDescent="0.25">
      <c r="A3705">
        <v>4</v>
      </c>
      <c r="B3705">
        <v>1</v>
      </c>
      <c r="C3705">
        <v>43</v>
      </c>
      <c r="D3705">
        <v>0</v>
      </c>
      <c r="E3705">
        <f t="shared" si="57"/>
        <v>6.2186711970705805E-40</v>
      </c>
    </row>
    <row r="3706" spans="1:5" x14ac:dyDescent="0.25">
      <c r="A3706">
        <v>4</v>
      </c>
      <c r="B3706">
        <v>2</v>
      </c>
      <c r="C3706">
        <v>17</v>
      </c>
      <c r="D3706">
        <v>25</v>
      </c>
      <c r="E3706">
        <f t="shared" si="57"/>
        <v>1.3771969330052705E-39</v>
      </c>
    </row>
    <row r="3707" spans="1:5" x14ac:dyDescent="0.25">
      <c r="A3707">
        <v>4</v>
      </c>
      <c r="B3707">
        <v>2</v>
      </c>
      <c r="C3707">
        <v>18</v>
      </c>
      <c r="D3707">
        <v>24</v>
      </c>
      <c r="E3707">
        <f t="shared" si="57"/>
        <v>9.1813128867017938E-38</v>
      </c>
    </row>
    <row r="3708" spans="1:5" x14ac:dyDescent="0.25">
      <c r="A3708">
        <v>4</v>
      </c>
      <c r="B3708">
        <v>2</v>
      </c>
      <c r="C3708">
        <v>19</v>
      </c>
      <c r="D3708">
        <v>23</v>
      </c>
      <c r="E3708">
        <f t="shared" si="57"/>
        <v>2.7254002463683232E-36</v>
      </c>
    </row>
    <row r="3709" spans="1:5" x14ac:dyDescent="0.25">
      <c r="A3709">
        <v>4</v>
      </c>
      <c r="B3709">
        <v>2</v>
      </c>
      <c r="C3709">
        <v>20</v>
      </c>
      <c r="D3709">
        <v>22</v>
      </c>
      <c r="E3709">
        <f t="shared" si="57"/>
        <v>4.8057891010961473E-35</v>
      </c>
    </row>
    <row r="3710" spans="1:5" x14ac:dyDescent="0.25">
      <c r="A3710">
        <v>4</v>
      </c>
      <c r="B3710">
        <v>2</v>
      </c>
      <c r="C3710">
        <v>21</v>
      </c>
      <c r="D3710">
        <v>21</v>
      </c>
      <c r="E3710">
        <f t="shared" si="57"/>
        <v>5.6639657262918822E-34</v>
      </c>
    </row>
    <row r="3711" spans="1:5" x14ac:dyDescent="0.25">
      <c r="A3711">
        <v>4</v>
      </c>
      <c r="B3711">
        <v>2</v>
      </c>
      <c r="C3711">
        <v>22</v>
      </c>
      <c r="D3711">
        <v>20</v>
      </c>
      <c r="E3711">
        <f t="shared" si="57"/>
        <v>4.7577312100851823E-33</v>
      </c>
    </row>
    <row r="3712" spans="1:5" x14ac:dyDescent="0.25">
      <c r="A3712">
        <v>4</v>
      </c>
      <c r="B3712">
        <v>2</v>
      </c>
      <c r="C3712">
        <v>23</v>
      </c>
      <c r="D3712">
        <v>19</v>
      </c>
      <c r="E3712">
        <f t="shared" si="57"/>
        <v>2.9649629280240985E-32</v>
      </c>
    </row>
    <row r="3713" spans="1:5" x14ac:dyDescent="0.25">
      <c r="A3713">
        <v>4</v>
      </c>
      <c r="B3713">
        <v>2</v>
      </c>
      <c r="C3713">
        <v>24</v>
      </c>
      <c r="D3713">
        <v>18</v>
      </c>
      <c r="E3713">
        <f t="shared" si="57"/>
        <v>1.4083573908114474E-31</v>
      </c>
    </row>
    <row r="3714" spans="1:5" x14ac:dyDescent="0.25">
      <c r="A3714">
        <v>4</v>
      </c>
      <c r="B3714">
        <v>2</v>
      </c>
      <c r="C3714">
        <v>25</v>
      </c>
      <c r="D3714">
        <v>17</v>
      </c>
      <c r="E3714">
        <f t="shared" si="57"/>
        <v>5.1968387720942416E-31</v>
      </c>
    </row>
    <row r="3715" spans="1:5" x14ac:dyDescent="0.25">
      <c r="A3715">
        <v>4</v>
      </c>
      <c r="B3715">
        <v>2</v>
      </c>
      <c r="C3715">
        <v>26</v>
      </c>
      <c r="D3715">
        <v>16</v>
      </c>
      <c r="E3715">
        <f t="shared" si="57"/>
        <v>1.5101924636855049E-30</v>
      </c>
    </row>
    <row r="3716" spans="1:5" x14ac:dyDescent="0.25">
      <c r="A3716">
        <v>4</v>
      </c>
      <c r="B3716">
        <v>2</v>
      </c>
      <c r="C3716">
        <v>27</v>
      </c>
      <c r="D3716">
        <v>15</v>
      </c>
      <c r="E3716">
        <f t="shared" si="57"/>
        <v>3.4902225827398338E-30</v>
      </c>
    </row>
    <row r="3717" spans="1:5" x14ac:dyDescent="0.25">
      <c r="A3717">
        <v>4</v>
      </c>
      <c r="B3717">
        <v>2</v>
      </c>
      <c r="C3717">
        <v>28</v>
      </c>
      <c r="D3717">
        <v>14</v>
      </c>
      <c r="E3717">
        <f t="shared" si="57"/>
        <v>6.4591781563691745E-30</v>
      </c>
    </row>
    <row r="3718" spans="1:5" x14ac:dyDescent="0.25">
      <c r="A3718">
        <v>4</v>
      </c>
      <c r="B3718">
        <v>2</v>
      </c>
      <c r="C3718">
        <v>29</v>
      </c>
      <c r="D3718">
        <v>13</v>
      </c>
      <c r="E3718">
        <f t="shared" si="57"/>
        <v>9.6145238074690612E-30</v>
      </c>
    </row>
    <row r="3719" spans="1:5" x14ac:dyDescent="0.25">
      <c r="A3719">
        <v>4</v>
      </c>
      <c r="B3719">
        <v>2</v>
      </c>
      <c r="C3719">
        <v>30</v>
      </c>
      <c r="D3719">
        <v>12</v>
      </c>
      <c r="E3719">
        <f t="shared" si="57"/>
        <v>1.1537428568962872E-29</v>
      </c>
    </row>
    <row r="3720" spans="1:5" x14ac:dyDescent="0.25">
      <c r="A3720">
        <v>4</v>
      </c>
      <c r="B3720">
        <v>2</v>
      </c>
      <c r="C3720">
        <v>31</v>
      </c>
      <c r="D3720">
        <v>11</v>
      </c>
      <c r="E3720">
        <f t="shared" si="57"/>
        <v>1.1165253453835037E-29</v>
      </c>
    </row>
    <row r="3721" spans="1:5" x14ac:dyDescent="0.25">
      <c r="A3721">
        <v>4</v>
      </c>
      <c r="B3721">
        <v>2</v>
      </c>
      <c r="C3721">
        <v>32</v>
      </c>
      <c r="D3721">
        <v>10</v>
      </c>
      <c r="E3721">
        <f t="shared" si="57"/>
        <v>8.6995933161131307E-30</v>
      </c>
    </row>
    <row r="3722" spans="1:5" x14ac:dyDescent="0.25">
      <c r="A3722">
        <v>4</v>
      </c>
      <c r="B3722">
        <v>2</v>
      </c>
      <c r="C3722">
        <v>33</v>
      </c>
      <c r="D3722">
        <v>9</v>
      </c>
      <c r="E3722">
        <f t="shared" si="57"/>
        <v>5.4372458225707067E-30</v>
      </c>
    </row>
    <row r="3723" spans="1:5" x14ac:dyDescent="0.25">
      <c r="A3723">
        <v>4</v>
      </c>
      <c r="B3723">
        <v>2</v>
      </c>
      <c r="C3723">
        <v>34</v>
      </c>
      <c r="D3723">
        <v>8</v>
      </c>
      <c r="E3723">
        <f t="shared" si="57"/>
        <v>2.7092159115923249E-30</v>
      </c>
    </row>
    <row r="3724" spans="1:5" x14ac:dyDescent="0.25">
      <c r="A3724">
        <v>4</v>
      </c>
      <c r="B3724">
        <v>2</v>
      </c>
      <c r="C3724">
        <v>35</v>
      </c>
      <c r="D3724">
        <v>7</v>
      </c>
      <c r="E3724">
        <f t="shared" si="57"/>
        <v>1.0664849937696774E-30</v>
      </c>
    </row>
    <row r="3725" spans="1:5" x14ac:dyDescent="0.25">
      <c r="A3725">
        <v>4</v>
      </c>
      <c r="B3725">
        <v>2</v>
      </c>
      <c r="C3725">
        <v>36</v>
      </c>
      <c r="D3725">
        <v>6</v>
      </c>
      <c r="E3725">
        <f t="shared" si="57"/>
        <v>3.2742960335033946E-31</v>
      </c>
    </row>
    <row r="3726" spans="1:5" x14ac:dyDescent="0.25">
      <c r="A3726">
        <v>4</v>
      </c>
      <c r="B3726">
        <v>2</v>
      </c>
      <c r="C3726">
        <v>37</v>
      </c>
      <c r="D3726">
        <v>5</v>
      </c>
      <c r="E3726">
        <f t="shared" ref="E3726:E3789" si="58">COMBIN(A$4,A3726)*COMBIN(B$4,B3726)*COMBIN(C$4,C3726)*COMBIN(D$4,D3726)/COMBIN($G$4,$F$4)</f>
        <v>7.699020403102575E-32</v>
      </c>
    </row>
    <row r="3727" spans="1:5" x14ac:dyDescent="0.25">
      <c r="A3727">
        <v>4</v>
      </c>
      <c r="B3727">
        <v>2</v>
      </c>
      <c r="C3727">
        <v>38</v>
      </c>
      <c r="D3727">
        <v>4</v>
      </c>
      <c r="E3727">
        <f t="shared" si="58"/>
        <v>1.350705333877645E-32</v>
      </c>
    </row>
    <row r="3728" spans="1:5" x14ac:dyDescent="0.25">
      <c r="A3728">
        <v>4</v>
      </c>
      <c r="B3728">
        <v>2</v>
      </c>
      <c r="C3728">
        <v>39</v>
      </c>
      <c r="D3728">
        <v>3</v>
      </c>
      <c r="E3728">
        <f t="shared" si="58"/>
        <v>1.7001885321536784E-33</v>
      </c>
    </row>
    <row r="3729" spans="1:5" x14ac:dyDescent="0.25">
      <c r="A3729">
        <v>4</v>
      </c>
      <c r="B3729">
        <v>2</v>
      </c>
      <c r="C3729">
        <v>40</v>
      </c>
      <c r="D3729">
        <v>2</v>
      </c>
      <c r="E3729">
        <f t="shared" si="58"/>
        <v>1.4414641903042068E-34</v>
      </c>
    </row>
    <row r="3730" spans="1:5" x14ac:dyDescent="0.25">
      <c r="A3730">
        <v>4</v>
      </c>
      <c r="B3730">
        <v>2</v>
      </c>
      <c r="C3730">
        <v>41</v>
      </c>
      <c r="D3730">
        <v>1</v>
      </c>
      <c r="E3730">
        <f t="shared" si="58"/>
        <v>7.3245131621148694E-36</v>
      </c>
    </row>
    <row r="3731" spans="1:5" x14ac:dyDescent="0.25">
      <c r="A3731">
        <v>4</v>
      </c>
      <c r="B3731">
        <v>2</v>
      </c>
      <c r="C3731">
        <v>42</v>
      </c>
      <c r="D3731">
        <v>0</v>
      </c>
      <c r="E3731">
        <f t="shared" si="58"/>
        <v>1.6741744370548274E-37</v>
      </c>
    </row>
    <row r="3732" spans="1:5" x14ac:dyDescent="0.25">
      <c r="A3732">
        <v>4</v>
      </c>
      <c r="B3732">
        <v>3</v>
      </c>
      <c r="C3732">
        <v>16</v>
      </c>
      <c r="D3732">
        <v>25</v>
      </c>
      <c r="E3732">
        <f t="shared" si="58"/>
        <v>4.5709822014508241E-38</v>
      </c>
    </row>
    <row r="3733" spans="1:5" x14ac:dyDescent="0.25">
      <c r="A3733">
        <v>4</v>
      </c>
      <c r="B3733">
        <v>3</v>
      </c>
      <c r="C3733">
        <v>17</v>
      </c>
      <c r="D3733">
        <v>24</v>
      </c>
      <c r="E3733">
        <f t="shared" si="58"/>
        <v>3.293795998104272E-36</v>
      </c>
    </row>
    <row r="3734" spans="1:5" x14ac:dyDescent="0.25">
      <c r="A3734">
        <v>4</v>
      </c>
      <c r="B3734">
        <v>3</v>
      </c>
      <c r="C3734">
        <v>18</v>
      </c>
      <c r="D3734">
        <v>23</v>
      </c>
      <c r="E3734">
        <f t="shared" si="58"/>
        <v>1.054014719393366E-34</v>
      </c>
    </row>
    <row r="3735" spans="1:5" x14ac:dyDescent="0.25">
      <c r="A3735">
        <v>4</v>
      </c>
      <c r="B3735">
        <v>3</v>
      </c>
      <c r="C3735">
        <v>19</v>
      </c>
      <c r="D3735">
        <v>22</v>
      </c>
      <c r="E3735">
        <f t="shared" si="58"/>
        <v>1.9989296695863672E-33</v>
      </c>
    </row>
    <row r="3736" spans="1:5" x14ac:dyDescent="0.25">
      <c r="A3736">
        <v>4</v>
      </c>
      <c r="B3736">
        <v>3</v>
      </c>
      <c r="C3736">
        <v>20</v>
      </c>
      <c r="D3736">
        <v>21</v>
      </c>
      <c r="E3736">
        <f t="shared" si="58"/>
        <v>2.5286460320267564E-32</v>
      </c>
    </row>
    <row r="3737" spans="1:5" x14ac:dyDescent="0.25">
      <c r="A3737">
        <v>4</v>
      </c>
      <c r="B3737">
        <v>3</v>
      </c>
      <c r="C3737">
        <v>21</v>
      </c>
      <c r="D3737">
        <v>20</v>
      </c>
      <c r="E3737">
        <f t="shared" si="58"/>
        <v>2.2757814288240777E-31</v>
      </c>
    </row>
    <row r="3738" spans="1:5" x14ac:dyDescent="0.25">
      <c r="A3738">
        <v>4</v>
      </c>
      <c r="B3738">
        <v>3</v>
      </c>
      <c r="C3738">
        <v>22</v>
      </c>
      <c r="D3738">
        <v>19</v>
      </c>
      <c r="E3738">
        <f t="shared" si="58"/>
        <v>1.5171876192160528E-30</v>
      </c>
    </row>
    <row r="3739" spans="1:5" x14ac:dyDescent="0.25">
      <c r="A3739">
        <v>4</v>
      </c>
      <c r="B3739">
        <v>3</v>
      </c>
      <c r="C3739">
        <v>23</v>
      </c>
      <c r="D3739">
        <v>18</v>
      </c>
      <c r="E3739">
        <f t="shared" si="58"/>
        <v>7.6990204031025783E-30</v>
      </c>
    </row>
    <row r="3740" spans="1:5" x14ac:dyDescent="0.25">
      <c r="A3740">
        <v>4</v>
      </c>
      <c r="B3740">
        <v>3</v>
      </c>
      <c r="C3740">
        <v>24</v>
      </c>
      <c r="D3740">
        <v>17</v>
      </c>
      <c r="E3740">
        <f t="shared" si="58"/>
        <v>3.0314892837216394E-29</v>
      </c>
    </row>
    <row r="3741" spans="1:5" x14ac:dyDescent="0.25">
      <c r="A3741">
        <v>4</v>
      </c>
      <c r="B3741">
        <v>3</v>
      </c>
      <c r="C3741">
        <v>25</v>
      </c>
      <c r="D3741">
        <v>16</v>
      </c>
      <c r="E3741">
        <f t="shared" si="58"/>
        <v>9.3908801366843715E-29</v>
      </c>
    </row>
    <row r="3742" spans="1:5" x14ac:dyDescent="0.25">
      <c r="A3742">
        <v>4</v>
      </c>
      <c r="B3742">
        <v>3</v>
      </c>
      <c r="C3742">
        <v>26</v>
      </c>
      <c r="D3742">
        <v>15</v>
      </c>
      <c r="E3742">
        <f t="shared" si="58"/>
        <v>2.3116012644146126E-28</v>
      </c>
    </row>
    <row r="3743" spans="1:5" x14ac:dyDescent="0.25">
      <c r="A3743">
        <v>4</v>
      </c>
      <c r="B3743">
        <v>3</v>
      </c>
      <c r="C3743">
        <v>27</v>
      </c>
      <c r="D3743">
        <v>14</v>
      </c>
      <c r="E3743">
        <f t="shared" si="58"/>
        <v>4.553154005665147E-28</v>
      </c>
    </row>
    <row r="3744" spans="1:5" x14ac:dyDescent="0.25">
      <c r="A3744">
        <v>4</v>
      </c>
      <c r="B3744">
        <v>3</v>
      </c>
      <c r="C3744">
        <v>28</v>
      </c>
      <c r="D3744">
        <v>13</v>
      </c>
      <c r="E3744">
        <f t="shared" si="58"/>
        <v>7.2091605089698193E-28</v>
      </c>
    </row>
    <row r="3745" spans="1:5" x14ac:dyDescent="0.25">
      <c r="A3745">
        <v>4</v>
      </c>
      <c r="B3745">
        <v>3</v>
      </c>
      <c r="C3745">
        <v>29</v>
      </c>
      <c r="D3745">
        <v>12</v>
      </c>
      <c r="E3745">
        <f t="shared" si="58"/>
        <v>9.1978944424787353E-28</v>
      </c>
    </row>
    <row r="3746" spans="1:5" x14ac:dyDescent="0.25">
      <c r="A3746">
        <v>4</v>
      </c>
      <c r="B3746">
        <v>3</v>
      </c>
      <c r="C3746">
        <v>30</v>
      </c>
      <c r="D3746">
        <v>11</v>
      </c>
      <c r="E3746">
        <f t="shared" si="58"/>
        <v>9.4606914265495523E-28</v>
      </c>
    </row>
    <row r="3747" spans="1:5" x14ac:dyDescent="0.25">
      <c r="A3747">
        <v>4</v>
      </c>
      <c r="B3747">
        <v>3</v>
      </c>
      <c r="C3747">
        <v>31</v>
      </c>
      <c r="D3747">
        <v>10</v>
      </c>
      <c r="E3747">
        <f t="shared" si="58"/>
        <v>7.833045589723823E-28</v>
      </c>
    </row>
    <row r="3748" spans="1:5" x14ac:dyDescent="0.25">
      <c r="A3748">
        <v>4</v>
      </c>
      <c r="B3748">
        <v>3</v>
      </c>
      <c r="C3748">
        <v>32</v>
      </c>
      <c r="D3748">
        <v>9</v>
      </c>
      <c r="E3748">
        <f t="shared" si="58"/>
        <v>5.2016318369259767E-28</v>
      </c>
    </row>
    <row r="3749" spans="1:5" x14ac:dyDescent="0.25">
      <c r="A3749">
        <v>4</v>
      </c>
      <c r="B3749">
        <v>3</v>
      </c>
      <c r="C3749">
        <v>33</v>
      </c>
      <c r="D3749">
        <v>8</v>
      </c>
      <c r="E3749">
        <f t="shared" si="58"/>
        <v>2.753805090137281E-28</v>
      </c>
    </row>
    <row r="3750" spans="1:5" x14ac:dyDescent="0.25">
      <c r="A3750">
        <v>4</v>
      </c>
      <c r="B3750">
        <v>3</v>
      </c>
      <c r="C3750">
        <v>34</v>
      </c>
      <c r="D3750">
        <v>7</v>
      </c>
      <c r="E3750">
        <f t="shared" si="58"/>
        <v>1.1519184690770332E-28</v>
      </c>
    </row>
    <row r="3751" spans="1:5" x14ac:dyDescent="0.25">
      <c r="A3751">
        <v>4</v>
      </c>
      <c r="B3751">
        <v>3</v>
      </c>
      <c r="C3751">
        <v>35</v>
      </c>
      <c r="D3751">
        <v>6</v>
      </c>
      <c r="E3751">
        <f t="shared" si="58"/>
        <v>3.7588918464618961E-29</v>
      </c>
    </row>
    <row r="3752" spans="1:5" x14ac:dyDescent="0.25">
      <c r="A3752">
        <v>4</v>
      </c>
      <c r="B3752">
        <v>3</v>
      </c>
      <c r="C3752">
        <v>36</v>
      </c>
      <c r="D3752">
        <v>5</v>
      </c>
      <c r="E3752">
        <f t="shared" si="58"/>
        <v>9.3972296161547416E-30</v>
      </c>
    </row>
    <row r="3753" spans="1:5" x14ac:dyDescent="0.25">
      <c r="A3753">
        <v>4</v>
      </c>
      <c r="B3753">
        <v>3</v>
      </c>
      <c r="C3753">
        <v>37</v>
      </c>
      <c r="D3753">
        <v>4</v>
      </c>
      <c r="E3753">
        <f t="shared" si="58"/>
        <v>1.753665758484476E-30</v>
      </c>
    </row>
    <row r="3754" spans="1:5" x14ac:dyDescent="0.25">
      <c r="A3754">
        <v>4</v>
      </c>
      <c r="B3754">
        <v>3</v>
      </c>
      <c r="C3754">
        <v>38</v>
      </c>
      <c r="D3754">
        <v>3</v>
      </c>
      <c r="E3754">
        <f t="shared" si="58"/>
        <v>2.3494086716538428E-31</v>
      </c>
    </row>
    <row r="3755" spans="1:5" x14ac:dyDescent="0.25">
      <c r="A3755">
        <v>4</v>
      </c>
      <c r="B3755">
        <v>3</v>
      </c>
      <c r="C3755">
        <v>39</v>
      </c>
      <c r="D3755">
        <v>2</v>
      </c>
      <c r="E3755">
        <f t="shared" si="58"/>
        <v>2.1215396031656772E-32</v>
      </c>
    </row>
    <row r="3756" spans="1:5" x14ac:dyDescent="0.25">
      <c r="A3756">
        <v>4</v>
      </c>
      <c r="B3756">
        <v>3</v>
      </c>
      <c r="C3756">
        <v>40</v>
      </c>
      <c r="D3756">
        <v>1</v>
      </c>
      <c r="E3756">
        <f t="shared" si="58"/>
        <v>1.149167285048076E-33</v>
      </c>
    </row>
    <row r="3757" spans="1:5" x14ac:dyDescent="0.25">
      <c r="A3757">
        <v>4</v>
      </c>
      <c r="B3757">
        <v>3</v>
      </c>
      <c r="C3757">
        <v>41</v>
      </c>
      <c r="D3757">
        <v>0</v>
      </c>
      <c r="E3757">
        <f t="shared" si="58"/>
        <v>2.8028470367026232E-35</v>
      </c>
    </row>
    <row r="3758" spans="1:5" x14ac:dyDescent="0.25">
      <c r="A3758">
        <v>4</v>
      </c>
      <c r="B3758">
        <v>4</v>
      </c>
      <c r="C3758">
        <v>15</v>
      </c>
      <c r="D3758">
        <v>25</v>
      </c>
      <c r="E3758">
        <f t="shared" si="58"/>
        <v>1.0458407276919483E-36</v>
      </c>
    </row>
    <row r="3759" spans="1:5" x14ac:dyDescent="0.25">
      <c r="A3759">
        <v>4</v>
      </c>
      <c r="B3759">
        <v>4</v>
      </c>
      <c r="C3759">
        <v>16</v>
      </c>
      <c r="D3759">
        <v>24</v>
      </c>
      <c r="E3759">
        <f t="shared" si="58"/>
        <v>8.1706306850933481E-35</v>
      </c>
    </row>
    <row r="3760" spans="1:5" x14ac:dyDescent="0.25">
      <c r="A3760">
        <v>4</v>
      </c>
      <c r="B3760">
        <v>4</v>
      </c>
      <c r="C3760">
        <v>17</v>
      </c>
      <c r="D3760">
        <v>23</v>
      </c>
      <c r="E3760">
        <f t="shared" si="58"/>
        <v>2.8260769663734652E-33</v>
      </c>
    </row>
    <row r="3761" spans="1:5" x14ac:dyDescent="0.25">
      <c r="A3761">
        <v>4</v>
      </c>
      <c r="B3761">
        <v>4</v>
      </c>
      <c r="C3761">
        <v>18</v>
      </c>
      <c r="D3761">
        <v>22</v>
      </c>
      <c r="E3761">
        <f t="shared" si="58"/>
        <v>5.7777573534746348E-32</v>
      </c>
    </row>
    <row r="3762" spans="1:5" x14ac:dyDescent="0.25">
      <c r="A3762">
        <v>4</v>
      </c>
      <c r="B3762">
        <v>4</v>
      </c>
      <c r="C3762">
        <v>19</v>
      </c>
      <c r="D3762">
        <v>21</v>
      </c>
      <c r="E3762">
        <f t="shared" si="58"/>
        <v>7.8607909256483882E-31</v>
      </c>
    </row>
    <row r="3763" spans="1:5" x14ac:dyDescent="0.25">
      <c r="A3763">
        <v>4</v>
      </c>
      <c r="B3763">
        <v>4</v>
      </c>
      <c r="C3763">
        <v>20</v>
      </c>
      <c r="D3763">
        <v>20</v>
      </c>
      <c r="E3763">
        <f t="shared" si="58"/>
        <v>7.5935240341763472E-30</v>
      </c>
    </row>
    <row r="3764" spans="1:5" x14ac:dyDescent="0.25">
      <c r="A3764">
        <v>4</v>
      </c>
      <c r="B3764">
        <v>4</v>
      </c>
      <c r="C3764">
        <v>21</v>
      </c>
      <c r="D3764">
        <v>19</v>
      </c>
      <c r="E3764">
        <f t="shared" si="58"/>
        <v>5.4239457386973842E-29</v>
      </c>
    </row>
    <row r="3765" spans="1:5" x14ac:dyDescent="0.25">
      <c r="A3765">
        <v>4</v>
      </c>
      <c r="B3765">
        <v>4</v>
      </c>
      <c r="C3765">
        <v>22</v>
      </c>
      <c r="D3765">
        <v>18</v>
      </c>
      <c r="E3765">
        <f t="shared" si="58"/>
        <v>2.9444276867214408E-28</v>
      </c>
    </row>
    <row r="3766" spans="1:5" x14ac:dyDescent="0.25">
      <c r="A3766">
        <v>4</v>
      </c>
      <c r="B3766">
        <v>4</v>
      </c>
      <c r="C3766">
        <v>23</v>
      </c>
      <c r="D3766">
        <v>17</v>
      </c>
      <c r="E3766">
        <f t="shared" si="58"/>
        <v>1.2385799073491272E-27</v>
      </c>
    </row>
    <row r="3767" spans="1:5" x14ac:dyDescent="0.25">
      <c r="A3767">
        <v>4</v>
      </c>
      <c r="B3767">
        <v>4</v>
      </c>
      <c r="C3767">
        <v>24</v>
      </c>
      <c r="D3767">
        <v>16</v>
      </c>
      <c r="E3767">
        <f t="shared" si="58"/>
        <v>4.0941946937373925E-27</v>
      </c>
    </row>
    <row r="3768" spans="1:5" x14ac:dyDescent="0.25">
      <c r="A3768">
        <v>4</v>
      </c>
      <c r="B3768">
        <v>4</v>
      </c>
      <c r="C3768">
        <v>25</v>
      </c>
      <c r="D3768">
        <v>15</v>
      </c>
      <c r="E3768">
        <f t="shared" si="58"/>
        <v>1.0743166876366919E-26</v>
      </c>
    </row>
    <row r="3769" spans="1:5" x14ac:dyDescent="0.25">
      <c r="A3769">
        <v>4</v>
      </c>
      <c r="B3769">
        <v>4</v>
      </c>
      <c r="C3769">
        <v>26</v>
      </c>
      <c r="D3769">
        <v>14</v>
      </c>
      <c r="E3769">
        <f t="shared" si="58"/>
        <v>2.2538112328042476E-26</v>
      </c>
    </row>
    <row r="3770" spans="1:5" x14ac:dyDescent="0.25">
      <c r="A3770">
        <v>4</v>
      </c>
      <c r="B3770">
        <v>4</v>
      </c>
      <c r="C3770">
        <v>27</v>
      </c>
      <c r="D3770">
        <v>13</v>
      </c>
      <c r="E3770">
        <f t="shared" si="58"/>
        <v>3.7980892997256779E-26</v>
      </c>
    </row>
    <row r="3771" spans="1:5" x14ac:dyDescent="0.25">
      <c r="A3771">
        <v>4</v>
      </c>
      <c r="B3771">
        <v>4</v>
      </c>
      <c r="C3771">
        <v>28</v>
      </c>
      <c r="D3771">
        <v>12</v>
      </c>
      <c r="E3771">
        <f t="shared" si="58"/>
        <v>5.1545497639134204E-26</v>
      </c>
    </row>
    <row r="3772" spans="1:5" x14ac:dyDescent="0.25">
      <c r="A3772">
        <v>4</v>
      </c>
      <c r="B3772">
        <v>4</v>
      </c>
      <c r="C3772">
        <v>29</v>
      </c>
      <c r="D3772">
        <v>11</v>
      </c>
      <c r="E3772">
        <f t="shared" si="58"/>
        <v>5.6369953083191098E-26</v>
      </c>
    </row>
    <row r="3773" spans="1:5" x14ac:dyDescent="0.25">
      <c r="A3773">
        <v>4</v>
      </c>
      <c r="B3773">
        <v>4</v>
      </c>
      <c r="C3773">
        <v>30</v>
      </c>
      <c r="D3773">
        <v>10</v>
      </c>
      <c r="E3773">
        <f t="shared" si="58"/>
        <v>4.9605558713208153E-26</v>
      </c>
    </row>
    <row r="3774" spans="1:5" x14ac:dyDescent="0.25">
      <c r="A3774">
        <v>4</v>
      </c>
      <c r="B3774">
        <v>4</v>
      </c>
      <c r="C3774">
        <v>31</v>
      </c>
      <c r="D3774">
        <v>9</v>
      </c>
      <c r="E3774">
        <f t="shared" si="58"/>
        <v>3.5003922479078342E-26</v>
      </c>
    </row>
    <row r="3775" spans="1:5" x14ac:dyDescent="0.25">
      <c r="A3775">
        <v>4</v>
      </c>
      <c r="B3775">
        <v>4</v>
      </c>
      <c r="C3775">
        <v>32</v>
      </c>
      <c r="D3775">
        <v>8</v>
      </c>
      <c r="E3775">
        <f t="shared" si="58"/>
        <v>1.9689706394481566E-26</v>
      </c>
    </row>
    <row r="3776" spans="1:5" x14ac:dyDescent="0.25">
      <c r="A3776">
        <v>4</v>
      </c>
      <c r="B3776">
        <v>4</v>
      </c>
      <c r="C3776">
        <v>33</v>
      </c>
      <c r="D3776">
        <v>7</v>
      </c>
      <c r="E3776">
        <f t="shared" si="58"/>
        <v>8.7509806197695855E-27</v>
      </c>
    </row>
    <row r="3777" spans="1:5" x14ac:dyDescent="0.25">
      <c r="A3777">
        <v>4</v>
      </c>
      <c r="B3777">
        <v>4</v>
      </c>
      <c r="C3777">
        <v>34</v>
      </c>
      <c r="D3777">
        <v>6</v>
      </c>
      <c r="E3777">
        <f t="shared" si="58"/>
        <v>3.0343957567002892E-27</v>
      </c>
    </row>
    <row r="3778" spans="1:5" x14ac:dyDescent="0.25">
      <c r="A3778">
        <v>4</v>
      </c>
      <c r="B3778">
        <v>4</v>
      </c>
      <c r="C3778">
        <v>35</v>
      </c>
      <c r="D3778">
        <v>5</v>
      </c>
      <c r="E3778">
        <f t="shared" si="58"/>
        <v>8.0628230106607678E-28</v>
      </c>
    </row>
    <row r="3779" spans="1:5" x14ac:dyDescent="0.25">
      <c r="A3779">
        <v>4</v>
      </c>
      <c r="B3779">
        <v>4</v>
      </c>
      <c r="C3779">
        <v>36</v>
      </c>
      <c r="D3779">
        <v>4</v>
      </c>
      <c r="E3779">
        <f t="shared" si="58"/>
        <v>1.5997664703692005E-28</v>
      </c>
    </row>
    <row r="3780" spans="1:5" x14ac:dyDescent="0.25">
      <c r="A3780">
        <v>4</v>
      </c>
      <c r="B3780">
        <v>4</v>
      </c>
      <c r="C3780">
        <v>37</v>
      </c>
      <c r="D3780">
        <v>3</v>
      </c>
      <c r="E3780">
        <f t="shared" si="58"/>
        <v>2.2797654860298185E-29</v>
      </c>
    </row>
    <row r="3781" spans="1:5" x14ac:dyDescent="0.25">
      <c r="A3781">
        <v>4</v>
      </c>
      <c r="B3781">
        <v>4</v>
      </c>
      <c r="C3781">
        <v>38</v>
      </c>
      <c r="D3781">
        <v>2</v>
      </c>
      <c r="E3781">
        <f t="shared" si="58"/>
        <v>2.1910789568249967E-30</v>
      </c>
    </row>
    <row r="3782" spans="1:5" x14ac:dyDescent="0.25">
      <c r="A3782">
        <v>4</v>
      </c>
      <c r="B3782">
        <v>4</v>
      </c>
      <c r="C3782">
        <v>39</v>
      </c>
      <c r="D3782">
        <v>1</v>
      </c>
      <c r="E3782">
        <f t="shared" si="58"/>
        <v>1.2640840135528825E-31</v>
      </c>
    </row>
    <row r="3783" spans="1:5" x14ac:dyDescent="0.25">
      <c r="A3783">
        <v>4</v>
      </c>
      <c r="B3783">
        <v>4</v>
      </c>
      <c r="C3783">
        <v>40</v>
      </c>
      <c r="D3783">
        <v>0</v>
      </c>
      <c r="E3783">
        <f t="shared" si="58"/>
        <v>3.286618435237497E-33</v>
      </c>
    </row>
    <row r="3784" spans="1:5" x14ac:dyDescent="0.25">
      <c r="A3784">
        <v>4</v>
      </c>
      <c r="B3784">
        <v>5</v>
      </c>
      <c r="C3784">
        <v>14</v>
      </c>
      <c r="D3784">
        <v>25</v>
      </c>
      <c r="E3784">
        <f t="shared" si="58"/>
        <v>1.7533212199541496E-35</v>
      </c>
    </row>
    <row r="3785" spans="1:5" x14ac:dyDescent="0.25">
      <c r="A3785">
        <v>4</v>
      </c>
      <c r="B3785">
        <v>5</v>
      </c>
      <c r="C3785">
        <v>15</v>
      </c>
      <c r="D3785">
        <v>24</v>
      </c>
      <c r="E3785">
        <f t="shared" si="58"/>
        <v>1.4903230369610265E-33</v>
      </c>
    </row>
    <row r="3786" spans="1:5" x14ac:dyDescent="0.25">
      <c r="A3786">
        <v>4</v>
      </c>
      <c r="B3786">
        <v>5</v>
      </c>
      <c r="C3786">
        <v>16</v>
      </c>
      <c r="D3786">
        <v>23</v>
      </c>
      <c r="E3786">
        <f t="shared" si="58"/>
        <v>5.5887113886038497E-32</v>
      </c>
    </row>
    <row r="3787" spans="1:5" x14ac:dyDescent="0.25">
      <c r="A3787">
        <v>4</v>
      </c>
      <c r="B3787">
        <v>5</v>
      </c>
      <c r="C3787">
        <v>17</v>
      </c>
      <c r="D3787">
        <v>22</v>
      </c>
      <c r="E3787">
        <f t="shared" si="58"/>
        <v>1.2349956343052043E-30</v>
      </c>
    </row>
    <row r="3788" spans="1:5" x14ac:dyDescent="0.25">
      <c r="A3788">
        <v>4</v>
      </c>
      <c r="B3788">
        <v>5</v>
      </c>
      <c r="C3788">
        <v>18</v>
      </c>
      <c r="D3788">
        <v>21</v>
      </c>
      <c r="E3788">
        <f t="shared" si="58"/>
        <v>1.8113269303142983E-29</v>
      </c>
    </row>
    <row r="3789" spans="1:5" x14ac:dyDescent="0.25">
      <c r="A3789">
        <v>4</v>
      </c>
      <c r="B3789">
        <v>5</v>
      </c>
      <c r="C3789">
        <v>19</v>
      </c>
      <c r="D3789">
        <v>20</v>
      </c>
      <c r="E3789">
        <f t="shared" si="58"/>
        <v>1.8818733476002237E-28</v>
      </c>
    </row>
    <row r="3790" spans="1:5" x14ac:dyDescent="0.25">
      <c r="A3790">
        <v>4</v>
      </c>
      <c r="B3790">
        <v>5</v>
      </c>
      <c r="C3790">
        <v>20</v>
      </c>
      <c r="D3790">
        <v>19</v>
      </c>
      <c r="E3790">
        <f t="shared" ref="E3790:E3853" si="59">COMBIN(A$4,A3790)*COMBIN(B$4,B3790)*COMBIN(C$4,C3790)*COMBIN(D$4,D3790)/COMBIN($G$4,$F$4)</f>
        <v>1.4427695664935061E-27</v>
      </c>
    </row>
    <row r="3791" spans="1:5" x14ac:dyDescent="0.25">
      <c r="A3791">
        <v>4</v>
      </c>
      <c r="B3791">
        <v>5</v>
      </c>
      <c r="C3791">
        <v>21</v>
      </c>
      <c r="D3791">
        <v>18</v>
      </c>
      <c r="E3791">
        <f t="shared" si="59"/>
        <v>8.3916189071561E-27</v>
      </c>
    </row>
    <row r="3792" spans="1:5" x14ac:dyDescent="0.25">
      <c r="A3792">
        <v>4</v>
      </c>
      <c r="B3792">
        <v>5</v>
      </c>
      <c r="C3792">
        <v>22</v>
      </c>
      <c r="D3792">
        <v>17</v>
      </c>
      <c r="E3792">
        <f t="shared" si="59"/>
        <v>3.7762285082202464E-26</v>
      </c>
    </row>
    <row r="3793" spans="1:5" x14ac:dyDescent="0.25">
      <c r="A3793">
        <v>4</v>
      </c>
      <c r="B3793">
        <v>5</v>
      </c>
      <c r="C3793">
        <v>23</v>
      </c>
      <c r="D3793">
        <v>16</v>
      </c>
      <c r="E3793">
        <f t="shared" si="59"/>
        <v>1.3335377002458935E-25</v>
      </c>
    </row>
    <row r="3794" spans="1:5" x14ac:dyDescent="0.25">
      <c r="A3794">
        <v>4</v>
      </c>
      <c r="B3794">
        <v>5</v>
      </c>
      <c r="C3794">
        <v>24</v>
      </c>
      <c r="D3794">
        <v>15</v>
      </c>
      <c r="E3794">
        <f t="shared" si="59"/>
        <v>3.7339055606885012E-25</v>
      </c>
    </row>
    <row r="3795" spans="1:5" x14ac:dyDescent="0.25">
      <c r="A3795">
        <v>4</v>
      </c>
      <c r="B3795">
        <v>5</v>
      </c>
      <c r="C3795">
        <v>25</v>
      </c>
      <c r="D3795">
        <v>14</v>
      </c>
      <c r="E3795">
        <f t="shared" si="59"/>
        <v>8.3503706175397435E-25</v>
      </c>
    </row>
    <row r="3796" spans="1:5" x14ac:dyDescent="0.25">
      <c r="A3796">
        <v>4</v>
      </c>
      <c r="B3796">
        <v>5</v>
      </c>
      <c r="C3796">
        <v>26</v>
      </c>
      <c r="D3796">
        <v>13</v>
      </c>
      <c r="E3796">
        <f t="shared" si="59"/>
        <v>1.498784469814825E-24</v>
      </c>
    </row>
    <row r="3797" spans="1:5" x14ac:dyDescent="0.25">
      <c r="A3797">
        <v>4</v>
      </c>
      <c r="B3797">
        <v>5</v>
      </c>
      <c r="C3797">
        <v>27</v>
      </c>
      <c r="D3797">
        <v>12</v>
      </c>
      <c r="E3797">
        <f t="shared" si="59"/>
        <v>2.1649109008436362E-24</v>
      </c>
    </row>
    <row r="3798" spans="1:5" x14ac:dyDescent="0.25">
      <c r="A3798">
        <v>4</v>
      </c>
      <c r="B3798">
        <v>5</v>
      </c>
      <c r="C3798">
        <v>28</v>
      </c>
      <c r="D3798">
        <v>11</v>
      </c>
      <c r="E3798">
        <f t="shared" si="59"/>
        <v>2.518365741797699E-24</v>
      </c>
    </row>
    <row r="3799" spans="1:5" x14ac:dyDescent="0.25">
      <c r="A3799">
        <v>4</v>
      </c>
      <c r="B3799">
        <v>5</v>
      </c>
      <c r="C3799">
        <v>29</v>
      </c>
      <c r="D3799">
        <v>10</v>
      </c>
      <c r="E3799">
        <f t="shared" si="59"/>
        <v>2.356264038877388E-24</v>
      </c>
    </row>
    <row r="3800" spans="1:5" x14ac:dyDescent="0.25">
      <c r="A3800">
        <v>4</v>
      </c>
      <c r="B3800">
        <v>5</v>
      </c>
      <c r="C3800">
        <v>30</v>
      </c>
      <c r="D3800">
        <v>9</v>
      </c>
      <c r="E3800">
        <f t="shared" si="59"/>
        <v>1.7671980291580404E-24</v>
      </c>
    </row>
    <row r="3801" spans="1:5" x14ac:dyDescent="0.25">
      <c r="A3801">
        <v>4</v>
      </c>
      <c r="B3801">
        <v>5</v>
      </c>
      <c r="C3801">
        <v>31</v>
      </c>
      <c r="D3801">
        <v>8</v>
      </c>
      <c r="E3801">
        <f t="shared" si="59"/>
        <v>1.056294837162776E-24</v>
      </c>
    </row>
    <row r="3802" spans="1:5" x14ac:dyDescent="0.25">
      <c r="A3802">
        <v>4</v>
      </c>
      <c r="B3802">
        <v>5</v>
      </c>
      <c r="C3802">
        <v>32</v>
      </c>
      <c r="D3802">
        <v>7</v>
      </c>
      <c r="E3802">
        <f t="shared" si="59"/>
        <v>4.9880589532686638E-25</v>
      </c>
    </row>
    <row r="3803" spans="1:5" x14ac:dyDescent="0.25">
      <c r="A3803">
        <v>4</v>
      </c>
      <c r="B3803">
        <v>5</v>
      </c>
      <c r="C3803">
        <v>33</v>
      </c>
      <c r="D3803">
        <v>6</v>
      </c>
      <c r="E3803">
        <f t="shared" si="59"/>
        <v>1.8377059301516121E-25</v>
      </c>
    </row>
    <row r="3804" spans="1:5" x14ac:dyDescent="0.25">
      <c r="A3804">
        <v>4</v>
      </c>
      <c r="B3804">
        <v>5</v>
      </c>
      <c r="C3804">
        <v>34</v>
      </c>
      <c r="D3804">
        <v>5</v>
      </c>
      <c r="E3804">
        <f t="shared" si="59"/>
        <v>5.188816743957495E-26</v>
      </c>
    </row>
    <row r="3805" spans="1:5" x14ac:dyDescent="0.25">
      <c r="A3805">
        <v>4</v>
      </c>
      <c r="B3805">
        <v>5</v>
      </c>
      <c r="C3805">
        <v>35</v>
      </c>
      <c r="D3805">
        <v>4</v>
      </c>
      <c r="E3805">
        <f t="shared" si="59"/>
        <v>1.094240265732533E-26</v>
      </c>
    </row>
    <row r="3806" spans="1:5" x14ac:dyDescent="0.25">
      <c r="A3806">
        <v>4</v>
      </c>
      <c r="B3806">
        <v>5</v>
      </c>
      <c r="C3806">
        <v>36</v>
      </c>
      <c r="D3806">
        <v>3</v>
      </c>
      <c r="E3806">
        <f t="shared" si="59"/>
        <v>1.6579397965644442E-27</v>
      </c>
    </row>
    <row r="3807" spans="1:5" x14ac:dyDescent="0.25">
      <c r="A3807">
        <v>4</v>
      </c>
      <c r="B3807">
        <v>5</v>
      </c>
      <c r="C3807">
        <v>37</v>
      </c>
      <c r="D3807">
        <v>2</v>
      </c>
      <c r="E3807">
        <f t="shared" si="59"/>
        <v>1.6949560787439085E-28</v>
      </c>
    </row>
    <row r="3808" spans="1:5" x14ac:dyDescent="0.25">
      <c r="A3808">
        <v>4</v>
      </c>
      <c r="B3808">
        <v>5</v>
      </c>
      <c r="C3808">
        <v>38</v>
      </c>
      <c r="D3808">
        <v>1</v>
      </c>
      <c r="E3808">
        <f t="shared" si="59"/>
        <v>1.0407625044918735E-29</v>
      </c>
    </row>
    <row r="3809" spans="1:5" x14ac:dyDescent="0.25">
      <c r="A3809">
        <v>4</v>
      </c>
      <c r="B3809">
        <v>5</v>
      </c>
      <c r="C3809">
        <v>39</v>
      </c>
      <c r="D3809">
        <v>0</v>
      </c>
      <c r="E3809">
        <f t="shared" si="59"/>
        <v>2.8821115509005723E-31</v>
      </c>
    </row>
    <row r="3810" spans="1:5" x14ac:dyDescent="0.25">
      <c r="A3810">
        <v>4</v>
      </c>
      <c r="B3810">
        <v>6</v>
      </c>
      <c r="C3810">
        <v>13</v>
      </c>
      <c r="D3810">
        <v>25</v>
      </c>
      <c r="E3810">
        <f t="shared" si="59"/>
        <v>2.2343606315825951E-34</v>
      </c>
    </row>
    <row r="3811" spans="1:5" x14ac:dyDescent="0.25">
      <c r="A3811">
        <v>4</v>
      </c>
      <c r="B3811">
        <v>6</v>
      </c>
      <c r="C3811">
        <v>14</v>
      </c>
      <c r="D3811">
        <v>24</v>
      </c>
      <c r="E3811">
        <f t="shared" si="59"/>
        <v>2.0747634436124099E-32</v>
      </c>
    </row>
    <row r="3812" spans="1:5" x14ac:dyDescent="0.25">
      <c r="A3812">
        <v>4</v>
      </c>
      <c r="B3812">
        <v>6</v>
      </c>
      <c r="C3812">
        <v>15</v>
      </c>
      <c r="D3812">
        <v>23</v>
      </c>
      <c r="E3812">
        <f t="shared" si="59"/>
        <v>8.465034849938631E-31</v>
      </c>
    </row>
    <row r="3813" spans="1:5" x14ac:dyDescent="0.25">
      <c r="A3813">
        <v>4</v>
      </c>
      <c r="B3813">
        <v>6</v>
      </c>
      <c r="C3813">
        <v>16</v>
      </c>
      <c r="D3813">
        <v>22</v>
      </c>
      <c r="E3813">
        <f t="shared" si="59"/>
        <v>2.0280812661311307E-29</v>
      </c>
    </row>
    <row r="3814" spans="1:5" x14ac:dyDescent="0.25">
      <c r="A3814">
        <v>4</v>
      </c>
      <c r="B3814">
        <v>6</v>
      </c>
      <c r="C3814">
        <v>17</v>
      </c>
      <c r="D3814">
        <v>21</v>
      </c>
      <c r="E3814">
        <f t="shared" si="59"/>
        <v>3.2151053013078828E-28</v>
      </c>
    </row>
    <row r="3815" spans="1:5" x14ac:dyDescent="0.25">
      <c r="A3815">
        <v>4</v>
      </c>
      <c r="B3815">
        <v>6</v>
      </c>
      <c r="C3815">
        <v>18</v>
      </c>
      <c r="D3815">
        <v>20</v>
      </c>
      <c r="E3815">
        <f t="shared" si="59"/>
        <v>3.6009179374648234E-27</v>
      </c>
    </row>
    <row r="3816" spans="1:5" x14ac:dyDescent="0.25">
      <c r="A3816">
        <v>4</v>
      </c>
      <c r="B3816">
        <v>6</v>
      </c>
      <c r="C3816">
        <v>19</v>
      </c>
      <c r="D3816">
        <v>19</v>
      </c>
      <c r="E3816">
        <f t="shared" si="59"/>
        <v>2.9691779484359086E-26</v>
      </c>
    </row>
    <row r="3817" spans="1:5" x14ac:dyDescent="0.25">
      <c r="A3817">
        <v>4</v>
      </c>
      <c r="B3817">
        <v>6</v>
      </c>
      <c r="C3817">
        <v>20</v>
      </c>
      <c r="D3817">
        <v>18</v>
      </c>
      <c r="E3817">
        <f t="shared" si="59"/>
        <v>1.8536153763807054E-25</v>
      </c>
    </row>
    <row r="3818" spans="1:5" x14ac:dyDescent="0.25">
      <c r="A3818">
        <v>4</v>
      </c>
      <c r="B3818">
        <v>6</v>
      </c>
      <c r="C3818">
        <v>21</v>
      </c>
      <c r="D3818">
        <v>17</v>
      </c>
      <c r="E3818">
        <f t="shared" si="59"/>
        <v>8.9370741361212453E-25</v>
      </c>
    </row>
    <row r="3819" spans="1:5" x14ac:dyDescent="0.25">
      <c r="A3819">
        <v>4</v>
      </c>
      <c r="B3819">
        <v>6</v>
      </c>
      <c r="C3819">
        <v>22</v>
      </c>
      <c r="D3819">
        <v>16</v>
      </c>
      <c r="E3819">
        <f t="shared" si="59"/>
        <v>3.3762280069791393E-24</v>
      </c>
    </row>
    <row r="3820" spans="1:5" x14ac:dyDescent="0.25">
      <c r="A3820">
        <v>4</v>
      </c>
      <c r="B3820">
        <v>6</v>
      </c>
      <c r="C3820">
        <v>23</v>
      </c>
      <c r="D3820">
        <v>15</v>
      </c>
      <c r="E3820">
        <f t="shared" si="59"/>
        <v>1.0099325516528898E-23</v>
      </c>
    </row>
    <row r="3821" spans="1:5" x14ac:dyDescent="0.25">
      <c r="A3821">
        <v>4</v>
      </c>
      <c r="B3821">
        <v>6</v>
      </c>
      <c r="C3821">
        <v>24</v>
      </c>
      <c r="D3821">
        <v>14</v>
      </c>
      <c r="E3821">
        <f t="shared" si="59"/>
        <v>2.4100663164443967E-23</v>
      </c>
    </row>
    <row r="3822" spans="1:5" x14ac:dyDescent="0.25">
      <c r="A3822">
        <v>4</v>
      </c>
      <c r="B3822">
        <v>6</v>
      </c>
      <c r="C3822">
        <v>25</v>
      </c>
      <c r="D3822">
        <v>13</v>
      </c>
      <c r="E3822">
        <f t="shared" si="59"/>
        <v>4.6112602187969479E-23</v>
      </c>
    </row>
    <row r="3823" spans="1:5" x14ac:dyDescent="0.25">
      <c r="A3823">
        <v>4</v>
      </c>
      <c r="B3823">
        <v>6</v>
      </c>
      <c r="C3823">
        <v>26</v>
      </c>
      <c r="D3823">
        <v>12</v>
      </c>
      <c r="E3823">
        <f t="shared" si="59"/>
        <v>7.09424649045684E-23</v>
      </c>
    </row>
    <row r="3824" spans="1:5" x14ac:dyDescent="0.25">
      <c r="A3824">
        <v>4</v>
      </c>
      <c r="B3824">
        <v>6</v>
      </c>
      <c r="C3824">
        <v>27</v>
      </c>
      <c r="D3824">
        <v>11</v>
      </c>
      <c r="E3824">
        <f t="shared" si="59"/>
        <v>8.7833527977084648E-23</v>
      </c>
    </row>
    <row r="3825" spans="1:5" x14ac:dyDescent="0.25">
      <c r="A3825">
        <v>4</v>
      </c>
      <c r="B3825">
        <v>6</v>
      </c>
      <c r="C3825">
        <v>28</v>
      </c>
      <c r="D3825">
        <v>10</v>
      </c>
      <c r="E3825">
        <f t="shared" si="59"/>
        <v>8.7415273081955674E-23</v>
      </c>
    </row>
    <row r="3826" spans="1:5" x14ac:dyDescent="0.25">
      <c r="A3826">
        <v>4</v>
      </c>
      <c r="B3826">
        <v>6</v>
      </c>
      <c r="C3826">
        <v>29</v>
      </c>
      <c r="D3826">
        <v>9</v>
      </c>
      <c r="E3826">
        <f t="shared" si="59"/>
        <v>6.9706144483456055E-23</v>
      </c>
    </row>
    <row r="3827" spans="1:5" x14ac:dyDescent="0.25">
      <c r="A3827">
        <v>4</v>
      </c>
      <c r="B3827">
        <v>6</v>
      </c>
      <c r="C3827">
        <v>30</v>
      </c>
      <c r="D3827">
        <v>8</v>
      </c>
      <c r="E3827">
        <f t="shared" si="59"/>
        <v>4.42839035541956E-23</v>
      </c>
    </row>
    <row r="3828" spans="1:5" x14ac:dyDescent="0.25">
      <c r="A3828">
        <v>4</v>
      </c>
      <c r="B3828">
        <v>6</v>
      </c>
      <c r="C3828">
        <v>31</v>
      </c>
      <c r="D3828">
        <v>7</v>
      </c>
      <c r="E3828">
        <f t="shared" si="59"/>
        <v>2.2221313611424327E-23</v>
      </c>
    </row>
    <row r="3829" spans="1:5" x14ac:dyDescent="0.25">
      <c r="A3829">
        <v>4</v>
      </c>
      <c r="B3829">
        <v>6</v>
      </c>
      <c r="C3829">
        <v>32</v>
      </c>
      <c r="D3829">
        <v>6</v>
      </c>
      <c r="E3829">
        <f t="shared" si="59"/>
        <v>8.6984747360509655E-24</v>
      </c>
    </row>
    <row r="3830" spans="1:5" x14ac:dyDescent="0.25">
      <c r="A3830">
        <v>4</v>
      </c>
      <c r="B3830">
        <v>6</v>
      </c>
      <c r="C3830">
        <v>33</v>
      </c>
      <c r="D3830">
        <v>5</v>
      </c>
      <c r="E3830">
        <f t="shared" si="59"/>
        <v>2.6095424208152896E-24</v>
      </c>
    </row>
    <row r="3831" spans="1:5" x14ac:dyDescent="0.25">
      <c r="A3831">
        <v>4</v>
      </c>
      <c r="B3831">
        <v>6</v>
      </c>
      <c r="C3831">
        <v>34</v>
      </c>
      <c r="D3831">
        <v>4</v>
      </c>
      <c r="E3831">
        <f t="shared" si="59"/>
        <v>5.8477141082695592E-25</v>
      </c>
    </row>
    <row r="3832" spans="1:5" x14ac:dyDescent="0.25">
      <c r="A3832">
        <v>4</v>
      </c>
      <c r="B3832">
        <v>6</v>
      </c>
      <c r="C3832">
        <v>35</v>
      </c>
      <c r="D3832">
        <v>3</v>
      </c>
      <c r="E3832">
        <f t="shared" si="59"/>
        <v>9.4170980444860401E-26</v>
      </c>
    </row>
    <row r="3833" spans="1:5" x14ac:dyDescent="0.25">
      <c r="A3833">
        <v>4</v>
      </c>
      <c r="B3833">
        <v>6</v>
      </c>
      <c r="C3833">
        <v>36</v>
      </c>
      <c r="D3833">
        <v>2</v>
      </c>
      <c r="E3833">
        <f t="shared" si="59"/>
        <v>1.0235976135310916E-26</v>
      </c>
    </row>
    <row r="3834" spans="1:5" x14ac:dyDescent="0.25">
      <c r="A3834">
        <v>4</v>
      </c>
      <c r="B3834">
        <v>6</v>
      </c>
      <c r="C3834">
        <v>37</v>
      </c>
      <c r="D3834">
        <v>1</v>
      </c>
      <c r="E3834">
        <f t="shared" si="59"/>
        <v>6.6856600883787504E-28</v>
      </c>
    </row>
    <row r="3835" spans="1:5" x14ac:dyDescent="0.25">
      <c r="A3835">
        <v>4</v>
      </c>
      <c r="B3835">
        <v>6</v>
      </c>
      <c r="C3835">
        <v>38</v>
      </c>
      <c r="D3835">
        <v>0</v>
      </c>
      <c r="E3835">
        <f t="shared" si="59"/>
        <v>1.9705103418379469E-29</v>
      </c>
    </row>
    <row r="3836" spans="1:5" x14ac:dyDescent="0.25">
      <c r="A3836">
        <v>4</v>
      </c>
      <c r="B3836">
        <v>7</v>
      </c>
      <c r="C3836">
        <v>12</v>
      </c>
      <c r="D3836">
        <v>25</v>
      </c>
      <c r="E3836">
        <f t="shared" si="59"/>
        <v>2.2156907718577803E-33</v>
      </c>
    </row>
    <row r="3837" spans="1:5" x14ac:dyDescent="0.25">
      <c r="A3837">
        <v>4</v>
      </c>
      <c r="B3837">
        <v>7</v>
      </c>
      <c r="C3837">
        <v>13</v>
      </c>
      <c r="D3837">
        <v>24</v>
      </c>
      <c r="E3837">
        <f t="shared" si="59"/>
        <v>2.258300209778123E-31</v>
      </c>
    </row>
    <row r="3838" spans="1:5" x14ac:dyDescent="0.25">
      <c r="A3838">
        <v>4</v>
      </c>
      <c r="B3838">
        <v>7</v>
      </c>
      <c r="C3838">
        <v>14</v>
      </c>
      <c r="D3838">
        <v>23</v>
      </c>
      <c r="E3838">
        <f t="shared" si="59"/>
        <v>1.0065566649296781E-29</v>
      </c>
    </row>
    <row r="3839" spans="1:5" x14ac:dyDescent="0.25">
      <c r="A3839">
        <v>4</v>
      </c>
      <c r="B3839">
        <v>7</v>
      </c>
      <c r="C3839">
        <v>15</v>
      </c>
      <c r="D3839">
        <v>22</v>
      </c>
      <c r="E3839">
        <f t="shared" si="59"/>
        <v>2.6237577065833593E-28</v>
      </c>
    </row>
    <row r="3840" spans="1:5" x14ac:dyDescent="0.25">
      <c r="A3840">
        <v>4</v>
      </c>
      <c r="B3840">
        <v>7</v>
      </c>
      <c r="C3840">
        <v>16</v>
      </c>
      <c r="D3840">
        <v>21</v>
      </c>
      <c r="E3840">
        <f t="shared" si="59"/>
        <v>4.5095835581901501E-27</v>
      </c>
    </row>
    <row r="3841" spans="1:5" x14ac:dyDescent="0.25">
      <c r="A3841">
        <v>4</v>
      </c>
      <c r="B3841">
        <v>7</v>
      </c>
      <c r="C3841">
        <v>17</v>
      </c>
      <c r="D3841">
        <v>20</v>
      </c>
      <c r="E3841">
        <f t="shared" si="59"/>
        <v>5.4592488016207839E-26</v>
      </c>
    </row>
    <row r="3842" spans="1:5" x14ac:dyDescent="0.25">
      <c r="A3842">
        <v>4</v>
      </c>
      <c r="B3842">
        <v>7</v>
      </c>
      <c r="C3842">
        <v>18</v>
      </c>
      <c r="D3842">
        <v>19</v>
      </c>
      <c r="E3842">
        <f t="shared" si="59"/>
        <v>4.8526656014406921E-25</v>
      </c>
    </row>
    <row r="3843" spans="1:5" x14ac:dyDescent="0.25">
      <c r="A3843">
        <v>4</v>
      </c>
      <c r="B3843">
        <v>7</v>
      </c>
      <c r="C3843">
        <v>19</v>
      </c>
      <c r="D3843">
        <v>18</v>
      </c>
      <c r="E3843">
        <f t="shared" si="59"/>
        <v>3.2582183323958956E-24</v>
      </c>
    </row>
    <row r="3844" spans="1:5" x14ac:dyDescent="0.25">
      <c r="A3844">
        <v>4</v>
      </c>
      <c r="B3844">
        <v>7</v>
      </c>
      <c r="C3844">
        <v>20</v>
      </c>
      <c r="D3844">
        <v>17</v>
      </c>
      <c r="E3844">
        <f t="shared" si="59"/>
        <v>1.6861279870148769E-23</v>
      </c>
    </row>
    <row r="3845" spans="1:5" x14ac:dyDescent="0.25">
      <c r="A3845">
        <v>4</v>
      </c>
      <c r="B3845">
        <v>7</v>
      </c>
      <c r="C3845">
        <v>21</v>
      </c>
      <c r="D3845">
        <v>16</v>
      </c>
      <c r="E3845">
        <f t="shared" si="59"/>
        <v>6.824803756964971E-23</v>
      </c>
    </row>
    <row r="3846" spans="1:5" x14ac:dyDescent="0.25">
      <c r="A3846">
        <v>4</v>
      </c>
      <c r="B3846">
        <v>7</v>
      </c>
      <c r="C3846">
        <v>22</v>
      </c>
      <c r="D3846">
        <v>15</v>
      </c>
      <c r="E3846">
        <f t="shared" si="59"/>
        <v>2.1839372022287916E-22</v>
      </c>
    </row>
    <row r="3847" spans="1:5" x14ac:dyDescent="0.25">
      <c r="A3847">
        <v>4</v>
      </c>
      <c r="B3847">
        <v>7</v>
      </c>
      <c r="C3847">
        <v>23</v>
      </c>
      <c r="D3847">
        <v>14</v>
      </c>
      <c r="E3847">
        <f t="shared" si="59"/>
        <v>5.5677450412552192E-22</v>
      </c>
    </row>
    <row r="3848" spans="1:5" x14ac:dyDescent="0.25">
      <c r="A3848">
        <v>4</v>
      </c>
      <c r="B3848">
        <v>7</v>
      </c>
      <c r="C3848">
        <v>24</v>
      </c>
      <c r="D3848">
        <v>13</v>
      </c>
      <c r="E3848">
        <f t="shared" si="59"/>
        <v>1.1367479459229406E-21</v>
      </c>
    </row>
    <row r="3849" spans="1:5" x14ac:dyDescent="0.25">
      <c r="A3849">
        <v>4</v>
      </c>
      <c r="B3849">
        <v>7</v>
      </c>
      <c r="C3849">
        <v>25</v>
      </c>
      <c r="D3849">
        <v>12</v>
      </c>
      <c r="E3849">
        <f t="shared" si="59"/>
        <v>1.8642666313136235E-21</v>
      </c>
    </row>
    <row r="3850" spans="1:5" x14ac:dyDescent="0.25">
      <c r="A3850">
        <v>4</v>
      </c>
      <c r="B3850">
        <v>7</v>
      </c>
      <c r="C3850">
        <v>26</v>
      </c>
      <c r="D3850">
        <v>11</v>
      </c>
      <c r="E3850">
        <f t="shared" si="59"/>
        <v>2.4583735797542265E-21</v>
      </c>
    </row>
    <row r="3851" spans="1:5" x14ac:dyDescent="0.25">
      <c r="A3851">
        <v>4</v>
      </c>
      <c r="B3851">
        <v>7</v>
      </c>
      <c r="C3851">
        <v>27</v>
      </c>
      <c r="D3851">
        <v>10</v>
      </c>
      <c r="E3851">
        <f t="shared" si="59"/>
        <v>2.6040549770729952E-21</v>
      </c>
    </row>
    <row r="3852" spans="1:5" x14ac:dyDescent="0.25">
      <c r="A3852">
        <v>4</v>
      </c>
      <c r="B3852">
        <v>7</v>
      </c>
      <c r="C3852">
        <v>28</v>
      </c>
      <c r="D3852">
        <v>9</v>
      </c>
      <c r="E3852">
        <f t="shared" si="59"/>
        <v>2.2087966323387023E-21</v>
      </c>
    </row>
    <row r="3853" spans="1:5" x14ac:dyDescent="0.25">
      <c r="A3853">
        <v>4</v>
      </c>
      <c r="B3853">
        <v>7</v>
      </c>
      <c r="C3853">
        <v>29</v>
      </c>
      <c r="D3853">
        <v>8</v>
      </c>
      <c r="E3853">
        <f t="shared" si="59"/>
        <v>1.4919457983139714E-21</v>
      </c>
    </row>
    <row r="3854" spans="1:5" x14ac:dyDescent="0.25">
      <c r="A3854">
        <v>4</v>
      </c>
      <c r="B3854">
        <v>7</v>
      </c>
      <c r="C3854">
        <v>30</v>
      </c>
      <c r="D3854">
        <v>7</v>
      </c>
      <c r="E3854">
        <f t="shared" ref="E3854:E3917" si="60">COMBIN(A$4,A3854)*COMBIN(B$4,B3854)*COMBIN(C$4,C3854)*COMBIN(D$4,D3854)/COMBIN($G$4,$F$4)</f>
        <v>7.9570442576745137E-22</v>
      </c>
    </row>
    <row r="3855" spans="1:5" x14ac:dyDescent="0.25">
      <c r="A3855">
        <v>4</v>
      </c>
      <c r="B3855">
        <v>7</v>
      </c>
      <c r="C3855">
        <v>31</v>
      </c>
      <c r="D3855">
        <v>6</v>
      </c>
      <c r="E3855">
        <f t="shared" si="60"/>
        <v>3.3098061852805695E-22</v>
      </c>
    </row>
    <row r="3856" spans="1:5" x14ac:dyDescent="0.25">
      <c r="A3856">
        <v>4</v>
      </c>
      <c r="B3856">
        <v>7</v>
      </c>
      <c r="C3856">
        <v>32</v>
      </c>
      <c r="D3856">
        <v>5</v>
      </c>
      <c r="E3856">
        <f t="shared" si="60"/>
        <v>1.0550007215581814E-22</v>
      </c>
    </row>
    <row r="3857" spans="1:5" x14ac:dyDescent="0.25">
      <c r="A3857">
        <v>4</v>
      </c>
      <c r="B3857">
        <v>7</v>
      </c>
      <c r="C3857">
        <v>33</v>
      </c>
      <c r="D3857">
        <v>4</v>
      </c>
      <c r="E3857">
        <f t="shared" si="60"/>
        <v>2.5119064799004325E-23</v>
      </c>
    </row>
    <row r="3858" spans="1:5" x14ac:dyDescent="0.25">
      <c r="A3858">
        <v>4</v>
      </c>
      <c r="B3858">
        <v>7</v>
      </c>
      <c r="C3858">
        <v>34</v>
      </c>
      <c r="D3858">
        <v>3</v>
      </c>
      <c r="E3858">
        <f t="shared" si="60"/>
        <v>4.2984495912734674E-24</v>
      </c>
    </row>
    <row r="3859" spans="1:5" x14ac:dyDescent="0.25">
      <c r="A3859">
        <v>4</v>
      </c>
      <c r="B3859">
        <v>7</v>
      </c>
      <c r="C3859">
        <v>35</v>
      </c>
      <c r="D3859">
        <v>2</v>
      </c>
      <c r="E3859">
        <f t="shared" si="60"/>
        <v>4.9659107079308372E-25</v>
      </c>
    </row>
    <row r="3860" spans="1:5" x14ac:dyDescent="0.25">
      <c r="A3860">
        <v>4</v>
      </c>
      <c r="B3860">
        <v>7</v>
      </c>
      <c r="C3860">
        <v>36</v>
      </c>
      <c r="D3860">
        <v>1</v>
      </c>
      <c r="E3860">
        <f t="shared" si="60"/>
        <v>3.4485491027297486E-26</v>
      </c>
    </row>
    <row r="3861" spans="1:5" x14ac:dyDescent="0.25">
      <c r="A3861">
        <v>4</v>
      </c>
      <c r="B3861">
        <v>7</v>
      </c>
      <c r="C3861">
        <v>37</v>
      </c>
      <c r="D3861">
        <v>0</v>
      </c>
      <c r="E3861">
        <f t="shared" si="60"/>
        <v>1.081166745720678E-27</v>
      </c>
    </row>
    <row r="3862" spans="1:5" x14ac:dyDescent="0.25">
      <c r="A3862">
        <v>4</v>
      </c>
      <c r="B3862">
        <v>8</v>
      </c>
      <c r="C3862">
        <v>11</v>
      </c>
      <c r="D3862">
        <v>25</v>
      </c>
      <c r="E3862">
        <f t="shared" si="60"/>
        <v>1.7356244379552623E-32</v>
      </c>
    </row>
    <row r="3863" spans="1:5" x14ac:dyDescent="0.25">
      <c r="A3863">
        <v>4</v>
      </c>
      <c r="B3863">
        <v>8</v>
      </c>
      <c r="C3863">
        <v>12</v>
      </c>
      <c r="D3863">
        <v>24</v>
      </c>
      <c r="E3863">
        <f t="shared" si="60"/>
        <v>1.9525774926996688E-30</v>
      </c>
    </row>
    <row r="3864" spans="1:5" x14ac:dyDescent="0.25">
      <c r="A3864">
        <v>4</v>
      </c>
      <c r="B3864">
        <v>8</v>
      </c>
      <c r="C3864">
        <v>13</v>
      </c>
      <c r="D3864">
        <v>23</v>
      </c>
      <c r="E3864">
        <f t="shared" si="60"/>
        <v>9.5526098873614618E-29</v>
      </c>
    </row>
    <row r="3865" spans="1:5" x14ac:dyDescent="0.25">
      <c r="A3865">
        <v>4</v>
      </c>
      <c r="B3865">
        <v>8</v>
      </c>
      <c r="C3865">
        <v>14</v>
      </c>
      <c r="D3865">
        <v>22</v>
      </c>
      <c r="E3865">
        <f t="shared" si="60"/>
        <v>2.7202193869724549E-27</v>
      </c>
    </row>
    <row r="3866" spans="1:5" x14ac:dyDescent="0.25">
      <c r="A3866">
        <v>4</v>
      </c>
      <c r="B3866">
        <v>8</v>
      </c>
      <c r="C3866">
        <v>15</v>
      </c>
      <c r="D3866">
        <v>21</v>
      </c>
      <c r="E3866">
        <f t="shared" si="60"/>
        <v>5.0868102536384888E-26</v>
      </c>
    </row>
    <row r="3867" spans="1:5" x14ac:dyDescent="0.25">
      <c r="A3867">
        <v>4</v>
      </c>
      <c r="B3867">
        <v>8</v>
      </c>
      <c r="C3867">
        <v>16</v>
      </c>
      <c r="D3867">
        <v>20</v>
      </c>
      <c r="E3867">
        <f t="shared" si="60"/>
        <v>6.6764384579005156E-25</v>
      </c>
    </row>
    <row r="3868" spans="1:5" x14ac:dyDescent="0.25">
      <c r="A3868">
        <v>4</v>
      </c>
      <c r="B3868">
        <v>8</v>
      </c>
      <c r="C3868">
        <v>17</v>
      </c>
      <c r="D3868">
        <v>19</v>
      </c>
      <c r="E3868">
        <f t="shared" si="60"/>
        <v>6.4146173419044205E-24</v>
      </c>
    </row>
    <row r="3869" spans="1:5" x14ac:dyDescent="0.25">
      <c r="A3869">
        <v>4</v>
      </c>
      <c r="B3869">
        <v>8</v>
      </c>
      <c r="C3869">
        <v>18</v>
      </c>
      <c r="D3869">
        <v>18</v>
      </c>
      <c r="E3869">
        <f t="shared" si="60"/>
        <v>4.6429611236641493E-23</v>
      </c>
    </row>
    <row r="3870" spans="1:5" x14ac:dyDescent="0.25">
      <c r="A3870">
        <v>4</v>
      </c>
      <c r="B3870">
        <v>8</v>
      </c>
      <c r="C3870">
        <v>19</v>
      </c>
      <c r="D3870">
        <v>17</v>
      </c>
      <c r="E3870">
        <f t="shared" si="60"/>
        <v>2.5841744148814942E-22</v>
      </c>
    </row>
    <row r="3871" spans="1:5" x14ac:dyDescent="0.25">
      <c r="A3871">
        <v>4</v>
      </c>
      <c r="B3871">
        <v>8</v>
      </c>
      <c r="C3871">
        <v>20</v>
      </c>
      <c r="D3871">
        <v>16</v>
      </c>
      <c r="E3871">
        <f t="shared" si="60"/>
        <v>1.1226802180207388E-21</v>
      </c>
    </row>
    <row r="3872" spans="1:5" x14ac:dyDescent="0.25">
      <c r="A3872">
        <v>4</v>
      </c>
      <c r="B3872">
        <v>8</v>
      </c>
      <c r="C3872">
        <v>21</v>
      </c>
      <c r="D3872">
        <v>15</v>
      </c>
      <c r="E3872">
        <f t="shared" si="60"/>
        <v>3.8491893189282424E-21</v>
      </c>
    </row>
    <row r="3873" spans="1:5" x14ac:dyDescent="0.25">
      <c r="A3873">
        <v>4</v>
      </c>
      <c r="B3873">
        <v>8</v>
      </c>
      <c r="C3873">
        <v>22</v>
      </c>
      <c r="D3873">
        <v>14</v>
      </c>
      <c r="E3873">
        <f t="shared" si="60"/>
        <v>1.0497789051622489E-20</v>
      </c>
    </row>
    <row r="3874" spans="1:5" x14ac:dyDescent="0.25">
      <c r="A3874">
        <v>4</v>
      </c>
      <c r="B3874">
        <v>8</v>
      </c>
      <c r="C3874">
        <v>23</v>
      </c>
      <c r="D3874">
        <v>13</v>
      </c>
      <c r="E3874">
        <f t="shared" si="60"/>
        <v>2.2897351482162087E-20</v>
      </c>
    </row>
    <row r="3875" spans="1:5" x14ac:dyDescent="0.25">
      <c r="A3875">
        <v>4</v>
      </c>
      <c r="B3875">
        <v>8</v>
      </c>
      <c r="C3875">
        <v>24</v>
      </c>
      <c r="D3875">
        <v>12</v>
      </c>
      <c r="E3875">
        <f t="shared" si="60"/>
        <v>4.0070365093783658E-20</v>
      </c>
    </row>
    <row r="3876" spans="1:5" x14ac:dyDescent="0.25">
      <c r="A3876">
        <v>4</v>
      </c>
      <c r="B3876">
        <v>8</v>
      </c>
      <c r="C3876">
        <v>25</v>
      </c>
      <c r="D3876">
        <v>11</v>
      </c>
      <c r="E3876">
        <f t="shared" si="60"/>
        <v>5.632748464611875E-20</v>
      </c>
    </row>
    <row r="3877" spans="1:5" x14ac:dyDescent="0.25">
      <c r="A3877">
        <v>4</v>
      </c>
      <c r="B3877">
        <v>8</v>
      </c>
      <c r="C3877">
        <v>26</v>
      </c>
      <c r="D3877">
        <v>10</v>
      </c>
      <c r="E3877">
        <f t="shared" si="60"/>
        <v>6.3548957036646757E-20</v>
      </c>
    </row>
    <row r="3878" spans="1:5" x14ac:dyDescent="0.25">
      <c r="A3878">
        <v>4</v>
      </c>
      <c r="B3878">
        <v>8</v>
      </c>
      <c r="C3878">
        <v>27</v>
      </c>
      <c r="D3878">
        <v>9</v>
      </c>
      <c r="E3878">
        <f t="shared" si="60"/>
        <v>5.7370586213639441E-20</v>
      </c>
    </row>
    <row r="3879" spans="1:5" x14ac:dyDescent="0.25">
      <c r="A3879">
        <v>4</v>
      </c>
      <c r="B3879">
        <v>8</v>
      </c>
      <c r="C3879">
        <v>28</v>
      </c>
      <c r="D3879">
        <v>8</v>
      </c>
      <c r="E3879">
        <f t="shared" si="60"/>
        <v>4.1220043035850191E-20</v>
      </c>
    </row>
    <row r="3880" spans="1:5" x14ac:dyDescent="0.25">
      <c r="A3880">
        <v>4</v>
      </c>
      <c r="B3880">
        <v>8</v>
      </c>
      <c r="C3880">
        <v>29</v>
      </c>
      <c r="D3880">
        <v>7</v>
      </c>
      <c r="E3880">
        <f t="shared" si="60"/>
        <v>2.3373817506918891E-20</v>
      </c>
    </row>
    <row r="3881" spans="1:5" x14ac:dyDescent="0.25">
      <c r="A3881">
        <v>4</v>
      </c>
      <c r="B3881">
        <v>8</v>
      </c>
      <c r="C3881">
        <v>30</v>
      </c>
      <c r="D3881">
        <v>6</v>
      </c>
      <c r="E3881">
        <f t="shared" si="60"/>
        <v>1.0333687739900976E-20</v>
      </c>
    </row>
    <row r="3882" spans="1:5" x14ac:dyDescent="0.25">
      <c r="A3882">
        <v>4</v>
      </c>
      <c r="B3882">
        <v>8</v>
      </c>
      <c r="C3882">
        <v>31</v>
      </c>
      <c r="D3882">
        <v>5</v>
      </c>
      <c r="E3882">
        <f t="shared" si="60"/>
        <v>3.500120040934202E-21</v>
      </c>
    </row>
    <row r="3883" spans="1:5" x14ac:dyDescent="0.25">
      <c r="A3883">
        <v>4</v>
      </c>
      <c r="B3883">
        <v>8</v>
      </c>
      <c r="C3883">
        <v>32</v>
      </c>
      <c r="D3883">
        <v>4</v>
      </c>
      <c r="E3883">
        <f t="shared" si="60"/>
        <v>8.8544703416490248E-22</v>
      </c>
    </row>
    <row r="3884" spans="1:5" x14ac:dyDescent="0.25">
      <c r="A3884">
        <v>4</v>
      </c>
      <c r="B3884">
        <v>8</v>
      </c>
      <c r="C3884">
        <v>33</v>
      </c>
      <c r="D3884">
        <v>3</v>
      </c>
      <c r="E3884">
        <f t="shared" si="60"/>
        <v>1.6099036984816406E-22</v>
      </c>
    </row>
    <row r="3885" spans="1:5" x14ac:dyDescent="0.25">
      <c r="A3885">
        <v>4</v>
      </c>
      <c r="B3885">
        <v>8</v>
      </c>
      <c r="C3885">
        <v>34</v>
      </c>
      <c r="D3885">
        <v>2</v>
      </c>
      <c r="E3885">
        <f t="shared" si="60"/>
        <v>1.9763523664224748E-23</v>
      </c>
    </row>
    <row r="3886" spans="1:5" x14ac:dyDescent="0.25">
      <c r="A3886">
        <v>4</v>
      </c>
      <c r="B3886">
        <v>8</v>
      </c>
      <c r="C3886">
        <v>35</v>
      </c>
      <c r="D3886">
        <v>1</v>
      </c>
      <c r="E3886">
        <f t="shared" si="60"/>
        <v>1.4587362704546835E-24</v>
      </c>
    </row>
    <row r="3887" spans="1:5" x14ac:dyDescent="0.25">
      <c r="A3887">
        <v>4</v>
      </c>
      <c r="B3887">
        <v>8</v>
      </c>
      <c r="C3887">
        <v>36</v>
      </c>
      <c r="D3887">
        <v>0</v>
      </c>
      <c r="E3887">
        <f t="shared" si="60"/>
        <v>4.8624542348489463E-26</v>
      </c>
    </row>
    <row r="3888" spans="1:5" x14ac:dyDescent="0.25">
      <c r="A3888">
        <v>4</v>
      </c>
      <c r="B3888">
        <v>9</v>
      </c>
      <c r="C3888">
        <v>10</v>
      </c>
      <c r="D3888">
        <v>25</v>
      </c>
      <c r="E3888">
        <f t="shared" si="60"/>
        <v>1.0838010379231747E-31</v>
      </c>
    </row>
    <row r="3889" spans="1:5" x14ac:dyDescent="0.25">
      <c r="A3889">
        <v>4</v>
      </c>
      <c r="B3889">
        <v>9</v>
      </c>
      <c r="C3889">
        <v>11</v>
      </c>
      <c r="D3889">
        <v>24</v>
      </c>
      <c r="E3889">
        <f t="shared" si="60"/>
        <v>1.3547512974039687E-29</v>
      </c>
    </row>
    <row r="3890" spans="1:5" x14ac:dyDescent="0.25">
      <c r="A3890">
        <v>4</v>
      </c>
      <c r="B3890">
        <v>9</v>
      </c>
      <c r="C3890">
        <v>12</v>
      </c>
      <c r="D3890">
        <v>23</v>
      </c>
      <c r="E3890">
        <f t="shared" si="60"/>
        <v>7.315657005981426E-28</v>
      </c>
    </row>
    <row r="3891" spans="1:5" x14ac:dyDescent="0.25">
      <c r="A3891">
        <v>4</v>
      </c>
      <c r="B3891">
        <v>9</v>
      </c>
      <c r="C3891">
        <v>13</v>
      </c>
      <c r="D3891">
        <v>22</v>
      </c>
      <c r="E3891">
        <f t="shared" si="60"/>
        <v>2.2866117667413747E-26</v>
      </c>
    </row>
    <row r="3892" spans="1:5" x14ac:dyDescent="0.25">
      <c r="A3892">
        <v>4</v>
      </c>
      <c r="B3892">
        <v>9</v>
      </c>
      <c r="C3892">
        <v>14</v>
      </c>
      <c r="D3892">
        <v>21</v>
      </c>
      <c r="E3892">
        <f t="shared" si="60"/>
        <v>4.6712211806288094E-25</v>
      </c>
    </row>
    <row r="3893" spans="1:5" x14ac:dyDescent="0.25">
      <c r="A3893">
        <v>4</v>
      </c>
      <c r="B3893">
        <v>9</v>
      </c>
      <c r="C3893">
        <v>15</v>
      </c>
      <c r="D3893">
        <v>20</v>
      </c>
      <c r="E3893">
        <f t="shared" si="60"/>
        <v>6.6705038459379363E-24</v>
      </c>
    </row>
    <row r="3894" spans="1:5" x14ac:dyDescent="0.25">
      <c r="A3894">
        <v>4</v>
      </c>
      <c r="B3894">
        <v>9</v>
      </c>
      <c r="C3894">
        <v>16</v>
      </c>
      <c r="D3894">
        <v>19</v>
      </c>
      <c r="E3894">
        <f t="shared" si="60"/>
        <v>6.9484415061853512E-23</v>
      </c>
    </row>
    <row r="3895" spans="1:5" x14ac:dyDescent="0.25">
      <c r="A3895">
        <v>4</v>
      </c>
      <c r="B3895">
        <v>9</v>
      </c>
      <c r="C3895">
        <v>17</v>
      </c>
      <c r="D3895">
        <v>18</v>
      </c>
      <c r="E3895">
        <f t="shared" si="60"/>
        <v>5.4361336489567794E-22</v>
      </c>
    </row>
    <row r="3896" spans="1:5" x14ac:dyDescent="0.25">
      <c r="A3896">
        <v>4</v>
      </c>
      <c r="B3896">
        <v>9</v>
      </c>
      <c r="C3896">
        <v>18</v>
      </c>
      <c r="D3896">
        <v>17</v>
      </c>
      <c r="E3896">
        <f t="shared" si="60"/>
        <v>3.261680189374064E-21</v>
      </c>
    </row>
    <row r="3897" spans="1:5" x14ac:dyDescent="0.25">
      <c r="A3897">
        <v>4</v>
      </c>
      <c r="B3897">
        <v>9</v>
      </c>
      <c r="C3897">
        <v>19</v>
      </c>
      <c r="D3897">
        <v>16</v>
      </c>
      <c r="E3897">
        <f t="shared" si="60"/>
        <v>1.5240248370233207E-20</v>
      </c>
    </row>
    <row r="3898" spans="1:5" x14ac:dyDescent="0.25">
      <c r="A3898">
        <v>4</v>
      </c>
      <c r="B3898">
        <v>9</v>
      </c>
      <c r="C3898">
        <v>20</v>
      </c>
      <c r="D3898">
        <v>15</v>
      </c>
      <c r="E3898">
        <f t="shared" si="60"/>
        <v>5.6084114002458229E-20</v>
      </c>
    </row>
    <row r="3899" spans="1:5" x14ac:dyDescent="0.25">
      <c r="A3899">
        <v>4</v>
      </c>
      <c r="B3899">
        <v>9</v>
      </c>
      <c r="C3899">
        <v>21</v>
      </c>
      <c r="D3899">
        <v>14</v>
      </c>
      <c r="E3899">
        <f t="shared" si="60"/>
        <v>1.6388215130588428E-19</v>
      </c>
    </row>
    <row r="3900" spans="1:5" x14ac:dyDescent="0.25">
      <c r="A3900">
        <v>4</v>
      </c>
      <c r="B3900">
        <v>9</v>
      </c>
      <c r="C3900">
        <v>22</v>
      </c>
      <c r="D3900">
        <v>13</v>
      </c>
      <c r="E3900">
        <f t="shared" si="60"/>
        <v>3.8239168638039702E-19</v>
      </c>
    </row>
    <row r="3901" spans="1:5" x14ac:dyDescent="0.25">
      <c r="A3901">
        <v>4</v>
      </c>
      <c r="B3901">
        <v>9</v>
      </c>
      <c r="C3901">
        <v>23</v>
      </c>
      <c r="D3901">
        <v>12</v>
      </c>
      <c r="E3901">
        <f t="shared" si="60"/>
        <v>7.1490619627639411E-19</v>
      </c>
    </row>
    <row r="3902" spans="1:5" x14ac:dyDescent="0.25">
      <c r="A3902">
        <v>4</v>
      </c>
      <c r="B3902">
        <v>9</v>
      </c>
      <c r="C3902">
        <v>24</v>
      </c>
      <c r="D3902">
        <v>11</v>
      </c>
      <c r="E3902">
        <f t="shared" si="60"/>
        <v>1.072359294414591E-18</v>
      </c>
    </row>
    <row r="3903" spans="1:5" x14ac:dyDescent="0.25">
      <c r="A3903">
        <v>4</v>
      </c>
      <c r="B3903">
        <v>9</v>
      </c>
      <c r="C3903">
        <v>25</v>
      </c>
      <c r="D3903">
        <v>10</v>
      </c>
      <c r="E3903">
        <f t="shared" si="60"/>
        <v>1.2896907780826149E-18</v>
      </c>
    </row>
    <row r="3904" spans="1:5" x14ac:dyDescent="0.25">
      <c r="A3904">
        <v>4</v>
      </c>
      <c r="B3904">
        <v>9</v>
      </c>
      <c r="C3904">
        <v>26</v>
      </c>
      <c r="D3904">
        <v>9</v>
      </c>
      <c r="E3904">
        <f t="shared" si="60"/>
        <v>1.2400872866178987E-18</v>
      </c>
    </row>
    <row r="3905" spans="1:5" x14ac:dyDescent="0.25">
      <c r="A3905">
        <v>4</v>
      </c>
      <c r="B3905">
        <v>9</v>
      </c>
      <c r="C3905">
        <v>27</v>
      </c>
      <c r="D3905">
        <v>8</v>
      </c>
      <c r="E3905">
        <f t="shared" si="60"/>
        <v>9.4830204270780484E-19</v>
      </c>
    </row>
    <row r="3906" spans="1:5" x14ac:dyDescent="0.25">
      <c r="A3906">
        <v>4</v>
      </c>
      <c r="B3906">
        <v>9</v>
      </c>
      <c r="C3906">
        <v>28</v>
      </c>
      <c r="D3906">
        <v>7</v>
      </c>
      <c r="E3906">
        <f t="shared" si="60"/>
        <v>5.7199170829994598E-19</v>
      </c>
    </row>
    <row r="3907" spans="1:5" x14ac:dyDescent="0.25">
      <c r="A3907">
        <v>4</v>
      </c>
      <c r="B3907">
        <v>9</v>
      </c>
      <c r="C3907">
        <v>29</v>
      </c>
      <c r="D3907">
        <v>6</v>
      </c>
      <c r="E3907">
        <f t="shared" si="60"/>
        <v>2.688672458252014E-19</v>
      </c>
    </row>
    <row r="3908" spans="1:5" x14ac:dyDescent="0.25">
      <c r="A3908">
        <v>4</v>
      </c>
      <c r="B3908">
        <v>9</v>
      </c>
      <c r="C3908">
        <v>30</v>
      </c>
      <c r="D3908">
        <v>5</v>
      </c>
      <c r="E3908">
        <f t="shared" si="60"/>
        <v>9.6792208497072482E-20</v>
      </c>
    </row>
    <row r="3909" spans="1:5" x14ac:dyDescent="0.25">
      <c r="A3909">
        <v>4</v>
      </c>
      <c r="B3909">
        <v>9</v>
      </c>
      <c r="C3909">
        <v>31</v>
      </c>
      <c r="D3909">
        <v>4</v>
      </c>
      <c r="E3909">
        <f t="shared" si="60"/>
        <v>2.6019410886309817E-20</v>
      </c>
    </row>
    <row r="3910" spans="1:5" x14ac:dyDescent="0.25">
      <c r="A3910">
        <v>4</v>
      </c>
      <c r="B3910">
        <v>9</v>
      </c>
      <c r="C3910">
        <v>32</v>
      </c>
      <c r="D3910">
        <v>3</v>
      </c>
      <c r="E3910">
        <f t="shared" si="60"/>
        <v>5.0264771030371222E-21</v>
      </c>
    </row>
    <row r="3911" spans="1:5" x14ac:dyDescent="0.25">
      <c r="A3911">
        <v>4</v>
      </c>
      <c r="B3911">
        <v>9</v>
      </c>
      <c r="C3911">
        <v>33</v>
      </c>
      <c r="D3911">
        <v>2</v>
      </c>
      <c r="E3911">
        <f t="shared" si="60"/>
        <v>6.5562744822223339E-22</v>
      </c>
    </row>
    <row r="3912" spans="1:5" x14ac:dyDescent="0.25">
      <c r="A3912">
        <v>4</v>
      </c>
      <c r="B3912">
        <v>9</v>
      </c>
      <c r="C3912">
        <v>34</v>
      </c>
      <c r="D3912">
        <v>1</v>
      </c>
      <c r="E3912">
        <f t="shared" si="60"/>
        <v>5.1421760644881054E-23</v>
      </c>
    </row>
    <row r="3913" spans="1:5" x14ac:dyDescent="0.25">
      <c r="A3913">
        <v>4</v>
      </c>
      <c r="B3913">
        <v>9</v>
      </c>
      <c r="C3913">
        <v>35</v>
      </c>
      <c r="D3913">
        <v>0</v>
      </c>
      <c r="E3913">
        <f t="shared" si="60"/>
        <v>1.8217995199900713E-24</v>
      </c>
    </row>
    <row r="3914" spans="1:5" x14ac:dyDescent="0.25">
      <c r="A3914">
        <v>4</v>
      </c>
      <c r="B3914">
        <v>10</v>
      </c>
      <c r="C3914">
        <v>9</v>
      </c>
      <c r="D3914">
        <v>25</v>
      </c>
      <c r="E3914">
        <f t="shared" si="60"/>
        <v>5.4190051896158722E-31</v>
      </c>
    </row>
    <row r="3915" spans="1:5" x14ac:dyDescent="0.25">
      <c r="A3915">
        <v>4</v>
      </c>
      <c r="B3915">
        <v>10</v>
      </c>
      <c r="C3915">
        <v>10</v>
      </c>
      <c r="D3915">
        <v>24</v>
      </c>
      <c r="E3915">
        <f t="shared" si="60"/>
        <v>7.5866072654622225E-29</v>
      </c>
    </row>
    <row r="3916" spans="1:5" x14ac:dyDescent="0.25">
      <c r="A3916">
        <v>4</v>
      </c>
      <c r="B3916">
        <v>10</v>
      </c>
      <c r="C3916">
        <v>11</v>
      </c>
      <c r="D3916">
        <v>23</v>
      </c>
      <c r="E3916">
        <f t="shared" si="60"/>
        <v>4.5519643592773346E-27</v>
      </c>
    </row>
    <row r="3917" spans="1:5" x14ac:dyDescent="0.25">
      <c r="A3917">
        <v>4</v>
      </c>
      <c r="B3917">
        <v>10</v>
      </c>
      <c r="C3917">
        <v>12</v>
      </c>
      <c r="D3917">
        <v>22</v>
      </c>
      <c r="E3917">
        <f t="shared" si="60"/>
        <v>1.5704277039506792E-25</v>
      </c>
    </row>
    <row r="3918" spans="1:5" x14ac:dyDescent="0.25">
      <c r="A3918">
        <v>4</v>
      </c>
      <c r="B3918">
        <v>10</v>
      </c>
      <c r="C3918">
        <v>13</v>
      </c>
      <c r="D3918">
        <v>21</v>
      </c>
      <c r="E3918">
        <f t="shared" ref="E3918:E3981" si="61">COMBIN(A$4,A3918)*COMBIN(B$4,B3918)*COMBIN(C$4,C3918)*COMBIN(D$4,D3918)/COMBIN($G$4,$F$4)</f>
        <v>3.521382120781718E-24</v>
      </c>
    </row>
    <row r="3919" spans="1:5" x14ac:dyDescent="0.25">
      <c r="A3919">
        <v>4</v>
      </c>
      <c r="B3919">
        <v>10</v>
      </c>
      <c r="C3919">
        <v>14</v>
      </c>
      <c r="D3919">
        <v>20</v>
      </c>
      <c r="E3919">
        <f t="shared" si="61"/>
        <v>5.4933561084194785E-23</v>
      </c>
    </row>
    <row r="3920" spans="1:5" x14ac:dyDescent="0.25">
      <c r="A3920">
        <v>4</v>
      </c>
      <c r="B3920">
        <v>10</v>
      </c>
      <c r="C3920">
        <v>15</v>
      </c>
      <c r="D3920">
        <v>19</v>
      </c>
      <c r="E3920">
        <f t="shared" si="61"/>
        <v>6.2258035895420732E-22</v>
      </c>
    </row>
    <row r="3921" spans="1:5" x14ac:dyDescent="0.25">
      <c r="A3921">
        <v>4</v>
      </c>
      <c r="B3921">
        <v>10</v>
      </c>
      <c r="C3921">
        <v>16</v>
      </c>
      <c r="D3921">
        <v>18</v>
      </c>
      <c r="E3921">
        <f t="shared" si="61"/>
        <v>5.2808155447008691E-21</v>
      </c>
    </row>
    <row r="3922" spans="1:5" x14ac:dyDescent="0.25">
      <c r="A3922">
        <v>4</v>
      </c>
      <c r="B3922">
        <v>10</v>
      </c>
      <c r="C3922">
        <v>17</v>
      </c>
      <c r="D3922">
        <v>17</v>
      </c>
      <c r="E3922">
        <f t="shared" si="61"/>
        <v>3.424764198842771E-20</v>
      </c>
    </row>
    <row r="3923" spans="1:5" x14ac:dyDescent="0.25">
      <c r="A3923">
        <v>4</v>
      </c>
      <c r="B3923">
        <v>10</v>
      </c>
      <c r="C3923">
        <v>18</v>
      </c>
      <c r="D3923">
        <v>16</v>
      </c>
      <c r="E3923">
        <f t="shared" si="61"/>
        <v>1.7250664112689494E-19</v>
      </c>
    </row>
    <row r="3924" spans="1:5" x14ac:dyDescent="0.25">
      <c r="A3924">
        <v>4</v>
      </c>
      <c r="B3924">
        <v>10</v>
      </c>
      <c r="C3924">
        <v>19</v>
      </c>
      <c r="D3924">
        <v>15</v>
      </c>
      <c r="E3924">
        <f t="shared" si="61"/>
        <v>6.8276312698644761E-19</v>
      </c>
    </row>
    <row r="3925" spans="1:5" x14ac:dyDescent="0.25">
      <c r="A3925">
        <v>4</v>
      </c>
      <c r="B3925">
        <v>10</v>
      </c>
      <c r="C3925">
        <v>20</v>
      </c>
      <c r="D3925">
        <v>14</v>
      </c>
      <c r="E3925">
        <f t="shared" si="61"/>
        <v>2.141393443730224E-18</v>
      </c>
    </row>
    <row r="3926" spans="1:5" x14ac:dyDescent="0.25">
      <c r="A3926">
        <v>4</v>
      </c>
      <c r="B3926">
        <v>10</v>
      </c>
      <c r="C3926">
        <v>21</v>
      </c>
      <c r="D3926">
        <v>13</v>
      </c>
      <c r="E3926">
        <f t="shared" si="61"/>
        <v>5.3534836093255547E-18</v>
      </c>
    </row>
    <row r="3927" spans="1:5" x14ac:dyDescent="0.25">
      <c r="A3927">
        <v>4</v>
      </c>
      <c r="B3927">
        <v>10</v>
      </c>
      <c r="C3927">
        <v>22</v>
      </c>
      <c r="D3927">
        <v>12</v>
      </c>
      <c r="E3927">
        <f t="shared" si="61"/>
        <v>1.0706967218651116E-17</v>
      </c>
    </row>
    <row r="3928" spans="1:5" x14ac:dyDescent="0.25">
      <c r="A3928">
        <v>4</v>
      </c>
      <c r="B3928">
        <v>10</v>
      </c>
      <c r="C3928">
        <v>23</v>
      </c>
      <c r="D3928">
        <v>11</v>
      </c>
      <c r="E3928">
        <f t="shared" si="61"/>
        <v>1.7157748710633455E-17</v>
      </c>
    </row>
    <row r="3929" spans="1:5" x14ac:dyDescent="0.25">
      <c r="A3929">
        <v>4</v>
      </c>
      <c r="B3929">
        <v>10</v>
      </c>
      <c r="C3929">
        <v>24</v>
      </c>
      <c r="D3929">
        <v>10</v>
      </c>
      <c r="E3929">
        <f t="shared" si="61"/>
        <v>2.2019110845312933E-17</v>
      </c>
    </row>
    <row r="3930" spans="1:5" x14ac:dyDescent="0.25">
      <c r="A3930">
        <v>4</v>
      </c>
      <c r="B3930">
        <v>10</v>
      </c>
      <c r="C3930">
        <v>25</v>
      </c>
      <c r="D3930">
        <v>9</v>
      </c>
      <c r="E3930">
        <f t="shared" si="61"/>
        <v>2.2569588616445765E-17</v>
      </c>
    </row>
    <row r="3931" spans="1:5" x14ac:dyDescent="0.25">
      <c r="A3931">
        <v>4</v>
      </c>
      <c r="B3931">
        <v>10</v>
      </c>
      <c r="C3931">
        <v>26</v>
      </c>
      <c r="D3931">
        <v>8</v>
      </c>
      <c r="E3931">
        <f t="shared" si="61"/>
        <v>1.8382470366335906E-17</v>
      </c>
    </row>
    <row r="3932" spans="1:5" x14ac:dyDescent="0.25">
      <c r="A3932">
        <v>4</v>
      </c>
      <c r="B3932">
        <v>10</v>
      </c>
      <c r="C3932">
        <v>27</v>
      </c>
      <c r="D3932">
        <v>7</v>
      </c>
      <c r="E3932">
        <f t="shared" si="61"/>
        <v>1.1801092087030462E-17</v>
      </c>
    </row>
    <row r="3933" spans="1:5" x14ac:dyDescent="0.25">
      <c r="A3933">
        <v>4</v>
      </c>
      <c r="B3933">
        <v>10</v>
      </c>
      <c r="C3933">
        <v>28</v>
      </c>
      <c r="D3933">
        <v>6</v>
      </c>
      <c r="E3933">
        <f t="shared" si="61"/>
        <v>5.9005460435152286E-18</v>
      </c>
    </row>
    <row r="3934" spans="1:5" x14ac:dyDescent="0.25">
      <c r="A3934">
        <v>4</v>
      </c>
      <c r="B3934">
        <v>10</v>
      </c>
      <c r="C3934">
        <v>29</v>
      </c>
      <c r="D3934">
        <v>5</v>
      </c>
      <c r="E3934">
        <f t="shared" si="61"/>
        <v>2.2584848649316914E-18</v>
      </c>
    </row>
    <row r="3935" spans="1:5" x14ac:dyDescent="0.25">
      <c r="A3935">
        <v>4</v>
      </c>
      <c r="B3935">
        <v>10</v>
      </c>
      <c r="C3935">
        <v>30</v>
      </c>
      <c r="D3935">
        <v>4</v>
      </c>
      <c r="E3935">
        <f t="shared" si="61"/>
        <v>6.4528138998048351E-19</v>
      </c>
    </row>
    <row r="3936" spans="1:5" x14ac:dyDescent="0.25">
      <c r="A3936">
        <v>4</v>
      </c>
      <c r="B3936">
        <v>10</v>
      </c>
      <c r="C3936">
        <v>31</v>
      </c>
      <c r="D3936">
        <v>3</v>
      </c>
      <c r="E3936">
        <f t="shared" si="61"/>
        <v>1.324624554212136E-19</v>
      </c>
    </row>
    <row r="3937" spans="1:5" x14ac:dyDescent="0.25">
      <c r="A3937">
        <v>4</v>
      </c>
      <c r="B3937">
        <v>10</v>
      </c>
      <c r="C3937">
        <v>32</v>
      </c>
      <c r="D3937">
        <v>2</v>
      </c>
      <c r="E3937">
        <f t="shared" si="61"/>
        <v>1.8357568550222535E-20</v>
      </c>
    </row>
    <row r="3938" spans="1:5" x14ac:dyDescent="0.25">
      <c r="A3938">
        <v>4</v>
      </c>
      <c r="B3938">
        <v>10</v>
      </c>
      <c r="C3938">
        <v>33</v>
      </c>
      <c r="D3938">
        <v>1</v>
      </c>
      <c r="E3938">
        <f t="shared" si="61"/>
        <v>1.5297973791852112E-21</v>
      </c>
    </row>
    <row r="3939" spans="1:5" x14ac:dyDescent="0.25">
      <c r="A3939">
        <v>4</v>
      </c>
      <c r="B3939">
        <v>10</v>
      </c>
      <c r="C3939">
        <v>34</v>
      </c>
      <c r="D3939">
        <v>0</v>
      </c>
      <c r="E3939">
        <f t="shared" si="61"/>
        <v>5.7592371922266784E-23</v>
      </c>
    </row>
    <row r="3940" spans="1:5" x14ac:dyDescent="0.25">
      <c r="A3940">
        <v>4</v>
      </c>
      <c r="B3940">
        <v>11</v>
      </c>
      <c r="C3940">
        <v>8</v>
      </c>
      <c r="D3940">
        <v>25</v>
      </c>
      <c r="E3940">
        <f t="shared" si="61"/>
        <v>2.1701949012959262E-30</v>
      </c>
    </row>
    <row r="3941" spans="1:5" x14ac:dyDescent="0.25">
      <c r="A3941">
        <v>4</v>
      </c>
      <c r="B3941">
        <v>11</v>
      </c>
      <c r="C3941">
        <v>9</v>
      </c>
      <c r="D3941">
        <v>24</v>
      </c>
      <c r="E3941">
        <f t="shared" si="61"/>
        <v>3.4361419270518829E-28</v>
      </c>
    </row>
    <row r="3942" spans="1:5" x14ac:dyDescent="0.25">
      <c r="A3942">
        <v>4</v>
      </c>
      <c r="B3942">
        <v>11</v>
      </c>
      <c r="C3942">
        <v>10</v>
      </c>
      <c r="D3942">
        <v>23</v>
      </c>
      <c r="E3942">
        <f t="shared" si="61"/>
        <v>2.3090873749788655E-26</v>
      </c>
    </row>
    <row r="3943" spans="1:5" x14ac:dyDescent="0.25">
      <c r="A3943">
        <v>4</v>
      </c>
      <c r="B3943">
        <v>11</v>
      </c>
      <c r="C3943">
        <v>11</v>
      </c>
      <c r="D3943">
        <v>22</v>
      </c>
      <c r="E3943">
        <f t="shared" si="61"/>
        <v>8.8515016040856525E-25</v>
      </c>
    </row>
    <row r="3944" spans="1:5" x14ac:dyDescent="0.25">
      <c r="A3944">
        <v>4</v>
      </c>
      <c r="B3944">
        <v>11</v>
      </c>
      <c r="C3944">
        <v>12</v>
      </c>
      <c r="D3944">
        <v>21</v>
      </c>
      <c r="E3944">
        <f t="shared" si="61"/>
        <v>2.1907466470111982E-23</v>
      </c>
    </row>
    <row r="3945" spans="1:5" x14ac:dyDescent="0.25">
      <c r="A3945">
        <v>4</v>
      </c>
      <c r="B3945">
        <v>11</v>
      </c>
      <c r="C3945">
        <v>13</v>
      </c>
      <c r="D3945">
        <v>20</v>
      </c>
      <c r="E3945">
        <f t="shared" si="61"/>
        <v>3.7512323355745594E-22</v>
      </c>
    </row>
    <row r="3946" spans="1:5" x14ac:dyDescent="0.25">
      <c r="A3946">
        <v>4</v>
      </c>
      <c r="B3946">
        <v>11</v>
      </c>
      <c r="C3946">
        <v>14</v>
      </c>
      <c r="D3946">
        <v>19</v>
      </c>
      <c r="E3946">
        <f t="shared" si="61"/>
        <v>4.6443828916637414E-21</v>
      </c>
    </row>
    <row r="3947" spans="1:5" x14ac:dyDescent="0.25">
      <c r="A3947">
        <v>4</v>
      </c>
      <c r="B3947">
        <v>11</v>
      </c>
      <c r="C3947">
        <v>15</v>
      </c>
      <c r="D3947">
        <v>18</v>
      </c>
      <c r="E3947">
        <f t="shared" si="61"/>
        <v>4.2861019257353954E-20</v>
      </c>
    </row>
    <row r="3948" spans="1:5" x14ac:dyDescent="0.25">
      <c r="A3948">
        <v>4</v>
      </c>
      <c r="B3948">
        <v>11</v>
      </c>
      <c r="C3948">
        <v>16</v>
      </c>
      <c r="D3948">
        <v>17</v>
      </c>
      <c r="E3948">
        <f t="shared" si="61"/>
        <v>3.0136654165326993E-19</v>
      </c>
    </row>
    <row r="3949" spans="1:5" x14ac:dyDescent="0.25">
      <c r="A3949">
        <v>4</v>
      </c>
      <c r="B3949">
        <v>11</v>
      </c>
      <c r="C3949">
        <v>17</v>
      </c>
      <c r="D3949">
        <v>16</v>
      </c>
      <c r="E3949">
        <f t="shared" si="61"/>
        <v>1.6407733934455816E-18</v>
      </c>
    </row>
    <row r="3950" spans="1:5" x14ac:dyDescent="0.25">
      <c r="A3950">
        <v>4</v>
      </c>
      <c r="B3950">
        <v>11</v>
      </c>
      <c r="C3950">
        <v>18</v>
      </c>
      <c r="D3950">
        <v>15</v>
      </c>
      <c r="E3950">
        <f t="shared" si="61"/>
        <v>7.0006331453678075E-18</v>
      </c>
    </row>
    <row r="3951" spans="1:5" x14ac:dyDescent="0.25">
      <c r="A3951">
        <v>4</v>
      </c>
      <c r="B3951">
        <v>11</v>
      </c>
      <c r="C3951">
        <v>19</v>
      </c>
      <c r="D3951">
        <v>14</v>
      </c>
      <c r="E3951">
        <f t="shared" si="61"/>
        <v>2.3614575920977548E-17</v>
      </c>
    </row>
    <row r="3952" spans="1:5" x14ac:dyDescent="0.25">
      <c r="A3952">
        <v>4</v>
      </c>
      <c r="B3952">
        <v>11</v>
      </c>
      <c r="C3952">
        <v>20</v>
      </c>
      <c r="D3952">
        <v>13</v>
      </c>
      <c r="E3952">
        <f t="shared" si="61"/>
        <v>6.3365778721289817E-17</v>
      </c>
    </row>
    <row r="3953" spans="1:5" x14ac:dyDescent="0.25">
      <c r="A3953">
        <v>4</v>
      </c>
      <c r="B3953">
        <v>11</v>
      </c>
      <c r="C3953">
        <v>21</v>
      </c>
      <c r="D3953">
        <v>12</v>
      </c>
      <c r="E3953">
        <f t="shared" si="61"/>
        <v>1.3578381154562088E-16</v>
      </c>
    </row>
    <row r="3954" spans="1:5" x14ac:dyDescent="0.25">
      <c r="A3954">
        <v>4</v>
      </c>
      <c r="B3954">
        <v>11</v>
      </c>
      <c r="C3954">
        <v>22</v>
      </c>
      <c r="D3954">
        <v>11</v>
      </c>
      <c r="E3954">
        <f t="shared" si="61"/>
        <v>2.3277224836392159E-16</v>
      </c>
    </row>
    <row r="3955" spans="1:5" x14ac:dyDescent="0.25">
      <c r="A3955">
        <v>4</v>
      </c>
      <c r="B3955">
        <v>11</v>
      </c>
      <c r="C3955">
        <v>23</v>
      </c>
      <c r="D3955">
        <v>10</v>
      </c>
      <c r="E3955">
        <f t="shared" si="61"/>
        <v>3.1913412601778219E-16</v>
      </c>
    </row>
    <row r="3956" spans="1:5" x14ac:dyDescent="0.25">
      <c r="A3956">
        <v>4</v>
      </c>
      <c r="B3956">
        <v>11</v>
      </c>
      <c r="C3956">
        <v>24</v>
      </c>
      <c r="D3956">
        <v>9</v>
      </c>
      <c r="E3956">
        <f t="shared" si="61"/>
        <v>3.4905295033194935E-16</v>
      </c>
    </row>
    <row r="3957" spans="1:5" x14ac:dyDescent="0.25">
      <c r="A3957">
        <v>4</v>
      </c>
      <c r="B3957">
        <v>11</v>
      </c>
      <c r="C3957">
        <v>25</v>
      </c>
      <c r="D3957">
        <v>8</v>
      </c>
      <c r="E3957">
        <f t="shared" si="61"/>
        <v>3.0306009099409266E-16</v>
      </c>
    </row>
    <row r="3958" spans="1:5" x14ac:dyDescent="0.25">
      <c r="A3958">
        <v>4</v>
      </c>
      <c r="B3958">
        <v>11</v>
      </c>
      <c r="C3958">
        <v>26</v>
      </c>
      <c r="D3958">
        <v>7</v>
      </c>
      <c r="E3958">
        <f t="shared" si="61"/>
        <v>2.0722057503869571E-16</v>
      </c>
    </row>
    <row r="3959" spans="1:5" x14ac:dyDescent="0.25">
      <c r="A3959">
        <v>4</v>
      </c>
      <c r="B3959">
        <v>11</v>
      </c>
      <c r="C3959">
        <v>27</v>
      </c>
      <c r="D3959">
        <v>6</v>
      </c>
      <c r="E3959">
        <f t="shared" si="61"/>
        <v>1.1027527677497837E-16</v>
      </c>
    </row>
    <row r="3960" spans="1:5" x14ac:dyDescent="0.25">
      <c r="A3960">
        <v>4</v>
      </c>
      <c r="B3960">
        <v>11</v>
      </c>
      <c r="C3960">
        <v>28</v>
      </c>
      <c r="D3960">
        <v>5</v>
      </c>
      <c r="E3960">
        <f t="shared" si="61"/>
        <v>4.489779125838406E-17</v>
      </c>
    </row>
    <row r="3961" spans="1:5" x14ac:dyDescent="0.25">
      <c r="A3961">
        <v>4</v>
      </c>
      <c r="B3961">
        <v>11</v>
      </c>
      <c r="C3961">
        <v>29</v>
      </c>
      <c r="D3961">
        <v>4</v>
      </c>
      <c r="E3961">
        <f t="shared" si="61"/>
        <v>1.3638902106405672E-17</v>
      </c>
    </row>
    <row r="3962" spans="1:5" x14ac:dyDescent="0.25">
      <c r="A3962">
        <v>4</v>
      </c>
      <c r="B3962">
        <v>11</v>
      </c>
      <c r="C3962">
        <v>30</v>
      </c>
      <c r="D3962">
        <v>3</v>
      </c>
      <c r="E3962">
        <f t="shared" si="61"/>
        <v>2.9757604595794186E-18</v>
      </c>
    </row>
    <row r="3963" spans="1:5" x14ac:dyDescent="0.25">
      <c r="A3963">
        <v>4</v>
      </c>
      <c r="B3963">
        <v>11</v>
      </c>
      <c r="C3963">
        <v>31</v>
      </c>
      <c r="D3963">
        <v>2</v>
      </c>
      <c r="E3963">
        <f t="shared" si="61"/>
        <v>4.3822559362670262E-19</v>
      </c>
    </row>
    <row r="3964" spans="1:5" x14ac:dyDescent="0.25">
      <c r="A3964">
        <v>4</v>
      </c>
      <c r="B3964">
        <v>11</v>
      </c>
      <c r="C3964">
        <v>32</v>
      </c>
      <c r="D3964">
        <v>1</v>
      </c>
      <c r="E3964">
        <f t="shared" si="61"/>
        <v>3.8801224435697624E-20</v>
      </c>
    </row>
    <row r="3965" spans="1:5" x14ac:dyDescent="0.25">
      <c r="A3965">
        <v>4</v>
      </c>
      <c r="B3965">
        <v>11</v>
      </c>
      <c r="C3965">
        <v>33</v>
      </c>
      <c r="D3965">
        <v>0</v>
      </c>
      <c r="E3965">
        <f t="shared" si="61"/>
        <v>1.552048977427905E-21</v>
      </c>
    </row>
    <row r="3966" spans="1:5" x14ac:dyDescent="0.25">
      <c r="A3966">
        <v>4</v>
      </c>
      <c r="B3966">
        <v>12</v>
      </c>
      <c r="C3966">
        <v>7</v>
      </c>
      <c r="D3966">
        <v>25</v>
      </c>
      <c r="E3966">
        <f t="shared" si="61"/>
        <v>6.9346457765547974E-30</v>
      </c>
    </row>
    <row r="3967" spans="1:5" x14ac:dyDescent="0.25">
      <c r="A3967">
        <v>4</v>
      </c>
      <c r="B3967">
        <v>12</v>
      </c>
      <c r="C3967">
        <v>8</v>
      </c>
      <c r="D3967">
        <v>24</v>
      </c>
      <c r="E3967">
        <f t="shared" si="61"/>
        <v>1.2569045470005574E-27</v>
      </c>
    </row>
    <row r="3968" spans="1:5" x14ac:dyDescent="0.25">
      <c r="A3968">
        <v>4</v>
      </c>
      <c r="B3968">
        <v>12</v>
      </c>
      <c r="C3968">
        <v>9</v>
      </c>
      <c r="D3968">
        <v>23</v>
      </c>
      <c r="E3968">
        <f t="shared" si="61"/>
        <v>9.552474557204233E-26</v>
      </c>
    </row>
    <row r="3969" spans="1:5" x14ac:dyDescent="0.25">
      <c r="A3969">
        <v>4</v>
      </c>
      <c r="B3969">
        <v>12</v>
      </c>
      <c r="C3969">
        <v>10</v>
      </c>
      <c r="D3969">
        <v>22</v>
      </c>
      <c r="E3969">
        <f t="shared" si="61"/>
        <v>4.1011957432263507E-24</v>
      </c>
    </row>
    <row r="3970" spans="1:5" x14ac:dyDescent="0.25">
      <c r="A3970">
        <v>4</v>
      </c>
      <c r="B3970">
        <v>12</v>
      </c>
      <c r="C3970">
        <v>11</v>
      </c>
      <c r="D3970">
        <v>21</v>
      </c>
      <c r="E3970">
        <f t="shared" si="61"/>
        <v>1.127828829387247E-22</v>
      </c>
    </row>
    <row r="3971" spans="1:5" x14ac:dyDescent="0.25">
      <c r="A3971">
        <v>4</v>
      </c>
      <c r="B3971">
        <v>12</v>
      </c>
      <c r="C3971">
        <v>12</v>
      </c>
      <c r="D3971">
        <v>20</v>
      </c>
      <c r="E3971">
        <f t="shared" si="61"/>
        <v>2.1315964875418946E-21</v>
      </c>
    </row>
    <row r="3972" spans="1:5" x14ac:dyDescent="0.25">
      <c r="A3972">
        <v>4</v>
      </c>
      <c r="B3972">
        <v>12</v>
      </c>
      <c r="C3972">
        <v>13</v>
      </c>
      <c r="D3972">
        <v>19</v>
      </c>
      <c r="E3972">
        <f t="shared" si="61"/>
        <v>2.8967849702492427E-20</v>
      </c>
    </row>
    <row r="3973" spans="1:5" x14ac:dyDescent="0.25">
      <c r="A3973">
        <v>4</v>
      </c>
      <c r="B3973">
        <v>12</v>
      </c>
      <c r="C3973">
        <v>14</v>
      </c>
      <c r="D3973">
        <v>18</v>
      </c>
      <c r="E3973">
        <f t="shared" si="61"/>
        <v>2.9204321944961775E-19</v>
      </c>
    </row>
    <row r="3974" spans="1:5" x14ac:dyDescent="0.25">
      <c r="A3974">
        <v>4</v>
      </c>
      <c r="B3974">
        <v>12</v>
      </c>
      <c r="C3974">
        <v>15</v>
      </c>
      <c r="D3974">
        <v>17</v>
      </c>
      <c r="E3974">
        <f t="shared" si="61"/>
        <v>2.234130628789574E-18</v>
      </c>
    </row>
    <row r="3975" spans="1:5" x14ac:dyDescent="0.25">
      <c r="A3975">
        <v>4</v>
      </c>
      <c r="B3975">
        <v>12</v>
      </c>
      <c r="C3975">
        <v>16</v>
      </c>
      <c r="D3975">
        <v>16</v>
      </c>
      <c r="E3975">
        <f t="shared" si="61"/>
        <v>1.3187576628271793E-17</v>
      </c>
    </row>
    <row r="3976" spans="1:5" x14ac:dyDescent="0.25">
      <c r="A3976">
        <v>4</v>
      </c>
      <c r="B3976">
        <v>12</v>
      </c>
      <c r="C3976">
        <v>17</v>
      </c>
      <c r="D3976">
        <v>15</v>
      </c>
      <c r="E3976">
        <f t="shared" si="61"/>
        <v>6.0818000450382875E-17</v>
      </c>
    </row>
    <row r="3977" spans="1:5" x14ac:dyDescent="0.25">
      <c r="A3977">
        <v>4</v>
      </c>
      <c r="B3977">
        <v>12</v>
      </c>
      <c r="C3977">
        <v>18</v>
      </c>
      <c r="D3977">
        <v>14</v>
      </c>
      <c r="E3977">
        <f t="shared" si="61"/>
        <v>2.2115636527411937E-16</v>
      </c>
    </row>
    <row r="3978" spans="1:5" x14ac:dyDescent="0.25">
      <c r="A3978">
        <v>4</v>
      </c>
      <c r="B3978">
        <v>12</v>
      </c>
      <c r="C3978">
        <v>19</v>
      </c>
      <c r="D3978">
        <v>13</v>
      </c>
      <c r="E3978">
        <f t="shared" si="61"/>
        <v>6.3824951030864327E-16</v>
      </c>
    </row>
    <row r="3979" spans="1:5" x14ac:dyDescent="0.25">
      <c r="A3979">
        <v>4</v>
      </c>
      <c r="B3979">
        <v>12</v>
      </c>
      <c r="C3979">
        <v>20</v>
      </c>
      <c r="D3979">
        <v>12</v>
      </c>
      <c r="E3979">
        <f t="shared" si="61"/>
        <v>1.4679738737098805E-15</v>
      </c>
    </row>
    <row r="3980" spans="1:5" x14ac:dyDescent="0.25">
      <c r="A3980">
        <v>4</v>
      </c>
      <c r="B3980">
        <v>12</v>
      </c>
      <c r="C3980">
        <v>21</v>
      </c>
      <c r="D3980">
        <v>11</v>
      </c>
      <c r="E3980">
        <f t="shared" si="61"/>
        <v>2.6962785435487566E-15</v>
      </c>
    </row>
    <row r="3981" spans="1:5" x14ac:dyDescent="0.25">
      <c r="A3981">
        <v>4</v>
      </c>
      <c r="B3981">
        <v>12</v>
      </c>
      <c r="C3981">
        <v>22</v>
      </c>
      <c r="D3981">
        <v>10</v>
      </c>
      <c r="E3981">
        <f t="shared" si="61"/>
        <v>3.954541863871511E-15</v>
      </c>
    </row>
    <row r="3982" spans="1:5" x14ac:dyDescent="0.25">
      <c r="A3982">
        <v>4</v>
      </c>
      <c r="B3982">
        <v>12</v>
      </c>
      <c r="C3982">
        <v>23</v>
      </c>
      <c r="D3982">
        <v>9</v>
      </c>
      <c r="E3982">
        <f t="shared" ref="E3982:E4045" si="62">COMBIN(A$4,A3982)*COMBIN(B$4,B3982)*COMBIN(C$4,C3982)*COMBIN(D$4,D3982)/COMBIN($G$4,$F$4)</f>
        <v>4.6207961996324724E-15</v>
      </c>
    </row>
    <row r="3983" spans="1:5" x14ac:dyDescent="0.25">
      <c r="A3983">
        <v>4</v>
      </c>
      <c r="B3983">
        <v>12</v>
      </c>
      <c r="C3983">
        <v>24</v>
      </c>
      <c r="D3983">
        <v>8</v>
      </c>
      <c r="E3983">
        <f t="shared" si="62"/>
        <v>4.2810317731889076E-15</v>
      </c>
    </row>
    <row r="3984" spans="1:5" x14ac:dyDescent="0.25">
      <c r="A3984">
        <v>4</v>
      </c>
      <c r="B3984">
        <v>12</v>
      </c>
      <c r="C3984">
        <v>25</v>
      </c>
      <c r="D3984">
        <v>7</v>
      </c>
      <c r="E3984">
        <f t="shared" si="62"/>
        <v>3.1203964924576948E-15</v>
      </c>
    </row>
    <row r="3985" spans="1:5" x14ac:dyDescent="0.25">
      <c r="A3985">
        <v>4</v>
      </c>
      <c r="B3985">
        <v>12</v>
      </c>
      <c r="C3985">
        <v>26</v>
      </c>
      <c r="D3985">
        <v>6</v>
      </c>
      <c r="E3985">
        <f t="shared" si="62"/>
        <v>1.7686457851986914E-15</v>
      </c>
    </row>
    <row r="3986" spans="1:5" x14ac:dyDescent="0.25">
      <c r="A3986">
        <v>4</v>
      </c>
      <c r="B3986">
        <v>12</v>
      </c>
      <c r="C3986">
        <v>27</v>
      </c>
      <c r="D3986">
        <v>5</v>
      </c>
      <c r="E3986">
        <f t="shared" si="62"/>
        <v>7.6641317358609964E-16</v>
      </c>
    </row>
    <row r="3987" spans="1:5" x14ac:dyDescent="0.25">
      <c r="A3987">
        <v>4</v>
      </c>
      <c r="B3987">
        <v>12</v>
      </c>
      <c r="C3987">
        <v>28</v>
      </c>
      <c r="D3987">
        <v>4</v>
      </c>
      <c r="E3987">
        <f t="shared" si="62"/>
        <v>2.4765051527442005E-16</v>
      </c>
    </row>
    <row r="3988" spans="1:5" x14ac:dyDescent="0.25">
      <c r="A3988">
        <v>4</v>
      </c>
      <c r="B3988">
        <v>12</v>
      </c>
      <c r="C3988">
        <v>29</v>
      </c>
      <c r="D3988">
        <v>3</v>
      </c>
      <c r="E3988">
        <f t="shared" si="62"/>
        <v>5.7448708872436007E-17</v>
      </c>
    </row>
    <row r="3989" spans="1:5" x14ac:dyDescent="0.25">
      <c r="A3989">
        <v>4</v>
      </c>
      <c r="B3989">
        <v>12</v>
      </c>
      <c r="C3989">
        <v>30</v>
      </c>
      <c r="D3989">
        <v>2</v>
      </c>
      <c r="E3989">
        <f t="shared" si="62"/>
        <v>8.9919718235117205E-18</v>
      </c>
    </row>
    <row r="3990" spans="1:5" x14ac:dyDescent="0.25">
      <c r="A3990">
        <v>4</v>
      </c>
      <c r="B3990">
        <v>12</v>
      </c>
      <c r="C3990">
        <v>31</v>
      </c>
      <c r="D3990">
        <v>1</v>
      </c>
      <c r="E3990">
        <f t="shared" si="62"/>
        <v>8.4601885436266186E-19</v>
      </c>
    </row>
    <row r="3991" spans="1:5" x14ac:dyDescent="0.25">
      <c r="A3991">
        <v>4</v>
      </c>
      <c r="B3991">
        <v>12</v>
      </c>
      <c r="C3991">
        <v>32</v>
      </c>
      <c r="D3991">
        <v>0</v>
      </c>
      <c r="E3991">
        <f t="shared" si="62"/>
        <v>3.5955801310413124E-20</v>
      </c>
    </row>
    <row r="3992" spans="1:5" x14ac:dyDescent="0.25">
      <c r="A3992">
        <v>4</v>
      </c>
      <c r="B3992">
        <v>13</v>
      </c>
      <c r="C3992">
        <v>6</v>
      </c>
      <c r="D3992">
        <v>25</v>
      </c>
      <c r="E3992">
        <f t="shared" si="62"/>
        <v>1.7531001513350396E-29</v>
      </c>
    </row>
    <row r="3993" spans="1:5" x14ac:dyDescent="0.25">
      <c r="A3993">
        <v>4</v>
      </c>
      <c r="B3993">
        <v>13</v>
      </c>
      <c r="C3993">
        <v>7</v>
      </c>
      <c r="D3993">
        <v>24</v>
      </c>
      <c r="E3993">
        <f t="shared" si="62"/>
        <v>3.6940324617416909E-27</v>
      </c>
    </row>
    <row r="3994" spans="1:5" x14ac:dyDescent="0.25">
      <c r="A3994">
        <v>4</v>
      </c>
      <c r="B3994">
        <v>13</v>
      </c>
      <c r="C3994">
        <v>8</v>
      </c>
      <c r="D3994">
        <v>23</v>
      </c>
      <c r="E3994">
        <f t="shared" si="62"/>
        <v>3.2138082417152713E-25</v>
      </c>
    </row>
    <row r="3995" spans="1:5" x14ac:dyDescent="0.25">
      <c r="A3995">
        <v>4</v>
      </c>
      <c r="B3995">
        <v>13</v>
      </c>
      <c r="C3995">
        <v>9</v>
      </c>
      <c r="D3995">
        <v>22</v>
      </c>
      <c r="E3995">
        <f t="shared" si="62"/>
        <v>1.5604824462550816E-23</v>
      </c>
    </row>
    <row r="3996" spans="1:5" x14ac:dyDescent="0.25">
      <c r="A3996">
        <v>4</v>
      </c>
      <c r="B3996">
        <v>13</v>
      </c>
      <c r="C3996">
        <v>10</v>
      </c>
      <c r="D3996">
        <v>21</v>
      </c>
      <c r="E3996">
        <f t="shared" si="62"/>
        <v>4.8062859344656519E-22</v>
      </c>
    </row>
    <row r="3997" spans="1:5" x14ac:dyDescent="0.25">
      <c r="A3997">
        <v>4</v>
      </c>
      <c r="B3997">
        <v>13</v>
      </c>
      <c r="C3997">
        <v>11</v>
      </c>
      <c r="D3997">
        <v>20</v>
      </c>
      <c r="E3997">
        <f t="shared" si="62"/>
        <v>1.0093200462377867E-20</v>
      </c>
    </row>
    <row r="3998" spans="1:5" x14ac:dyDescent="0.25">
      <c r="A3998">
        <v>4</v>
      </c>
      <c r="B3998">
        <v>13</v>
      </c>
      <c r="C3998">
        <v>12</v>
      </c>
      <c r="D3998">
        <v>19</v>
      </c>
      <c r="E3998">
        <f t="shared" si="62"/>
        <v>1.513980069356679E-19</v>
      </c>
    </row>
    <row r="3999" spans="1:5" x14ac:dyDescent="0.25">
      <c r="A3999">
        <v>4</v>
      </c>
      <c r="B3999">
        <v>13</v>
      </c>
      <c r="C3999">
        <v>13</v>
      </c>
      <c r="D3999">
        <v>18</v>
      </c>
      <c r="E3999">
        <f t="shared" si="62"/>
        <v>1.6753603624639314E-18</v>
      </c>
    </row>
    <row r="4000" spans="1:5" x14ac:dyDescent="0.25">
      <c r="A4000">
        <v>4</v>
      </c>
      <c r="B4000">
        <v>13</v>
      </c>
      <c r="C4000">
        <v>14</v>
      </c>
      <c r="D4000">
        <v>17</v>
      </c>
      <c r="E4000">
        <f t="shared" si="62"/>
        <v>1.400122588630571E-17</v>
      </c>
    </row>
    <row r="4001" spans="1:5" x14ac:dyDescent="0.25">
      <c r="A4001">
        <v>4</v>
      </c>
      <c r="B4001">
        <v>13</v>
      </c>
      <c r="C4001">
        <v>15</v>
      </c>
      <c r="D4001">
        <v>16</v>
      </c>
      <c r="E4001">
        <f t="shared" si="62"/>
        <v>8.9918984025385512E-17</v>
      </c>
    </row>
    <row r="4002" spans="1:5" x14ac:dyDescent="0.25">
      <c r="A4002">
        <v>4</v>
      </c>
      <c r="B4002">
        <v>13</v>
      </c>
      <c r="C4002">
        <v>16</v>
      </c>
      <c r="D4002">
        <v>15</v>
      </c>
      <c r="E4002">
        <f t="shared" si="62"/>
        <v>4.495949201269276E-16</v>
      </c>
    </row>
    <row r="4003" spans="1:5" x14ac:dyDescent="0.25">
      <c r="A4003">
        <v>4</v>
      </c>
      <c r="B4003">
        <v>13</v>
      </c>
      <c r="C4003">
        <v>17</v>
      </c>
      <c r="D4003">
        <v>14</v>
      </c>
      <c r="E4003">
        <f t="shared" si="62"/>
        <v>1.7671244186807061E-15</v>
      </c>
    </row>
    <row r="4004" spans="1:5" x14ac:dyDescent="0.25">
      <c r="A4004">
        <v>4</v>
      </c>
      <c r="B4004">
        <v>13</v>
      </c>
      <c r="C4004">
        <v>18</v>
      </c>
      <c r="D4004">
        <v>13</v>
      </c>
      <c r="E4004">
        <f t="shared" si="62"/>
        <v>5.4977204136733028E-15</v>
      </c>
    </row>
    <row r="4005" spans="1:5" x14ac:dyDescent="0.25">
      <c r="A4005">
        <v>4</v>
      </c>
      <c r="B4005">
        <v>13</v>
      </c>
      <c r="C4005">
        <v>19</v>
      </c>
      <c r="D4005">
        <v>12</v>
      </c>
      <c r="E4005">
        <f t="shared" si="62"/>
        <v>1.359962418119186E-14</v>
      </c>
    </row>
    <row r="4006" spans="1:5" x14ac:dyDescent="0.25">
      <c r="A4006">
        <v>4</v>
      </c>
      <c r="B4006">
        <v>13</v>
      </c>
      <c r="C4006">
        <v>20</v>
      </c>
      <c r="D4006">
        <v>11</v>
      </c>
      <c r="E4006">
        <f t="shared" si="62"/>
        <v>2.6810687671492546E-14</v>
      </c>
    </row>
    <row r="4007" spans="1:5" x14ac:dyDescent="0.25">
      <c r="A4007">
        <v>4</v>
      </c>
      <c r="B4007">
        <v>13</v>
      </c>
      <c r="C4007">
        <v>21</v>
      </c>
      <c r="D4007">
        <v>10</v>
      </c>
      <c r="E4007">
        <f t="shared" si="62"/>
        <v>4.2131080626631086E-14</v>
      </c>
    </row>
    <row r="4008" spans="1:5" x14ac:dyDescent="0.25">
      <c r="A4008">
        <v>4</v>
      </c>
      <c r="B4008">
        <v>13</v>
      </c>
      <c r="C4008">
        <v>22</v>
      </c>
      <c r="D4008">
        <v>9</v>
      </c>
      <c r="E4008">
        <f t="shared" si="62"/>
        <v>5.2663850783288891E-14</v>
      </c>
    </row>
    <row r="4009" spans="1:5" x14ac:dyDescent="0.25">
      <c r="A4009">
        <v>4</v>
      </c>
      <c r="B4009">
        <v>13</v>
      </c>
      <c r="C4009">
        <v>23</v>
      </c>
      <c r="D4009">
        <v>8</v>
      </c>
      <c r="E4009">
        <f t="shared" si="62"/>
        <v>5.2125090161464954E-14</v>
      </c>
    </row>
    <row r="4010" spans="1:5" x14ac:dyDescent="0.25">
      <c r="A4010">
        <v>4</v>
      </c>
      <c r="B4010">
        <v>13</v>
      </c>
      <c r="C4010">
        <v>24</v>
      </c>
      <c r="D4010">
        <v>7</v>
      </c>
      <c r="E4010">
        <f t="shared" si="62"/>
        <v>4.0541736792250527E-14</v>
      </c>
    </row>
    <row r="4011" spans="1:5" x14ac:dyDescent="0.25">
      <c r="A4011">
        <v>4</v>
      </c>
      <c r="B4011">
        <v>13</v>
      </c>
      <c r="C4011">
        <v>25</v>
      </c>
      <c r="D4011">
        <v>6</v>
      </c>
      <c r="E4011">
        <f t="shared" si="62"/>
        <v>2.4495744125001898E-14</v>
      </c>
    </row>
    <row r="4012" spans="1:5" x14ac:dyDescent="0.25">
      <c r="A4012">
        <v>4</v>
      </c>
      <c r="B4012">
        <v>13</v>
      </c>
      <c r="C4012">
        <v>26</v>
      </c>
      <c r="D4012">
        <v>5</v>
      </c>
      <c r="E4012">
        <f t="shared" si="62"/>
        <v>1.1305728057693177E-14</v>
      </c>
    </row>
    <row r="4013" spans="1:5" x14ac:dyDescent="0.25">
      <c r="A4013">
        <v>4</v>
      </c>
      <c r="B4013">
        <v>13</v>
      </c>
      <c r="C4013">
        <v>27</v>
      </c>
      <c r="D4013">
        <v>4</v>
      </c>
      <c r="E4013">
        <f t="shared" si="62"/>
        <v>3.8882133531749028E-15</v>
      </c>
    </row>
    <row r="4014" spans="1:5" x14ac:dyDescent="0.25">
      <c r="A4014">
        <v>4</v>
      </c>
      <c r="B4014">
        <v>13</v>
      </c>
      <c r="C4014">
        <v>28</v>
      </c>
      <c r="D4014">
        <v>3</v>
      </c>
      <c r="E4014">
        <f t="shared" si="62"/>
        <v>9.5942926896523579E-16</v>
      </c>
    </row>
    <row r="4015" spans="1:5" x14ac:dyDescent="0.25">
      <c r="A4015">
        <v>4</v>
      </c>
      <c r="B4015">
        <v>13</v>
      </c>
      <c r="C4015">
        <v>29</v>
      </c>
      <c r="D4015">
        <v>2</v>
      </c>
      <c r="E4015">
        <f t="shared" si="62"/>
        <v>1.596651407123556E-16</v>
      </c>
    </row>
    <row r="4016" spans="1:5" x14ac:dyDescent="0.25">
      <c r="A4016">
        <v>4</v>
      </c>
      <c r="B4016">
        <v>13</v>
      </c>
      <c r="C4016">
        <v>30</v>
      </c>
      <c r="D4016">
        <v>1</v>
      </c>
      <c r="E4016">
        <f t="shared" si="62"/>
        <v>1.5966514071235559E-17</v>
      </c>
    </row>
    <row r="4017" spans="1:5" x14ac:dyDescent="0.25">
      <c r="A4017">
        <v>4</v>
      </c>
      <c r="B4017">
        <v>13</v>
      </c>
      <c r="C4017">
        <v>31</v>
      </c>
      <c r="D4017">
        <v>0</v>
      </c>
      <c r="E4017">
        <f t="shared" si="62"/>
        <v>7.2106837741063816E-19</v>
      </c>
    </row>
    <row r="4018" spans="1:5" x14ac:dyDescent="0.25">
      <c r="A4018">
        <v>4</v>
      </c>
      <c r="B4018">
        <v>14</v>
      </c>
      <c r="C4018">
        <v>5</v>
      </c>
      <c r="D4018">
        <v>25</v>
      </c>
      <c r="E4018">
        <f t="shared" si="62"/>
        <v>3.45611172691765E-29</v>
      </c>
    </row>
    <row r="4019" spans="1:5" x14ac:dyDescent="0.25">
      <c r="A4019">
        <v>4</v>
      </c>
      <c r="B4019">
        <v>14</v>
      </c>
      <c r="C4019">
        <v>6</v>
      </c>
      <c r="D4019">
        <v>24</v>
      </c>
      <c r="E4019">
        <f t="shared" si="62"/>
        <v>8.6402793172941246E-27</v>
      </c>
    </row>
    <row r="4020" spans="1:5" x14ac:dyDescent="0.25">
      <c r="A4020">
        <v>4</v>
      </c>
      <c r="B4020">
        <v>14</v>
      </c>
      <c r="C4020">
        <v>7</v>
      </c>
      <c r="D4020">
        <v>23</v>
      </c>
      <c r="E4020">
        <f t="shared" si="62"/>
        <v>8.7390253666346276E-25</v>
      </c>
    </row>
    <row r="4021" spans="1:5" x14ac:dyDescent="0.25">
      <c r="A4021">
        <v>4</v>
      </c>
      <c r="B4021">
        <v>14</v>
      </c>
      <c r="C4021">
        <v>8</v>
      </c>
      <c r="D4021">
        <v>22</v>
      </c>
      <c r="E4021">
        <f t="shared" si="62"/>
        <v>4.8574415996210817E-23</v>
      </c>
    </row>
    <row r="4022" spans="1:5" x14ac:dyDescent="0.25">
      <c r="A4022">
        <v>4</v>
      </c>
      <c r="B4022">
        <v>14</v>
      </c>
      <c r="C4022">
        <v>9</v>
      </c>
      <c r="D4022">
        <v>21</v>
      </c>
      <c r="E4022">
        <f t="shared" si="62"/>
        <v>1.6920088238680101E-21</v>
      </c>
    </row>
    <row r="4023" spans="1:5" x14ac:dyDescent="0.25">
      <c r="A4023">
        <v>4</v>
      </c>
      <c r="B4023">
        <v>14</v>
      </c>
      <c r="C4023">
        <v>10</v>
      </c>
      <c r="D4023">
        <v>20</v>
      </c>
      <c r="E4023">
        <f t="shared" si="62"/>
        <v>3.9796047537375584E-20</v>
      </c>
    </row>
    <row r="4024" spans="1:5" x14ac:dyDescent="0.25">
      <c r="A4024">
        <v>4</v>
      </c>
      <c r="B4024">
        <v>14</v>
      </c>
      <c r="C4024">
        <v>11</v>
      </c>
      <c r="D4024">
        <v>19</v>
      </c>
      <c r="E4024">
        <f t="shared" si="62"/>
        <v>6.632674589562599E-19</v>
      </c>
    </row>
    <row r="4025" spans="1:5" x14ac:dyDescent="0.25">
      <c r="A4025">
        <v>4</v>
      </c>
      <c r="B4025">
        <v>14</v>
      </c>
      <c r="C4025">
        <v>12</v>
      </c>
      <c r="D4025">
        <v>18</v>
      </c>
      <c r="E4025">
        <f t="shared" si="62"/>
        <v>8.1013382486800281E-18</v>
      </c>
    </row>
    <row r="4026" spans="1:5" x14ac:dyDescent="0.25">
      <c r="A4026">
        <v>4</v>
      </c>
      <c r="B4026">
        <v>14</v>
      </c>
      <c r="C4026">
        <v>13</v>
      </c>
      <c r="D4026">
        <v>17</v>
      </c>
      <c r="E4026">
        <f t="shared" si="62"/>
        <v>7.4314198935007211E-17</v>
      </c>
    </row>
    <row r="4027" spans="1:5" x14ac:dyDescent="0.25">
      <c r="A4027">
        <v>4</v>
      </c>
      <c r="B4027">
        <v>14</v>
      </c>
      <c r="C4027">
        <v>14</v>
      </c>
      <c r="D4027">
        <v>16</v>
      </c>
      <c r="E4027">
        <f t="shared" si="62"/>
        <v>5.2137898300433642E-16</v>
      </c>
    </row>
    <row r="4028" spans="1:5" x14ac:dyDescent="0.25">
      <c r="A4028">
        <v>4</v>
      </c>
      <c r="B4028">
        <v>14</v>
      </c>
      <c r="C4028">
        <v>15</v>
      </c>
      <c r="D4028">
        <v>15</v>
      </c>
      <c r="E4028">
        <f t="shared" si="62"/>
        <v>2.8363016675435886E-15</v>
      </c>
    </row>
    <row r="4029" spans="1:5" x14ac:dyDescent="0.25">
      <c r="A4029">
        <v>4</v>
      </c>
      <c r="B4029">
        <v>14</v>
      </c>
      <c r="C4029">
        <v>16</v>
      </c>
      <c r="D4029">
        <v>14</v>
      </c>
      <c r="E4029">
        <f t="shared" si="62"/>
        <v>1.2086512787827796E-14</v>
      </c>
    </row>
    <row r="4030" spans="1:5" x14ac:dyDescent="0.25">
      <c r="A4030">
        <v>4</v>
      </c>
      <c r="B4030">
        <v>14</v>
      </c>
      <c r="C4030">
        <v>17</v>
      </c>
      <c r="D4030">
        <v>13</v>
      </c>
      <c r="E4030">
        <f t="shared" si="62"/>
        <v>4.0643861629656244E-14</v>
      </c>
    </row>
    <row r="4031" spans="1:5" x14ac:dyDescent="0.25">
      <c r="A4031">
        <v>4</v>
      </c>
      <c r="B4031">
        <v>14</v>
      </c>
      <c r="C4031">
        <v>18</v>
      </c>
      <c r="D4031">
        <v>12</v>
      </c>
      <c r="E4031">
        <f t="shared" si="62"/>
        <v>1.0838363101241654E-13</v>
      </c>
    </row>
    <row r="4032" spans="1:5" x14ac:dyDescent="0.25">
      <c r="A4032">
        <v>4</v>
      </c>
      <c r="B4032">
        <v>14</v>
      </c>
      <c r="C4032">
        <v>19</v>
      </c>
      <c r="D4032">
        <v>11</v>
      </c>
      <c r="E4032">
        <f t="shared" si="62"/>
        <v>2.2980589432707875E-13</v>
      </c>
    </row>
    <row r="4033" spans="1:5" x14ac:dyDescent="0.25">
      <c r="A4033">
        <v>4</v>
      </c>
      <c r="B4033">
        <v>14</v>
      </c>
      <c r="C4033">
        <v>20</v>
      </c>
      <c r="D4033">
        <v>10</v>
      </c>
      <c r="E4033">
        <f t="shared" si="62"/>
        <v>3.8760594176500638E-13</v>
      </c>
    </row>
    <row r="4034" spans="1:5" x14ac:dyDescent="0.25">
      <c r="A4034">
        <v>4</v>
      </c>
      <c r="B4034">
        <v>14</v>
      </c>
      <c r="C4034">
        <v>21</v>
      </c>
      <c r="D4034">
        <v>9</v>
      </c>
      <c r="E4034">
        <f t="shared" si="62"/>
        <v>5.1911510057813302E-13</v>
      </c>
    </row>
    <row r="4035" spans="1:5" x14ac:dyDescent="0.25">
      <c r="A4035">
        <v>4</v>
      </c>
      <c r="B4035">
        <v>14</v>
      </c>
      <c r="C4035">
        <v>22</v>
      </c>
      <c r="D4035">
        <v>8</v>
      </c>
      <c r="E4035">
        <f t="shared" si="62"/>
        <v>5.4965128296508238E-13</v>
      </c>
    </row>
    <row r="4036" spans="1:5" x14ac:dyDescent="0.25">
      <c r="A4036">
        <v>4</v>
      </c>
      <c r="B4036">
        <v>14</v>
      </c>
      <c r="C4036">
        <v>23</v>
      </c>
      <c r="D4036">
        <v>7</v>
      </c>
      <c r="E4036">
        <f t="shared" si="62"/>
        <v>4.5671507570045495E-13</v>
      </c>
    </row>
    <row r="4037" spans="1:5" x14ac:dyDescent="0.25">
      <c r="A4037">
        <v>4</v>
      </c>
      <c r="B4037">
        <v>14</v>
      </c>
      <c r="C4037">
        <v>24</v>
      </c>
      <c r="D4037">
        <v>6</v>
      </c>
      <c r="E4037">
        <f t="shared" si="62"/>
        <v>2.9446103564897737E-13</v>
      </c>
    </row>
    <row r="4038" spans="1:5" x14ac:dyDescent="0.25">
      <c r="A4038">
        <v>4</v>
      </c>
      <c r="B4038">
        <v>14</v>
      </c>
      <c r="C4038">
        <v>25</v>
      </c>
      <c r="D4038">
        <v>5</v>
      </c>
      <c r="E4038">
        <f t="shared" si="62"/>
        <v>1.4487482953929695E-13</v>
      </c>
    </row>
    <row r="4039" spans="1:5" x14ac:dyDescent="0.25">
      <c r="A4039">
        <v>4</v>
      </c>
      <c r="B4039">
        <v>14</v>
      </c>
      <c r="C4039">
        <v>26</v>
      </c>
      <c r="D4039">
        <v>4</v>
      </c>
      <c r="E4039">
        <f t="shared" si="62"/>
        <v>5.306770312794757E-14</v>
      </c>
    </row>
    <row r="4040" spans="1:5" x14ac:dyDescent="0.25">
      <c r="A4040">
        <v>4</v>
      </c>
      <c r="B4040">
        <v>14</v>
      </c>
      <c r="C4040">
        <v>27</v>
      </c>
      <c r="D4040">
        <v>3</v>
      </c>
      <c r="E4040">
        <f t="shared" si="62"/>
        <v>1.3936972538652896E-14</v>
      </c>
    </row>
    <row r="4041" spans="1:5" x14ac:dyDescent="0.25">
      <c r="A4041">
        <v>4</v>
      </c>
      <c r="B4041">
        <v>14</v>
      </c>
      <c r="C4041">
        <v>28</v>
      </c>
      <c r="D4041">
        <v>2</v>
      </c>
      <c r="E4041">
        <f t="shared" si="62"/>
        <v>2.467103834482035E-15</v>
      </c>
    </row>
    <row r="4042" spans="1:5" x14ac:dyDescent="0.25">
      <c r="A4042">
        <v>4</v>
      </c>
      <c r="B4042">
        <v>14</v>
      </c>
      <c r="C4042">
        <v>29</v>
      </c>
      <c r="D4042">
        <v>1</v>
      </c>
      <c r="E4042">
        <f t="shared" si="62"/>
        <v>2.6230701688458418E-16</v>
      </c>
    </row>
    <row r="4043" spans="1:5" x14ac:dyDescent="0.25">
      <c r="A4043">
        <v>4</v>
      </c>
      <c r="B4043">
        <v>14</v>
      </c>
      <c r="C4043">
        <v>30</v>
      </c>
      <c r="D4043">
        <v>0</v>
      </c>
      <c r="E4043">
        <f t="shared" si="62"/>
        <v>1.259073681046004E-17</v>
      </c>
    </row>
    <row r="4044" spans="1:5" x14ac:dyDescent="0.25">
      <c r="A4044">
        <v>4</v>
      </c>
      <c r="B4044">
        <v>15</v>
      </c>
      <c r="C4044">
        <v>4</v>
      </c>
      <c r="D4044">
        <v>25</v>
      </c>
      <c r="E4044">
        <f t="shared" si="62"/>
        <v>5.1936105185920949E-29</v>
      </c>
    </row>
    <row r="4045" spans="1:5" x14ac:dyDescent="0.25">
      <c r="A4045">
        <v>4</v>
      </c>
      <c r="B4045">
        <v>15</v>
      </c>
      <c r="C4045">
        <v>5</v>
      </c>
      <c r="D4045">
        <v>24</v>
      </c>
      <c r="E4045">
        <f t="shared" si="62"/>
        <v>1.584051208170589E-26</v>
      </c>
    </row>
    <row r="4046" spans="1:5" x14ac:dyDescent="0.25">
      <c r="A4046">
        <v>4</v>
      </c>
      <c r="B4046">
        <v>15</v>
      </c>
      <c r="C4046">
        <v>6</v>
      </c>
      <c r="D4046">
        <v>23</v>
      </c>
      <c r="E4046">
        <f t="shared" ref="E4046:E4109" si="63">COMBIN(A$4,A4046)*COMBIN(B$4,B4046)*COMBIN(C$4,C4046)*COMBIN(D$4,D4046)/COMBIN($G$4,$F$4)</f>
        <v>1.900861449804707E-24</v>
      </c>
    </row>
    <row r="4047" spans="1:5" x14ac:dyDescent="0.25">
      <c r="A4047">
        <v>4</v>
      </c>
      <c r="B4047">
        <v>15</v>
      </c>
      <c r="C4047">
        <v>7</v>
      </c>
      <c r="D4047">
        <v>22</v>
      </c>
      <c r="E4047">
        <f t="shared" si="63"/>
        <v>1.2283185654214226E-22</v>
      </c>
    </row>
    <row r="4048" spans="1:5" x14ac:dyDescent="0.25">
      <c r="A4048">
        <v>4</v>
      </c>
      <c r="B4048">
        <v>15</v>
      </c>
      <c r="C4048">
        <v>8</v>
      </c>
      <c r="D4048">
        <v>21</v>
      </c>
      <c r="E4048">
        <f t="shared" si="63"/>
        <v>4.8979202796179234E-21</v>
      </c>
    </row>
    <row r="4049" spans="1:5" x14ac:dyDescent="0.25">
      <c r="A4049">
        <v>4</v>
      </c>
      <c r="B4049">
        <v>15</v>
      </c>
      <c r="C4049">
        <v>9</v>
      </c>
      <c r="D4049">
        <v>20</v>
      </c>
      <c r="E4049">
        <f t="shared" si="63"/>
        <v>1.3028467943783671E-19</v>
      </c>
    </row>
    <row r="4050" spans="1:5" x14ac:dyDescent="0.25">
      <c r="A4050">
        <v>4</v>
      </c>
      <c r="B4050">
        <v>15</v>
      </c>
      <c r="C4050">
        <v>10</v>
      </c>
      <c r="D4050">
        <v>19</v>
      </c>
      <c r="E4050">
        <f t="shared" si="63"/>
        <v>2.4319806828396192E-18</v>
      </c>
    </row>
    <row r="4051" spans="1:5" x14ac:dyDescent="0.25">
      <c r="A4051">
        <v>4</v>
      </c>
      <c r="B4051">
        <v>15</v>
      </c>
      <c r="C4051">
        <v>11</v>
      </c>
      <c r="D4051">
        <v>18</v>
      </c>
      <c r="E4051">
        <f t="shared" si="63"/>
        <v>3.3005452124251984E-17</v>
      </c>
    </row>
    <row r="4052" spans="1:5" x14ac:dyDescent="0.25">
      <c r="A4052">
        <v>4</v>
      </c>
      <c r="B4052">
        <v>15</v>
      </c>
      <c r="C4052">
        <v>12</v>
      </c>
      <c r="D4052">
        <v>17</v>
      </c>
      <c r="E4052">
        <f t="shared" si="63"/>
        <v>3.341802027580511E-16</v>
      </c>
    </row>
    <row r="4053" spans="1:5" x14ac:dyDescent="0.25">
      <c r="A4053">
        <v>4</v>
      </c>
      <c r="B4053">
        <v>15</v>
      </c>
      <c r="C4053">
        <v>13</v>
      </c>
      <c r="D4053">
        <v>16</v>
      </c>
      <c r="E4053">
        <f t="shared" si="63"/>
        <v>2.5734731853419162E-15</v>
      </c>
    </row>
    <row r="4054" spans="1:5" x14ac:dyDescent="0.25">
      <c r="A4054">
        <v>4</v>
      </c>
      <c r="B4054">
        <v>15</v>
      </c>
      <c r="C4054">
        <v>14</v>
      </c>
      <c r="D4054">
        <v>15</v>
      </c>
      <c r="E4054">
        <f t="shared" si="63"/>
        <v>1.5293783501460529E-14</v>
      </c>
    </row>
    <row r="4055" spans="1:5" x14ac:dyDescent="0.25">
      <c r="A4055">
        <v>4</v>
      </c>
      <c r="B4055">
        <v>15</v>
      </c>
      <c r="C4055">
        <v>15</v>
      </c>
      <c r="D4055">
        <v>14</v>
      </c>
      <c r="E4055">
        <f t="shared" si="63"/>
        <v>7.0907541688589709E-14</v>
      </c>
    </row>
    <row r="4056" spans="1:5" x14ac:dyDescent="0.25">
      <c r="A4056">
        <v>4</v>
      </c>
      <c r="B4056">
        <v>15</v>
      </c>
      <c r="C4056">
        <v>16</v>
      </c>
      <c r="D4056">
        <v>13</v>
      </c>
      <c r="E4056">
        <f t="shared" si="63"/>
        <v>2.5851707907298339E-13</v>
      </c>
    </row>
    <row r="4057" spans="1:5" x14ac:dyDescent="0.25">
      <c r="A4057">
        <v>4</v>
      </c>
      <c r="B4057">
        <v>15</v>
      </c>
      <c r="C4057">
        <v>17</v>
      </c>
      <c r="D4057">
        <v>12</v>
      </c>
      <c r="E4057">
        <f t="shared" si="63"/>
        <v>7.4513746321036432E-13</v>
      </c>
    </row>
    <row r="4058" spans="1:5" x14ac:dyDescent="0.25">
      <c r="A4058">
        <v>4</v>
      </c>
      <c r="B4058">
        <v>15</v>
      </c>
      <c r="C4058">
        <v>18</v>
      </c>
      <c r="D4058">
        <v>11</v>
      </c>
      <c r="E4058">
        <f t="shared" si="63"/>
        <v>1.7031713444808309E-12</v>
      </c>
    </row>
    <row r="4059" spans="1:5" x14ac:dyDescent="0.25">
      <c r="A4059">
        <v>4</v>
      </c>
      <c r="B4059">
        <v>15</v>
      </c>
      <c r="C4059">
        <v>19</v>
      </c>
      <c r="D4059">
        <v>10</v>
      </c>
      <c r="E4059">
        <f t="shared" si="63"/>
        <v>3.0896125792862804E-12</v>
      </c>
    </row>
    <row r="4060" spans="1:5" x14ac:dyDescent="0.25">
      <c r="A4060">
        <v>4</v>
      </c>
      <c r="B4060">
        <v>15</v>
      </c>
      <c r="C4060">
        <v>20</v>
      </c>
      <c r="D4060">
        <v>9</v>
      </c>
      <c r="E4060">
        <f t="shared" si="63"/>
        <v>4.441318082724032E-12</v>
      </c>
    </row>
    <row r="4061" spans="1:5" x14ac:dyDescent="0.25">
      <c r="A4061">
        <v>4</v>
      </c>
      <c r="B4061">
        <v>15</v>
      </c>
      <c r="C4061">
        <v>21</v>
      </c>
      <c r="D4061">
        <v>8</v>
      </c>
      <c r="E4061">
        <f t="shared" si="63"/>
        <v>5.0384700938465849E-12</v>
      </c>
    </row>
    <row r="4062" spans="1:5" x14ac:dyDescent="0.25">
      <c r="A4062">
        <v>4</v>
      </c>
      <c r="B4062">
        <v>15</v>
      </c>
      <c r="C4062">
        <v>22</v>
      </c>
      <c r="D4062">
        <v>7</v>
      </c>
      <c r="E4062">
        <f t="shared" si="63"/>
        <v>4.4786400834191909E-12</v>
      </c>
    </row>
    <row r="4063" spans="1:5" x14ac:dyDescent="0.25">
      <c r="A4063">
        <v>4</v>
      </c>
      <c r="B4063">
        <v>15</v>
      </c>
      <c r="C4063">
        <v>23</v>
      </c>
      <c r="D4063">
        <v>6</v>
      </c>
      <c r="E4063">
        <f t="shared" si="63"/>
        <v>3.0848298972750011E-12</v>
      </c>
    </row>
    <row r="4064" spans="1:5" x14ac:dyDescent="0.25">
      <c r="A4064">
        <v>4</v>
      </c>
      <c r="B4064">
        <v>15</v>
      </c>
      <c r="C4064">
        <v>24</v>
      </c>
      <c r="D4064">
        <v>5</v>
      </c>
      <c r="E4064">
        <f t="shared" si="63"/>
        <v>1.6195356960693756E-12</v>
      </c>
    </row>
    <row r="4065" spans="1:5" x14ac:dyDescent="0.25">
      <c r="A4065">
        <v>4</v>
      </c>
      <c r="B4065">
        <v>15</v>
      </c>
      <c r="C4065">
        <v>25</v>
      </c>
      <c r="D4065">
        <v>4</v>
      </c>
      <c r="E4065">
        <f t="shared" si="63"/>
        <v>6.3239012894137563E-13</v>
      </c>
    </row>
    <row r="4066" spans="1:5" x14ac:dyDescent="0.25">
      <c r="A4066">
        <v>4</v>
      </c>
      <c r="B4066">
        <v>15</v>
      </c>
      <c r="C4066">
        <v>26</v>
      </c>
      <c r="D4066">
        <v>3</v>
      </c>
      <c r="E4066">
        <f t="shared" si="63"/>
        <v>1.7689234375982522E-13</v>
      </c>
    </row>
    <row r="4067" spans="1:5" x14ac:dyDescent="0.25">
      <c r="A4067">
        <v>4</v>
      </c>
      <c r="B4067">
        <v>15</v>
      </c>
      <c r="C4067">
        <v>27</v>
      </c>
      <c r="D4067">
        <v>2</v>
      </c>
      <c r="E4067">
        <f t="shared" si="63"/>
        <v>3.3327543027213444E-14</v>
      </c>
    </row>
    <row r="4068" spans="1:5" x14ac:dyDescent="0.25">
      <c r="A4068">
        <v>4</v>
      </c>
      <c r="B4068">
        <v>15</v>
      </c>
      <c r="C4068">
        <v>28</v>
      </c>
      <c r="D4068">
        <v>1</v>
      </c>
      <c r="E4068">
        <f t="shared" si="63"/>
        <v>3.7691864137919967E-15</v>
      </c>
    </row>
    <row r="4069" spans="1:5" x14ac:dyDescent="0.25">
      <c r="A4069">
        <v>4</v>
      </c>
      <c r="B4069">
        <v>15</v>
      </c>
      <c r="C4069">
        <v>29</v>
      </c>
      <c r="D4069">
        <v>0</v>
      </c>
      <c r="E4069">
        <f t="shared" si="63"/>
        <v>1.9235847904869507E-16</v>
      </c>
    </row>
    <row r="4070" spans="1:5" x14ac:dyDescent="0.25">
      <c r="A4070">
        <v>4</v>
      </c>
      <c r="B4070">
        <v>16</v>
      </c>
      <c r="C4070">
        <v>3</v>
      </c>
      <c r="D4070">
        <v>25</v>
      </c>
      <c r="E4070">
        <f t="shared" si="63"/>
        <v>5.738101943928363E-29</v>
      </c>
    </row>
    <row r="4071" spans="1:5" x14ac:dyDescent="0.25">
      <c r="A4071">
        <v>4</v>
      </c>
      <c r="B4071">
        <v>16</v>
      </c>
      <c r="C4071">
        <v>4</v>
      </c>
      <c r="D4071">
        <v>24</v>
      </c>
      <c r="E4071">
        <f t="shared" si="63"/>
        <v>2.2235145032722406E-26</v>
      </c>
    </row>
    <row r="4072" spans="1:5" x14ac:dyDescent="0.25">
      <c r="A4072">
        <v>4</v>
      </c>
      <c r="B4072">
        <v>16</v>
      </c>
      <c r="C4072">
        <v>5</v>
      </c>
      <c r="D4072">
        <v>23</v>
      </c>
      <c r="E4072">
        <f t="shared" si="63"/>
        <v>3.2552252327905603E-24</v>
      </c>
    </row>
    <row r="4073" spans="1:5" x14ac:dyDescent="0.25">
      <c r="A4073">
        <v>4</v>
      </c>
      <c r="B4073">
        <v>16</v>
      </c>
      <c r="C4073">
        <v>6</v>
      </c>
      <c r="D4073">
        <v>22</v>
      </c>
      <c r="E4073">
        <f t="shared" si="63"/>
        <v>2.4956726784727627E-22</v>
      </c>
    </row>
    <row r="4074" spans="1:5" x14ac:dyDescent="0.25">
      <c r="A4074">
        <v>4</v>
      </c>
      <c r="B4074">
        <v>16</v>
      </c>
      <c r="C4074">
        <v>7</v>
      </c>
      <c r="D4074">
        <v>21</v>
      </c>
      <c r="E4074">
        <f t="shared" si="63"/>
        <v>1.1569225488063024E-20</v>
      </c>
    </row>
    <row r="4075" spans="1:5" x14ac:dyDescent="0.25">
      <c r="A4075">
        <v>4</v>
      </c>
      <c r="B4075">
        <v>16</v>
      </c>
      <c r="C4075">
        <v>8</v>
      </c>
      <c r="D4075">
        <v>20</v>
      </c>
      <c r="E4075">
        <f t="shared" si="63"/>
        <v>3.5228291611151904E-19</v>
      </c>
    </row>
    <row r="4076" spans="1:5" x14ac:dyDescent="0.25">
      <c r="A4076">
        <v>4</v>
      </c>
      <c r="B4076">
        <v>16</v>
      </c>
      <c r="C4076">
        <v>9</v>
      </c>
      <c r="D4076">
        <v>19</v>
      </c>
      <c r="E4076">
        <f t="shared" si="63"/>
        <v>7.4370837845765116E-18</v>
      </c>
    </row>
    <row r="4077" spans="1:5" x14ac:dyDescent="0.25">
      <c r="A4077">
        <v>4</v>
      </c>
      <c r="B4077">
        <v>16</v>
      </c>
      <c r="C4077">
        <v>10</v>
      </c>
      <c r="D4077">
        <v>18</v>
      </c>
      <c r="E4077">
        <f t="shared" si="63"/>
        <v>1.1304367352556305E-16</v>
      </c>
    </row>
    <row r="4078" spans="1:5" x14ac:dyDescent="0.25">
      <c r="A4078">
        <v>4</v>
      </c>
      <c r="B4078">
        <v>16</v>
      </c>
      <c r="C4078">
        <v>11</v>
      </c>
      <c r="D4078">
        <v>17</v>
      </c>
      <c r="E4078">
        <f t="shared" si="63"/>
        <v>1.2717413271625841E-15</v>
      </c>
    </row>
    <row r="4079" spans="1:5" x14ac:dyDescent="0.25">
      <c r="A4079">
        <v>4</v>
      </c>
      <c r="B4079">
        <v>16</v>
      </c>
      <c r="C4079">
        <v>12</v>
      </c>
      <c r="D4079">
        <v>16</v>
      </c>
      <c r="E4079">
        <f t="shared" si="63"/>
        <v>1.0809801280881957E-14</v>
      </c>
    </row>
    <row r="4080" spans="1:5" x14ac:dyDescent="0.25">
      <c r="A4080">
        <v>4</v>
      </c>
      <c r="B4080">
        <v>16</v>
      </c>
      <c r="C4080">
        <v>13</v>
      </c>
      <c r="D4080">
        <v>15</v>
      </c>
      <c r="E4080">
        <f t="shared" si="63"/>
        <v>7.0513165278368489E-14</v>
      </c>
    </row>
    <row r="4081" spans="1:5" x14ac:dyDescent="0.25">
      <c r="A4081">
        <v>4</v>
      </c>
      <c r="B4081">
        <v>16</v>
      </c>
      <c r="C4081">
        <v>14</v>
      </c>
      <c r="D4081">
        <v>14</v>
      </c>
      <c r="E4081">
        <f t="shared" si="63"/>
        <v>3.5714460335797035E-13</v>
      </c>
    </row>
    <row r="4082" spans="1:5" x14ac:dyDescent="0.25">
      <c r="A4082">
        <v>4</v>
      </c>
      <c r="B4082">
        <v>16</v>
      </c>
      <c r="C4082">
        <v>15</v>
      </c>
      <c r="D4082">
        <v>13</v>
      </c>
      <c r="E4082">
        <f t="shared" si="63"/>
        <v>1.4166735933199486E-12</v>
      </c>
    </row>
    <row r="4083" spans="1:5" x14ac:dyDescent="0.25">
      <c r="A4083">
        <v>4</v>
      </c>
      <c r="B4083">
        <v>16</v>
      </c>
      <c r="C4083">
        <v>16</v>
      </c>
      <c r="D4083">
        <v>12</v>
      </c>
      <c r="E4083">
        <f t="shared" si="63"/>
        <v>4.4271049791248408E-12</v>
      </c>
    </row>
    <row r="4084" spans="1:5" x14ac:dyDescent="0.25">
      <c r="A4084">
        <v>4</v>
      </c>
      <c r="B4084">
        <v>16</v>
      </c>
      <c r="C4084">
        <v>17</v>
      </c>
      <c r="D4084">
        <v>11</v>
      </c>
      <c r="E4084">
        <f t="shared" si="63"/>
        <v>1.0937553477837845E-11</v>
      </c>
    </row>
    <row r="4085" spans="1:5" x14ac:dyDescent="0.25">
      <c r="A4085">
        <v>4</v>
      </c>
      <c r="B4085">
        <v>16</v>
      </c>
      <c r="C4085">
        <v>18</v>
      </c>
      <c r="D4085">
        <v>10</v>
      </c>
      <c r="E4085">
        <f t="shared" si="63"/>
        <v>2.1388993467771761E-11</v>
      </c>
    </row>
    <row r="4086" spans="1:5" x14ac:dyDescent="0.25">
      <c r="A4086">
        <v>4</v>
      </c>
      <c r="B4086">
        <v>16</v>
      </c>
      <c r="C4086">
        <v>19</v>
      </c>
      <c r="D4086">
        <v>9</v>
      </c>
      <c r="E4086">
        <f t="shared" si="63"/>
        <v>3.3068509637673464E-11</v>
      </c>
    </row>
    <row r="4087" spans="1:5" x14ac:dyDescent="0.25">
      <c r="A4087">
        <v>4</v>
      </c>
      <c r="B4087">
        <v>16</v>
      </c>
      <c r="C4087">
        <v>20</v>
      </c>
      <c r="D4087">
        <v>8</v>
      </c>
      <c r="E4087">
        <f t="shared" si="63"/>
        <v>4.0265773499990668E-11</v>
      </c>
    </row>
    <row r="4088" spans="1:5" x14ac:dyDescent="0.25">
      <c r="A4088">
        <v>4</v>
      </c>
      <c r="B4088">
        <v>16</v>
      </c>
      <c r="C4088">
        <v>21</v>
      </c>
      <c r="D4088">
        <v>7</v>
      </c>
      <c r="E4088">
        <f t="shared" si="63"/>
        <v>3.8348355714276788E-11</v>
      </c>
    </row>
    <row r="4089" spans="1:5" x14ac:dyDescent="0.25">
      <c r="A4089">
        <v>4</v>
      </c>
      <c r="B4089">
        <v>16</v>
      </c>
      <c r="C4089">
        <v>22</v>
      </c>
      <c r="D4089">
        <v>6</v>
      </c>
      <c r="E4089">
        <f t="shared" si="63"/>
        <v>2.8256683157888166E-11</v>
      </c>
    </row>
    <row r="4090" spans="1:5" x14ac:dyDescent="0.25">
      <c r="A4090">
        <v>4</v>
      </c>
      <c r="B4090">
        <v>16</v>
      </c>
      <c r="C4090">
        <v>23</v>
      </c>
      <c r="D4090">
        <v>5</v>
      </c>
      <c r="E4090">
        <f t="shared" si="63"/>
        <v>1.5848313597250314E-11</v>
      </c>
    </row>
    <row r="4091" spans="1:5" x14ac:dyDescent="0.25">
      <c r="A4091">
        <v>4</v>
      </c>
      <c r="B4091">
        <v>16</v>
      </c>
      <c r="C4091">
        <v>24</v>
      </c>
      <c r="D4091">
        <v>4</v>
      </c>
      <c r="E4091">
        <f t="shared" si="63"/>
        <v>6.6034639988542996E-12</v>
      </c>
    </row>
    <row r="4092" spans="1:5" x14ac:dyDescent="0.25">
      <c r="A4092">
        <v>4</v>
      </c>
      <c r="B4092">
        <v>16</v>
      </c>
      <c r="C4092">
        <v>25</v>
      </c>
      <c r="D4092">
        <v>3</v>
      </c>
      <c r="E4092">
        <f t="shared" si="63"/>
        <v>1.9690329014765556E-12</v>
      </c>
    </row>
    <row r="4093" spans="1:5" x14ac:dyDescent="0.25">
      <c r="A4093">
        <v>4</v>
      </c>
      <c r="B4093">
        <v>16</v>
      </c>
      <c r="C4093">
        <v>26</v>
      </c>
      <c r="D4093">
        <v>2</v>
      </c>
      <c r="E4093">
        <f t="shared" si="63"/>
        <v>3.951236591591747E-13</v>
      </c>
    </row>
    <row r="4094" spans="1:5" x14ac:dyDescent="0.25">
      <c r="A4094">
        <v>4</v>
      </c>
      <c r="B4094">
        <v>16</v>
      </c>
      <c r="C4094">
        <v>27</v>
      </c>
      <c r="D4094">
        <v>1</v>
      </c>
      <c r="E4094">
        <f t="shared" si="63"/>
        <v>4.7561181195085842E-14</v>
      </c>
    </row>
    <row r="4095" spans="1:5" x14ac:dyDescent="0.25">
      <c r="A4095">
        <v>4</v>
      </c>
      <c r="B4095">
        <v>16</v>
      </c>
      <c r="C4095">
        <v>28</v>
      </c>
      <c r="D4095">
        <v>0</v>
      </c>
      <c r="E4095">
        <f t="shared" si="63"/>
        <v>2.5818926934475175E-15</v>
      </c>
    </row>
    <row r="4096" spans="1:5" x14ac:dyDescent="0.25">
      <c r="A4096">
        <v>4</v>
      </c>
      <c r="B4096">
        <v>17</v>
      </c>
      <c r="C4096">
        <v>2</v>
      </c>
      <c r="D4096">
        <v>25</v>
      </c>
      <c r="E4096">
        <f t="shared" si="63"/>
        <v>4.387960310062867E-29</v>
      </c>
    </row>
    <row r="4097" spans="1:5" x14ac:dyDescent="0.25">
      <c r="A4097">
        <v>4</v>
      </c>
      <c r="B4097">
        <v>17</v>
      </c>
      <c r="C4097">
        <v>3</v>
      </c>
      <c r="D4097">
        <v>24</v>
      </c>
      <c r="E4097">
        <f t="shared" si="63"/>
        <v>2.3036791627830054E-26</v>
      </c>
    </row>
    <row r="4098" spans="1:5" x14ac:dyDescent="0.25">
      <c r="A4098">
        <v>4</v>
      </c>
      <c r="B4098">
        <v>17</v>
      </c>
      <c r="C4098">
        <v>4</v>
      </c>
      <c r="D4098">
        <v>23</v>
      </c>
      <c r="E4098">
        <f t="shared" si="63"/>
        <v>4.2848432427763897E-24</v>
      </c>
    </row>
    <row r="4099" spans="1:5" x14ac:dyDescent="0.25">
      <c r="A4099">
        <v>4</v>
      </c>
      <c r="B4099">
        <v>17</v>
      </c>
      <c r="C4099">
        <v>5</v>
      </c>
      <c r="D4099">
        <v>22</v>
      </c>
      <c r="E4099">
        <f t="shared" si="63"/>
        <v>4.0077567130768502E-22</v>
      </c>
    </row>
    <row r="4100" spans="1:5" x14ac:dyDescent="0.25">
      <c r="A4100">
        <v>4</v>
      </c>
      <c r="B4100">
        <v>17</v>
      </c>
      <c r="C4100">
        <v>6</v>
      </c>
      <c r="D4100">
        <v>21</v>
      </c>
      <c r="E4100">
        <f t="shared" si="63"/>
        <v>2.2042661921922676E-20</v>
      </c>
    </row>
    <row r="4101" spans="1:5" x14ac:dyDescent="0.25">
      <c r="A4101">
        <v>4</v>
      </c>
      <c r="B4101">
        <v>17</v>
      </c>
      <c r="C4101">
        <v>7</v>
      </c>
      <c r="D4101">
        <v>20</v>
      </c>
      <c r="E4101">
        <f t="shared" si="63"/>
        <v>7.8031023203606255E-19</v>
      </c>
    </row>
    <row r="4102" spans="1:5" x14ac:dyDescent="0.25">
      <c r="A4102">
        <v>4</v>
      </c>
      <c r="B4102">
        <v>17</v>
      </c>
      <c r="C4102">
        <v>8</v>
      </c>
      <c r="D4102">
        <v>19</v>
      </c>
      <c r="E4102">
        <f t="shared" si="63"/>
        <v>1.8857497274204846E-17</v>
      </c>
    </row>
    <row r="4103" spans="1:5" x14ac:dyDescent="0.25">
      <c r="A4103">
        <v>4</v>
      </c>
      <c r="B4103">
        <v>17</v>
      </c>
      <c r="C4103">
        <v>9</v>
      </c>
      <c r="D4103">
        <v>18</v>
      </c>
      <c r="E4103">
        <f t="shared" si="63"/>
        <v>3.2416935790418819E-16</v>
      </c>
    </row>
    <row r="4104" spans="1:5" x14ac:dyDescent="0.25">
      <c r="A4104">
        <v>4</v>
      </c>
      <c r="B4104">
        <v>17</v>
      </c>
      <c r="C4104">
        <v>10</v>
      </c>
      <c r="D4104">
        <v>17</v>
      </c>
      <c r="E4104">
        <f t="shared" si="63"/>
        <v>4.0845339095927705E-15</v>
      </c>
    </row>
    <row r="4105" spans="1:5" x14ac:dyDescent="0.25">
      <c r="A4105">
        <v>4</v>
      </c>
      <c r="B4105">
        <v>17</v>
      </c>
      <c r="C4105">
        <v>11</v>
      </c>
      <c r="D4105">
        <v>16</v>
      </c>
      <c r="E4105">
        <f t="shared" si="63"/>
        <v>3.8576153590598396E-14</v>
      </c>
    </row>
    <row r="4106" spans="1:5" x14ac:dyDescent="0.25">
      <c r="A4106">
        <v>4</v>
      </c>
      <c r="B4106">
        <v>17</v>
      </c>
      <c r="C4106">
        <v>12</v>
      </c>
      <c r="D4106">
        <v>15</v>
      </c>
      <c r="E4106">
        <f t="shared" si="63"/>
        <v>2.7774830585230817E-13</v>
      </c>
    </row>
    <row r="4107" spans="1:5" x14ac:dyDescent="0.25">
      <c r="A4107">
        <v>4</v>
      </c>
      <c r="B4107">
        <v>17</v>
      </c>
      <c r="C4107">
        <v>13</v>
      </c>
      <c r="D4107">
        <v>14</v>
      </c>
      <c r="E4107">
        <f t="shared" si="63"/>
        <v>1.5441251968712253E-12</v>
      </c>
    </row>
    <row r="4108" spans="1:5" x14ac:dyDescent="0.25">
      <c r="A4108">
        <v>4</v>
      </c>
      <c r="B4108">
        <v>17</v>
      </c>
      <c r="C4108">
        <v>14</v>
      </c>
      <c r="D4108">
        <v>13</v>
      </c>
      <c r="E4108">
        <f t="shared" si="63"/>
        <v>6.6912091864419783E-12</v>
      </c>
    </row>
    <row r="4109" spans="1:5" x14ac:dyDescent="0.25">
      <c r="A4109">
        <v>4</v>
      </c>
      <c r="B4109">
        <v>17</v>
      </c>
      <c r="C4109">
        <v>15</v>
      </c>
      <c r="D4109">
        <v>12</v>
      </c>
      <c r="E4109">
        <f t="shared" si="63"/>
        <v>2.275011123390271E-11</v>
      </c>
    </row>
    <row r="4110" spans="1:5" x14ac:dyDescent="0.25">
      <c r="A4110">
        <v>4</v>
      </c>
      <c r="B4110">
        <v>17</v>
      </c>
      <c r="C4110">
        <v>16</v>
      </c>
      <c r="D4110">
        <v>11</v>
      </c>
      <c r="E4110">
        <f t="shared" ref="E4110:E4173" si="64">COMBIN(A$4,A4110)*COMBIN(B$4,B4110)*COMBIN(C$4,C4110)*COMBIN(D$4,D4110)/COMBIN($G$4,$F$4)</f>
        <v>6.0937797947953699E-11</v>
      </c>
    </row>
    <row r="4111" spans="1:5" x14ac:dyDescent="0.25">
      <c r="A4111">
        <v>4</v>
      </c>
      <c r="B4111">
        <v>17</v>
      </c>
      <c r="C4111">
        <v>17</v>
      </c>
      <c r="D4111">
        <v>10</v>
      </c>
      <c r="E4111">
        <f t="shared" si="64"/>
        <v>1.2880577683900806E-10</v>
      </c>
    </row>
    <row r="4112" spans="1:5" x14ac:dyDescent="0.25">
      <c r="A4112">
        <v>4</v>
      </c>
      <c r="B4112">
        <v>17</v>
      </c>
      <c r="C4112">
        <v>18</v>
      </c>
      <c r="D4112">
        <v>9</v>
      </c>
      <c r="E4112">
        <f t="shared" si="64"/>
        <v>2.1467629473167992E-10</v>
      </c>
    </row>
    <row r="4113" spans="1:5" x14ac:dyDescent="0.25">
      <c r="A4113">
        <v>4</v>
      </c>
      <c r="B4113">
        <v>17</v>
      </c>
      <c r="C4113">
        <v>19</v>
      </c>
      <c r="D4113">
        <v>8</v>
      </c>
      <c r="E4113">
        <f t="shared" si="64"/>
        <v>2.81139543874615E-10</v>
      </c>
    </row>
    <row r="4114" spans="1:5" x14ac:dyDescent="0.25">
      <c r="A4114">
        <v>4</v>
      </c>
      <c r="B4114">
        <v>17</v>
      </c>
      <c r="C4114">
        <v>20</v>
      </c>
      <c r="D4114">
        <v>7</v>
      </c>
      <c r="E4114">
        <f t="shared" si="64"/>
        <v>2.8738708929405117E-10</v>
      </c>
    </row>
    <row r="4115" spans="1:5" x14ac:dyDescent="0.25">
      <c r="A4115">
        <v>4</v>
      </c>
      <c r="B4115">
        <v>17</v>
      </c>
      <c r="C4115">
        <v>21</v>
      </c>
      <c r="D4115">
        <v>6</v>
      </c>
      <c r="E4115">
        <f t="shared" si="64"/>
        <v>2.2688454417951374E-10</v>
      </c>
    </row>
    <row r="4116" spans="1:5" x14ac:dyDescent="0.25">
      <c r="A4116">
        <v>4</v>
      </c>
      <c r="B4116">
        <v>17</v>
      </c>
      <c r="C4116">
        <v>22</v>
      </c>
      <c r="D4116">
        <v>5</v>
      </c>
      <c r="E4116">
        <f t="shared" si="64"/>
        <v>1.3613072650770833E-10</v>
      </c>
    </row>
    <row r="4117" spans="1:5" x14ac:dyDescent="0.25">
      <c r="A4117">
        <v>4</v>
      </c>
      <c r="B4117">
        <v>17</v>
      </c>
      <c r="C4117">
        <v>23</v>
      </c>
      <c r="D4117">
        <v>4</v>
      </c>
      <c r="E4117">
        <f t="shared" si="64"/>
        <v>6.0596493165957131E-11</v>
      </c>
    </row>
    <row r="4118" spans="1:5" x14ac:dyDescent="0.25">
      <c r="A4118">
        <v>4</v>
      </c>
      <c r="B4118">
        <v>17</v>
      </c>
      <c r="C4118">
        <v>24</v>
      </c>
      <c r="D4118">
        <v>3</v>
      </c>
      <c r="E4118">
        <f t="shared" si="64"/>
        <v>1.9280702370986351E-11</v>
      </c>
    </row>
    <row r="4119" spans="1:5" x14ac:dyDescent="0.25">
      <c r="A4119">
        <v>4</v>
      </c>
      <c r="B4119">
        <v>17</v>
      </c>
      <c r="C4119">
        <v>25</v>
      </c>
      <c r="D4119">
        <v>2</v>
      </c>
      <c r="E4119">
        <f t="shared" si="64"/>
        <v>4.124393724576213E-12</v>
      </c>
    </row>
    <row r="4120" spans="1:5" x14ac:dyDescent="0.25">
      <c r="A4120">
        <v>4</v>
      </c>
      <c r="B4120">
        <v>17</v>
      </c>
      <c r="C4120">
        <v>26</v>
      </c>
      <c r="D4120">
        <v>1</v>
      </c>
      <c r="E4120">
        <f t="shared" si="64"/>
        <v>5.2876842622771927E-13</v>
      </c>
    </row>
    <row r="4121" spans="1:5" x14ac:dyDescent="0.25">
      <c r="A4121">
        <v>4</v>
      </c>
      <c r="B4121">
        <v>17</v>
      </c>
      <c r="C4121">
        <v>27</v>
      </c>
      <c r="D4121">
        <v>0</v>
      </c>
      <c r="E4121">
        <f t="shared" si="64"/>
        <v>3.0551064626490445E-14</v>
      </c>
    </row>
    <row r="4122" spans="1:5" x14ac:dyDescent="0.25">
      <c r="A4122">
        <v>4</v>
      </c>
      <c r="B4122">
        <v>18</v>
      </c>
      <c r="C4122">
        <v>1</v>
      </c>
      <c r="D4122">
        <v>25</v>
      </c>
      <c r="E4122">
        <f t="shared" si="64"/>
        <v>2.0720923686407984E-29</v>
      </c>
    </row>
    <row r="4123" spans="1:5" x14ac:dyDescent="0.25">
      <c r="A4123">
        <v>4</v>
      </c>
      <c r="B4123">
        <v>18</v>
      </c>
      <c r="C4123">
        <v>2</v>
      </c>
      <c r="D4123">
        <v>24</v>
      </c>
      <c r="E4123">
        <f t="shared" si="64"/>
        <v>1.6576738949126385E-26</v>
      </c>
    </row>
    <row r="4124" spans="1:5" x14ac:dyDescent="0.25">
      <c r="A4124">
        <v>4</v>
      </c>
      <c r="B4124">
        <v>18</v>
      </c>
      <c r="C4124">
        <v>3</v>
      </c>
      <c r="D4124">
        <v>23</v>
      </c>
      <c r="E4124">
        <f t="shared" si="64"/>
        <v>4.1773382151798488E-24</v>
      </c>
    </row>
    <row r="4125" spans="1:5" x14ac:dyDescent="0.25">
      <c r="A4125">
        <v>4</v>
      </c>
      <c r="B4125">
        <v>18</v>
      </c>
      <c r="C4125">
        <v>4</v>
      </c>
      <c r="D4125">
        <v>22</v>
      </c>
      <c r="E4125">
        <f t="shared" si="64"/>
        <v>4.9640702457053878E-22</v>
      </c>
    </row>
    <row r="4126" spans="1:5" x14ac:dyDescent="0.25">
      <c r="A4126">
        <v>4</v>
      </c>
      <c r="B4126">
        <v>18</v>
      </c>
      <c r="C4126">
        <v>5</v>
      </c>
      <c r="D4126">
        <v>21</v>
      </c>
      <c r="E4126">
        <f t="shared" si="64"/>
        <v>3.3308911348683157E-20</v>
      </c>
    </row>
    <row r="4127" spans="1:5" x14ac:dyDescent="0.25">
      <c r="A4127">
        <v>4</v>
      </c>
      <c r="B4127">
        <v>18</v>
      </c>
      <c r="C4127">
        <v>6</v>
      </c>
      <c r="D4127">
        <v>20</v>
      </c>
      <c r="E4127">
        <f t="shared" si="64"/>
        <v>1.3989742766446922E-18</v>
      </c>
    </row>
    <row r="4128" spans="1:5" x14ac:dyDescent="0.25">
      <c r="A4128">
        <v>4</v>
      </c>
      <c r="B4128">
        <v>18</v>
      </c>
      <c r="C4128">
        <v>7</v>
      </c>
      <c r="D4128">
        <v>19</v>
      </c>
      <c r="E4128">
        <f t="shared" si="64"/>
        <v>3.9304515391446111E-17</v>
      </c>
    </row>
    <row r="4129" spans="1:5" x14ac:dyDescent="0.25">
      <c r="A4129">
        <v>4</v>
      </c>
      <c r="B4129">
        <v>18</v>
      </c>
      <c r="C4129">
        <v>8</v>
      </c>
      <c r="D4129">
        <v>18</v>
      </c>
      <c r="E4129">
        <f t="shared" si="64"/>
        <v>7.734567135959578E-16</v>
      </c>
    </row>
    <row r="4130" spans="1:5" x14ac:dyDescent="0.25">
      <c r="A4130">
        <v>4</v>
      </c>
      <c r="B4130">
        <v>18</v>
      </c>
      <c r="C4130">
        <v>9</v>
      </c>
      <c r="D4130">
        <v>17</v>
      </c>
      <c r="E4130">
        <f t="shared" si="64"/>
        <v>1.1021758168742395E-14</v>
      </c>
    </row>
    <row r="4131" spans="1:5" x14ac:dyDescent="0.25">
      <c r="A4131">
        <v>4</v>
      </c>
      <c r="B4131">
        <v>18</v>
      </c>
      <c r="C4131">
        <v>10</v>
      </c>
      <c r="D4131">
        <v>16</v>
      </c>
      <c r="E4131">
        <f t="shared" si="64"/>
        <v>1.1658570862936404E-13</v>
      </c>
    </row>
    <row r="4132" spans="1:5" x14ac:dyDescent="0.25">
      <c r="A4132">
        <v>4</v>
      </c>
      <c r="B4132">
        <v>18</v>
      </c>
      <c r="C4132">
        <v>11</v>
      </c>
      <c r="D4132">
        <v>15</v>
      </c>
      <c r="E4132">
        <f t="shared" si="64"/>
        <v>9.3268566903491208E-13</v>
      </c>
    </row>
    <row r="4133" spans="1:5" x14ac:dyDescent="0.25">
      <c r="A4133">
        <v>4</v>
      </c>
      <c r="B4133">
        <v>18</v>
      </c>
      <c r="C4133">
        <v>12</v>
      </c>
      <c r="D4133">
        <v>14</v>
      </c>
      <c r="E4133">
        <f t="shared" si="64"/>
        <v>5.723298423623321E-12</v>
      </c>
    </row>
    <row r="4134" spans="1:5" x14ac:dyDescent="0.25">
      <c r="A4134">
        <v>4</v>
      </c>
      <c r="B4134">
        <v>18</v>
      </c>
      <c r="C4134">
        <v>13</v>
      </c>
      <c r="D4134">
        <v>13</v>
      </c>
      <c r="E4134">
        <f t="shared" si="64"/>
        <v>2.7222355322618637E-11</v>
      </c>
    </row>
    <row r="4135" spans="1:5" x14ac:dyDescent="0.25">
      <c r="A4135">
        <v>4</v>
      </c>
      <c r="B4135">
        <v>18</v>
      </c>
      <c r="C4135">
        <v>14</v>
      </c>
      <c r="D4135">
        <v>12</v>
      </c>
      <c r="E4135">
        <f t="shared" si="64"/>
        <v>1.011116054840121E-10</v>
      </c>
    </row>
    <row r="4136" spans="1:5" x14ac:dyDescent="0.25">
      <c r="A4136">
        <v>4</v>
      </c>
      <c r="B4136">
        <v>18</v>
      </c>
      <c r="C4136">
        <v>15</v>
      </c>
      <c r="D4136">
        <v>11</v>
      </c>
      <c r="E4136">
        <f t="shared" si="64"/>
        <v>2.9466810741054933E-10</v>
      </c>
    </row>
    <row r="4137" spans="1:5" x14ac:dyDescent="0.25">
      <c r="A4137">
        <v>4</v>
      </c>
      <c r="B4137">
        <v>18</v>
      </c>
      <c r="C4137">
        <v>16</v>
      </c>
      <c r="D4137">
        <v>10</v>
      </c>
      <c r="E4137">
        <f t="shared" si="64"/>
        <v>6.752810794825089E-10</v>
      </c>
    </row>
    <row r="4138" spans="1:5" x14ac:dyDescent="0.25">
      <c r="A4138">
        <v>4</v>
      </c>
      <c r="B4138">
        <v>18</v>
      </c>
      <c r="C4138">
        <v>17</v>
      </c>
      <c r="D4138">
        <v>9</v>
      </c>
      <c r="E4138">
        <f t="shared" si="64"/>
        <v>1.2164990034795207E-9</v>
      </c>
    </row>
    <row r="4139" spans="1:5" x14ac:dyDescent="0.25">
      <c r="A4139">
        <v>4</v>
      </c>
      <c r="B4139">
        <v>18</v>
      </c>
      <c r="C4139">
        <v>18</v>
      </c>
      <c r="D4139">
        <v>8</v>
      </c>
      <c r="E4139">
        <f t="shared" si="64"/>
        <v>1.7174103578534395E-9</v>
      </c>
    </row>
    <row r="4140" spans="1:5" x14ac:dyDescent="0.25">
      <c r="A4140">
        <v>4</v>
      </c>
      <c r="B4140">
        <v>18</v>
      </c>
      <c r="C4140">
        <v>19</v>
      </c>
      <c r="D4140">
        <v>7</v>
      </c>
      <c r="E4140">
        <f t="shared" si="64"/>
        <v>1.8881470600961801E-9</v>
      </c>
    </row>
    <row r="4141" spans="1:5" x14ac:dyDescent="0.25">
      <c r="A4141">
        <v>4</v>
      </c>
      <c r="B4141">
        <v>18</v>
      </c>
      <c r="C4141">
        <v>20</v>
      </c>
      <c r="D4141">
        <v>6</v>
      </c>
      <c r="E4141">
        <f t="shared" si="64"/>
        <v>1.5999561930288692E-9</v>
      </c>
    </row>
    <row r="4142" spans="1:5" x14ac:dyDescent="0.25">
      <c r="A4142">
        <v>4</v>
      </c>
      <c r="B4142">
        <v>18</v>
      </c>
      <c r="C4142">
        <v>21</v>
      </c>
      <c r="D4142">
        <v>5</v>
      </c>
      <c r="E4142">
        <f t="shared" si="64"/>
        <v>1.0285432669471288E-9</v>
      </c>
    </row>
    <row r="4143" spans="1:5" x14ac:dyDescent="0.25">
      <c r="A4143">
        <v>4</v>
      </c>
      <c r="B4143">
        <v>18</v>
      </c>
      <c r="C4143">
        <v>22</v>
      </c>
      <c r="D4143">
        <v>4</v>
      </c>
      <c r="E4143">
        <f t="shared" si="64"/>
        <v>4.8978250807006175E-10</v>
      </c>
    </row>
    <row r="4144" spans="1:5" x14ac:dyDescent="0.25">
      <c r="A4144">
        <v>4</v>
      </c>
      <c r="B4144">
        <v>18</v>
      </c>
      <c r="C4144">
        <v>23</v>
      </c>
      <c r="D4144">
        <v>3</v>
      </c>
      <c r="E4144">
        <f t="shared" si="64"/>
        <v>1.6648733475899328E-10</v>
      </c>
    </row>
    <row r="4145" spans="1:5" x14ac:dyDescent="0.25">
      <c r="A4145">
        <v>4</v>
      </c>
      <c r="B4145">
        <v>18</v>
      </c>
      <c r="C4145">
        <v>24</v>
      </c>
      <c r="D4145">
        <v>2</v>
      </c>
      <c r="E4145">
        <f t="shared" si="64"/>
        <v>3.8002543803683254E-11</v>
      </c>
    </row>
    <row r="4146" spans="1:5" x14ac:dyDescent="0.25">
      <c r="A4146">
        <v>4</v>
      </c>
      <c r="B4146">
        <v>18</v>
      </c>
      <c r="C4146">
        <v>25</v>
      </c>
      <c r="D4146">
        <v>1</v>
      </c>
      <c r="E4146">
        <f t="shared" si="64"/>
        <v>5.1936809865033801E-12</v>
      </c>
    </row>
    <row r="4147" spans="1:5" x14ac:dyDescent="0.25">
      <c r="A4147">
        <v>4</v>
      </c>
      <c r="B4147">
        <v>18</v>
      </c>
      <c r="C4147">
        <v>26</v>
      </c>
      <c r="D4147">
        <v>0</v>
      </c>
      <c r="E4147">
        <f t="shared" si="64"/>
        <v>3.1961113763097695E-13</v>
      </c>
    </row>
    <row r="4148" spans="1:5" x14ac:dyDescent="0.25">
      <c r="A4148">
        <v>4</v>
      </c>
      <c r="B4148">
        <v>19</v>
      </c>
      <c r="C4148">
        <v>0</v>
      </c>
      <c r="D4148">
        <v>25</v>
      </c>
      <c r="E4148">
        <f t="shared" si="64"/>
        <v>4.5468585579081478E-30</v>
      </c>
    </row>
    <row r="4149" spans="1:5" x14ac:dyDescent="0.25">
      <c r="A4149">
        <v>4</v>
      </c>
      <c r="B4149">
        <v>19</v>
      </c>
      <c r="C4149">
        <v>1</v>
      </c>
      <c r="D4149">
        <v>24</v>
      </c>
      <c r="E4149">
        <f t="shared" si="64"/>
        <v>7.38864515660074E-27</v>
      </c>
    </row>
    <row r="4150" spans="1:5" x14ac:dyDescent="0.25">
      <c r="A4150">
        <v>4</v>
      </c>
      <c r="B4150">
        <v>19</v>
      </c>
      <c r="C4150">
        <v>2</v>
      </c>
      <c r="D4150">
        <v>23</v>
      </c>
      <c r="E4150">
        <f t="shared" si="64"/>
        <v>2.8372397401346843E-24</v>
      </c>
    </row>
    <row r="4151" spans="1:5" x14ac:dyDescent="0.25">
      <c r="A4151">
        <v>4</v>
      </c>
      <c r="B4151">
        <v>19</v>
      </c>
      <c r="C4151">
        <v>3</v>
      </c>
      <c r="D4151">
        <v>22</v>
      </c>
      <c r="E4151">
        <f t="shared" si="64"/>
        <v>4.5679559816168417E-22</v>
      </c>
    </row>
    <row r="4152" spans="1:5" x14ac:dyDescent="0.25">
      <c r="A4152">
        <v>4</v>
      </c>
      <c r="B4152">
        <v>19</v>
      </c>
      <c r="C4152">
        <v>4</v>
      </c>
      <c r="D4152">
        <v>21</v>
      </c>
      <c r="E4152">
        <f t="shared" si="64"/>
        <v>3.8941824743283581E-20</v>
      </c>
    </row>
    <row r="4153" spans="1:5" x14ac:dyDescent="0.25">
      <c r="A4153">
        <v>4</v>
      </c>
      <c r="B4153">
        <v>19</v>
      </c>
      <c r="C4153">
        <v>5</v>
      </c>
      <c r="D4153">
        <v>20</v>
      </c>
      <c r="E4153">
        <f t="shared" si="64"/>
        <v>1.9953790998458502E-18</v>
      </c>
    </row>
    <row r="4154" spans="1:5" x14ac:dyDescent="0.25">
      <c r="A4154">
        <v>4</v>
      </c>
      <c r="B4154">
        <v>19</v>
      </c>
      <c r="C4154">
        <v>6</v>
      </c>
      <c r="D4154">
        <v>19</v>
      </c>
      <c r="E4154">
        <f t="shared" si="64"/>
        <v>6.6512636661528336E-17</v>
      </c>
    </row>
    <row r="4155" spans="1:5" x14ac:dyDescent="0.25">
      <c r="A4155">
        <v>4</v>
      </c>
      <c r="B4155">
        <v>19</v>
      </c>
      <c r="C4155">
        <v>7</v>
      </c>
      <c r="D4155">
        <v>18</v>
      </c>
      <c r="E4155">
        <f t="shared" si="64"/>
        <v>1.5216462387259858E-15</v>
      </c>
    </row>
    <row r="4156" spans="1:5" x14ac:dyDescent="0.25">
      <c r="A4156">
        <v>4</v>
      </c>
      <c r="B4156">
        <v>19</v>
      </c>
      <c r="C4156">
        <v>8</v>
      </c>
      <c r="D4156">
        <v>17</v>
      </c>
      <c r="E4156">
        <f t="shared" si="64"/>
        <v>2.482185426921764E-14</v>
      </c>
    </row>
    <row r="4157" spans="1:5" x14ac:dyDescent="0.25">
      <c r="A4157">
        <v>4</v>
      </c>
      <c r="B4157">
        <v>19</v>
      </c>
      <c r="C4157">
        <v>9</v>
      </c>
      <c r="D4157">
        <v>16</v>
      </c>
      <c r="E4157">
        <f t="shared" si="64"/>
        <v>2.9694292329471463E-13</v>
      </c>
    </row>
    <row r="4158" spans="1:5" x14ac:dyDescent="0.25">
      <c r="A4158">
        <v>4</v>
      </c>
      <c r="B4158">
        <v>19</v>
      </c>
      <c r="C4158">
        <v>10</v>
      </c>
      <c r="D4158">
        <v>15</v>
      </c>
      <c r="E4158">
        <f t="shared" si="64"/>
        <v>2.6606085927206437E-12</v>
      </c>
    </row>
    <row r="4159" spans="1:5" x14ac:dyDescent="0.25">
      <c r="A4159">
        <v>4</v>
      </c>
      <c r="B4159">
        <v>19</v>
      </c>
      <c r="C4159">
        <v>11</v>
      </c>
      <c r="D4159">
        <v>14</v>
      </c>
      <c r="E4159">
        <f t="shared" si="64"/>
        <v>1.8140513132186212E-11</v>
      </c>
    </row>
    <row r="4160" spans="1:5" x14ac:dyDescent="0.25">
      <c r="A4160">
        <v>4</v>
      </c>
      <c r="B4160">
        <v>19</v>
      </c>
      <c r="C4160">
        <v>12</v>
      </c>
      <c r="D4160">
        <v>13</v>
      </c>
      <c r="E4160">
        <f t="shared" si="64"/>
        <v>9.5237693943977551E-11</v>
      </c>
    </row>
    <row r="4161" spans="1:5" x14ac:dyDescent="0.25">
      <c r="A4161">
        <v>4</v>
      </c>
      <c r="B4161">
        <v>19</v>
      </c>
      <c r="C4161">
        <v>13</v>
      </c>
      <c r="D4161">
        <v>12</v>
      </c>
      <c r="E4161">
        <f t="shared" si="64"/>
        <v>3.8827675223313947E-10</v>
      </c>
    </row>
    <row r="4162" spans="1:5" x14ac:dyDescent="0.25">
      <c r="A4162">
        <v>4</v>
      </c>
      <c r="B4162">
        <v>19</v>
      </c>
      <c r="C4162">
        <v>14</v>
      </c>
      <c r="D4162">
        <v>11</v>
      </c>
      <c r="E4162">
        <f t="shared" si="64"/>
        <v>1.2361463948646891E-9</v>
      </c>
    </row>
    <row r="4163" spans="1:5" x14ac:dyDescent="0.25">
      <c r="A4163">
        <v>4</v>
      </c>
      <c r="B4163">
        <v>19</v>
      </c>
      <c r="C4163">
        <v>15</v>
      </c>
      <c r="D4163">
        <v>10</v>
      </c>
      <c r="E4163">
        <f t="shared" si="64"/>
        <v>3.0821250111959554E-9</v>
      </c>
    </row>
    <row r="4164" spans="1:5" x14ac:dyDescent="0.25">
      <c r="A4164">
        <v>4</v>
      </c>
      <c r="B4164">
        <v>19</v>
      </c>
      <c r="C4164">
        <v>16</v>
      </c>
      <c r="D4164">
        <v>9</v>
      </c>
      <c r="E4164">
        <f t="shared" si="64"/>
        <v>6.0197754124921021E-9</v>
      </c>
    </row>
    <row r="4165" spans="1:5" x14ac:dyDescent="0.25">
      <c r="A4165">
        <v>4</v>
      </c>
      <c r="B4165">
        <v>19</v>
      </c>
      <c r="C4165">
        <v>17</v>
      </c>
      <c r="D4165">
        <v>8</v>
      </c>
      <c r="E4165">
        <f t="shared" si="64"/>
        <v>9.1858856640450481E-9</v>
      </c>
    </row>
    <row r="4166" spans="1:5" x14ac:dyDescent="0.25">
      <c r="A4166">
        <v>4</v>
      </c>
      <c r="B4166">
        <v>19</v>
      </c>
      <c r="C4166">
        <v>18</v>
      </c>
      <c r="D4166">
        <v>7</v>
      </c>
      <c r="E4166">
        <f t="shared" si="64"/>
        <v>1.088697560183116E-8</v>
      </c>
    </row>
    <row r="4167" spans="1:5" x14ac:dyDescent="0.25">
      <c r="A4167">
        <v>4</v>
      </c>
      <c r="B4167">
        <v>19</v>
      </c>
      <c r="C4167">
        <v>19</v>
      </c>
      <c r="D4167">
        <v>6</v>
      </c>
      <c r="E4167">
        <f t="shared" si="64"/>
        <v>9.9219251329707794E-9</v>
      </c>
    </row>
    <row r="4168" spans="1:5" x14ac:dyDescent="0.25">
      <c r="A4168">
        <v>4</v>
      </c>
      <c r="B4168">
        <v>19</v>
      </c>
      <c r="C4168">
        <v>20</v>
      </c>
      <c r="D4168">
        <v>5</v>
      </c>
      <c r="E4168">
        <f t="shared" si="64"/>
        <v>6.8461283417498438E-9</v>
      </c>
    </row>
    <row r="4169" spans="1:5" x14ac:dyDescent="0.25">
      <c r="A4169">
        <v>4</v>
      </c>
      <c r="B4169">
        <v>19</v>
      </c>
      <c r="C4169">
        <v>21</v>
      </c>
      <c r="D4169">
        <v>4</v>
      </c>
      <c r="E4169">
        <f t="shared" si="64"/>
        <v>3.4929226233417543E-9</v>
      </c>
    </row>
    <row r="4170" spans="1:5" x14ac:dyDescent="0.25">
      <c r="A4170">
        <v>4</v>
      </c>
      <c r="B4170">
        <v>19</v>
      </c>
      <c r="C4170">
        <v>22</v>
      </c>
      <c r="D4170">
        <v>3</v>
      </c>
      <c r="E4170">
        <f t="shared" si="64"/>
        <v>1.270153681215184E-9</v>
      </c>
    </row>
    <row r="4171" spans="1:5" x14ac:dyDescent="0.25">
      <c r="A4171">
        <v>4</v>
      </c>
      <c r="B4171">
        <v>19</v>
      </c>
      <c r="C4171">
        <v>23</v>
      </c>
      <c r="D4171">
        <v>2</v>
      </c>
      <c r="E4171">
        <f t="shared" si="64"/>
        <v>3.0973501867062129E-10</v>
      </c>
    </row>
    <row r="4172" spans="1:5" x14ac:dyDescent="0.25">
      <c r="A4172">
        <v>4</v>
      </c>
      <c r="B4172">
        <v>19</v>
      </c>
      <c r="C4172">
        <v>24</v>
      </c>
      <c r="D4172">
        <v>1</v>
      </c>
      <c r="E4172">
        <f t="shared" si="64"/>
        <v>4.5169690222798939E-11</v>
      </c>
    </row>
    <row r="4173" spans="1:5" x14ac:dyDescent="0.25">
      <c r="A4173">
        <v>4</v>
      </c>
      <c r="B4173">
        <v>19</v>
      </c>
      <c r="C4173">
        <v>25</v>
      </c>
      <c r="D4173">
        <v>0</v>
      </c>
      <c r="E4173">
        <f t="shared" si="64"/>
        <v>2.9631316786156116E-12</v>
      </c>
    </row>
    <row r="4174" spans="1:5" x14ac:dyDescent="0.25">
      <c r="A4174">
        <v>4</v>
      </c>
      <c r="B4174">
        <v>20</v>
      </c>
      <c r="C4174">
        <v>0</v>
      </c>
      <c r="D4174">
        <v>24</v>
      </c>
      <c r="E4174">
        <f t="shared" ref="E4174:E4237" si="65">COMBIN(A$4,A4174)*COMBIN(B$4,B4174)*COMBIN(C$4,C4174)*COMBIN(D$4,D4174)/COMBIN($G$4,$F$4)</f>
        <v>1.5345647632939998E-27</v>
      </c>
    </row>
    <row r="4175" spans="1:5" x14ac:dyDescent="0.25">
      <c r="A4175">
        <v>4</v>
      </c>
      <c r="B4175">
        <v>20</v>
      </c>
      <c r="C4175">
        <v>1</v>
      </c>
      <c r="D4175">
        <v>23</v>
      </c>
      <c r="E4175">
        <f t="shared" si="65"/>
        <v>1.1969605153693198E-24</v>
      </c>
    </row>
    <row r="4176" spans="1:5" x14ac:dyDescent="0.25">
      <c r="A4176">
        <v>4</v>
      </c>
      <c r="B4176">
        <v>20</v>
      </c>
      <c r="C4176">
        <v>2</v>
      </c>
      <c r="D4176">
        <v>22</v>
      </c>
      <c r="E4176">
        <f t="shared" si="65"/>
        <v>2.936543131039398E-22</v>
      </c>
    </row>
    <row r="4177" spans="1:5" x14ac:dyDescent="0.25">
      <c r="A4177">
        <v>4</v>
      </c>
      <c r="B4177">
        <v>20</v>
      </c>
      <c r="C4177">
        <v>3</v>
      </c>
      <c r="D4177">
        <v>21</v>
      </c>
      <c r="E4177">
        <f t="shared" si="65"/>
        <v>3.3917073163505052E-20</v>
      </c>
    </row>
    <row r="4178" spans="1:5" x14ac:dyDescent="0.25">
      <c r="A4178">
        <v>4</v>
      </c>
      <c r="B4178">
        <v>20</v>
      </c>
      <c r="C4178">
        <v>4</v>
      </c>
      <c r="D4178">
        <v>20</v>
      </c>
      <c r="E4178">
        <f t="shared" si="65"/>
        <v>2.2080014629441782E-18</v>
      </c>
    </row>
    <row r="4179" spans="1:5" x14ac:dyDescent="0.25">
      <c r="A4179">
        <v>4</v>
      </c>
      <c r="B4179">
        <v>20</v>
      </c>
      <c r="C4179">
        <v>5</v>
      </c>
      <c r="D4179">
        <v>19</v>
      </c>
      <c r="E4179">
        <f t="shared" si="65"/>
        <v>8.9792059493063265E-17</v>
      </c>
    </row>
    <row r="4180" spans="1:5" x14ac:dyDescent="0.25">
      <c r="A4180">
        <v>4</v>
      </c>
      <c r="B4180">
        <v>20</v>
      </c>
      <c r="C4180">
        <v>6</v>
      </c>
      <c r="D4180">
        <v>18</v>
      </c>
      <c r="E4180">
        <f t="shared" si="65"/>
        <v>2.4372130433831462E-15</v>
      </c>
    </row>
    <row r="4181" spans="1:5" x14ac:dyDescent="0.25">
      <c r="A4181">
        <v>4</v>
      </c>
      <c r="B4181">
        <v>20</v>
      </c>
      <c r="C4181">
        <v>7</v>
      </c>
      <c r="D4181">
        <v>17</v>
      </c>
      <c r="E4181">
        <f t="shared" si="65"/>
        <v>4.6220004501301804E-14</v>
      </c>
    </row>
    <row r="4182" spans="1:5" x14ac:dyDescent="0.25">
      <c r="A4182">
        <v>4</v>
      </c>
      <c r="B4182">
        <v>20</v>
      </c>
      <c r="C4182">
        <v>8</v>
      </c>
      <c r="D4182">
        <v>16</v>
      </c>
      <c r="E4182">
        <f t="shared" si="65"/>
        <v>6.3295728386504972E-13</v>
      </c>
    </row>
    <row r="4183" spans="1:5" x14ac:dyDescent="0.25">
      <c r="A4183">
        <v>4</v>
      </c>
      <c r="B4183">
        <v>20</v>
      </c>
      <c r="C4183">
        <v>9</v>
      </c>
      <c r="D4183">
        <v>15</v>
      </c>
      <c r="E4183">
        <f t="shared" si="65"/>
        <v>6.4139671431658358E-12</v>
      </c>
    </row>
    <row r="4184" spans="1:5" x14ac:dyDescent="0.25">
      <c r="A4184">
        <v>4</v>
      </c>
      <c r="B4184">
        <v>20</v>
      </c>
      <c r="C4184">
        <v>10</v>
      </c>
      <c r="D4184">
        <v>14</v>
      </c>
      <c r="E4184">
        <f t="shared" si="65"/>
        <v>4.8979385456902758E-11</v>
      </c>
    </row>
    <row r="4185" spans="1:5" x14ac:dyDescent="0.25">
      <c r="A4185">
        <v>4</v>
      </c>
      <c r="B4185">
        <v>20</v>
      </c>
      <c r="C4185">
        <v>11</v>
      </c>
      <c r="D4185">
        <v>13</v>
      </c>
      <c r="E4185">
        <f t="shared" si="65"/>
        <v>2.8571308183193287E-10</v>
      </c>
    </row>
    <row r="4186" spans="1:5" x14ac:dyDescent="0.25">
      <c r="A4186">
        <v>4</v>
      </c>
      <c r="B4186">
        <v>20</v>
      </c>
      <c r="C4186">
        <v>12</v>
      </c>
      <c r="D4186">
        <v>12</v>
      </c>
      <c r="E4186">
        <f t="shared" si="65"/>
        <v>1.2857088682436971E-9</v>
      </c>
    </row>
    <row r="4187" spans="1:5" x14ac:dyDescent="0.25">
      <c r="A4187">
        <v>4</v>
      </c>
      <c r="B4187">
        <v>20</v>
      </c>
      <c r="C4187">
        <v>13</v>
      </c>
      <c r="D4187">
        <v>11</v>
      </c>
      <c r="E4187">
        <f t="shared" si="65"/>
        <v>4.4929167044120416E-9</v>
      </c>
    </row>
    <row r="4188" spans="1:5" x14ac:dyDescent="0.25">
      <c r="A4188">
        <v>4</v>
      </c>
      <c r="B4188">
        <v>20</v>
      </c>
      <c r="C4188">
        <v>14</v>
      </c>
      <c r="D4188">
        <v>10</v>
      </c>
      <c r="E4188">
        <f t="shared" si="65"/>
        <v>1.2237849309160418E-8</v>
      </c>
    </row>
    <row r="4189" spans="1:5" x14ac:dyDescent="0.25">
      <c r="A4189">
        <v>4</v>
      </c>
      <c r="B4189">
        <v>20</v>
      </c>
      <c r="C4189">
        <v>15</v>
      </c>
      <c r="D4189">
        <v>9</v>
      </c>
      <c r="E4189">
        <f t="shared" si="65"/>
        <v>2.6005429781965879E-8</v>
      </c>
    </row>
    <row r="4190" spans="1:5" x14ac:dyDescent="0.25">
      <c r="A4190">
        <v>4</v>
      </c>
      <c r="B4190">
        <v>20</v>
      </c>
      <c r="C4190">
        <v>16</v>
      </c>
      <c r="D4190">
        <v>8</v>
      </c>
      <c r="E4190">
        <f t="shared" si="65"/>
        <v>4.3023688977517084E-8</v>
      </c>
    </row>
    <row r="4191" spans="1:5" x14ac:dyDescent="0.25">
      <c r="A4191">
        <v>4</v>
      </c>
      <c r="B4191">
        <v>20</v>
      </c>
      <c r="C4191">
        <v>17</v>
      </c>
      <c r="D4191">
        <v>7</v>
      </c>
      <c r="E4191">
        <f t="shared" si="65"/>
        <v>5.5115313984270302E-8</v>
      </c>
    </row>
    <row r="4192" spans="1:5" x14ac:dyDescent="0.25">
      <c r="A4192">
        <v>4</v>
      </c>
      <c r="B4192">
        <v>20</v>
      </c>
      <c r="C4192">
        <v>18</v>
      </c>
      <c r="D4192">
        <v>6</v>
      </c>
      <c r="E4192">
        <f t="shared" si="65"/>
        <v>5.4148378651212851E-8</v>
      </c>
    </row>
    <row r="4193" spans="1:5" x14ac:dyDescent="0.25">
      <c r="A4193">
        <v>4</v>
      </c>
      <c r="B4193">
        <v>20</v>
      </c>
      <c r="C4193">
        <v>19</v>
      </c>
      <c r="D4193">
        <v>5</v>
      </c>
      <c r="E4193">
        <f t="shared" si="65"/>
        <v>4.0183796788531663E-8</v>
      </c>
    </row>
    <row r="4194" spans="1:5" x14ac:dyDescent="0.25">
      <c r="A4194">
        <v>4</v>
      </c>
      <c r="B4194">
        <v>20</v>
      </c>
      <c r="C4194">
        <v>20</v>
      </c>
      <c r="D4194">
        <v>4</v>
      </c>
      <c r="E4194">
        <f t="shared" si="65"/>
        <v>2.2005412527053076E-8</v>
      </c>
    </row>
    <row r="4195" spans="1:5" x14ac:dyDescent="0.25">
      <c r="A4195">
        <v>4</v>
      </c>
      <c r="B4195">
        <v>20</v>
      </c>
      <c r="C4195">
        <v>21</v>
      </c>
      <c r="D4195">
        <v>3</v>
      </c>
      <c r="E4195">
        <f t="shared" si="65"/>
        <v>8.5735373482024854E-9</v>
      </c>
    </row>
    <row r="4196" spans="1:5" x14ac:dyDescent="0.25">
      <c r="A4196">
        <v>4</v>
      </c>
      <c r="B4196">
        <v>20</v>
      </c>
      <c r="C4196">
        <v>22</v>
      </c>
      <c r="D4196">
        <v>2</v>
      </c>
      <c r="E4196">
        <f t="shared" si="65"/>
        <v>2.2365749604006499E-9</v>
      </c>
    </row>
    <row r="4197" spans="1:5" x14ac:dyDescent="0.25">
      <c r="A4197">
        <v>4</v>
      </c>
      <c r="B4197">
        <v>20</v>
      </c>
      <c r="C4197">
        <v>23</v>
      </c>
      <c r="D4197">
        <v>1</v>
      </c>
      <c r="E4197">
        <f t="shared" si="65"/>
        <v>3.4845189600444892E-10</v>
      </c>
    </row>
    <row r="4198" spans="1:5" x14ac:dyDescent="0.25">
      <c r="A4198">
        <v>4</v>
      </c>
      <c r="B4198">
        <v>20</v>
      </c>
      <c r="C4198">
        <v>24</v>
      </c>
      <c r="D4198">
        <v>0</v>
      </c>
      <c r="E4198">
        <f t="shared" si="65"/>
        <v>2.4391632720311428E-11</v>
      </c>
    </row>
    <row r="4199" spans="1:5" x14ac:dyDescent="0.25">
      <c r="A4199">
        <v>4</v>
      </c>
      <c r="B4199">
        <v>21</v>
      </c>
      <c r="C4199">
        <v>0</v>
      </c>
      <c r="D4199">
        <v>23</v>
      </c>
      <c r="E4199">
        <f t="shared" si="65"/>
        <v>2.3588452647204921E-25</v>
      </c>
    </row>
    <row r="4200" spans="1:5" x14ac:dyDescent="0.25">
      <c r="A4200">
        <v>4</v>
      </c>
      <c r="B4200">
        <v>21</v>
      </c>
      <c r="C4200">
        <v>1</v>
      </c>
      <c r="D4200">
        <v>22</v>
      </c>
      <c r="E4200">
        <f t="shared" si="65"/>
        <v>1.175491223585712E-22</v>
      </c>
    </row>
    <row r="4201" spans="1:5" x14ac:dyDescent="0.25">
      <c r="A4201">
        <v>4</v>
      </c>
      <c r="B4201">
        <v>21</v>
      </c>
      <c r="C4201">
        <v>2</v>
      </c>
      <c r="D4201">
        <v>21</v>
      </c>
      <c r="E4201">
        <f t="shared" si="65"/>
        <v>2.0688645535108533E-20</v>
      </c>
    </row>
    <row r="4202" spans="1:5" x14ac:dyDescent="0.25">
      <c r="A4202">
        <v>4</v>
      </c>
      <c r="B4202">
        <v>21</v>
      </c>
      <c r="C4202">
        <v>3</v>
      </c>
      <c r="D4202">
        <v>20</v>
      </c>
      <c r="E4202">
        <f t="shared" si="65"/>
        <v>1.8247385361965719E-18</v>
      </c>
    </row>
    <row r="4203" spans="1:5" x14ac:dyDescent="0.25">
      <c r="A4203">
        <v>4</v>
      </c>
      <c r="B4203">
        <v>21</v>
      </c>
      <c r="C4203">
        <v>4</v>
      </c>
      <c r="D4203">
        <v>19</v>
      </c>
      <c r="E4203">
        <f t="shared" si="65"/>
        <v>9.4278157703489554E-17</v>
      </c>
    </row>
    <row r="4204" spans="1:5" x14ac:dyDescent="0.25">
      <c r="A4204">
        <v>4</v>
      </c>
      <c r="B4204">
        <v>21</v>
      </c>
      <c r="C4204">
        <v>5</v>
      </c>
      <c r="D4204">
        <v>18</v>
      </c>
      <c r="E4204">
        <f t="shared" si="65"/>
        <v>3.1219538508098409E-15</v>
      </c>
    </row>
    <row r="4205" spans="1:5" x14ac:dyDescent="0.25">
      <c r="A4205">
        <v>4</v>
      </c>
      <c r="B4205">
        <v>21</v>
      </c>
      <c r="C4205">
        <v>6</v>
      </c>
      <c r="D4205">
        <v>17</v>
      </c>
      <c r="E4205">
        <f t="shared" si="65"/>
        <v>7.0243961643221404E-14</v>
      </c>
    </row>
    <row r="4206" spans="1:5" x14ac:dyDescent="0.25">
      <c r="A4206">
        <v>4</v>
      </c>
      <c r="B4206">
        <v>21</v>
      </c>
      <c r="C4206">
        <v>7</v>
      </c>
      <c r="D4206">
        <v>16</v>
      </c>
      <c r="E4206">
        <f t="shared" si="65"/>
        <v>1.1183284687008105E-12</v>
      </c>
    </row>
    <row r="4207" spans="1:5" x14ac:dyDescent="0.25">
      <c r="A4207">
        <v>4</v>
      </c>
      <c r="B4207">
        <v>21</v>
      </c>
      <c r="C4207">
        <v>8</v>
      </c>
      <c r="D4207">
        <v>15</v>
      </c>
      <c r="E4207">
        <f t="shared" si="65"/>
        <v>1.2972610236929405E-11</v>
      </c>
    </row>
    <row r="4208" spans="1:5" x14ac:dyDescent="0.25">
      <c r="A4208">
        <v>4</v>
      </c>
      <c r="B4208">
        <v>21</v>
      </c>
      <c r="C4208">
        <v>9</v>
      </c>
      <c r="D4208">
        <v>14</v>
      </c>
      <c r="E4208">
        <f t="shared" si="65"/>
        <v>1.1203617931893575E-10</v>
      </c>
    </row>
    <row r="4209" spans="1:5" x14ac:dyDescent="0.25">
      <c r="A4209">
        <v>4</v>
      </c>
      <c r="B4209">
        <v>21</v>
      </c>
      <c r="C4209">
        <v>10</v>
      </c>
      <c r="D4209">
        <v>13</v>
      </c>
      <c r="E4209">
        <f t="shared" si="65"/>
        <v>7.3196970488371385E-10</v>
      </c>
    </row>
    <row r="4210" spans="1:5" x14ac:dyDescent="0.25">
      <c r="A4210">
        <v>4</v>
      </c>
      <c r="B4210">
        <v>21</v>
      </c>
      <c r="C4210">
        <v>11</v>
      </c>
      <c r="D4210">
        <v>12</v>
      </c>
      <c r="E4210">
        <f t="shared" si="65"/>
        <v>3.6598485244185692E-9</v>
      </c>
    </row>
    <row r="4211" spans="1:5" x14ac:dyDescent="0.25">
      <c r="A4211">
        <v>4</v>
      </c>
      <c r="B4211">
        <v>21</v>
      </c>
      <c r="C4211">
        <v>12</v>
      </c>
      <c r="D4211">
        <v>11</v>
      </c>
      <c r="E4211">
        <f t="shared" si="65"/>
        <v>1.41165585941859E-8</v>
      </c>
    </row>
    <row r="4212" spans="1:5" x14ac:dyDescent="0.25">
      <c r="A4212">
        <v>4</v>
      </c>
      <c r="B4212">
        <v>21</v>
      </c>
      <c r="C4212">
        <v>13</v>
      </c>
      <c r="D4212">
        <v>10</v>
      </c>
      <c r="E4212">
        <f t="shared" si="65"/>
        <v>4.2204890566207092E-8</v>
      </c>
    </row>
    <row r="4213" spans="1:5" x14ac:dyDescent="0.25">
      <c r="A4213">
        <v>4</v>
      </c>
      <c r="B4213">
        <v>21</v>
      </c>
      <c r="C4213">
        <v>14</v>
      </c>
      <c r="D4213">
        <v>9</v>
      </c>
      <c r="E4213">
        <f t="shared" si="65"/>
        <v>9.7975638814409355E-8</v>
      </c>
    </row>
    <row r="4214" spans="1:5" x14ac:dyDescent="0.25">
      <c r="A4214">
        <v>4</v>
      </c>
      <c r="B4214">
        <v>21</v>
      </c>
      <c r="C4214">
        <v>15</v>
      </c>
      <c r="D4214">
        <v>8</v>
      </c>
      <c r="E4214">
        <f t="shared" si="65"/>
        <v>1.7635614986593677E-7</v>
      </c>
    </row>
    <row r="4215" spans="1:5" x14ac:dyDescent="0.25">
      <c r="A4215">
        <v>4</v>
      </c>
      <c r="B4215">
        <v>21</v>
      </c>
      <c r="C4215">
        <v>16</v>
      </c>
      <c r="D4215">
        <v>7</v>
      </c>
      <c r="E4215">
        <f t="shared" si="65"/>
        <v>2.4493909703602339E-7</v>
      </c>
    </row>
    <row r="4216" spans="1:5" x14ac:dyDescent="0.25">
      <c r="A4216">
        <v>4</v>
      </c>
      <c r="B4216">
        <v>21</v>
      </c>
      <c r="C4216">
        <v>17</v>
      </c>
      <c r="D4216">
        <v>6</v>
      </c>
      <c r="E4216">
        <f t="shared" si="65"/>
        <v>2.6010560459243354E-7</v>
      </c>
    </row>
    <row r="4217" spans="1:5" x14ac:dyDescent="0.25">
      <c r="A4217">
        <v>4</v>
      </c>
      <c r="B4217">
        <v>21</v>
      </c>
      <c r="C4217">
        <v>18</v>
      </c>
      <c r="D4217">
        <v>5</v>
      </c>
      <c r="E4217">
        <f t="shared" si="65"/>
        <v>2.0808448367394661E-7</v>
      </c>
    </row>
    <row r="4218" spans="1:5" x14ac:dyDescent="0.25">
      <c r="A4218">
        <v>4</v>
      </c>
      <c r="B4218">
        <v>21</v>
      </c>
      <c r="C4218">
        <v>19</v>
      </c>
      <c r="D4218">
        <v>4</v>
      </c>
      <c r="E4218">
        <f t="shared" si="65"/>
        <v>1.2255602421899119E-7</v>
      </c>
    </row>
    <row r="4219" spans="1:5" x14ac:dyDescent="0.25">
      <c r="A4219">
        <v>4</v>
      </c>
      <c r="B4219">
        <v>21</v>
      </c>
      <c r="C4219">
        <v>20</v>
      </c>
      <c r="D4219">
        <v>3</v>
      </c>
      <c r="E4219">
        <f t="shared" si="65"/>
        <v>5.1250701037032718E-8</v>
      </c>
    </row>
    <row r="4220" spans="1:5" x14ac:dyDescent="0.25">
      <c r="A4220">
        <v>4</v>
      </c>
      <c r="B4220">
        <v>21</v>
      </c>
      <c r="C4220">
        <v>21</v>
      </c>
      <c r="D4220">
        <v>2</v>
      </c>
      <c r="E4220">
        <f t="shared" si="65"/>
        <v>1.4324730103518443E-8</v>
      </c>
    </row>
    <row r="4221" spans="1:5" x14ac:dyDescent="0.25">
      <c r="A4221">
        <v>4</v>
      </c>
      <c r="B4221">
        <v>21</v>
      </c>
      <c r="C4221">
        <v>22</v>
      </c>
      <c r="D4221">
        <v>1</v>
      </c>
      <c r="E4221">
        <f t="shared" si="65"/>
        <v>2.3874550172530751E-9</v>
      </c>
    </row>
    <row r="4222" spans="1:5" x14ac:dyDescent="0.25">
      <c r="A4222">
        <v>4</v>
      </c>
      <c r="B4222">
        <v>21</v>
      </c>
      <c r="C4222">
        <v>23</v>
      </c>
      <c r="D4222">
        <v>0</v>
      </c>
      <c r="E4222">
        <f t="shared" si="65"/>
        <v>1.7854011433370819E-10</v>
      </c>
    </row>
    <row r="4223" spans="1:5" x14ac:dyDescent="0.25">
      <c r="A4223">
        <v>4</v>
      </c>
      <c r="B4223">
        <v>22</v>
      </c>
      <c r="C4223">
        <v>0</v>
      </c>
      <c r="D4223">
        <v>22</v>
      </c>
      <c r="E4223">
        <f t="shared" si="65"/>
        <v>2.2030185169298656E-23</v>
      </c>
    </row>
    <row r="4224" spans="1:5" x14ac:dyDescent="0.25">
      <c r="A4224">
        <v>4</v>
      </c>
      <c r="B4224">
        <v>22</v>
      </c>
      <c r="C4224">
        <v>1</v>
      </c>
      <c r="D4224">
        <v>21</v>
      </c>
      <c r="E4224">
        <f t="shared" si="65"/>
        <v>7.8757911980242716E-21</v>
      </c>
    </row>
    <row r="4225" spans="1:5" x14ac:dyDescent="0.25">
      <c r="A4225">
        <v>4</v>
      </c>
      <c r="B4225">
        <v>22</v>
      </c>
      <c r="C4225">
        <v>2</v>
      </c>
      <c r="D4225">
        <v>20</v>
      </c>
      <c r="E4225">
        <f t="shared" si="65"/>
        <v>1.0585063370144617E-18</v>
      </c>
    </row>
    <row r="4226" spans="1:5" x14ac:dyDescent="0.25">
      <c r="A4226">
        <v>4</v>
      </c>
      <c r="B4226">
        <v>22</v>
      </c>
      <c r="C4226">
        <v>3</v>
      </c>
      <c r="D4226">
        <v>19</v>
      </c>
      <c r="E4226">
        <f t="shared" si="65"/>
        <v>7.4095443591012313E-17</v>
      </c>
    </row>
    <row r="4227" spans="1:5" x14ac:dyDescent="0.25">
      <c r="A4227">
        <v>4</v>
      </c>
      <c r="B4227">
        <v>22</v>
      </c>
      <c r="C4227">
        <v>4</v>
      </c>
      <c r="D4227">
        <v>18</v>
      </c>
      <c r="E4227">
        <f t="shared" si="65"/>
        <v>3.1173011625075906E-15</v>
      </c>
    </row>
    <row r="4228" spans="1:5" x14ac:dyDescent="0.25">
      <c r="A4228">
        <v>4</v>
      </c>
      <c r="B4228">
        <v>22</v>
      </c>
      <c r="C4228">
        <v>5</v>
      </c>
      <c r="D4228">
        <v>17</v>
      </c>
      <c r="E4228">
        <f t="shared" si="65"/>
        <v>8.5569916910833365E-14</v>
      </c>
    </row>
    <row r="4229" spans="1:5" x14ac:dyDescent="0.25">
      <c r="A4229">
        <v>4</v>
      </c>
      <c r="B4229">
        <v>22</v>
      </c>
      <c r="C4229">
        <v>6</v>
      </c>
      <c r="D4229">
        <v>16</v>
      </c>
      <c r="E4229">
        <f t="shared" si="65"/>
        <v>1.6163206527601855E-12</v>
      </c>
    </row>
    <row r="4230" spans="1:5" x14ac:dyDescent="0.25">
      <c r="A4230">
        <v>4</v>
      </c>
      <c r="B4230">
        <v>22</v>
      </c>
      <c r="C4230">
        <v>7</v>
      </c>
      <c r="D4230">
        <v>15</v>
      </c>
      <c r="E4230">
        <f t="shared" si="65"/>
        <v>2.1797238517223067E-11</v>
      </c>
    </row>
    <row r="4231" spans="1:5" x14ac:dyDescent="0.25">
      <c r="A4231">
        <v>4</v>
      </c>
      <c r="B4231">
        <v>22</v>
      </c>
      <c r="C4231">
        <v>8</v>
      </c>
      <c r="D4231">
        <v>14</v>
      </c>
      <c r="E4231">
        <f t="shared" si="65"/>
        <v>2.1549542624981908E-10</v>
      </c>
    </row>
    <row r="4232" spans="1:5" x14ac:dyDescent="0.25">
      <c r="A4232">
        <v>4</v>
      </c>
      <c r="B4232">
        <v>22</v>
      </c>
      <c r="C4232">
        <v>9</v>
      </c>
      <c r="D4232">
        <v>13</v>
      </c>
      <c r="E4232">
        <f t="shared" si="65"/>
        <v>1.5922717606236627E-9</v>
      </c>
    </row>
    <row r="4233" spans="1:5" x14ac:dyDescent="0.25">
      <c r="A4233">
        <v>4</v>
      </c>
      <c r="B4233">
        <v>22</v>
      </c>
      <c r="C4233">
        <v>10</v>
      </c>
      <c r="D4233">
        <v>12</v>
      </c>
      <c r="E4233">
        <f t="shared" si="65"/>
        <v>8.9167218594925142E-9</v>
      </c>
    </row>
    <row r="4234" spans="1:5" x14ac:dyDescent="0.25">
      <c r="A4234">
        <v>4</v>
      </c>
      <c r="B4234">
        <v>22</v>
      </c>
      <c r="C4234">
        <v>11</v>
      </c>
      <c r="D4234">
        <v>11</v>
      </c>
      <c r="E4234">
        <f t="shared" si="65"/>
        <v>3.821452225496791E-8</v>
      </c>
    </row>
    <row r="4235" spans="1:5" x14ac:dyDescent="0.25">
      <c r="A4235">
        <v>4</v>
      </c>
      <c r="B4235">
        <v>22</v>
      </c>
      <c r="C4235">
        <v>12</v>
      </c>
      <c r="D4235">
        <v>10</v>
      </c>
      <c r="E4235">
        <f t="shared" si="65"/>
        <v>1.2610792344139402E-7</v>
      </c>
    </row>
    <row r="4236" spans="1:5" x14ac:dyDescent="0.25">
      <c r="A4236">
        <v>4</v>
      </c>
      <c r="B4236">
        <v>22</v>
      </c>
      <c r="C4236">
        <v>13</v>
      </c>
      <c r="D4236">
        <v>9</v>
      </c>
      <c r="E4236">
        <f t="shared" si="65"/>
        <v>3.2133268953816767E-7</v>
      </c>
    </row>
    <row r="4237" spans="1:5" x14ac:dyDescent="0.25">
      <c r="A4237">
        <v>4</v>
      </c>
      <c r="B4237">
        <v>22</v>
      </c>
      <c r="C4237">
        <v>14</v>
      </c>
      <c r="D4237">
        <v>8</v>
      </c>
      <c r="E4237">
        <f t="shared" si="65"/>
        <v>6.3186428026832972E-7</v>
      </c>
    </row>
    <row r="4238" spans="1:5" x14ac:dyDescent="0.25">
      <c r="A4238">
        <v>4</v>
      </c>
      <c r="B4238">
        <v>22</v>
      </c>
      <c r="C4238">
        <v>15</v>
      </c>
      <c r="D4238">
        <v>7</v>
      </c>
      <c r="E4238">
        <f t="shared" ref="E4238:E4301" si="66">COMBIN(A$4,A4238)*COMBIN(B$4,B4238)*COMBIN(C$4,C4238)*COMBIN(D$4,D4238)/COMBIN($G$4,$F$4)</f>
        <v>9.5481713462769806E-7</v>
      </c>
    </row>
    <row r="4239" spans="1:5" x14ac:dyDescent="0.25">
      <c r="A4239">
        <v>4</v>
      </c>
      <c r="B4239">
        <v>22</v>
      </c>
      <c r="C4239">
        <v>16</v>
      </c>
      <c r="D4239">
        <v>6</v>
      </c>
      <c r="E4239">
        <f t="shared" si="66"/>
        <v>1.0992960431568891E-6</v>
      </c>
    </row>
    <row r="4240" spans="1:5" x14ac:dyDescent="0.25">
      <c r="A4240">
        <v>4</v>
      </c>
      <c r="B4240">
        <v>22</v>
      </c>
      <c r="C4240">
        <v>17</v>
      </c>
      <c r="D4240">
        <v>5</v>
      </c>
      <c r="E4240">
        <f t="shared" si="66"/>
        <v>9.5056775496507511E-7</v>
      </c>
    </row>
    <row r="4241" spans="1:5" x14ac:dyDescent="0.25">
      <c r="A4241">
        <v>4</v>
      </c>
      <c r="B4241">
        <v>22</v>
      </c>
      <c r="C4241">
        <v>18</v>
      </c>
      <c r="D4241">
        <v>4</v>
      </c>
      <c r="E4241">
        <f t="shared" si="66"/>
        <v>6.0353508251750761E-7</v>
      </c>
    </row>
    <row r="4242" spans="1:5" x14ac:dyDescent="0.25">
      <c r="A4242">
        <v>4</v>
      </c>
      <c r="B4242">
        <v>22</v>
      </c>
      <c r="C4242">
        <v>19</v>
      </c>
      <c r="D4242">
        <v>3</v>
      </c>
      <c r="E4242">
        <f t="shared" si="66"/>
        <v>2.714464007495011E-7</v>
      </c>
    </row>
    <row r="4243" spans="1:5" x14ac:dyDescent="0.25">
      <c r="A4243">
        <v>4</v>
      </c>
      <c r="B4243">
        <v>22</v>
      </c>
      <c r="C4243">
        <v>20</v>
      </c>
      <c r="D4243">
        <v>2</v>
      </c>
      <c r="E4243">
        <f t="shared" si="66"/>
        <v>8.1433920224850416E-8</v>
      </c>
    </row>
    <row r="4244" spans="1:5" x14ac:dyDescent="0.25">
      <c r="A4244">
        <v>4</v>
      </c>
      <c r="B4244">
        <v>22</v>
      </c>
      <c r="C4244">
        <v>21</v>
      </c>
      <c r="D4244">
        <v>1</v>
      </c>
      <c r="E4244">
        <f t="shared" si="66"/>
        <v>1.4541771468723267E-8</v>
      </c>
    </row>
    <row r="4245" spans="1:5" x14ac:dyDescent="0.25">
      <c r="A4245">
        <v>4</v>
      </c>
      <c r="B4245">
        <v>22</v>
      </c>
      <c r="C4245">
        <v>22</v>
      </c>
      <c r="D4245">
        <v>0</v>
      </c>
      <c r="E4245">
        <f t="shared" si="66"/>
        <v>1.163341717497862E-9</v>
      </c>
    </row>
    <row r="4246" spans="1:5" x14ac:dyDescent="0.25">
      <c r="A4246">
        <v>4</v>
      </c>
      <c r="B4246">
        <v>23</v>
      </c>
      <c r="C4246">
        <v>0</v>
      </c>
      <c r="D4246">
        <v>21</v>
      </c>
      <c r="E4246">
        <f t="shared" si="66"/>
        <v>1.4065794313528288E-21</v>
      </c>
    </row>
    <row r="4247" spans="1:5" x14ac:dyDescent="0.25">
      <c r="A4247">
        <v>4</v>
      </c>
      <c r="B4247">
        <v>23</v>
      </c>
      <c r="C4247">
        <v>1</v>
      </c>
      <c r="D4247">
        <v>20</v>
      </c>
      <c r="E4247">
        <f t="shared" si="66"/>
        <v>3.8399618475932217E-19</v>
      </c>
    </row>
    <row r="4248" spans="1:5" x14ac:dyDescent="0.25">
      <c r="A4248">
        <v>4</v>
      </c>
      <c r="B4248">
        <v>23</v>
      </c>
      <c r="C4248">
        <v>2</v>
      </c>
      <c r="D4248">
        <v>19</v>
      </c>
      <c r="E4248">
        <f t="shared" si="66"/>
        <v>4.0959593040994359E-17</v>
      </c>
    </row>
    <row r="4249" spans="1:5" x14ac:dyDescent="0.25">
      <c r="A4249">
        <v>4</v>
      </c>
      <c r="B4249">
        <v>23</v>
      </c>
      <c r="C4249">
        <v>3</v>
      </c>
      <c r="D4249">
        <v>18</v>
      </c>
      <c r="E4249">
        <f t="shared" si="66"/>
        <v>2.3346968033366797E-15</v>
      </c>
    </row>
    <row r="4250" spans="1:5" x14ac:dyDescent="0.25">
      <c r="A4250">
        <v>4</v>
      </c>
      <c r="B4250">
        <v>23</v>
      </c>
      <c r="C4250">
        <v>4</v>
      </c>
      <c r="D4250">
        <v>17</v>
      </c>
      <c r="E4250">
        <f t="shared" si="66"/>
        <v>8.1422551016366677E-14</v>
      </c>
    </row>
    <row r="4251" spans="1:5" x14ac:dyDescent="0.25">
      <c r="A4251">
        <v>4</v>
      </c>
      <c r="B4251">
        <v>23</v>
      </c>
      <c r="C4251">
        <v>5</v>
      </c>
      <c r="D4251">
        <v>16</v>
      </c>
      <c r="E4251">
        <f t="shared" si="66"/>
        <v>1.8763374534216057E-12</v>
      </c>
    </row>
    <row r="4252" spans="1:5" x14ac:dyDescent="0.25">
      <c r="A4252">
        <v>4</v>
      </c>
      <c r="B4252">
        <v>23</v>
      </c>
      <c r="C4252">
        <v>6</v>
      </c>
      <c r="D4252">
        <v>15</v>
      </c>
      <c r="E4252">
        <f t="shared" si="66"/>
        <v>3.0021399254745685E-11</v>
      </c>
    </row>
    <row r="4253" spans="1:5" x14ac:dyDescent="0.25">
      <c r="A4253">
        <v>4</v>
      </c>
      <c r="B4253">
        <v>23</v>
      </c>
      <c r="C4253">
        <v>7</v>
      </c>
      <c r="D4253">
        <v>14</v>
      </c>
      <c r="E4253">
        <f t="shared" si="66"/>
        <v>3.4505114727857058E-10</v>
      </c>
    </row>
    <row r="4254" spans="1:5" x14ac:dyDescent="0.25">
      <c r="A4254">
        <v>4</v>
      </c>
      <c r="B4254">
        <v>23</v>
      </c>
      <c r="C4254">
        <v>8</v>
      </c>
      <c r="D4254">
        <v>13</v>
      </c>
      <c r="E4254">
        <f t="shared" si="66"/>
        <v>2.9185576207312438E-9</v>
      </c>
    </row>
    <row r="4255" spans="1:5" x14ac:dyDescent="0.25">
      <c r="A4255">
        <v>4</v>
      </c>
      <c r="B4255">
        <v>23</v>
      </c>
      <c r="C4255">
        <v>9</v>
      </c>
      <c r="D4255">
        <v>12</v>
      </c>
      <c r="E4255">
        <f t="shared" si="66"/>
        <v>1.848419826463121E-8</v>
      </c>
    </row>
    <row r="4256" spans="1:5" x14ac:dyDescent="0.25">
      <c r="A4256">
        <v>4</v>
      </c>
      <c r="B4256">
        <v>23</v>
      </c>
      <c r="C4256">
        <v>10</v>
      </c>
      <c r="D4256">
        <v>11</v>
      </c>
      <c r="E4256">
        <f t="shared" si="66"/>
        <v>8.8724151670229788E-8</v>
      </c>
    </row>
    <row r="4257" spans="1:5" x14ac:dyDescent="0.25">
      <c r="A4257">
        <v>4</v>
      </c>
      <c r="B4257">
        <v>23</v>
      </c>
      <c r="C4257">
        <v>11</v>
      </c>
      <c r="D4257">
        <v>10</v>
      </c>
      <c r="E4257">
        <f t="shared" si="66"/>
        <v>3.2532188945750926E-7</v>
      </c>
    </row>
    <row r="4258" spans="1:5" x14ac:dyDescent="0.25">
      <c r="A4258">
        <v>4</v>
      </c>
      <c r="B4258">
        <v>23</v>
      </c>
      <c r="C4258">
        <v>12</v>
      </c>
      <c r="D4258">
        <v>9</v>
      </c>
      <c r="E4258">
        <f t="shared" si="66"/>
        <v>9.1496781409924426E-7</v>
      </c>
    </row>
    <row r="4259" spans="1:5" x14ac:dyDescent="0.25">
      <c r="A4259">
        <v>4</v>
      </c>
      <c r="B4259">
        <v>23</v>
      </c>
      <c r="C4259">
        <v>13</v>
      </c>
      <c r="D4259">
        <v>8</v>
      </c>
      <c r="E4259">
        <f t="shared" si="66"/>
        <v>1.9748400331463338E-6</v>
      </c>
    </row>
    <row r="4260" spans="1:5" x14ac:dyDescent="0.25">
      <c r="A4260">
        <v>4</v>
      </c>
      <c r="B4260">
        <v>23</v>
      </c>
      <c r="C4260">
        <v>14</v>
      </c>
      <c r="D4260">
        <v>7</v>
      </c>
      <c r="E4260">
        <f t="shared" si="66"/>
        <v>3.2600533880510916E-6</v>
      </c>
    </row>
    <row r="4261" spans="1:5" x14ac:dyDescent="0.25">
      <c r="A4261">
        <v>4</v>
      </c>
      <c r="B4261">
        <v>23</v>
      </c>
      <c r="C4261">
        <v>15</v>
      </c>
      <c r="D4261">
        <v>6</v>
      </c>
      <c r="E4261">
        <f t="shared" si="66"/>
        <v>4.0836458229271535E-6</v>
      </c>
    </row>
    <row r="4262" spans="1:5" x14ac:dyDescent="0.25">
      <c r="A4262">
        <v>4</v>
      </c>
      <c r="B4262">
        <v>23</v>
      </c>
      <c r="C4262">
        <v>16</v>
      </c>
      <c r="D4262">
        <v>5</v>
      </c>
      <c r="E4262">
        <f t="shared" si="66"/>
        <v>3.8284179589942072E-6</v>
      </c>
    </row>
    <row r="4263" spans="1:5" x14ac:dyDescent="0.25">
      <c r="A4263">
        <v>4</v>
      </c>
      <c r="B4263">
        <v>23</v>
      </c>
      <c r="C4263">
        <v>17</v>
      </c>
      <c r="D4263">
        <v>4</v>
      </c>
      <c r="E4263">
        <f t="shared" si="66"/>
        <v>2.6273456581332815E-6</v>
      </c>
    </row>
    <row r="4264" spans="1:5" x14ac:dyDescent="0.25">
      <c r="A4264">
        <v>4</v>
      </c>
      <c r="B4264">
        <v>23</v>
      </c>
      <c r="C4264">
        <v>18</v>
      </c>
      <c r="D4264">
        <v>3</v>
      </c>
      <c r="E4264">
        <f t="shared" si="66"/>
        <v>1.2738645615191654E-6</v>
      </c>
    </row>
    <row r="4265" spans="1:5" x14ac:dyDescent="0.25">
      <c r="A4265">
        <v>4</v>
      </c>
      <c r="B4265">
        <v>23</v>
      </c>
      <c r="C4265">
        <v>19</v>
      </c>
      <c r="D4265">
        <v>2</v>
      </c>
      <c r="E4265">
        <f t="shared" si="66"/>
        <v>4.1101808506682473E-7</v>
      </c>
    </row>
    <row r="4266" spans="1:5" x14ac:dyDescent="0.25">
      <c r="A4266">
        <v>4</v>
      </c>
      <c r="B4266">
        <v>23</v>
      </c>
      <c r="C4266">
        <v>20</v>
      </c>
      <c r="D4266">
        <v>1</v>
      </c>
      <c r="E4266">
        <f t="shared" si="66"/>
        <v>7.8778466304474809E-8</v>
      </c>
    </row>
    <row r="4267" spans="1:5" x14ac:dyDescent="0.25">
      <c r="A4267">
        <v>4</v>
      </c>
      <c r="B4267">
        <v>23</v>
      </c>
      <c r="C4267">
        <v>21</v>
      </c>
      <c r="D4267">
        <v>0</v>
      </c>
      <c r="E4267">
        <f t="shared" si="66"/>
        <v>6.7524399689549747E-9</v>
      </c>
    </row>
    <row r="4268" spans="1:5" x14ac:dyDescent="0.25">
      <c r="A4268">
        <v>4</v>
      </c>
      <c r="B4268">
        <v>24</v>
      </c>
      <c r="C4268">
        <v>0</v>
      </c>
      <c r="D4268">
        <v>20</v>
      </c>
      <c r="E4268">
        <f t="shared" si="66"/>
        <v>6.5476272529474201E-20</v>
      </c>
    </row>
    <row r="4269" spans="1:5" x14ac:dyDescent="0.25">
      <c r="A4269">
        <v>4</v>
      </c>
      <c r="B4269">
        <v>24</v>
      </c>
      <c r="C4269">
        <v>1</v>
      </c>
      <c r="D4269">
        <v>19</v>
      </c>
      <c r="E4269">
        <f t="shared" si="66"/>
        <v>1.4186525714719409E-17</v>
      </c>
    </row>
    <row r="4270" spans="1:5" x14ac:dyDescent="0.25">
      <c r="A4270">
        <v>4</v>
      </c>
      <c r="B4270">
        <v>24</v>
      </c>
      <c r="C4270">
        <v>2</v>
      </c>
      <c r="D4270">
        <v>18</v>
      </c>
      <c r="E4270">
        <f t="shared" si="66"/>
        <v>1.2322010906499147E-15</v>
      </c>
    </row>
    <row r="4271" spans="1:5" x14ac:dyDescent="0.25">
      <c r="A4271">
        <v>4</v>
      </c>
      <c r="B4271">
        <v>24</v>
      </c>
      <c r="C4271">
        <v>3</v>
      </c>
      <c r="D4271">
        <v>17</v>
      </c>
      <c r="E4271">
        <f t="shared" si="66"/>
        <v>5.822150153320847E-14</v>
      </c>
    </row>
    <row r="4272" spans="1:5" x14ac:dyDescent="0.25">
      <c r="A4272">
        <v>4</v>
      </c>
      <c r="B4272">
        <v>24</v>
      </c>
      <c r="C4272">
        <v>4</v>
      </c>
      <c r="D4272">
        <v>16</v>
      </c>
      <c r="E4272">
        <f t="shared" si="66"/>
        <v>1.7045961837778256E-12</v>
      </c>
    </row>
    <row r="4273" spans="1:5" x14ac:dyDescent="0.25">
      <c r="A4273">
        <v>4</v>
      </c>
      <c r="B4273">
        <v>24</v>
      </c>
      <c r="C4273">
        <v>5</v>
      </c>
      <c r="D4273">
        <v>15</v>
      </c>
      <c r="E4273">
        <f t="shared" si="66"/>
        <v>3.3273717507343156E-11</v>
      </c>
    </row>
    <row r="4274" spans="1:5" x14ac:dyDescent="0.25">
      <c r="A4274">
        <v>4</v>
      </c>
      <c r="B4274">
        <v>24</v>
      </c>
      <c r="C4274">
        <v>6</v>
      </c>
      <c r="D4274">
        <v>14</v>
      </c>
      <c r="E4274">
        <f t="shared" si="66"/>
        <v>4.5373251146377029E-10</v>
      </c>
    </row>
    <row r="4275" spans="1:5" x14ac:dyDescent="0.25">
      <c r="A4275">
        <v>4</v>
      </c>
      <c r="B4275">
        <v>24</v>
      </c>
      <c r="C4275">
        <v>7</v>
      </c>
      <c r="D4275">
        <v>13</v>
      </c>
      <c r="E4275">
        <f t="shared" si="66"/>
        <v>4.4617030293937424E-9</v>
      </c>
    </row>
    <row r="4276" spans="1:5" x14ac:dyDescent="0.25">
      <c r="A4276">
        <v>4</v>
      </c>
      <c r="B4276">
        <v>24</v>
      </c>
      <c r="C4276">
        <v>8</v>
      </c>
      <c r="D4276">
        <v>12</v>
      </c>
      <c r="E4276">
        <f t="shared" si="66"/>
        <v>3.2347346963104634E-8</v>
      </c>
    </row>
    <row r="4277" spans="1:5" x14ac:dyDescent="0.25">
      <c r="A4277">
        <v>4</v>
      </c>
      <c r="B4277">
        <v>24</v>
      </c>
      <c r="C4277">
        <v>9</v>
      </c>
      <c r="D4277">
        <v>11</v>
      </c>
      <c r="E4277">
        <f t="shared" si="66"/>
        <v>1.7559988351399652E-7</v>
      </c>
    </row>
    <row r="4278" spans="1:5" x14ac:dyDescent="0.25">
      <c r="A4278">
        <v>4</v>
      </c>
      <c r="B4278">
        <v>24</v>
      </c>
      <c r="C4278">
        <v>10</v>
      </c>
      <c r="D4278">
        <v>10</v>
      </c>
      <c r="E4278">
        <f t="shared" si="66"/>
        <v>7.2113018829747913E-7</v>
      </c>
    </row>
    <row r="4279" spans="1:5" x14ac:dyDescent="0.25">
      <c r="A4279">
        <v>4</v>
      </c>
      <c r="B4279">
        <v>24</v>
      </c>
      <c r="C4279">
        <v>11</v>
      </c>
      <c r="D4279">
        <v>9</v>
      </c>
      <c r="E4279">
        <f t="shared" si="66"/>
        <v>2.2535318384296229E-6</v>
      </c>
    </row>
    <row r="4280" spans="1:5" x14ac:dyDescent="0.25">
      <c r="A4280">
        <v>4</v>
      </c>
      <c r="B4280">
        <v>24</v>
      </c>
      <c r="C4280">
        <v>12</v>
      </c>
      <c r="D4280">
        <v>8</v>
      </c>
      <c r="E4280">
        <f t="shared" si="66"/>
        <v>5.3687082033176274E-6</v>
      </c>
    </row>
    <row r="4281" spans="1:5" x14ac:dyDescent="0.25">
      <c r="A4281">
        <v>4</v>
      </c>
      <c r="B4281">
        <v>24</v>
      </c>
      <c r="C4281">
        <v>13</v>
      </c>
      <c r="D4281">
        <v>7</v>
      </c>
      <c r="E4281">
        <f t="shared" si="66"/>
        <v>9.7279157188319474E-6</v>
      </c>
    </row>
    <row r="4282" spans="1:5" x14ac:dyDescent="0.25">
      <c r="A4282">
        <v>4</v>
      </c>
      <c r="B4282">
        <v>24</v>
      </c>
      <c r="C4282">
        <v>14</v>
      </c>
      <c r="D4282">
        <v>6</v>
      </c>
      <c r="E4282">
        <f t="shared" si="66"/>
        <v>1.3311884667875292E-5</v>
      </c>
    </row>
    <row r="4283" spans="1:5" x14ac:dyDescent="0.25">
      <c r="A4283">
        <v>4</v>
      </c>
      <c r="B4283">
        <v>24</v>
      </c>
      <c r="C4283">
        <v>15</v>
      </c>
      <c r="D4283">
        <v>5</v>
      </c>
      <c r="E4283">
        <f t="shared" si="66"/>
        <v>1.3578122361232792E-5</v>
      </c>
    </row>
    <row r="4284" spans="1:5" x14ac:dyDescent="0.25">
      <c r="A4284">
        <v>4</v>
      </c>
      <c r="B4284">
        <v>24</v>
      </c>
      <c r="C4284">
        <v>16</v>
      </c>
      <c r="D4284">
        <v>4</v>
      </c>
      <c r="E4284">
        <f t="shared" si="66"/>
        <v>1.0102769614012499E-5</v>
      </c>
    </row>
    <row r="4285" spans="1:5" x14ac:dyDescent="0.25">
      <c r="A4285">
        <v>4</v>
      </c>
      <c r="B4285">
        <v>24</v>
      </c>
      <c r="C4285">
        <v>17</v>
      </c>
      <c r="D4285">
        <v>3</v>
      </c>
      <c r="E4285">
        <f t="shared" si="66"/>
        <v>5.2944995838140399E-6</v>
      </c>
    </row>
    <row r="4286" spans="1:5" x14ac:dyDescent="0.25">
      <c r="A4286">
        <v>4</v>
      </c>
      <c r="B4286">
        <v>24</v>
      </c>
      <c r="C4286">
        <v>18</v>
      </c>
      <c r="D4286">
        <v>2</v>
      </c>
      <c r="E4286">
        <f t="shared" si="66"/>
        <v>1.8415650726309684E-6</v>
      </c>
    </row>
    <row r="4287" spans="1:5" x14ac:dyDescent="0.25">
      <c r="A4287">
        <v>4</v>
      </c>
      <c r="B4287">
        <v>24</v>
      </c>
      <c r="C4287">
        <v>19</v>
      </c>
      <c r="D4287">
        <v>1</v>
      </c>
      <c r="E4287">
        <f t="shared" si="66"/>
        <v>3.7962087023533136E-7</v>
      </c>
    </row>
    <row r="4288" spans="1:5" x14ac:dyDescent="0.25">
      <c r="A4288">
        <v>4</v>
      </c>
      <c r="B4288">
        <v>24</v>
      </c>
      <c r="C4288">
        <v>20</v>
      </c>
      <c r="D4288">
        <v>0</v>
      </c>
      <c r="E4288">
        <f t="shared" si="66"/>
        <v>3.4925120061650514E-8</v>
      </c>
    </row>
    <row r="4289" spans="1:5" x14ac:dyDescent="0.25">
      <c r="A4289">
        <v>4</v>
      </c>
      <c r="B4289">
        <v>25</v>
      </c>
      <c r="C4289">
        <v>0</v>
      </c>
      <c r="D4289">
        <v>19</v>
      </c>
      <c r="E4289">
        <f t="shared" si="66"/>
        <v>2.3134949627080892E-18</v>
      </c>
    </row>
    <row r="4290" spans="1:5" x14ac:dyDescent="0.25">
      <c r="A4290">
        <v>4</v>
      </c>
      <c r="B4290">
        <v>25</v>
      </c>
      <c r="C4290">
        <v>1</v>
      </c>
      <c r="D4290">
        <v>18</v>
      </c>
      <c r="E4290">
        <f t="shared" si="66"/>
        <v>4.0816661127778447E-16</v>
      </c>
    </row>
    <row r="4291" spans="1:5" x14ac:dyDescent="0.25">
      <c r="A4291">
        <v>4</v>
      </c>
      <c r="B4291">
        <v>25</v>
      </c>
      <c r="C4291">
        <v>2</v>
      </c>
      <c r="D4291">
        <v>17</v>
      </c>
      <c r="E4291">
        <f t="shared" si="66"/>
        <v>2.9387996012000477E-14</v>
      </c>
    </row>
    <row r="4292" spans="1:5" x14ac:dyDescent="0.25">
      <c r="A4292">
        <v>4</v>
      </c>
      <c r="B4292">
        <v>25</v>
      </c>
      <c r="C4292">
        <v>3</v>
      </c>
      <c r="D4292">
        <v>16</v>
      </c>
      <c r="E4292">
        <f t="shared" si="66"/>
        <v>1.1657238418093521E-12</v>
      </c>
    </row>
    <row r="4293" spans="1:5" x14ac:dyDescent="0.25">
      <c r="A4293">
        <v>4</v>
      </c>
      <c r="B4293">
        <v>25</v>
      </c>
      <c r="C4293">
        <v>4</v>
      </c>
      <c r="D4293">
        <v>15</v>
      </c>
      <c r="E4293">
        <f t="shared" si="66"/>
        <v>2.8909951276871931E-11</v>
      </c>
    </row>
    <row r="4294" spans="1:5" x14ac:dyDescent="0.25">
      <c r="A4294">
        <v>4</v>
      </c>
      <c r="B4294">
        <v>25</v>
      </c>
      <c r="C4294">
        <v>5</v>
      </c>
      <c r="D4294">
        <v>14</v>
      </c>
      <c r="E4294">
        <f t="shared" si="66"/>
        <v>4.8095646215159677E-10</v>
      </c>
    </row>
    <row r="4295" spans="1:5" x14ac:dyDescent="0.25">
      <c r="A4295">
        <v>4</v>
      </c>
      <c r="B4295">
        <v>25</v>
      </c>
      <c r="C4295">
        <v>6</v>
      </c>
      <c r="D4295">
        <v>13</v>
      </c>
      <c r="E4295">
        <f t="shared" si="66"/>
        <v>5.6111587251019619E-9</v>
      </c>
    </row>
    <row r="4296" spans="1:5" x14ac:dyDescent="0.25">
      <c r="A4296">
        <v>4</v>
      </c>
      <c r="B4296">
        <v>25</v>
      </c>
      <c r="C4296">
        <v>7</v>
      </c>
      <c r="D4296">
        <v>12</v>
      </c>
      <c r="E4296">
        <f t="shared" si="66"/>
        <v>4.7294052111573684E-8</v>
      </c>
    </row>
    <row r="4297" spans="1:5" x14ac:dyDescent="0.25">
      <c r="A4297">
        <v>4</v>
      </c>
      <c r="B4297">
        <v>25</v>
      </c>
      <c r="C4297">
        <v>8</v>
      </c>
      <c r="D4297">
        <v>11</v>
      </c>
      <c r="E4297">
        <f t="shared" si="66"/>
        <v>2.9389875240763644E-7</v>
      </c>
    </row>
    <row r="4298" spans="1:5" x14ac:dyDescent="0.25">
      <c r="A4298">
        <v>4</v>
      </c>
      <c r="B4298">
        <v>25</v>
      </c>
      <c r="C4298">
        <v>9</v>
      </c>
      <c r="D4298">
        <v>10</v>
      </c>
      <c r="E4298">
        <f t="shared" si="66"/>
        <v>1.3649964278488E-6</v>
      </c>
    </row>
    <row r="4299" spans="1:5" x14ac:dyDescent="0.25">
      <c r="A4299">
        <v>4</v>
      </c>
      <c r="B4299">
        <v>25</v>
      </c>
      <c r="C4299">
        <v>10</v>
      </c>
      <c r="D4299">
        <v>9</v>
      </c>
      <c r="E4299">
        <f t="shared" si="66"/>
        <v>4.7774874974708024E-6</v>
      </c>
    </row>
    <row r="4300" spans="1:5" x14ac:dyDescent="0.25">
      <c r="A4300">
        <v>4</v>
      </c>
      <c r="B4300">
        <v>25</v>
      </c>
      <c r="C4300">
        <v>11</v>
      </c>
      <c r="D4300">
        <v>8</v>
      </c>
      <c r="E4300">
        <f t="shared" si="66"/>
        <v>1.2646290434481534E-5</v>
      </c>
    </row>
    <row r="4301" spans="1:5" x14ac:dyDescent="0.25">
      <c r="A4301">
        <v>4</v>
      </c>
      <c r="B4301">
        <v>25</v>
      </c>
      <c r="C4301">
        <v>12</v>
      </c>
      <c r="D4301">
        <v>7</v>
      </c>
      <c r="E4301">
        <f t="shared" si="66"/>
        <v>2.5292580868963062E-5</v>
      </c>
    </row>
    <row r="4302" spans="1:5" x14ac:dyDescent="0.25">
      <c r="A4302">
        <v>4</v>
      </c>
      <c r="B4302">
        <v>25</v>
      </c>
      <c r="C4302">
        <v>13</v>
      </c>
      <c r="D4302">
        <v>6</v>
      </c>
      <c r="E4302">
        <f t="shared" ref="E4302:E4365" si="67">COMBIN(A$4,A4302)*COMBIN(B$4,B4302)*COMBIN(C$4,C4302)*COMBIN(D$4,D4302)/COMBIN($G$4,$F$4)</f>
        <v>3.7990070859859498E-5</v>
      </c>
    </row>
    <row r="4303" spans="1:5" x14ac:dyDescent="0.25">
      <c r="A4303">
        <v>4</v>
      </c>
      <c r="B4303">
        <v>25</v>
      </c>
      <c r="C4303">
        <v>14</v>
      </c>
      <c r="D4303">
        <v>5</v>
      </c>
      <c r="E4303">
        <f t="shared" si="67"/>
        <v>4.2331793243843446E-5</v>
      </c>
    </row>
    <row r="4304" spans="1:5" x14ac:dyDescent="0.25">
      <c r="A4304">
        <v>4</v>
      </c>
      <c r="B4304">
        <v>25</v>
      </c>
      <c r="C4304">
        <v>15</v>
      </c>
      <c r="D4304">
        <v>4</v>
      </c>
      <c r="E4304">
        <f t="shared" si="67"/>
        <v>3.4268594530730404E-5</v>
      </c>
    </row>
    <row r="4305" spans="1:5" x14ac:dyDescent="0.25">
      <c r="A4305">
        <v>4</v>
      </c>
      <c r="B4305">
        <v>25</v>
      </c>
      <c r="C4305">
        <v>16</v>
      </c>
      <c r="D4305">
        <v>3</v>
      </c>
      <c r="E4305">
        <f t="shared" si="67"/>
        <v>1.947079234700591E-5</v>
      </c>
    </row>
    <row r="4306" spans="1:5" x14ac:dyDescent="0.25">
      <c r="A4306">
        <v>4</v>
      </c>
      <c r="B4306">
        <v>25</v>
      </c>
      <c r="C4306">
        <v>17</v>
      </c>
      <c r="D4306">
        <v>2</v>
      </c>
      <c r="E4306">
        <f t="shared" si="67"/>
        <v>7.3202211637081081E-6</v>
      </c>
    </row>
    <row r="4307" spans="1:5" x14ac:dyDescent="0.25">
      <c r="A4307">
        <v>4</v>
      </c>
      <c r="B4307">
        <v>25</v>
      </c>
      <c r="C4307">
        <v>18</v>
      </c>
      <c r="D4307">
        <v>1</v>
      </c>
      <c r="E4307">
        <f t="shared" si="67"/>
        <v>1.6267158141573561E-6</v>
      </c>
    </row>
    <row r="4308" spans="1:5" x14ac:dyDescent="0.25">
      <c r="A4308">
        <v>4</v>
      </c>
      <c r="B4308">
        <v>25</v>
      </c>
      <c r="C4308">
        <v>19</v>
      </c>
      <c r="D4308">
        <v>0</v>
      </c>
      <c r="E4308">
        <f t="shared" si="67"/>
        <v>1.6095924897978054E-7</v>
      </c>
    </row>
    <row r="4309" spans="1:5" x14ac:dyDescent="0.25">
      <c r="A4309">
        <v>4</v>
      </c>
      <c r="B4309">
        <v>26</v>
      </c>
      <c r="C4309">
        <v>0</v>
      </c>
      <c r="D4309">
        <v>18</v>
      </c>
      <c r="E4309">
        <f t="shared" si="67"/>
        <v>6.3760938093097643E-17</v>
      </c>
    </row>
    <row r="4310" spans="1:5" x14ac:dyDescent="0.25">
      <c r="A4310">
        <v>4</v>
      </c>
      <c r="B4310">
        <v>26</v>
      </c>
      <c r="C4310">
        <v>1</v>
      </c>
      <c r="D4310">
        <v>17</v>
      </c>
      <c r="E4310">
        <f t="shared" si="67"/>
        <v>9.3250371961155277E-15</v>
      </c>
    </row>
    <row r="4311" spans="1:5" x14ac:dyDescent="0.25">
      <c r="A4311">
        <v>4</v>
      </c>
      <c r="B4311">
        <v>26</v>
      </c>
      <c r="C4311">
        <v>2</v>
      </c>
      <c r="D4311">
        <v>16</v>
      </c>
      <c r="E4311">
        <f t="shared" si="67"/>
        <v>5.6364669274298297E-13</v>
      </c>
    </row>
    <row r="4312" spans="1:5" x14ac:dyDescent="0.25">
      <c r="A4312">
        <v>4</v>
      </c>
      <c r="B4312">
        <v>26</v>
      </c>
      <c r="C4312">
        <v>3</v>
      </c>
      <c r="D4312">
        <v>15</v>
      </c>
      <c r="E4312">
        <f t="shared" si="67"/>
        <v>1.8938528876164224E-11</v>
      </c>
    </row>
    <row r="4313" spans="1:5" x14ac:dyDescent="0.25">
      <c r="A4313">
        <v>4</v>
      </c>
      <c r="B4313">
        <v>26</v>
      </c>
      <c r="C4313">
        <v>4</v>
      </c>
      <c r="D4313">
        <v>14</v>
      </c>
      <c r="E4313">
        <f t="shared" si="67"/>
        <v>4.0029163306438032E-10</v>
      </c>
    </row>
    <row r="4314" spans="1:5" x14ac:dyDescent="0.25">
      <c r="A4314">
        <v>4</v>
      </c>
      <c r="B4314">
        <v>26</v>
      </c>
      <c r="C4314">
        <v>5</v>
      </c>
      <c r="D4314">
        <v>13</v>
      </c>
      <c r="E4314">
        <f t="shared" si="67"/>
        <v>5.6974842439496802E-9</v>
      </c>
    </row>
    <row r="4315" spans="1:5" x14ac:dyDescent="0.25">
      <c r="A4315">
        <v>4</v>
      </c>
      <c r="B4315">
        <v>26</v>
      </c>
      <c r="C4315">
        <v>6</v>
      </c>
      <c r="D4315">
        <v>12</v>
      </c>
      <c r="E4315">
        <f t="shared" si="67"/>
        <v>5.6974842439496804E-8</v>
      </c>
    </row>
    <row r="4316" spans="1:5" x14ac:dyDescent="0.25">
      <c r="A4316">
        <v>4</v>
      </c>
      <c r="B4316">
        <v>26</v>
      </c>
      <c r="C4316">
        <v>7</v>
      </c>
      <c r="D4316">
        <v>11</v>
      </c>
      <c r="E4316">
        <f t="shared" si="67"/>
        <v>4.1161416782820128E-7</v>
      </c>
    </row>
    <row r="4317" spans="1:5" x14ac:dyDescent="0.25">
      <c r="A4317">
        <v>4</v>
      </c>
      <c r="B4317">
        <v>26</v>
      </c>
      <c r="C4317">
        <v>8</v>
      </c>
      <c r="D4317">
        <v>10</v>
      </c>
      <c r="E4317">
        <f t="shared" si="67"/>
        <v>2.1884153256199367E-6</v>
      </c>
    </row>
    <row r="4318" spans="1:5" x14ac:dyDescent="0.25">
      <c r="A4318">
        <v>4</v>
      </c>
      <c r="B4318">
        <v>26</v>
      </c>
      <c r="C4318">
        <v>9</v>
      </c>
      <c r="D4318">
        <v>9</v>
      </c>
      <c r="E4318">
        <f t="shared" si="67"/>
        <v>8.6624773305789167E-6</v>
      </c>
    </row>
    <row r="4319" spans="1:5" x14ac:dyDescent="0.25">
      <c r="A4319">
        <v>4</v>
      </c>
      <c r="B4319">
        <v>26</v>
      </c>
      <c r="C4319">
        <v>10</v>
      </c>
      <c r="D4319">
        <v>8</v>
      </c>
      <c r="E4319">
        <f t="shared" si="67"/>
        <v>2.5681697497716326E-5</v>
      </c>
    </row>
    <row r="4320" spans="1:5" x14ac:dyDescent="0.25">
      <c r="A4320">
        <v>4</v>
      </c>
      <c r="B4320">
        <v>26</v>
      </c>
      <c r="C4320">
        <v>11</v>
      </c>
      <c r="D4320">
        <v>7</v>
      </c>
      <c r="E4320">
        <f t="shared" si="67"/>
        <v>5.7070438883814064E-5</v>
      </c>
    </row>
    <row r="4321" spans="1:5" x14ac:dyDescent="0.25">
      <c r="A4321">
        <v>4</v>
      </c>
      <c r="B4321">
        <v>26</v>
      </c>
      <c r="C4321">
        <v>12</v>
      </c>
      <c r="D4321">
        <v>6</v>
      </c>
      <c r="E4321">
        <f t="shared" si="67"/>
        <v>9.4616780254744282E-5</v>
      </c>
    </row>
    <row r="4322" spans="1:5" x14ac:dyDescent="0.25">
      <c r="A4322">
        <v>4</v>
      </c>
      <c r="B4322">
        <v>26</v>
      </c>
      <c r="C4322">
        <v>13</v>
      </c>
      <c r="D4322">
        <v>5</v>
      </c>
      <c r="E4322">
        <f t="shared" si="67"/>
        <v>1.1572360046541807E-4</v>
      </c>
    </row>
    <row r="4323" spans="1:5" x14ac:dyDescent="0.25">
      <c r="A4323">
        <v>4</v>
      </c>
      <c r="B4323">
        <v>26</v>
      </c>
      <c r="C4323">
        <v>14</v>
      </c>
      <c r="D4323">
        <v>4</v>
      </c>
      <c r="E4323">
        <f t="shared" si="67"/>
        <v>1.0234059905105003E-4</v>
      </c>
    </row>
    <row r="4324" spans="1:5" x14ac:dyDescent="0.25">
      <c r="A4324">
        <v>4</v>
      </c>
      <c r="B4324">
        <v>26</v>
      </c>
      <c r="C4324">
        <v>15</v>
      </c>
      <c r="D4324">
        <v>3</v>
      </c>
      <c r="E4324">
        <f t="shared" si="67"/>
        <v>6.3265097595194524E-5</v>
      </c>
    </row>
    <row r="4325" spans="1:5" x14ac:dyDescent="0.25">
      <c r="A4325">
        <v>4</v>
      </c>
      <c r="B4325">
        <v>26</v>
      </c>
      <c r="C4325">
        <v>16</v>
      </c>
      <c r="D4325">
        <v>2</v>
      </c>
      <c r="E4325">
        <f t="shared" si="67"/>
        <v>2.5787403911084733E-5</v>
      </c>
    </row>
    <row r="4326" spans="1:5" x14ac:dyDescent="0.25">
      <c r="A4326">
        <v>4</v>
      </c>
      <c r="B4326">
        <v>26</v>
      </c>
      <c r="C4326">
        <v>17</v>
      </c>
      <c r="D4326">
        <v>1</v>
      </c>
      <c r="E4326">
        <f t="shared" si="67"/>
        <v>6.1940332923683953E-6</v>
      </c>
    </row>
    <row r="4327" spans="1:5" x14ac:dyDescent="0.25">
      <c r="A4327">
        <v>4</v>
      </c>
      <c r="B4327">
        <v>26</v>
      </c>
      <c r="C4327">
        <v>18</v>
      </c>
      <c r="D4327">
        <v>0</v>
      </c>
      <c r="E4327">
        <f t="shared" si="67"/>
        <v>6.6069688451929484E-7</v>
      </c>
    </row>
    <row r="4328" spans="1:5" x14ac:dyDescent="0.25">
      <c r="A4328">
        <v>4</v>
      </c>
      <c r="B4328">
        <v>27</v>
      </c>
      <c r="C4328">
        <v>0</v>
      </c>
      <c r="D4328">
        <v>17</v>
      </c>
      <c r="E4328">
        <f t="shared" si="67"/>
        <v>1.3974272265403892E-15</v>
      </c>
    </row>
    <row r="4329" spans="1:5" x14ac:dyDescent="0.25">
      <c r="A4329">
        <v>4</v>
      </c>
      <c r="B4329">
        <v>27</v>
      </c>
      <c r="C4329">
        <v>1</v>
      </c>
      <c r="D4329">
        <v>16</v>
      </c>
      <c r="E4329">
        <f t="shared" si="67"/>
        <v>1.7157300948079225E-13</v>
      </c>
    </row>
    <row r="4330" spans="1:5" x14ac:dyDescent="0.25">
      <c r="A4330">
        <v>4</v>
      </c>
      <c r="B4330">
        <v>27</v>
      </c>
      <c r="C4330">
        <v>2</v>
      </c>
      <c r="D4330">
        <v>15</v>
      </c>
      <c r="E4330">
        <f t="shared" si="67"/>
        <v>8.784538085416562E-12</v>
      </c>
    </row>
    <row r="4331" spans="1:5" x14ac:dyDescent="0.25">
      <c r="A4331">
        <v>4</v>
      </c>
      <c r="B4331">
        <v>27</v>
      </c>
      <c r="C4331">
        <v>3</v>
      </c>
      <c r="D4331">
        <v>14</v>
      </c>
      <c r="E4331">
        <f t="shared" si="67"/>
        <v>2.5155722699147429E-10</v>
      </c>
    </row>
    <row r="4332" spans="1:5" x14ac:dyDescent="0.25">
      <c r="A4332">
        <v>4</v>
      </c>
      <c r="B4332">
        <v>27</v>
      </c>
      <c r="C4332">
        <v>4</v>
      </c>
      <c r="D4332">
        <v>13</v>
      </c>
      <c r="E4332">
        <f t="shared" si="67"/>
        <v>4.5489931880958273E-9</v>
      </c>
    </row>
    <row r="4333" spans="1:5" x14ac:dyDescent="0.25">
      <c r="A4333">
        <v>4</v>
      </c>
      <c r="B4333">
        <v>27</v>
      </c>
      <c r="C4333">
        <v>5</v>
      </c>
      <c r="D4333">
        <v>12</v>
      </c>
      <c r="E4333">
        <f t="shared" si="67"/>
        <v>5.5497716894769098E-8</v>
      </c>
    </row>
    <row r="4334" spans="1:5" x14ac:dyDescent="0.25">
      <c r="A4334">
        <v>4</v>
      </c>
      <c r="B4334">
        <v>27</v>
      </c>
      <c r="C4334">
        <v>6</v>
      </c>
      <c r="D4334">
        <v>11</v>
      </c>
      <c r="E4334">
        <f t="shared" si="67"/>
        <v>4.7569471624087791E-7</v>
      </c>
    </row>
    <row r="4335" spans="1:5" x14ac:dyDescent="0.25">
      <c r="A4335">
        <v>4</v>
      </c>
      <c r="B4335">
        <v>27</v>
      </c>
      <c r="C4335">
        <v>7</v>
      </c>
      <c r="D4335">
        <v>10</v>
      </c>
      <c r="E4335">
        <f t="shared" si="67"/>
        <v>2.9402463889555213E-6</v>
      </c>
    </row>
    <row r="4336" spans="1:5" x14ac:dyDescent="0.25">
      <c r="A4336">
        <v>4</v>
      </c>
      <c r="B4336">
        <v>27</v>
      </c>
      <c r="C4336">
        <v>8</v>
      </c>
      <c r="D4336">
        <v>9</v>
      </c>
      <c r="E4336">
        <f t="shared" si="67"/>
        <v>1.3322991449954709E-5</v>
      </c>
    </row>
    <row r="4337" spans="1:5" x14ac:dyDescent="0.25">
      <c r="A4337">
        <v>4</v>
      </c>
      <c r="B4337">
        <v>27</v>
      </c>
      <c r="C4337">
        <v>9</v>
      </c>
      <c r="D4337">
        <v>8</v>
      </c>
      <c r="E4337">
        <f t="shared" si="67"/>
        <v>4.4671206626318716E-5</v>
      </c>
    </row>
    <row r="4338" spans="1:5" x14ac:dyDescent="0.25">
      <c r="A4338">
        <v>4</v>
      </c>
      <c r="B4338">
        <v>27</v>
      </c>
      <c r="C4338">
        <v>10</v>
      </c>
      <c r="D4338">
        <v>7</v>
      </c>
      <c r="E4338">
        <f t="shared" si="67"/>
        <v>1.1118166982550442E-4</v>
      </c>
    </row>
    <row r="4339" spans="1:5" x14ac:dyDescent="0.25">
      <c r="A4339">
        <v>4</v>
      </c>
      <c r="B4339">
        <v>27</v>
      </c>
      <c r="C4339">
        <v>11</v>
      </c>
      <c r="D4339">
        <v>6</v>
      </c>
      <c r="E4339">
        <f t="shared" si="67"/>
        <v>2.0480833915224495E-4</v>
      </c>
    </row>
    <row r="4340" spans="1:5" x14ac:dyDescent="0.25">
      <c r="A4340">
        <v>4</v>
      </c>
      <c r="B4340">
        <v>27</v>
      </c>
      <c r="C4340">
        <v>12</v>
      </c>
      <c r="D4340">
        <v>5</v>
      </c>
      <c r="E4340">
        <f t="shared" si="67"/>
        <v>2.7649125785553046E-4</v>
      </c>
    </row>
    <row r="4341" spans="1:5" x14ac:dyDescent="0.25">
      <c r="A4341">
        <v>4</v>
      </c>
      <c r="B4341">
        <v>27</v>
      </c>
      <c r="C4341">
        <v>13</v>
      </c>
      <c r="D4341">
        <v>4</v>
      </c>
      <c r="E4341">
        <f t="shared" si="67"/>
        <v>2.6838894993302432E-4</v>
      </c>
    </row>
    <row r="4342" spans="1:5" x14ac:dyDescent="0.25">
      <c r="A4342">
        <v>4</v>
      </c>
      <c r="B4342">
        <v>27</v>
      </c>
      <c r="C4342">
        <v>14</v>
      </c>
      <c r="D4342">
        <v>3</v>
      </c>
      <c r="E4342">
        <f t="shared" si="67"/>
        <v>1.8124968047425019E-4</v>
      </c>
    </row>
    <row r="4343" spans="1:5" x14ac:dyDescent="0.25">
      <c r="A4343">
        <v>4</v>
      </c>
      <c r="B4343">
        <v>27</v>
      </c>
      <c r="C4343">
        <v>15</v>
      </c>
      <c r="D4343">
        <v>2</v>
      </c>
      <c r="E4343">
        <f t="shared" si="67"/>
        <v>8.0380293079884837E-5</v>
      </c>
    </row>
    <row r="4344" spans="1:5" x14ac:dyDescent="0.25">
      <c r="A4344">
        <v>4</v>
      </c>
      <c r="B4344">
        <v>27</v>
      </c>
      <c r="C4344">
        <v>16</v>
      </c>
      <c r="D4344">
        <v>1</v>
      </c>
      <c r="E4344">
        <f t="shared" si="67"/>
        <v>2.0932367989553345E-5</v>
      </c>
    </row>
    <row r="4345" spans="1:5" x14ac:dyDescent="0.25">
      <c r="A4345">
        <v>4</v>
      </c>
      <c r="B4345">
        <v>27</v>
      </c>
      <c r="C4345">
        <v>17</v>
      </c>
      <c r="D4345">
        <v>0</v>
      </c>
      <c r="E4345">
        <f t="shared" si="67"/>
        <v>2.4133788976190926E-6</v>
      </c>
    </row>
    <row r="4346" spans="1:5" x14ac:dyDescent="0.25">
      <c r="A4346">
        <v>4</v>
      </c>
      <c r="B4346">
        <v>28</v>
      </c>
      <c r="C4346">
        <v>0</v>
      </c>
      <c r="D4346">
        <v>16</v>
      </c>
      <c r="E4346">
        <f t="shared" si="67"/>
        <v>2.4698971694487702E-14</v>
      </c>
    </row>
    <row r="4347" spans="1:5" x14ac:dyDescent="0.25">
      <c r="A4347">
        <v>4</v>
      </c>
      <c r="B4347">
        <v>28</v>
      </c>
      <c r="C4347">
        <v>1</v>
      </c>
      <c r="D4347">
        <v>15</v>
      </c>
      <c r="E4347">
        <f t="shared" si="67"/>
        <v>2.5686930562267202E-12</v>
      </c>
    </row>
    <row r="4348" spans="1:5" x14ac:dyDescent="0.25">
      <c r="A4348">
        <v>4</v>
      </c>
      <c r="B4348">
        <v>28</v>
      </c>
      <c r="C4348">
        <v>2</v>
      </c>
      <c r="D4348">
        <v>14</v>
      </c>
      <c r="E4348">
        <f t="shared" si="67"/>
        <v>1.1208842427171145E-10</v>
      </c>
    </row>
    <row r="4349" spans="1:5" x14ac:dyDescent="0.25">
      <c r="A4349">
        <v>4</v>
      </c>
      <c r="B4349">
        <v>28</v>
      </c>
      <c r="C4349">
        <v>3</v>
      </c>
      <c r="D4349">
        <v>13</v>
      </c>
      <c r="E4349">
        <f t="shared" si="67"/>
        <v>2.746166394656931E-9</v>
      </c>
    </row>
    <row r="4350" spans="1:5" x14ac:dyDescent="0.25">
      <c r="A4350">
        <v>4</v>
      </c>
      <c r="B4350">
        <v>28</v>
      </c>
      <c r="C4350">
        <v>4</v>
      </c>
      <c r="D4350">
        <v>12</v>
      </c>
      <c r="E4350">
        <f t="shared" si="67"/>
        <v>4.2565579117182436E-8</v>
      </c>
    </row>
    <row r="4351" spans="1:5" x14ac:dyDescent="0.25">
      <c r="A4351">
        <v>4</v>
      </c>
      <c r="B4351">
        <v>28</v>
      </c>
      <c r="C4351">
        <v>5</v>
      </c>
      <c r="D4351">
        <v>11</v>
      </c>
      <c r="E4351">
        <f t="shared" si="67"/>
        <v>4.451143416253934E-7</v>
      </c>
    </row>
    <row r="4352" spans="1:5" x14ac:dyDescent="0.25">
      <c r="A4352">
        <v>4</v>
      </c>
      <c r="B4352">
        <v>28</v>
      </c>
      <c r="C4352">
        <v>6</v>
      </c>
      <c r="D4352">
        <v>10</v>
      </c>
      <c r="E4352">
        <f t="shared" si="67"/>
        <v>3.2641718385862177E-6</v>
      </c>
    </row>
    <row r="4353" spans="1:5" x14ac:dyDescent="0.25">
      <c r="A4353">
        <v>4</v>
      </c>
      <c r="B4353">
        <v>28</v>
      </c>
      <c r="C4353">
        <v>7</v>
      </c>
      <c r="D4353">
        <v>9</v>
      </c>
      <c r="E4353">
        <f t="shared" si="67"/>
        <v>1.7195190935409543E-5</v>
      </c>
    </row>
    <row r="4354" spans="1:5" x14ac:dyDescent="0.25">
      <c r="A4354">
        <v>4</v>
      </c>
      <c r="B4354">
        <v>28</v>
      </c>
      <c r="C4354">
        <v>8</v>
      </c>
      <c r="D4354">
        <v>8</v>
      </c>
      <c r="E4354">
        <f t="shared" si="67"/>
        <v>6.5999188737380748E-5</v>
      </c>
    </row>
    <row r="4355" spans="1:5" x14ac:dyDescent="0.25">
      <c r="A4355">
        <v>4</v>
      </c>
      <c r="B4355">
        <v>28</v>
      </c>
      <c r="C4355">
        <v>9</v>
      </c>
      <c r="D4355">
        <v>7</v>
      </c>
      <c r="E4355">
        <f t="shared" si="67"/>
        <v>1.8577549422373841E-4</v>
      </c>
    </row>
    <row r="4356" spans="1:5" x14ac:dyDescent="0.25">
      <c r="A4356">
        <v>4</v>
      </c>
      <c r="B4356">
        <v>28</v>
      </c>
      <c r="C4356">
        <v>10</v>
      </c>
      <c r="D4356">
        <v>6</v>
      </c>
      <c r="E4356">
        <f t="shared" si="67"/>
        <v>3.8328417755634442E-4</v>
      </c>
    </row>
    <row r="4357" spans="1:5" x14ac:dyDescent="0.25">
      <c r="A4357">
        <v>4</v>
      </c>
      <c r="B4357">
        <v>28</v>
      </c>
      <c r="C4357">
        <v>11</v>
      </c>
      <c r="D4357">
        <v>5</v>
      </c>
      <c r="E4357">
        <f t="shared" si="67"/>
        <v>5.7492626633451674E-4</v>
      </c>
    </row>
    <row r="4358" spans="1:5" x14ac:dyDescent="0.25">
      <c r="A4358">
        <v>4</v>
      </c>
      <c r="B4358">
        <v>28</v>
      </c>
      <c r="C4358">
        <v>12</v>
      </c>
      <c r="D4358">
        <v>4</v>
      </c>
      <c r="E4358">
        <f t="shared" si="67"/>
        <v>6.159924282155535E-4</v>
      </c>
    </row>
    <row r="4359" spans="1:5" x14ac:dyDescent="0.25">
      <c r="A4359">
        <v>4</v>
      </c>
      <c r="B4359">
        <v>28</v>
      </c>
      <c r="C4359">
        <v>13</v>
      </c>
      <c r="D4359">
        <v>3</v>
      </c>
      <c r="E4359">
        <f t="shared" si="67"/>
        <v>4.5660977196397681E-4</v>
      </c>
    </row>
    <row r="4360" spans="1:5" x14ac:dyDescent="0.25">
      <c r="A4360">
        <v>4</v>
      </c>
      <c r="B4360">
        <v>28</v>
      </c>
      <c r="C4360">
        <v>14</v>
      </c>
      <c r="D4360">
        <v>2</v>
      </c>
      <c r="E4360">
        <f t="shared" si="67"/>
        <v>2.2121467213161611E-4</v>
      </c>
    </row>
    <row r="4361" spans="1:5" x14ac:dyDescent="0.25">
      <c r="A4361">
        <v>4</v>
      </c>
      <c r="B4361">
        <v>28</v>
      </c>
      <c r="C4361">
        <v>15</v>
      </c>
      <c r="D4361">
        <v>1</v>
      </c>
      <c r="E4361">
        <f t="shared" si="67"/>
        <v>6.2677490437291212E-5</v>
      </c>
    </row>
    <row r="4362" spans="1:5" x14ac:dyDescent="0.25">
      <c r="A4362">
        <v>4</v>
      </c>
      <c r="B4362">
        <v>28</v>
      </c>
      <c r="C4362">
        <v>16</v>
      </c>
      <c r="D4362">
        <v>0</v>
      </c>
      <c r="E4362">
        <f t="shared" si="67"/>
        <v>7.8346863046614014E-6</v>
      </c>
    </row>
    <row r="4363" spans="1:5" x14ac:dyDescent="0.25">
      <c r="A4363">
        <v>4</v>
      </c>
      <c r="B4363">
        <v>29</v>
      </c>
      <c r="C4363">
        <v>0</v>
      </c>
      <c r="D4363">
        <v>15</v>
      </c>
      <c r="E4363">
        <f t="shared" si="67"/>
        <v>3.5566519240062249E-13</v>
      </c>
    </row>
    <row r="4364" spans="1:5" x14ac:dyDescent="0.25">
      <c r="A4364">
        <v>4</v>
      </c>
      <c r="B4364">
        <v>29</v>
      </c>
      <c r="C4364">
        <v>1</v>
      </c>
      <c r="D4364">
        <v>14</v>
      </c>
      <c r="E4364">
        <f t="shared" si="67"/>
        <v>3.1524869326418812E-11</v>
      </c>
    </row>
    <row r="4365" spans="1:5" x14ac:dyDescent="0.25">
      <c r="A4365">
        <v>4</v>
      </c>
      <c r="B4365">
        <v>29</v>
      </c>
      <c r="C4365">
        <v>2</v>
      </c>
      <c r="D4365">
        <v>13</v>
      </c>
      <c r="E4365">
        <f t="shared" si="67"/>
        <v>1.1769284548529693E-9</v>
      </c>
    </row>
    <row r="4366" spans="1:5" x14ac:dyDescent="0.25">
      <c r="A4366">
        <v>4</v>
      </c>
      <c r="B4366">
        <v>29</v>
      </c>
      <c r="C4366">
        <v>3</v>
      </c>
      <c r="D4366">
        <v>12</v>
      </c>
      <c r="E4366">
        <f t="shared" ref="E4366:E4429" si="68">COMBIN(A$4,A4366)*COMBIN(B$4,B4366)*COMBIN(C$4,C4366)*COMBIN(D$4,D4366)/COMBIN($G$4,$F$4)</f>
        <v>2.4715497551912354E-8</v>
      </c>
    </row>
    <row r="4367" spans="1:5" x14ac:dyDescent="0.25">
      <c r="A4367">
        <v>4</v>
      </c>
      <c r="B4367">
        <v>29</v>
      </c>
      <c r="C4367">
        <v>4</v>
      </c>
      <c r="D4367">
        <v>11</v>
      </c>
      <c r="E4367">
        <f t="shared" si="68"/>
        <v>3.2836303890397836E-7</v>
      </c>
    </row>
    <row r="4368" spans="1:5" x14ac:dyDescent="0.25">
      <c r="A4368">
        <v>4</v>
      </c>
      <c r="B4368">
        <v>29</v>
      </c>
      <c r="C4368">
        <v>5</v>
      </c>
      <c r="D4368">
        <v>10</v>
      </c>
      <c r="E4368">
        <f t="shared" si="68"/>
        <v>2.9377546547275929E-6</v>
      </c>
    </row>
    <row r="4369" spans="1:5" x14ac:dyDescent="0.25">
      <c r="A4369">
        <v>4</v>
      </c>
      <c r="B4369">
        <v>29</v>
      </c>
      <c r="C4369">
        <v>6</v>
      </c>
      <c r="D4369">
        <v>9</v>
      </c>
      <c r="E4369">
        <f t="shared" si="68"/>
        <v>1.8360966592047458E-5</v>
      </c>
    </row>
    <row r="4370" spans="1:5" x14ac:dyDescent="0.25">
      <c r="A4370">
        <v>4</v>
      </c>
      <c r="B4370">
        <v>29</v>
      </c>
      <c r="C4370">
        <v>7</v>
      </c>
      <c r="D4370">
        <v>8</v>
      </c>
      <c r="E4370">
        <f t="shared" si="68"/>
        <v>8.1930027398127736E-5</v>
      </c>
    </row>
    <row r="4371" spans="1:5" x14ac:dyDescent="0.25">
      <c r="A4371">
        <v>4</v>
      </c>
      <c r="B4371">
        <v>29</v>
      </c>
      <c r="C4371">
        <v>8</v>
      </c>
      <c r="D4371">
        <v>7</v>
      </c>
      <c r="E4371">
        <f t="shared" si="68"/>
        <v>2.6399675494952283E-4</v>
      </c>
    </row>
    <row r="4372" spans="1:5" x14ac:dyDescent="0.25">
      <c r="A4372">
        <v>4</v>
      </c>
      <c r="B4372">
        <v>29</v>
      </c>
      <c r="C4372">
        <v>9</v>
      </c>
      <c r="D4372">
        <v>6</v>
      </c>
      <c r="E4372">
        <f t="shared" si="68"/>
        <v>6.1599242821555285E-4</v>
      </c>
    </row>
    <row r="4373" spans="1:5" x14ac:dyDescent="0.25">
      <c r="A4373">
        <v>4</v>
      </c>
      <c r="B4373">
        <v>29</v>
      </c>
      <c r="C4373">
        <v>10</v>
      </c>
      <c r="D4373">
        <v>5</v>
      </c>
      <c r="E4373">
        <f t="shared" si="68"/>
        <v>1.0348672794021291E-3</v>
      </c>
    </row>
    <row r="4374" spans="1:5" x14ac:dyDescent="0.25">
      <c r="A4374">
        <v>4</v>
      </c>
      <c r="B4374">
        <v>29</v>
      </c>
      <c r="C4374">
        <v>11</v>
      </c>
      <c r="D4374">
        <v>4</v>
      </c>
      <c r="E4374">
        <f t="shared" si="68"/>
        <v>1.2319848564311064E-3</v>
      </c>
    </row>
    <row r="4375" spans="1:5" x14ac:dyDescent="0.25">
      <c r="A4375">
        <v>4</v>
      </c>
      <c r="B4375">
        <v>29</v>
      </c>
      <c r="C4375">
        <v>12</v>
      </c>
      <c r="D4375">
        <v>3</v>
      </c>
      <c r="E4375">
        <f t="shared" si="68"/>
        <v>1.007987609807268E-3</v>
      </c>
    </row>
    <row r="4376" spans="1:5" x14ac:dyDescent="0.25">
      <c r="A4376">
        <v>4</v>
      </c>
      <c r="B4376">
        <v>29</v>
      </c>
      <c r="C4376">
        <v>13</v>
      </c>
      <c r="D4376">
        <v>2</v>
      </c>
      <c r="E4376">
        <f t="shared" si="68"/>
        <v>5.3602016708814617E-4</v>
      </c>
    </row>
    <row r="4377" spans="1:5" x14ac:dyDescent="0.25">
      <c r="A4377">
        <v>4</v>
      </c>
      <c r="B4377">
        <v>29</v>
      </c>
      <c r="C4377">
        <v>14</v>
      </c>
      <c r="D4377">
        <v>1</v>
      </c>
      <c r="E4377">
        <f t="shared" si="68"/>
        <v>1.6591100409871193E-4</v>
      </c>
    </row>
    <row r="4378" spans="1:5" x14ac:dyDescent="0.25">
      <c r="A4378">
        <v>4</v>
      </c>
      <c r="B4378">
        <v>29</v>
      </c>
      <c r="C4378">
        <v>15</v>
      </c>
      <c r="D4378">
        <v>0</v>
      </c>
      <c r="E4378">
        <f t="shared" si="68"/>
        <v>2.2563896557424815E-5</v>
      </c>
    </row>
    <row r="4379" spans="1:5" x14ac:dyDescent="0.25">
      <c r="A4379">
        <v>4</v>
      </c>
      <c r="B4379">
        <v>30</v>
      </c>
      <c r="C4379">
        <v>0</v>
      </c>
      <c r="D4379">
        <v>14</v>
      </c>
      <c r="E4379">
        <f t="shared" si="68"/>
        <v>4.2033159101891748E-12</v>
      </c>
    </row>
    <row r="4380" spans="1:5" x14ac:dyDescent="0.25">
      <c r="A4380">
        <v>4</v>
      </c>
      <c r="B4380">
        <v>30</v>
      </c>
      <c r="C4380">
        <v>1</v>
      </c>
      <c r="D4380">
        <v>13</v>
      </c>
      <c r="E4380">
        <f t="shared" si="68"/>
        <v>3.1875145652267912E-10</v>
      </c>
    </row>
    <row r="4381" spans="1:5" x14ac:dyDescent="0.25">
      <c r="A4381">
        <v>4</v>
      </c>
      <c r="B4381">
        <v>30</v>
      </c>
      <c r="C4381">
        <v>2</v>
      </c>
      <c r="D4381">
        <v>12</v>
      </c>
      <c r="E4381">
        <f t="shared" si="68"/>
        <v>1.0200046608725732E-8</v>
      </c>
    </row>
    <row r="4382" spans="1:5" x14ac:dyDescent="0.25">
      <c r="A4382">
        <v>4</v>
      </c>
      <c r="B4382">
        <v>30</v>
      </c>
      <c r="C4382">
        <v>3</v>
      </c>
      <c r="D4382">
        <v>11</v>
      </c>
      <c r="E4382">
        <f t="shared" si="68"/>
        <v>1.8360083895706313E-7</v>
      </c>
    </row>
    <row r="4383" spans="1:5" x14ac:dyDescent="0.25">
      <c r="A4383">
        <v>4</v>
      </c>
      <c r="B4383">
        <v>30</v>
      </c>
      <c r="C4383">
        <v>4</v>
      </c>
      <c r="D4383">
        <v>10</v>
      </c>
      <c r="E4383">
        <f t="shared" si="68"/>
        <v>2.0869295361452842E-6</v>
      </c>
    </row>
    <row r="4384" spans="1:5" x14ac:dyDescent="0.25">
      <c r="A4384">
        <v>4</v>
      </c>
      <c r="B4384">
        <v>30</v>
      </c>
      <c r="C4384">
        <v>5</v>
      </c>
      <c r="D4384">
        <v>9</v>
      </c>
      <c r="E4384">
        <f t="shared" si="68"/>
        <v>1.5912837713107795E-5</v>
      </c>
    </row>
    <row r="4385" spans="1:5" x14ac:dyDescent="0.25">
      <c r="A4385">
        <v>4</v>
      </c>
      <c r="B4385">
        <v>30</v>
      </c>
      <c r="C4385">
        <v>6</v>
      </c>
      <c r="D4385">
        <v>8</v>
      </c>
      <c r="E4385">
        <f t="shared" si="68"/>
        <v>8.4244434951747133E-5</v>
      </c>
    </row>
    <row r="4386" spans="1:5" x14ac:dyDescent="0.25">
      <c r="A4386">
        <v>4</v>
      </c>
      <c r="B4386">
        <v>30</v>
      </c>
      <c r="C4386">
        <v>7</v>
      </c>
      <c r="D4386">
        <v>7</v>
      </c>
      <c r="E4386">
        <f t="shared" si="68"/>
        <v>3.1558232775575127E-4</v>
      </c>
    </row>
    <row r="4387" spans="1:5" x14ac:dyDescent="0.25">
      <c r="A4387">
        <v>4</v>
      </c>
      <c r="B4387">
        <v>30</v>
      </c>
      <c r="C4387">
        <v>8</v>
      </c>
      <c r="D4387">
        <v>6</v>
      </c>
      <c r="E4387">
        <f t="shared" si="68"/>
        <v>8.4293700703180915E-4</v>
      </c>
    </row>
    <row r="4388" spans="1:5" x14ac:dyDescent="0.25">
      <c r="A4388">
        <v>4</v>
      </c>
      <c r="B4388">
        <v>30</v>
      </c>
      <c r="C4388">
        <v>9</v>
      </c>
      <c r="D4388">
        <v>5</v>
      </c>
      <c r="E4388">
        <f t="shared" si="68"/>
        <v>1.601580313360437E-3</v>
      </c>
    </row>
    <row r="4389" spans="1:5" x14ac:dyDescent="0.25">
      <c r="A4389">
        <v>4</v>
      </c>
      <c r="B4389">
        <v>30</v>
      </c>
      <c r="C4389">
        <v>10</v>
      </c>
      <c r="D4389">
        <v>4</v>
      </c>
      <c r="E4389">
        <f t="shared" si="68"/>
        <v>2.1354404178139169E-3</v>
      </c>
    </row>
    <row r="4390" spans="1:5" x14ac:dyDescent="0.25">
      <c r="A4390">
        <v>4</v>
      </c>
      <c r="B4390">
        <v>30</v>
      </c>
      <c r="C4390">
        <v>11</v>
      </c>
      <c r="D4390">
        <v>3</v>
      </c>
      <c r="E4390">
        <f t="shared" si="68"/>
        <v>1.9413094707399245E-3</v>
      </c>
    </row>
    <row r="4391" spans="1:5" x14ac:dyDescent="0.25">
      <c r="A4391">
        <v>4</v>
      </c>
      <c r="B4391">
        <v>30</v>
      </c>
      <c r="C4391">
        <v>12</v>
      </c>
      <c r="D4391">
        <v>2</v>
      </c>
      <c r="E4391">
        <f t="shared" si="68"/>
        <v>1.1394642545647375E-3</v>
      </c>
    </row>
    <row r="4392" spans="1:5" x14ac:dyDescent="0.25">
      <c r="A4392">
        <v>4</v>
      </c>
      <c r="B4392">
        <v>30</v>
      </c>
      <c r="C4392">
        <v>13</v>
      </c>
      <c r="D4392">
        <v>1</v>
      </c>
      <c r="E4392">
        <f t="shared" si="68"/>
        <v>3.8712567623032769E-4</v>
      </c>
    </row>
    <row r="4393" spans="1:5" x14ac:dyDescent="0.25">
      <c r="A4393">
        <v>4</v>
      </c>
      <c r="B4393">
        <v>30</v>
      </c>
      <c r="C4393">
        <v>14</v>
      </c>
      <c r="D4393">
        <v>0</v>
      </c>
      <c r="E4393">
        <f t="shared" si="68"/>
        <v>5.7515814754220126E-5</v>
      </c>
    </row>
    <row r="4394" spans="1:5" x14ac:dyDescent="0.25">
      <c r="A4394">
        <v>4</v>
      </c>
      <c r="B4394">
        <v>31</v>
      </c>
      <c r="C4394">
        <v>0</v>
      </c>
      <c r="D4394">
        <v>13</v>
      </c>
      <c r="E4394">
        <f t="shared" si="68"/>
        <v>4.0971030888026786E-11</v>
      </c>
    </row>
    <row r="4395" spans="1:5" x14ac:dyDescent="0.25">
      <c r="A4395">
        <v>4</v>
      </c>
      <c r="B4395">
        <v>31</v>
      </c>
      <c r="C4395">
        <v>1</v>
      </c>
      <c r="D4395">
        <v>12</v>
      </c>
      <c r="E4395">
        <f t="shared" si="68"/>
        <v>2.6631170077217414E-9</v>
      </c>
    </row>
    <row r="4396" spans="1:5" x14ac:dyDescent="0.25">
      <c r="A4396">
        <v>4</v>
      </c>
      <c r="B4396">
        <v>31</v>
      </c>
      <c r="C4396">
        <v>2</v>
      </c>
      <c r="D4396">
        <v>11</v>
      </c>
      <c r="E4396">
        <f t="shared" si="68"/>
        <v>7.304549506893919E-8</v>
      </c>
    </row>
    <row r="4397" spans="1:5" x14ac:dyDescent="0.25">
      <c r="A4397">
        <v>4</v>
      </c>
      <c r="B4397">
        <v>31</v>
      </c>
      <c r="C4397">
        <v>3</v>
      </c>
      <c r="D4397">
        <v>10</v>
      </c>
      <c r="E4397">
        <f t="shared" si="68"/>
        <v>1.1249006240616631E-6</v>
      </c>
    </row>
    <row r="4398" spans="1:5" x14ac:dyDescent="0.25">
      <c r="A4398">
        <v>4</v>
      </c>
      <c r="B4398">
        <v>31</v>
      </c>
      <c r="C4398">
        <v>4</v>
      </c>
      <c r="D4398">
        <v>9</v>
      </c>
      <c r="E4398">
        <f t="shared" si="68"/>
        <v>1.0897474795597365E-5</v>
      </c>
    </row>
    <row r="4399" spans="1:5" x14ac:dyDescent="0.25">
      <c r="A4399">
        <v>4</v>
      </c>
      <c r="B4399">
        <v>31</v>
      </c>
      <c r="C4399">
        <v>5</v>
      </c>
      <c r="D4399">
        <v>8</v>
      </c>
      <c r="E4399">
        <f t="shared" si="68"/>
        <v>7.0384866620975932E-5</v>
      </c>
    </row>
    <row r="4400" spans="1:5" x14ac:dyDescent="0.25">
      <c r="A4400">
        <v>4</v>
      </c>
      <c r="B4400">
        <v>31</v>
      </c>
      <c r="C4400">
        <v>6</v>
      </c>
      <c r="D4400">
        <v>7</v>
      </c>
      <c r="E4400">
        <f t="shared" si="68"/>
        <v>3.1282162942655967E-4</v>
      </c>
    </row>
    <row r="4401" spans="1:5" x14ac:dyDescent="0.25">
      <c r="A4401">
        <v>4</v>
      </c>
      <c r="B4401">
        <v>31</v>
      </c>
      <c r="C4401">
        <v>7</v>
      </c>
      <c r="D4401">
        <v>6</v>
      </c>
      <c r="E4401">
        <f t="shared" si="68"/>
        <v>9.7139348085089553E-4</v>
      </c>
    </row>
    <row r="4402" spans="1:5" x14ac:dyDescent="0.25">
      <c r="A4402">
        <v>4</v>
      </c>
      <c r="B4402">
        <v>31</v>
      </c>
      <c r="C4402">
        <v>8</v>
      </c>
      <c r="D4402">
        <v>5</v>
      </c>
      <c r="E4402">
        <f t="shared" si="68"/>
        <v>2.112780820850698E-3</v>
      </c>
    </row>
    <row r="4403" spans="1:5" x14ac:dyDescent="0.25">
      <c r="A4403">
        <v>4</v>
      </c>
      <c r="B4403">
        <v>31</v>
      </c>
      <c r="C4403">
        <v>9</v>
      </c>
      <c r="D4403">
        <v>4</v>
      </c>
      <c r="E4403">
        <f t="shared" si="68"/>
        <v>3.1859393330288307E-3</v>
      </c>
    </row>
    <row r="4404" spans="1:5" x14ac:dyDescent="0.25">
      <c r="A4404">
        <v>4</v>
      </c>
      <c r="B4404">
        <v>31</v>
      </c>
      <c r="C4404">
        <v>10</v>
      </c>
      <c r="D4404">
        <v>3</v>
      </c>
      <c r="E4404">
        <f t="shared" si="68"/>
        <v>3.2438655027202641E-3</v>
      </c>
    </row>
    <row r="4405" spans="1:5" x14ac:dyDescent="0.25">
      <c r="A4405">
        <v>4</v>
      </c>
      <c r="B4405">
        <v>31</v>
      </c>
      <c r="C4405">
        <v>11</v>
      </c>
      <c r="D4405">
        <v>2</v>
      </c>
      <c r="E4405">
        <f t="shared" si="68"/>
        <v>2.1155644582958248E-3</v>
      </c>
    </row>
    <row r="4406" spans="1:5" x14ac:dyDescent="0.25">
      <c r="A4406">
        <v>4</v>
      </c>
      <c r="B4406">
        <v>31</v>
      </c>
      <c r="C4406">
        <v>12</v>
      </c>
      <c r="D4406">
        <v>1</v>
      </c>
      <c r="E4406">
        <f t="shared" si="68"/>
        <v>7.9333667186093381E-4</v>
      </c>
    </row>
    <row r="4407" spans="1:5" x14ac:dyDescent="0.25">
      <c r="A4407">
        <v>4</v>
      </c>
      <c r="B4407">
        <v>31</v>
      </c>
      <c r="C4407">
        <v>13</v>
      </c>
      <c r="D4407">
        <v>0</v>
      </c>
      <c r="E4407">
        <f t="shared" si="68"/>
        <v>1.2937490341116773E-4</v>
      </c>
    </row>
    <row r="4408" spans="1:5" x14ac:dyDescent="0.25">
      <c r="A4408">
        <v>4</v>
      </c>
      <c r="B4408">
        <v>32</v>
      </c>
      <c r="C4408">
        <v>0</v>
      </c>
      <c r="D4408">
        <v>12</v>
      </c>
      <c r="E4408">
        <f t="shared" si="68"/>
        <v>3.303289365347157E-10</v>
      </c>
    </row>
    <row r="4409" spans="1:5" x14ac:dyDescent="0.25">
      <c r="A4409">
        <v>4</v>
      </c>
      <c r="B4409">
        <v>32</v>
      </c>
      <c r="C4409">
        <v>1</v>
      </c>
      <c r="D4409">
        <v>11</v>
      </c>
      <c r="E4409">
        <f t="shared" si="68"/>
        <v>1.8404040749791299E-8</v>
      </c>
    </row>
    <row r="4410" spans="1:5" x14ac:dyDescent="0.25">
      <c r="A4410">
        <v>4</v>
      </c>
      <c r="B4410">
        <v>32</v>
      </c>
      <c r="C4410">
        <v>2</v>
      </c>
      <c r="D4410">
        <v>10</v>
      </c>
      <c r="E4410">
        <f t="shared" si="68"/>
        <v>4.3188148959510245E-7</v>
      </c>
    </row>
    <row r="4411" spans="1:5" x14ac:dyDescent="0.25">
      <c r="A4411">
        <v>4</v>
      </c>
      <c r="B4411">
        <v>32</v>
      </c>
      <c r="C4411">
        <v>3</v>
      </c>
      <c r="D4411">
        <v>9</v>
      </c>
      <c r="E4411">
        <f t="shared" si="68"/>
        <v>5.6684445509357205E-6</v>
      </c>
    </row>
    <row r="4412" spans="1:5" x14ac:dyDescent="0.25">
      <c r="A4412">
        <v>4</v>
      </c>
      <c r="B4412">
        <v>32</v>
      </c>
      <c r="C4412">
        <v>4</v>
      </c>
      <c r="D4412">
        <v>8</v>
      </c>
      <c r="E4412">
        <f t="shared" si="68"/>
        <v>4.6514589109148998E-5</v>
      </c>
    </row>
    <row r="4413" spans="1:5" x14ac:dyDescent="0.25">
      <c r="A4413">
        <v>4</v>
      </c>
      <c r="B4413">
        <v>32</v>
      </c>
      <c r="C4413">
        <v>5</v>
      </c>
      <c r="D4413">
        <v>7</v>
      </c>
      <c r="E4413">
        <f t="shared" si="68"/>
        <v>2.5221243872516354E-4</v>
      </c>
    </row>
    <row r="4414" spans="1:5" x14ac:dyDescent="0.25">
      <c r="A4414">
        <v>4</v>
      </c>
      <c r="B4414">
        <v>32</v>
      </c>
      <c r="C4414">
        <v>6</v>
      </c>
      <c r="D4414">
        <v>6</v>
      </c>
      <c r="E4414">
        <f t="shared" si="68"/>
        <v>9.2920372161902308E-4</v>
      </c>
    </row>
    <row r="4415" spans="1:5" x14ac:dyDescent="0.25">
      <c r="A4415">
        <v>4</v>
      </c>
      <c r="B4415">
        <v>32</v>
      </c>
      <c r="C4415">
        <v>7</v>
      </c>
      <c r="D4415">
        <v>5</v>
      </c>
      <c r="E4415">
        <f t="shared" si="68"/>
        <v>2.3495579818081013E-3</v>
      </c>
    </row>
    <row r="4416" spans="1:5" x14ac:dyDescent="0.25">
      <c r="A4416">
        <v>4</v>
      </c>
      <c r="B4416">
        <v>32</v>
      </c>
      <c r="C4416">
        <v>8</v>
      </c>
      <c r="D4416">
        <v>4</v>
      </c>
      <c r="E4416">
        <f t="shared" si="68"/>
        <v>4.0557846114544624E-3</v>
      </c>
    </row>
    <row r="4417" spans="1:5" x14ac:dyDescent="0.25">
      <c r="A4417">
        <v>4</v>
      </c>
      <c r="B4417">
        <v>32</v>
      </c>
      <c r="C4417">
        <v>9</v>
      </c>
      <c r="D4417">
        <v>3</v>
      </c>
      <c r="E4417">
        <f t="shared" si="68"/>
        <v>4.6702974313718041E-3</v>
      </c>
    </row>
    <row r="4418" spans="1:5" x14ac:dyDescent="0.25">
      <c r="A4418">
        <v>4</v>
      </c>
      <c r="B4418">
        <v>32</v>
      </c>
      <c r="C4418">
        <v>10</v>
      </c>
      <c r="D4418">
        <v>2</v>
      </c>
      <c r="E4418">
        <f t="shared" si="68"/>
        <v>3.4113476890020138E-3</v>
      </c>
    </row>
    <row r="4419" spans="1:5" x14ac:dyDescent="0.25">
      <c r="A4419">
        <v>4</v>
      </c>
      <c r="B4419">
        <v>32</v>
      </c>
      <c r="C4419">
        <v>11</v>
      </c>
      <c r="D4419">
        <v>1</v>
      </c>
      <c r="E4419">
        <f t="shared" si="68"/>
        <v>1.421394870417506E-3</v>
      </c>
    </row>
    <row r="4420" spans="1:5" x14ac:dyDescent="0.25">
      <c r="A4420">
        <v>4</v>
      </c>
      <c r="B4420">
        <v>32</v>
      </c>
      <c r="C4420">
        <v>12</v>
      </c>
      <c r="D4420">
        <v>0</v>
      </c>
      <c r="E4420">
        <f t="shared" si="68"/>
        <v>2.558510766751509E-4</v>
      </c>
    </row>
    <row r="4421" spans="1:5" x14ac:dyDescent="0.25">
      <c r="A4421">
        <v>4</v>
      </c>
      <c r="B4421">
        <v>33</v>
      </c>
      <c r="C4421">
        <v>0</v>
      </c>
      <c r="D4421">
        <v>11</v>
      </c>
      <c r="E4421">
        <f t="shared" si="68"/>
        <v>2.2050529010239479E-9</v>
      </c>
    </row>
    <row r="4422" spans="1:5" x14ac:dyDescent="0.25">
      <c r="A4422">
        <v>4</v>
      </c>
      <c r="B4422">
        <v>33</v>
      </c>
      <c r="C4422">
        <v>1</v>
      </c>
      <c r="D4422">
        <v>10</v>
      </c>
      <c r="E4422">
        <f t="shared" si="68"/>
        <v>1.0510752161547484E-7</v>
      </c>
    </row>
    <row r="4423" spans="1:5" x14ac:dyDescent="0.25">
      <c r="A4423">
        <v>4</v>
      </c>
      <c r="B4423">
        <v>33</v>
      </c>
      <c r="C4423">
        <v>2</v>
      </c>
      <c r="D4423">
        <v>9</v>
      </c>
      <c r="E4423">
        <f t="shared" si="68"/>
        <v>2.1021504323094967E-6</v>
      </c>
    </row>
    <row r="4424" spans="1:5" x14ac:dyDescent="0.25">
      <c r="A4424">
        <v>4</v>
      </c>
      <c r="B4424">
        <v>33</v>
      </c>
      <c r="C4424">
        <v>3</v>
      </c>
      <c r="D4424">
        <v>8</v>
      </c>
      <c r="E4424">
        <f t="shared" si="68"/>
        <v>2.3370966570970287E-5</v>
      </c>
    </row>
    <row r="4425" spans="1:5" x14ac:dyDescent="0.25">
      <c r="A4425">
        <v>4</v>
      </c>
      <c r="B4425">
        <v>33</v>
      </c>
      <c r="C4425">
        <v>4</v>
      </c>
      <c r="D4425">
        <v>7</v>
      </c>
      <c r="E4425">
        <f t="shared" si="68"/>
        <v>1.6099999193335094E-4</v>
      </c>
    </row>
    <row r="4426" spans="1:5" x14ac:dyDescent="0.25">
      <c r="A4426">
        <v>4</v>
      </c>
      <c r="B4426">
        <v>33</v>
      </c>
      <c r="C4426">
        <v>5</v>
      </c>
      <c r="D4426">
        <v>6</v>
      </c>
      <c r="E4426">
        <f t="shared" si="68"/>
        <v>7.2365259532148241E-4</v>
      </c>
    </row>
    <row r="4427" spans="1:5" x14ac:dyDescent="0.25">
      <c r="A4427">
        <v>4</v>
      </c>
      <c r="B4427">
        <v>33</v>
      </c>
      <c r="C4427">
        <v>6</v>
      </c>
      <c r="D4427">
        <v>5</v>
      </c>
      <c r="E4427">
        <f t="shared" si="68"/>
        <v>2.170957785964447E-3</v>
      </c>
    </row>
    <row r="4428" spans="1:5" x14ac:dyDescent="0.25">
      <c r="A4428">
        <v>4</v>
      </c>
      <c r="B4428">
        <v>33</v>
      </c>
      <c r="C4428">
        <v>7</v>
      </c>
      <c r="D4428">
        <v>4</v>
      </c>
      <c r="E4428">
        <f t="shared" si="68"/>
        <v>4.356683992241578E-3</v>
      </c>
    </row>
    <row r="4429" spans="1:5" x14ac:dyDescent="0.25">
      <c r="A4429">
        <v>4</v>
      </c>
      <c r="B4429">
        <v>33</v>
      </c>
      <c r="C4429">
        <v>8</v>
      </c>
      <c r="D4429">
        <v>3</v>
      </c>
      <c r="E4429">
        <f t="shared" si="68"/>
        <v>5.742901626136626E-3</v>
      </c>
    </row>
    <row r="4430" spans="1:5" x14ac:dyDescent="0.25">
      <c r="A4430">
        <v>4</v>
      </c>
      <c r="B4430">
        <v>33</v>
      </c>
      <c r="C4430">
        <v>9</v>
      </c>
      <c r="D4430">
        <v>2</v>
      </c>
      <c r="E4430">
        <f t="shared" ref="E4430:E4493" si="69">COMBIN(A$4,A4430)*COMBIN(B$4,B4430)*COMBIN(C$4,C4430)*COMBIN(D$4,D4430)/COMBIN($G$4,$F$4)</f>
        <v>4.7441361259389506E-3</v>
      </c>
    </row>
    <row r="4431" spans="1:5" x14ac:dyDescent="0.25">
      <c r="A4431">
        <v>4</v>
      </c>
      <c r="B4431">
        <v>33</v>
      </c>
      <c r="C4431">
        <v>10</v>
      </c>
      <c r="D4431">
        <v>1</v>
      </c>
      <c r="E4431">
        <f t="shared" si="69"/>
        <v>2.213930192104844E-3</v>
      </c>
    </row>
    <row r="4432" spans="1:5" x14ac:dyDescent="0.25">
      <c r="A4432">
        <v>4</v>
      </c>
      <c r="B4432">
        <v>33</v>
      </c>
      <c r="C4432">
        <v>11</v>
      </c>
      <c r="D4432">
        <v>0</v>
      </c>
      <c r="E4432">
        <f t="shared" si="69"/>
        <v>4.4278603842096891E-4</v>
      </c>
    </row>
    <row r="4433" spans="1:5" x14ac:dyDescent="0.25">
      <c r="A4433">
        <v>4</v>
      </c>
      <c r="B4433">
        <v>34</v>
      </c>
      <c r="C4433">
        <v>0</v>
      </c>
      <c r="D4433">
        <v>10</v>
      </c>
      <c r="E4433">
        <f t="shared" si="69"/>
        <v>1.2175350920163594E-8</v>
      </c>
    </row>
    <row r="4434" spans="1:5" x14ac:dyDescent="0.25">
      <c r="A4434">
        <v>4</v>
      </c>
      <c r="B4434">
        <v>34</v>
      </c>
      <c r="C4434">
        <v>1</v>
      </c>
      <c r="D4434">
        <v>9</v>
      </c>
      <c r="E4434">
        <f t="shared" si="69"/>
        <v>4.9462363113164603E-7</v>
      </c>
    </row>
    <row r="4435" spans="1:5" x14ac:dyDescent="0.25">
      <c r="A4435">
        <v>4</v>
      </c>
      <c r="B4435">
        <v>34</v>
      </c>
      <c r="C4435">
        <v>2</v>
      </c>
      <c r="D4435">
        <v>8</v>
      </c>
      <c r="E4435">
        <f t="shared" si="69"/>
        <v>8.379506221524357E-6</v>
      </c>
    </row>
    <row r="4436" spans="1:5" x14ac:dyDescent="0.25">
      <c r="A4436">
        <v>4</v>
      </c>
      <c r="B4436">
        <v>34</v>
      </c>
      <c r="C4436">
        <v>3</v>
      </c>
      <c r="D4436">
        <v>7</v>
      </c>
      <c r="E4436">
        <f t="shared" si="69"/>
        <v>7.820872473422735E-5</v>
      </c>
    </row>
    <row r="4437" spans="1:5" x14ac:dyDescent="0.25">
      <c r="A4437">
        <v>4</v>
      </c>
      <c r="B4437">
        <v>34</v>
      </c>
      <c r="C4437">
        <v>4</v>
      </c>
      <c r="D4437">
        <v>6</v>
      </c>
      <c r="E4437">
        <f t="shared" si="69"/>
        <v>4.4661298071914021E-4</v>
      </c>
    </row>
    <row r="4438" spans="1:5" x14ac:dyDescent="0.25">
      <c r="A4438">
        <v>4</v>
      </c>
      <c r="B4438">
        <v>34</v>
      </c>
      <c r="C4438">
        <v>5</v>
      </c>
      <c r="D4438">
        <v>5</v>
      </c>
      <c r="E4438">
        <f t="shared" si="69"/>
        <v>1.6346035094320535E-3</v>
      </c>
    </row>
    <row r="4439" spans="1:5" x14ac:dyDescent="0.25">
      <c r="A4439">
        <v>4</v>
      </c>
      <c r="B4439">
        <v>34</v>
      </c>
      <c r="C4439">
        <v>6</v>
      </c>
      <c r="D4439">
        <v>4</v>
      </c>
      <c r="E4439">
        <f t="shared" si="69"/>
        <v>3.8919131176953659E-3</v>
      </c>
    </row>
    <row r="4440" spans="1:5" x14ac:dyDescent="0.25">
      <c r="A4440">
        <v>4</v>
      </c>
      <c r="B4440">
        <v>34</v>
      </c>
      <c r="C4440">
        <v>7</v>
      </c>
      <c r="D4440">
        <v>3</v>
      </c>
      <c r="E4440">
        <f t="shared" si="69"/>
        <v>5.9642304920526374E-3</v>
      </c>
    </row>
    <row r="4441" spans="1:5" x14ac:dyDescent="0.25">
      <c r="A4441">
        <v>4</v>
      </c>
      <c r="B4441">
        <v>34</v>
      </c>
      <c r="C4441">
        <v>8</v>
      </c>
      <c r="D4441">
        <v>2</v>
      </c>
      <c r="E4441">
        <f t="shared" si="69"/>
        <v>5.6400875305280393E-3</v>
      </c>
    </row>
    <row r="4442" spans="1:5" x14ac:dyDescent="0.25">
      <c r="A4442">
        <v>4</v>
      </c>
      <c r="B4442">
        <v>34</v>
      </c>
      <c r="C4442">
        <v>9</v>
      </c>
      <c r="D4442">
        <v>1</v>
      </c>
      <c r="E4442">
        <f t="shared" si="69"/>
        <v>2.9767128633342425E-3</v>
      </c>
    </row>
    <row r="4443" spans="1:5" x14ac:dyDescent="0.25">
      <c r="A4443">
        <v>4</v>
      </c>
      <c r="B4443">
        <v>34</v>
      </c>
      <c r="C4443">
        <v>10</v>
      </c>
      <c r="D4443">
        <v>0</v>
      </c>
      <c r="E4443">
        <f t="shared" si="69"/>
        <v>6.6678368138687043E-4</v>
      </c>
    </row>
    <row r="4444" spans="1:5" x14ac:dyDescent="0.25">
      <c r="A4444">
        <v>4</v>
      </c>
      <c r="B4444">
        <v>35</v>
      </c>
      <c r="C4444">
        <v>0</v>
      </c>
      <c r="D4444">
        <v>9</v>
      </c>
      <c r="E4444">
        <f t="shared" si="69"/>
        <v>5.5441330082887791E-8</v>
      </c>
    </row>
    <row r="4445" spans="1:5" x14ac:dyDescent="0.25">
      <c r="A4445">
        <v>4</v>
      </c>
      <c r="B4445">
        <v>35</v>
      </c>
      <c r="C4445">
        <v>1</v>
      </c>
      <c r="D4445">
        <v>8</v>
      </c>
      <c r="E4445">
        <f t="shared" si="69"/>
        <v>1.9078340057934913E-6</v>
      </c>
    </row>
    <row r="4446" spans="1:5" x14ac:dyDescent="0.25">
      <c r="A4446">
        <v>4</v>
      </c>
      <c r="B4446">
        <v>35</v>
      </c>
      <c r="C4446">
        <v>2</v>
      </c>
      <c r="D4446">
        <v>7</v>
      </c>
      <c r="E4446">
        <f t="shared" si="69"/>
        <v>2.7133639193507442E-5</v>
      </c>
    </row>
    <row r="4447" spans="1:5" x14ac:dyDescent="0.25">
      <c r="A4447">
        <v>4</v>
      </c>
      <c r="B4447">
        <v>35</v>
      </c>
      <c r="C4447">
        <v>3</v>
      </c>
      <c r="D4447">
        <v>6</v>
      </c>
      <c r="E4447">
        <f t="shared" si="69"/>
        <v>2.0992868218134696E-4</v>
      </c>
    </row>
    <row r="4448" spans="1:5" x14ac:dyDescent="0.25">
      <c r="A4448">
        <v>4</v>
      </c>
      <c r="B4448">
        <v>35</v>
      </c>
      <c r="C4448">
        <v>4</v>
      </c>
      <c r="D4448">
        <v>5</v>
      </c>
      <c r="E4448">
        <f t="shared" si="69"/>
        <v>9.7616837214326349E-4</v>
      </c>
    </row>
    <row r="4449" spans="1:5" x14ac:dyDescent="0.25">
      <c r="A4449">
        <v>4</v>
      </c>
      <c r="B4449">
        <v>35</v>
      </c>
      <c r="C4449">
        <v>5</v>
      </c>
      <c r="D4449">
        <v>4</v>
      </c>
      <c r="E4449">
        <f t="shared" si="69"/>
        <v>2.8355367000351948E-3</v>
      </c>
    </row>
    <row r="4450" spans="1:5" x14ac:dyDescent="0.25">
      <c r="A4450">
        <v>4</v>
      </c>
      <c r="B4450">
        <v>35</v>
      </c>
      <c r="C4450">
        <v>6</v>
      </c>
      <c r="D4450">
        <v>3</v>
      </c>
      <c r="E4450">
        <f t="shared" si="69"/>
        <v>5.1555212727912615E-3</v>
      </c>
    </row>
    <row r="4451" spans="1:5" x14ac:dyDescent="0.25">
      <c r="A4451">
        <v>4</v>
      </c>
      <c r="B4451">
        <v>35</v>
      </c>
      <c r="C4451">
        <v>7</v>
      </c>
      <c r="D4451">
        <v>2</v>
      </c>
      <c r="E4451">
        <f t="shared" si="69"/>
        <v>5.6678712129444309E-3</v>
      </c>
    </row>
    <row r="4452" spans="1:5" x14ac:dyDescent="0.25">
      <c r="A4452">
        <v>4</v>
      </c>
      <c r="B4452">
        <v>35</v>
      </c>
      <c r="C4452">
        <v>8</v>
      </c>
      <c r="D4452">
        <v>1</v>
      </c>
      <c r="E4452">
        <f t="shared" si="69"/>
        <v>3.4243388578205944E-3</v>
      </c>
    </row>
    <row r="4453" spans="1:5" x14ac:dyDescent="0.25">
      <c r="A4453">
        <v>4</v>
      </c>
      <c r="B4453">
        <v>35</v>
      </c>
      <c r="C4453">
        <v>9</v>
      </c>
      <c r="D4453">
        <v>0</v>
      </c>
      <c r="E4453">
        <f t="shared" si="69"/>
        <v>8.674991773145505E-4</v>
      </c>
    </row>
    <row r="4454" spans="1:5" x14ac:dyDescent="0.25">
      <c r="A4454">
        <v>4</v>
      </c>
      <c r="B4454">
        <v>36</v>
      </c>
      <c r="C4454">
        <v>0</v>
      </c>
      <c r="D4454">
        <v>8</v>
      </c>
      <c r="E4454">
        <f t="shared" si="69"/>
        <v>2.0708967413313981E-7</v>
      </c>
    </row>
    <row r="4455" spans="1:5" x14ac:dyDescent="0.25">
      <c r="A4455">
        <v>4</v>
      </c>
      <c r="B4455">
        <v>36</v>
      </c>
      <c r="C4455">
        <v>1</v>
      </c>
      <c r="D4455">
        <v>7</v>
      </c>
      <c r="E4455">
        <f t="shared" si="69"/>
        <v>5.9825905860684848E-6</v>
      </c>
    </row>
    <row r="4456" spans="1:5" x14ac:dyDescent="0.25">
      <c r="A4456">
        <v>4</v>
      </c>
      <c r="B4456">
        <v>36</v>
      </c>
      <c r="C4456">
        <v>2</v>
      </c>
      <c r="D4456">
        <v>6</v>
      </c>
      <c r="E4456">
        <f t="shared" si="69"/>
        <v>7.0531594277860015E-5</v>
      </c>
    </row>
    <row r="4457" spans="1:5" x14ac:dyDescent="0.25">
      <c r="A4457">
        <v>4</v>
      </c>
      <c r="B4457">
        <v>36</v>
      </c>
      <c r="C4457">
        <v>3</v>
      </c>
      <c r="D4457">
        <v>5</v>
      </c>
      <c r="E4457">
        <f t="shared" si="69"/>
        <v>4.4434904395051805E-4</v>
      </c>
    </row>
    <row r="4458" spans="1:5" x14ac:dyDescent="0.25">
      <c r="A4458">
        <v>4</v>
      </c>
      <c r="B4458">
        <v>36</v>
      </c>
      <c r="C4458">
        <v>4</v>
      </c>
      <c r="D4458">
        <v>4</v>
      </c>
      <c r="E4458">
        <f t="shared" si="69"/>
        <v>1.6398595669602455E-3</v>
      </c>
    </row>
    <row r="4459" spans="1:5" x14ac:dyDescent="0.25">
      <c r="A4459">
        <v>4</v>
      </c>
      <c r="B4459">
        <v>36</v>
      </c>
      <c r="C4459">
        <v>5</v>
      </c>
      <c r="D4459">
        <v>3</v>
      </c>
      <c r="E4459">
        <f t="shared" si="69"/>
        <v>3.6375066758027263E-3</v>
      </c>
    </row>
    <row r="4460" spans="1:5" x14ac:dyDescent="0.25">
      <c r="A4460">
        <v>4</v>
      </c>
      <c r="B4460">
        <v>36</v>
      </c>
      <c r="C4460">
        <v>6</v>
      </c>
      <c r="D4460">
        <v>2</v>
      </c>
      <c r="E4460">
        <f t="shared" si="69"/>
        <v>4.7445739249600775E-3</v>
      </c>
    </row>
    <row r="4461" spans="1:5" x14ac:dyDescent="0.25">
      <c r="A4461">
        <v>4</v>
      </c>
      <c r="B4461">
        <v>36</v>
      </c>
      <c r="C4461">
        <v>7</v>
      </c>
      <c r="D4461">
        <v>1</v>
      </c>
      <c r="E4461">
        <f t="shared" si="69"/>
        <v>3.3324983520552926E-3</v>
      </c>
    </row>
    <row r="4462" spans="1:5" x14ac:dyDescent="0.25">
      <c r="A4462">
        <v>4</v>
      </c>
      <c r="B4462">
        <v>36</v>
      </c>
      <c r="C4462">
        <v>8</v>
      </c>
      <c r="D4462">
        <v>0</v>
      </c>
      <c r="E4462">
        <f t="shared" si="69"/>
        <v>9.6642452209603504E-4</v>
      </c>
    </row>
    <row r="4463" spans="1:5" x14ac:dyDescent="0.25">
      <c r="A4463">
        <v>4</v>
      </c>
      <c r="B4463">
        <v>37</v>
      </c>
      <c r="C4463">
        <v>0</v>
      </c>
      <c r="D4463">
        <v>7</v>
      </c>
      <c r="E4463">
        <f t="shared" si="69"/>
        <v>6.2935360427248468E-7</v>
      </c>
    </row>
    <row r="4464" spans="1:5" x14ac:dyDescent="0.25">
      <c r="A4464">
        <v>4</v>
      </c>
      <c r="B4464">
        <v>37</v>
      </c>
      <c r="C4464">
        <v>1</v>
      </c>
      <c r="D4464">
        <v>6</v>
      </c>
      <c r="E4464">
        <f t="shared" si="69"/>
        <v>1.5071362628630549E-5</v>
      </c>
    </row>
    <row r="4465" spans="1:5" x14ac:dyDescent="0.25">
      <c r="A4465">
        <v>4</v>
      </c>
      <c r="B4465">
        <v>37</v>
      </c>
      <c r="C4465">
        <v>2</v>
      </c>
      <c r="D4465">
        <v>5</v>
      </c>
      <c r="E4465">
        <f t="shared" si="69"/>
        <v>1.4468508123485329E-4</v>
      </c>
    </row>
    <row r="4466" spans="1:5" x14ac:dyDescent="0.25">
      <c r="A4466">
        <v>4</v>
      </c>
      <c r="B4466">
        <v>37</v>
      </c>
      <c r="C4466">
        <v>3</v>
      </c>
      <c r="D4466">
        <v>4</v>
      </c>
      <c r="E4466">
        <f t="shared" si="69"/>
        <v>7.2342540617426651E-4</v>
      </c>
    </row>
    <row r="4467" spans="1:5" x14ac:dyDescent="0.25">
      <c r="A4467">
        <v>4</v>
      </c>
      <c r="B4467">
        <v>37</v>
      </c>
      <c r="C4467">
        <v>4</v>
      </c>
      <c r="D4467">
        <v>3</v>
      </c>
      <c r="E4467">
        <f t="shared" si="69"/>
        <v>2.0387443264911144E-3</v>
      </c>
    </row>
    <row r="4468" spans="1:5" x14ac:dyDescent="0.25">
      <c r="A4468">
        <v>4</v>
      </c>
      <c r="B4468">
        <v>37</v>
      </c>
      <c r="C4468">
        <v>5</v>
      </c>
      <c r="D4468">
        <v>2</v>
      </c>
      <c r="E4468">
        <f t="shared" si="69"/>
        <v>3.244262710851078E-3</v>
      </c>
    </row>
    <row r="4469" spans="1:5" x14ac:dyDescent="0.25">
      <c r="A4469">
        <v>4</v>
      </c>
      <c r="B4469">
        <v>37</v>
      </c>
      <c r="C4469">
        <v>6</v>
      </c>
      <c r="D4469">
        <v>1</v>
      </c>
      <c r="E4469">
        <f t="shared" si="69"/>
        <v>2.7035522590425649E-3</v>
      </c>
    </row>
    <row r="4470" spans="1:5" x14ac:dyDescent="0.25">
      <c r="A4470">
        <v>4</v>
      </c>
      <c r="B4470">
        <v>37</v>
      </c>
      <c r="C4470">
        <v>7</v>
      </c>
      <c r="D4470">
        <v>0</v>
      </c>
      <c r="E4470">
        <f t="shared" si="69"/>
        <v>9.1148333304863613E-4</v>
      </c>
    </row>
    <row r="4471" spans="1:5" x14ac:dyDescent="0.25">
      <c r="A4471">
        <v>4</v>
      </c>
      <c r="B4471">
        <v>38</v>
      </c>
      <c r="C4471">
        <v>0</v>
      </c>
      <c r="D4471">
        <v>6</v>
      </c>
      <c r="E4471">
        <f t="shared" si="69"/>
        <v>1.5376450940951013E-6</v>
      </c>
    </row>
    <row r="4472" spans="1:5" x14ac:dyDescent="0.25">
      <c r="A4472">
        <v>4</v>
      </c>
      <c r="B4472">
        <v>38</v>
      </c>
      <c r="C4472">
        <v>1</v>
      </c>
      <c r="D4472">
        <v>5</v>
      </c>
      <c r="E4472">
        <f t="shared" si="69"/>
        <v>2.9984079334854481E-5</v>
      </c>
    </row>
    <row r="4473" spans="1:5" x14ac:dyDescent="0.25">
      <c r="A4473">
        <v>4</v>
      </c>
      <c r="B4473">
        <v>38</v>
      </c>
      <c r="C4473">
        <v>2</v>
      </c>
      <c r="D4473">
        <v>4</v>
      </c>
      <c r="E4473">
        <f t="shared" si="69"/>
        <v>2.28450128265558E-4</v>
      </c>
    </row>
    <row r="4474" spans="1:5" x14ac:dyDescent="0.25">
      <c r="A4474">
        <v>4</v>
      </c>
      <c r="B4474">
        <v>38</v>
      </c>
      <c r="C4474">
        <v>3</v>
      </c>
      <c r="D4474">
        <v>3</v>
      </c>
      <c r="E4474">
        <f t="shared" si="69"/>
        <v>8.7226412610485777E-4</v>
      </c>
    </row>
    <row r="4475" spans="1:5" x14ac:dyDescent="0.25">
      <c r="A4475">
        <v>4</v>
      </c>
      <c r="B4475">
        <v>38</v>
      </c>
      <c r="C4475">
        <v>4</v>
      </c>
      <c r="D4475">
        <v>2</v>
      </c>
      <c r="E4475">
        <f t="shared" si="69"/>
        <v>1.7634905158206906E-3</v>
      </c>
    </row>
    <row r="4476" spans="1:5" x14ac:dyDescent="0.25">
      <c r="A4476">
        <v>4</v>
      </c>
      <c r="B4476">
        <v>38</v>
      </c>
      <c r="C4476">
        <v>5</v>
      </c>
      <c r="D4476">
        <v>1</v>
      </c>
      <c r="E4476">
        <f t="shared" si="69"/>
        <v>1.792882024417702E-3</v>
      </c>
    </row>
    <row r="4477" spans="1:5" x14ac:dyDescent="0.25">
      <c r="A4477">
        <v>4</v>
      </c>
      <c r="B4477">
        <v>38</v>
      </c>
      <c r="C4477">
        <v>6</v>
      </c>
      <c r="D4477">
        <v>0</v>
      </c>
      <c r="E4477">
        <f t="shared" si="69"/>
        <v>7.1715280976708084E-4</v>
      </c>
    </row>
    <row r="4478" spans="1:5" x14ac:dyDescent="0.25">
      <c r="A4478">
        <v>4</v>
      </c>
      <c r="B4478">
        <v>39</v>
      </c>
      <c r="C4478">
        <v>0</v>
      </c>
      <c r="D4478">
        <v>5</v>
      </c>
      <c r="E4478">
        <f t="shared" si="69"/>
        <v>2.9688378355220793E-6</v>
      </c>
    </row>
    <row r="4479" spans="1:5" x14ac:dyDescent="0.25">
      <c r="A4479">
        <v>4</v>
      </c>
      <c r="B4479">
        <v>39</v>
      </c>
      <c r="C4479">
        <v>1</v>
      </c>
      <c r="D4479">
        <v>4</v>
      </c>
      <c r="E4479">
        <f t="shared" si="69"/>
        <v>4.5946299835460771E-5</v>
      </c>
    </row>
    <row r="4480" spans="1:5" x14ac:dyDescent="0.25">
      <c r="A4480">
        <v>4</v>
      </c>
      <c r="B4480">
        <v>39</v>
      </c>
      <c r="C4480">
        <v>2</v>
      </c>
      <c r="D4480">
        <v>3</v>
      </c>
      <c r="E4480">
        <f t="shared" si="69"/>
        <v>2.6732392631540809E-4</v>
      </c>
    </row>
    <row r="4481" spans="1:5" x14ac:dyDescent="0.25">
      <c r="A4481">
        <v>4</v>
      </c>
      <c r="B4481">
        <v>39</v>
      </c>
      <c r="C4481">
        <v>3</v>
      </c>
      <c r="D4481">
        <v>2</v>
      </c>
      <c r="E4481">
        <f t="shared" si="69"/>
        <v>7.322351025161178E-4</v>
      </c>
    </row>
    <row r="4482" spans="1:5" x14ac:dyDescent="0.25">
      <c r="A4482">
        <v>4</v>
      </c>
      <c r="B4482">
        <v>39</v>
      </c>
      <c r="C4482">
        <v>4</v>
      </c>
      <c r="D4482">
        <v>1</v>
      </c>
      <c r="E4482">
        <f t="shared" si="69"/>
        <v>9.4580367408331862E-4</v>
      </c>
    </row>
    <row r="4483" spans="1:5" x14ac:dyDescent="0.25">
      <c r="A4483">
        <v>4</v>
      </c>
      <c r="B4483">
        <v>39</v>
      </c>
      <c r="C4483">
        <v>5</v>
      </c>
      <c r="D4483">
        <v>0</v>
      </c>
      <c r="E4483">
        <f t="shared" si="69"/>
        <v>4.615521929526596E-4</v>
      </c>
    </row>
    <row r="4484" spans="1:5" x14ac:dyDescent="0.25">
      <c r="A4484">
        <v>4</v>
      </c>
      <c r="B4484">
        <v>40</v>
      </c>
      <c r="C4484">
        <v>0</v>
      </c>
      <c r="D4484">
        <v>4</v>
      </c>
      <c r="E4484">
        <f t="shared" si="69"/>
        <v>4.4179134457173861E-6</v>
      </c>
    </row>
    <row r="4485" spans="1:5" x14ac:dyDescent="0.25">
      <c r="A4485">
        <v>4</v>
      </c>
      <c r="B4485">
        <v>40</v>
      </c>
      <c r="C4485">
        <v>1</v>
      </c>
      <c r="D4485">
        <v>3</v>
      </c>
      <c r="E4485">
        <f t="shared" si="69"/>
        <v>5.2211704358478185E-5</v>
      </c>
    </row>
    <row r="4486" spans="1:5" x14ac:dyDescent="0.25">
      <c r="A4486">
        <v>4</v>
      </c>
      <c r="B4486">
        <v>40</v>
      </c>
      <c r="C4486">
        <v>2</v>
      </c>
      <c r="D4486">
        <v>2</v>
      </c>
      <c r="E4486">
        <f t="shared" si="69"/>
        <v>2.1792711384408287E-4</v>
      </c>
    </row>
    <row r="4487" spans="1:5" x14ac:dyDescent="0.25">
      <c r="A4487">
        <v>4</v>
      </c>
      <c r="B4487">
        <v>40</v>
      </c>
      <c r="C4487">
        <v>3</v>
      </c>
      <c r="D4487">
        <v>1</v>
      </c>
      <c r="E4487">
        <f t="shared" si="69"/>
        <v>3.8137244922714506E-4</v>
      </c>
    </row>
    <row r="4488" spans="1:5" x14ac:dyDescent="0.25">
      <c r="A4488">
        <v>4</v>
      </c>
      <c r="B4488">
        <v>40</v>
      </c>
      <c r="C4488">
        <v>4</v>
      </c>
      <c r="D4488">
        <v>0</v>
      </c>
      <c r="E4488">
        <f t="shared" si="69"/>
        <v>2.3645091852082993E-4</v>
      </c>
    </row>
    <row r="4489" spans="1:5" x14ac:dyDescent="0.25">
      <c r="A4489">
        <v>4</v>
      </c>
      <c r="B4489">
        <v>41</v>
      </c>
      <c r="C4489">
        <v>0</v>
      </c>
      <c r="D4489">
        <v>3</v>
      </c>
      <c r="E4489">
        <f t="shared" si="69"/>
        <v>4.8783168424994566E-6</v>
      </c>
    </row>
    <row r="4490" spans="1:5" x14ac:dyDescent="0.25">
      <c r="A4490">
        <v>4</v>
      </c>
      <c r="B4490">
        <v>41</v>
      </c>
      <c r="C4490">
        <v>1</v>
      </c>
      <c r="D4490">
        <v>2</v>
      </c>
      <c r="E4490">
        <f t="shared" si="69"/>
        <v>4.1359642795104093E-5</v>
      </c>
    </row>
    <row r="4491" spans="1:5" x14ac:dyDescent="0.25">
      <c r="A4491">
        <v>4</v>
      </c>
      <c r="B4491">
        <v>41</v>
      </c>
      <c r="C4491">
        <v>2</v>
      </c>
      <c r="D4491">
        <v>1</v>
      </c>
      <c r="E4491">
        <f t="shared" si="69"/>
        <v>1.1029238078694426E-4</v>
      </c>
    </row>
    <row r="4492" spans="1:5" x14ac:dyDescent="0.25">
      <c r="A4492">
        <v>4</v>
      </c>
      <c r="B4492">
        <v>41</v>
      </c>
      <c r="C4492">
        <v>3</v>
      </c>
      <c r="D4492">
        <v>0</v>
      </c>
      <c r="E4492">
        <f t="shared" si="69"/>
        <v>9.2645599861033179E-5</v>
      </c>
    </row>
    <row r="4493" spans="1:5" x14ac:dyDescent="0.25">
      <c r="A4493">
        <v>4</v>
      </c>
      <c r="B4493">
        <v>42</v>
      </c>
      <c r="C4493">
        <v>0</v>
      </c>
      <c r="D4493">
        <v>2</v>
      </c>
      <c r="E4493">
        <f t="shared" si="69"/>
        <v>3.7572129718629364E-6</v>
      </c>
    </row>
    <row r="4494" spans="1:5" x14ac:dyDescent="0.25">
      <c r="A4494">
        <v>4</v>
      </c>
      <c r="B4494">
        <v>42</v>
      </c>
      <c r="C4494">
        <v>1</v>
      </c>
      <c r="D4494">
        <v>1</v>
      </c>
      <c r="E4494">
        <f t="shared" ref="E4494:E4557" si="70">COMBIN(A$4,A4494)*COMBIN(B$4,B4494)*COMBIN(C$4,C4494)*COMBIN(D$4,D4494)/COMBIN($G$4,$F$4)</f>
        <v>2.0351570264257571E-5</v>
      </c>
    </row>
    <row r="4495" spans="1:5" x14ac:dyDescent="0.25">
      <c r="A4495">
        <v>4</v>
      </c>
      <c r="B4495">
        <v>42</v>
      </c>
      <c r="C4495">
        <v>2</v>
      </c>
      <c r="D4495">
        <v>0</v>
      </c>
      <c r="E4495">
        <f t="shared" si="70"/>
        <v>2.6050009938249689E-5</v>
      </c>
    </row>
    <row r="4496" spans="1:5" x14ac:dyDescent="0.25">
      <c r="A4496">
        <v>4</v>
      </c>
      <c r="B4496">
        <v>43</v>
      </c>
      <c r="C4496">
        <v>0</v>
      </c>
      <c r="D4496">
        <v>1</v>
      </c>
      <c r="E4496">
        <f t="shared" si="70"/>
        <v>1.798510860562298E-6</v>
      </c>
    </row>
    <row r="4497" spans="1:5" x14ac:dyDescent="0.25">
      <c r="A4497">
        <v>4</v>
      </c>
      <c r="B4497">
        <v>43</v>
      </c>
      <c r="C4497">
        <v>1</v>
      </c>
      <c r="D4497">
        <v>0</v>
      </c>
      <c r="E4497">
        <f t="shared" si="70"/>
        <v>4.6761282374619741E-6</v>
      </c>
    </row>
    <row r="4498" spans="1:5" x14ac:dyDescent="0.25">
      <c r="A4498">
        <v>4</v>
      </c>
      <c r="B4498">
        <v>44</v>
      </c>
      <c r="C4498">
        <v>0</v>
      </c>
      <c r="D4498">
        <v>0</v>
      </c>
      <c r="E4498">
        <f t="shared" si="70"/>
        <v>4.0221242881665921E-7</v>
      </c>
    </row>
    <row r="4499" spans="1:5" x14ac:dyDescent="0.25">
      <c r="A4499">
        <v>5</v>
      </c>
      <c r="B4499">
        <v>0</v>
      </c>
      <c r="C4499">
        <v>18</v>
      </c>
      <c r="D4499">
        <v>25</v>
      </c>
      <c r="E4499">
        <f t="shared" si="70"/>
        <v>3.0004290479417631E-43</v>
      </c>
    </row>
    <row r="4500" spans="1:5" x14ac:dyDescent="0.25">
      <c r="A4500">
        <v>5</v>
      </c>
      <c r="B4500">
        <v>0</v>
      </c>
      <c r="C4500">
        <v>19</v>
      </c>
      <c r="D4500">
        <v>24</v>
      </c>
      <c r="E4500">
        <f t="shared" si="70"/>
        <v>1.8555284901745124E-41</v>
      </c>
    </row>
    <row r="4501" spans="1:5" x14ac:dyDescent="0.25">
      <c r="A4501">
        <v>5</v>
      </c>
      <c r="B4501">
        <v>0</v>
      </c>
      <c r="C4501">
        <v>20</v>
      </c>
      <c r="D4501">
        <v>23</v>
      </c>
      <c r="E4501">
        <f t="shared" si="70"/>
        <v>5.1212586328816578E-40</v>
      </c>
    </row>
    <row r="4502" spans="1:5" x14ac:dyDescent="0.25">
      <c r="A4502">
        <v>5</v>
      </c>
      <c r="B4502">
        <v>0</v>
      </c>
      <c r="C4502">
        <v>21</v>
      </c>
      <c r="D4502">
        <v>22</v>
      </c>
      <c r="E4502">
        <f t="shared" si="70"/>
        <v>8.4134963254484273E-39</v>
      </c>
    </row>
    <row r="4503" spans="1:5" x14ac:dyDescent="0.25">
      <c r="A4503">
        <v>5</v>
      </c>
      <c r="B4503">
        <v>0</v>
      </c>
      <c r="C4503">
        <v>22</v>
      </c>
      <c r="D4503">
        <v>21</v>
      </c>
      <c r="E4503">
        <f t="shared" si="70"/>
        <v>9.2548459579932757E-38</v>
      </c>
    </row>
    <row r="4504" spans="1:5" x14ac:dyDescent="0.25">
      <c r="A4504">
        <v>5</v>
      </c>
      <c r="B4504">
        <v>0</v>
      </c>
      <c r="C4504">
        <v>23</v>
      </c>
      <c r="D4504">
        <v>20</v>
      </c>
      <c r="E4504">
        <f t="shared" si="70"/>
        <v>7.2670660000590651E-37</v>
      </c>
    </row>
    <row r="4505" spans="1:5" x14ac:dyDescent="0.25">
      <c r="A4505">
        <v>5</v>
      </c>
      <c r="B4505">
        <v>0</v>
      </c>
      <c r="C4505">
        <v>24</v>
      </c>
      <c r="D4505">
        <v>19</v>
      </c>
      <c r="E4505">
        <f t="shared" si="70"/>
        <v>4.2391218333677873E-36</v>
      </c>
    </row>
    <row r="4506" spans="1:5" x14ac:dyDescent="0.25">
      <c r="A4506">
        <v>5</v>
      </c>
      <c r="B4506">
        <v>0</v>
      </c>
      <c r="C4506">
        <v>25</v>
      </c>
      <c r="D4506">
        <v>18</v>
      </c>
      <c r="E4506">
        <f t="shared" si="70"/>
        <v>1.8870148046820053E-35</v>
      </c>
    </row>
    <row r="4507" spans="1:5" x14ac:dyDescent="0.25">
      <c r="A4507">
        <v>5</v>
      </c>
      <c r="B4507">
        <v>0</v>
      </c>
      <c r="C4507">
        <v>26</v>
      </c>
      <c r="D4507">
        <v>17</v>
      </c>
      <c r="E4507">
        <f t="shared" si="70"/>
        <v>6.5319743238992439E-35</v>
      </c>
    </row>
    <row r="4508" spans="1:5" x14ac:dyDescent="0.25">
      <c r="A4508">
        <v>5</v>
      </c>
      <c r="B4508">
        <v>0</v>
      </c>
      <c r="C4508">
        <v>27</v>
      </c>
      <c r="D4508">
        <v>16</v>
      </c>
      <c r="E4508">
        <f t="shared" si="70"/>
        <v>1.7821806488663368E-34</v>
      </c>
    </row>
    <row r="4509" spans="1:5" x14ac:dyDescent="0.25">
      <c r="A4509">
        <v>5</v>
      </c>
      <c r="B4509">
        <v>0</v>
      </c>
      <c r="C4509">
        <v>28</v>
      </c>
      <c r="D4509">
        <v>15</v>
      </c>
      <c r="E4509">
        <f t="shared" si="70"/>
        <v>3.8698779803954745E-34</v>
      </c>
    </row>
    <row r="4510" spans="1:5" x14ac:dyDescent="0.25">
      <c r="A4510">
        <v>5</v>
      </c>
      <c r="B4510">
        <v>0</v>
      </c>
      <c r="C4510">
        <v>29</v>
      </c>
      <c r="D4510">
        <v>14</v>
      </c>
      <c r="E4510">
        <f t="shared" si="70"/>
        <v>6.7328598091520036E-34</v>
      </c>
    </row>
    <row r="4511" spans="1:5" x14ac:dyDescent="0.25">
      <c r="A4511">
        <v>5</v>
      </c>
      <c r="B4511">
        <v>0</v>
      </c>
      <c r="C4511">
        <v>30</v>
      </c>
      <c r="D4511">
        <v>13</v>
      </c>
      <c r="E4511">
        <f t="shared" si="70"/>
        <v>9.4260037328128017E-34</v>
      </c>
    </row>
    <row r="4512" spans="1:5" x14ac:dyDescent="0.25">
      <c r="A4512">
        <v>5</v>
      </c>
      <c r="B4512">
        <v>0</v>
      </c>
      <c r="C4512">
        <v>31</v>
      </c>
      <c r="D4512">
        <v>12</v>
      </c>
      <c r="E4512">
        <f t="shared" si="70"/>
        <v>1.0642262278982197E-33</v>
      </c>
    </row>
    <row r="4513" spans="1:5" x14ac:dyDescent="0.25">
      <c r="A4513">
        <v>5</v>
      </c>
      <c r="B4513">
        <v>0</v>
      </c>
      <c r="C4513">
        <v>32</v>
      </c>
      <c r="D4513">
        <v>11</v>
      </c>
      <c r="E4513">
        <f t="shared" si="70"/>
        <v>9.6920602897873552E-34</v>
      </c>
    </row>
    <row r="4514" spans="1:5" x14ac:dyDescent="0.25">
      <c r="A4514">
        <v>5</v>
      </c>
      <c r="B4514">
        <v>0</v>
      </c>
      <c r="C4514">
        <v>33</v>
      </c>
      <c r="D4514">
        <v>10</v>
      </c>
      <c r="E4514">
        <f t="shared" si="70"/>
        <v>7.1075108791773937E-34</v>
      </c>
    </row>
    <row r="4515" spans="1:5" x14ac:dyDescent="0.25">
      <c r="A4515">
        <v>5</v>
      </c>
      <c r="B4515">
        <v>0</v>
      </c>
      <c r="C4515">
        <v>34</v>
      </c>
      <c r="D4515">
        <v>9</v>
      </c>
      <c r="E4515">
        <f t="shared" si="70"/>
        <v>4.1808887524572914E-34</v>
      </c>
    </row>
    <row r="4516" spans="1:5" x14ac:dyDescent="0.25">
      <c r="A4516">
        <v>5</v>
      </c>
      <c r="B4516">
        <v>0</v>
      </c>
      <c r="C4516">
        <v>35</v>
      </c>
      <c r="D4516">
        <v>8</v>
      </c>
      <c r="E4516">
        <f t="shared" si="70"/>
        <v>1.9604503561942594E-34</v>
      </c>
    </row>
    <row r="4517" spans="1:5" x14ac:dyDescent="0.25">
      <c r="A4517">
        <v>5</v>
      </c>
      <c r="B4517">
        <v>0</v>
      </c>
      <c r="C4517">
        <v>36</v>
      </c>
      <c r="D4517">
        <v>7</v>
      </c>
      <c r="E4517">
        <f t="shared" si="70"/>
        <v>7.2609272451639263E-35</v>
      </c>
    </row>
    <row r="4518" spans="1:5" x14ac:dyDescent="0.25">
      <c r="A4518">
        <v>5</v>
      </c>
      <c r="B4518">
        <v>0</v>
      </c>
      <c r="C4518">
        <v>37</v>
      </c>
      <c r="D4518">
        <v>6</v>
      </c>
      <c r="E4518">
        <f t="shared" si="70"/>
        <v>2.0966831163133372E-35</v>
      </c>
    </row>
    <row r="4519" spans="1:5" x14ac:dyDescent="0.25">
      <c r="A4519">
        <v>5</v>
      </c>
      <c r="B4519">
        <v>0</v>
      </c>
      <c r="C4519">
        <v>38</v>
      </c>
      <c r="D4519">
        <v>5</v>
      </c>
      <c r="E4519">
        <f t="shared" si="70"/>
        <v>4.6347732044821137E-36</v>
      </c>
    </row>
    <row r="4520" spans="1:5" x14ac:dyDescent="0.25">
      <c r="A4520">
        <v>5</v>
      </c>
      <c r="B4520">
        <v>0</v>
      </c>
      <c r="C4520">
        <v>39</v>
      </c>
      <c r="D4520">
        <v>4</v>
      </c>
      <c r="E4520">
        <f t="shared" si="70"/>
        <v>7.6397360513441471E-37</v>
      </c>
    </row>
    <row r="4521" spans="1:5" x14ac:dyDescent="0.25">
      <c r="A4521">
        <v>5</v>
      </c>
      <c r="B4521">
        <v>0</v>
      </c>
      <c r="C4521">
        <v>40</v>
      </c>
      <c r="D4521">
        <v>3</v>
      </c>
      <c r="E4521">
        <f t="shared" si="70"/>
        <v>9.0287789697703578E-38</v>
      </c>
    </row>
    <row r="4522" spans="1:5" x14ac:dyDescent="0.25">
      <c r="A4522">
        <v>5</v>
      </c>
      <c r="B4522">
        <v>0</v>
      </c>
      <c r="C4522">
        <v>41</v>
      </c>
      <c r="D4522">
        <v>2</v>
      </c>
      <c r="E4522">
        <f t="shared" si="70"/>
        <v>7.1808952569753611E-39</v>
      </c>
    </row>
    <row r="4523" spans="1:5" x14ac:dyDescent="0.25">
      <c r="A4523">
        <v>5</v>
      </c>
      <c r="B4523">
        <v>0</v>
      </c>
      <c r="C4523">
        <v>42</v>
      </c>
      <c r="D4523">
        <v>1</v>
      </c>
      <c r="E4523">
        <f t="shared" si="70"/>
        <v>3.4194739318930294E-40</v>
      </c>
    </row>
    <row r="4524" spans="1:5" x14ac:dyDescent="0.25">
      <c r="A4524">
        <v>5</v>
      </c>
      <c r="B4524">
        <v>0</v>
      </c>
      <c r="C4524">
        <v>43</v>
      </c>
      <c r="D4524">
        <v>0</v>
      </c>
      <c r="E4524">
        <f t="shared" si="70"/>
        <v>7.316083761259506E-42</v>
      </c>
    </row>
    <row r="4525" spans="1:5" x14ac:dyDescent="0.25">
      <c r="A4525">
        <v>5</v>
      </c>
      <c r="B4525">
        <v>1</v>
      </c>
      <c r="C4525">
        <v>17</v>
      </c>
      <c r="D4525">
        <v>25</v>
      </c>
      <c r="E4525">
        <f t="shared" si="70"/>
        <v>3.2517149807068885E-41</v>
      </c>
    </row>
    <row r="4526" spans="1:5" x14ac:dyDescent="0.25">
      <c r="A4526">
        <v>5</v>
      </c>
      <c r="B4526">
        <v>1</v>
      </c>
      <c r="C4526">
        <v>18</v>
      </c>
      <c r="D4526">
        <v>24</v>
      </c>
      <c r="E4526">
        <f t="shared" si="70"/>
        <v>2.1678099871379241E-39</v>
      </c>
    </row>
    <row r="4527" spans="1:5" x14ac:dyDescent="0.25">
      <c r="A4527">
        <v>5</v>
      </c>
      <c r="B4527">
        <v>1</v>
      </c>
      <c r="C4527">
        <v>19</v>
      </c>
      <c r="D4527">
        <v>23</v>
      </c>
      <c r="E4527">
        <f t="shared" si="70"/>
        <v>6.4349728039252076E-38</v>
      </c>
    </row>
    <row r="4528" spans="1:5" x14ac:dyDescent="0.25">
      <c r="A4528">
        <v>5</v>
      </c>
      <c r="B4528">
        <v>1</v>
      </c>
      <c r="C4528">
        <v>20</v>
      </c>
      <c r="D4528">
        <v>22</v>
      </c>
      <c r="E4528">
        <f t="shared" si="70"/>
        <v>1.1347002044254792E-36</v>
      </c>
    </row>
    <row r="4529" spans="1:5" x14ac:dyDescent="0.25">
      <c r="A4529">
        <v>5</v>
      </c>
      <c r="B4529">
        <v>1</v>
      </c>
      <c r="C4529">
        <v>21</v>
      </c>
      <c r="D4529">
        <v>21</v>
      </c>
      <c r="E4529">
        <f t="shared" si="70"/>
        <v>1.3373252409300277E-35</v>
      </c>
    </row>
    <row r="4530" spans="1:5" x14ac:dyDescent="0.25">
      <c r="A4530">
        <v>5</v>
      </c>
      <c r="B4530">
        <v>1</v>
      </c>
      <c r="C4530">
        <v>22</v>
      </c>
      <c r="D4530">
        <v>20</v>
      </c>
      <c r="E4530">
        <f t="shared" si="70"/>
        <v>1.1233532023812237E-34</v>
      </c>
    </row>
    <row r="4531" spans="1:5" x14ac:dyDescent="0.25">
      <c r="A4531">
        <v>5</v>
      </c>
      <c r="B4531">
        <v>1</v>
      </c>
      <c r="C4531">
        <v>23</v>
      </c>
      <c r="D4531">
        <v>19</v>
      </c>
      <c r="E4531">
        <f t="shared" si="70"/>
        <v>7.000606913390232E-34</v>
      </c>
    </row>
    <row r="4532" spans="1:5" x14ac:dyDescent="0.25">
      <c r="A4532">
        <v>5</v>
      </c>
      <c r="B4532">
        <v>1</v>
      </c>
      <c r="C4532">
        <v>24</v>
      </c>
      <c r="D4532">
        <v>18</v>
      </c>
      <c r="E4532">
        <f t="shared" si="70"/>
        <v>3.3252882838603618E-33</v>
      </c>
    </row>
    <row r="4533" spans="1:5" x14ac:dyDescent="0.25">
      <c r="A4533">
        <v>5</v>
      </c>
      <c r="B4533">
        <v>1</v>
      </c>
      <c r="C4533">
        <v>25</v>
      </c>
      <c r="D4533">
        <v>17</v>
      </c>
      <c r="E4533">
        <f t="shared" si="70"/>
        <v>1.2270313767444736E-32</v>
      </c>
    </row>
    <row r="4534" spans="1:5" x14ac:dyDescent="0.25">
      <c r="A4534">
        <v>5</v>
      </c>
      <c r="B4534">
        <v>1</v>
      </c>
      <c r="C4534">
        <v>26</v>
      </c>
      <c r="D4534">
        <v>16</v>
      </c>
      <c r="E4534">
        <f t="shared" si="70"/>
        <v>3.565732205924109E-32</v>
      </c>
    </row>
    <row r="4535" spans="1:5" x14ac:dyDescent="0.25">
      <c r="A4535">
        <v>5</v>
      </c>
      <c r="B4535">
        <v>1</v>
      </c>
      <c r="C4535">
        <v>27</v>
      </c>
      <c r="D4535">
        <v>15</v>
      </c>
      <c r="E4535">
        <f t="shared" si="70"/>
        <v>8.240803320357941E-32</v>
      </c>
    </row>
    <row r="4536" spans="1:5" x14ac:dyDescent="0.25">
      <c r="A4536">
        <v>5</v>
      </c>
      <c r="B4536">
        <v>1</v>
      </c>
      <c r="C4536">
        <v>28</v>
      </c>
      <c r="D4536">
        <v>14</v>
      </c>
      <c r="E4536">
        <f t="shared" si="70"/>
        <v>1.5250837313649439E-31</v>
      </c>
    </row>
    <row r="4537" spans="1:5" x14ac:dyDescent="0.25">
      <c r="A4537">
        <v>5</v>
      </c>
      <c r="B4537">
        <v>1</v>
      </c>
      <c r="C4537">
        <v>29</v>
      </c>
      <c r="D4537">
        <v>13</v>
      </c>
      <c r="E4537">
        <f t="shared" si="70"/>
        <v>2.2700958989857506E-31</v>
      </c>
    </row>
    <row r="4538" spans="1:5" x14ac:dyDescent="0.25">
      <c r="A4538">
        <v>5</v>
      </c>
      <c r="B4538">
        <v>1</v>
      </c>
      <c r="C4538">
        <v>30</v>
      </c>
      <c r="D4538">
        <v>12</v>
      </c>
      <c r="E4538">
        <f t="shared" si="70"/>
        <v>2.7241150787829004E-31</v>
      </c>
    </row>
    <row r="4539" spans="1:5" x14ac:dyDescent="0.25">
      <c r="A4539">
        <v>5</v>
      </c>
      <c r="B4539">
        <v>1</v>
      </c>
      <c r="C4539">
        <v>31</v>
      </c>
      <c r="D4539">
        <v>11</v>
      </c>
      <c r="E4539">
        <f t="shared" si="70"/>
        <v>2.636240398822161E-31</v>
      </c>
    </row>
    <row r="4540" spans="1:5" x14ac:dyDescent="0.25">
      <c r="A4540">
        <v>5</v>
      </c>
      <c r="B4540">
        <v>1</v>
      </c>
      <c r="C4540">
        <v>32</v>
      </c>
      <c r="D4540">
        <v>10</v>
      </c>
      <c r="E4540">
        <f t="shared" si="70"/>
        <v>2.0540706440822666E-31</v>
      </c>
    </row>
    <row r="4541" spans="1:5" x14ac:dyDescent="0.25">
      <c r="A4541">
        <v>5</v>
      </c>
      <c r="B4541">
        <v>1</v>
      </c>
      <c r="C4541">
        <v>33</v>
      </c>
      <c r="D4541">
        <v>9</v>
      </c>
      <c r="E4541">
        <f t="shared" si="70"/>
        <v>1.2837941525514171E-31</v>
      </c>
    </row>
    <row r="4542" spans="1:5" x14ac:dyDescent="0.25">
      <c r="A4542">
        <v>5</v>
      </c>
      <c r="B4542">
        <v>1</v>
      </c>
      <c r="C4542">
        <v>34</v>
      </c>
      <c r="D4542">
        <v>8</v>
      </c>
      <c r="E4542">
        <f t="shared" si="70"/>
        <v>6.396759791259656E-32</v>
      </c>
    </row>
    <row r="4543" spans="1:5" x14ac:dyDescent="0.25">
      <c r="A4543">
        <v>5</v>
      </c>
      <c r="B4543">
        <v>1</v>
      </c>
      <c r="C4543">
        <v>35</v>
      </c>
      <c r="D4543">
        <v>7</v>
      </c>
      <c r="E4543">
        <f t="shared" si="70"/>
        <v>2.518089568622849E-32</v>
      </c>
    </row>
    <row r="4544" spans="1:5" x14ac:dyDescent="0.25">
      <c r="A4544">
        <v>5</v>
      </c>
      <c r="B4544">
        <v>1</v>
      </c>
      <c r="C4544">
        <v>36</v>
      </c>
      <c r="D4544">
        <v>6</v>
      </c>
      <c r="E4544">
        <f t="shared" si="70"/>
        <v>7.7309767457719045E-33</v>
      </c>
    </row>
    <row r="4545" spans="1:5" x14ac:dyDescent="0.25">
      <c r="A4545">
        <v>5</v>
      </c>
      <c r="B4545">
        <v>1</v>
      </c>
      <c r="C4545">
        <v>37</v>
      </c>
      <c r="D4545">
        <v>5</v>
      </c>
      <c r="E4545">
        <f t="shared" si="70"/>
        <v>1.8178242618436637E-33</v>
      </c>
    </row>
    <row r="4546" spans="1:5" x14ac:dyDescent="0.25">
      <c r="A4546">
        <v>5</v>
      </c>
      <c r="B4546">
        <v>1</v>
      </c>
      <c r="C4546">
        <v>38</v>
      </c>
      <c r="D4546">
        <v>4</v>
      </c>
      <c r="E4546">
        <f t="shared" si="70"/>
        <v>3.1891653716555508E-34</v>
      </c>
    </row>
    <row r="4547" spans="1:5" x14ac:dyDescent="0.25">
      <c r="A4547">
        <v>5</v>
      </c>
      <c r="B4547">
        <v>1</v>
      </c>
      <c r="C4547">
        <v>39</v>
      </c>
      <c r="D4547">
        <v>3</v>
      </c>
      <c r="E4547">
        <f t="shared" si="70"/>
        <v>4.0143340342517415E-35</v>
      </c>
    </row>
    <row r="4548" spans="1:5" x14ac:dyDescent="0.25">
      <c r="A4548">
        <v>5</v>
      </c>
      <c r="B4548">
        <v>1</v>
      </c>
      <c r="C4548">
        <v>40</v>
      </c>
      <c r="D4548">
        <v>2</v>
      </c>
      <c r="E4548">
        <f t="shared" si="70"/>
        <v>3.4034571159960436E-36</v>
      </c>
    </row>
    <row r="4549" spans="1:5" x14ac:dyDescent="0.25">
      <c r="A4549">
        <v>5</v>
      </c>
      <c r="B4549">
        <v>1</v>
      </c>
      <c r="C4549">
        <v>41</v>
      </c>
      <c r="D4549">
        <v>1</v>
      </c>
      <c r="E4549">
        <f t="shared" si="70"/>
        <v>1.7293989410548995E-37</v>
      </c>
    </row>
    <row r="4550" spans="1:5" x14ac:dyDescent="0.25">
      <c r="A4550">
        <v>5</v>
      </c>
      <c r="B4550">
        <v>1</v>
      </c>
      <c r="C4550">
        <v>42</v>
      </c>
      <c r="D4550">
        <v>0</v>
      </c>
      <c r="E4550">
        <f t="shared" si="70"/>
        <v>3.9529118652683418E-39</v>
      </c>
    </row>
    <row r="4551" spans="1:5" x14ac:dyDescent="0.25">
      <c r="A4551">
        <v>5</v>
      </c>
      <c r="B4551">
        <v>2</v>
      </c>
      <c r="C4551">
        <v>16</v>
      </c>
      <c r="D4551">
        <v>25</v>
      </c>
      <c r="E4551">
        <f t="shared" si="70"/>
        <v>1.6245302597490733E-39</v>
      </c>
    </row>
    <row r="4552" spans="1:5" x14ac:dyDescent="0.25">
      <c r="A4552">
        <v>5</v>
      </c>
      <c r="B4552">
        <v>2</v>
      </c>
      <c r="C4552">
        <v>17</v>
      </c>
      <c r="D4552">
        <v>24</v>
      </c>
      <c r="E4552">
        <f t="shared" si="70"/>
        <v>1.1706173930544801E-37</v>
      </c>
    </row>
    <row r="4553" spans="1:5" x14ac:dyDescent="0.25">
      <c r="A4553">
        <v>5</v>
      </c>
      <c r="B4553">
        <v>2</v>
      </c>
      <c r="C4553">
        <v>18</v>
      </c>
      <c r="D4553">
        <v>23</v>
      </c>
      <c r="E4553">
        <f t="shared" si="70"/>
        <v>3.7459756577743322E-36</v>
      </c>
    </row>
    <row r="4554" spans="1:5" x14ac:dyDescent="0.25">
      <c r="A4554">
        <v>5</v>
      </c>
      <c r="B4554">
        <v>2</v>
      </c>
      <c r="C4554">
        <v>19</v>
      </c>
      <c r="D4554">
        <v>22</v>
      </c>
      <c r="E4554">
        <f t="shared" si="70"/>
        <v>7.1042099755334303E-35</v>
      </c>
    </row>
    <row r="4555" spans="1:5" x14ac:dyDescent="0.25">
      <c r="A4555">
        <v>5</v>
      </c>
      <c r="B4555">
        <v>2</v>
      </c>
      <c r="C4555">
        <v>20</v>
      </c>
      <c r="D4555">
        <v>21</v>
      </c>
      <c r="E4555">
        <f t="shared" si="70"/>
        <v>8.986825619049798E-34</v>
      </c>
    </row>
    <row r="4556" spans="1:5" x14ac:dyDescent="0.25">
      <c r="A4556">
        <v>5</v>
      </c>
      <c r="B4556">
        <v>2</v>
      </c>
      <c r="C4556">
        <v>21</v>
      </c>
      <c r="D4556">
        <v>20</v>
      </c>
      <c r="E4556">
        <f t="shared" si="70"/>
        <v>8.0881430571448056E-33</v>
      </c>
    </row>
    <row r="4557" spans="1:5" x14ac:dyDescent="0.25">
      <c r="A4557">
        <v>5</v>
      </c>
      <c r="B4557">
        <v>2</v>
      </c>
      <c r="C4557">
        <v>22</v>
      </c>
      <c r="D4557">
        <v>19</v>
      </c>
      <c r="E4557">
        <f t="shared" si="70"/>
        <v>5.392095371429874E-32</v>
      </c>
    </row>
    <row r="4558" spans="1:5" x14ac:dyDescent="0.25">
      <c r="A4558">
        <v>5</v>
      </c>
      <c r="B4558">
        <v>2</v>
      </c>
      <c r="C4558">
        <v>23</v>
      </c>
      <c r="D4558">
        <v>18</v>
      </c>
      <c r="E4558">
        <f t="shared" ref="E4558:E4621" si="71">COMBIN(A$4,A4558)*COMBIN(B$4,B4558)*COMBIN(C$4,C4558)*COMBIN(D$4,D4558)/COMBIN($G$4,$F$4)</f>
        <v>2.7362372164336692E-31</v>
      </c>
    </row>
    <row r="4559" spans="1:5" x14ac:dyDescent="0.25">
      <c r="A4559">
        <v>5</v>
      </c>
      <c r="B4559">
        <v>2</v>
      </c>
      <c r="C4559">
        <v>24</v>
      </c>
      <c r="D4559">
        <v>17</v>
      </c>
      <c r="E4559">
        <f t="shared" si="71"/>
        <v>1.0773934039707569E-30</v>
      </c>
    </row>
    <row r="4560" spans="1:5" x14ac:dyDescent="0.25">
      <c r="A4560">
        <v>5</v>
      </c>
      <c r="B4560">
        <v>2</v>
      </c>
      <c r="C4560">
        <v>25</v>
      </c>
      <c r="D4560">
        <v>16</v>
      </c>
      <c r="E4560">
        <f t="shared" si="71"/>
        <v>3.3375253447449688E-30</v>
      </c>
    </row>
    <row r="4561" spans="1:5" x14ac:dyDescent="0.25">
      <c r="A4561">
        <v>5</v>
      </c>
      <c r="B4561">
        <v>2</v>
      </c>
      <c r="C4561">
        <v>26</v>
      </c>
      <c r="D4561">
        <v>15</v>
      </c>
      <c r="E4561">
        <f t="shared" si="71"/>
        <v>8.215447002449146E-30</v>
      </c>
    </row>
    <row r="4562" spans="1:5" x14ac:dyDescent="0.25">
      <c r="A4562">
        <v>5</v>
      </c>
      <c r="B4562">
        <v>2</v>
      </c>
      <c r="C4562">
        <v>27</v>
      </c>
      <c r="D4562">
        <v>14</v>
      </c>
      <c r="E4562">
        <f t="shared" si="71"/>
        <v>1.6181941065430139E-29</v>
      </c>
    </row>
    <row r="4563" spans="1:5" x14ac:dyDescent="0.25">
      <c r="A4563">
        <v>5</v>
      </c>
      <c r="B4563">
        <v>2</v>
      </c>
      <c r="C4563">
        <v>28</v>
      </c>
      <c r="D4563">
        <v>13</v>
      </c>
      <c r="E4563">
        <f t="shared" si="71"/>
        <v>2.5621406686931061E-29</v>
      </c>
    </row>
    <row r="4564" spans="1:5" x14ac:dyDescent="0.25">
      <c r="A4564">
        <v>5</v>
      </c>
      <c r="B4564">
        <v>2</v>
      </c>
      <c r="C4564">
        <v>29</v>
      </c>
      <c r="D4564">
        <v>12</v>
      </c>
      <c r="E4564">
        <f t="shared" si="71"/>
        <v>3.2689380945394816E-29</v>
      </c>
    </row>
    <row r="4565" spans="1:5" x14ac:dyDescent="0.25">
      <c r="A4565">
        <v>5</v>
      </c>
      <c r="B4565">
        <v>2</v>
      </c>
      <c r="C4565">
        <v>30</v>
      </c>
      <c r="D4565">
        <v>11</v>
      </c>
      <c r="E4565">
        <f t="shared" si="71"/>
        <v>3.3623363258120356E-29</v>
      </c>
    </row>
    <row r="4566" spans="1:5" x14ac:dyDescent="0.25">
      <c r="A4566">
        <v>5</v>
      </c>
      <c r="B4566">
        <v>2</v>
      </c>
      <c r="C4566">
        <v>31</v>
      </c>
      <c r="D4566">
        <v>10</v>
      </c>
      <c r="E4566">
        <f t="shared" si="71"/>
        <v>2.7838698611562016E-29</v>
      </c>
    </row>
    <row r="4567" spans="1:5" x14ac:dyDescent="0.25">
      <c r="A4567">
        <v>5</v>
      </c>
      <c r="B4567">
        <v>2</v>
      </c>
      <c r="C4567">
        <v>32</v>
      </c>
      <c r="D4567">
        <v>9</v>
      </c>
      <c r="E4567">
        <f t="shared" si="71"/>
        <v>1.8486635796740405E-29</v>
      </c>
    </row>
    <row r="4568" spans="1:5" x14ac:dyDescent="0.25">
      <c r="A4568">
        <v>5</v>
      </c>
      <c r="B4568">
        <v>2</v>
      </c>
      <c r="C4568">
        <v>33</v>
      </c>
      <c r="D4568">
        <v>8</v>
      </c>
      <c r="E4568">
        <f t="shared" si="71"/>
        <v>9.7870424806272734E-30</v>
      </c>
    </row>
    <row r="4569" spans="1:5" x14ac:dyDescent="0.25">
      <c r="A4569">
        <v>5</v>
      </c>
      <c r="B4569">
        <v>2</v>
      </c>
      <c r="C4569">
        <v>34</v>
      </c>
      <c r="D4569">
        <v>7</v>
      </c>
      <c r="E4569">
        <f t="shared" si="71"/>
        <v>4.0939262664061805E-30</v>
      </c>
    </row>
    <row r="4570" spans="1:5" x14ac:dyDescent="0.25">
      <c r="A4570">
        <v>5</v>
      </c>
      <c r="B4570">
        <v>2</v>
      </c>
      <c r="C4570">
        <v>35</v>
      </c>
      <c r="D4570">
        <v>6</v>
      </c>
      <c r="E4570">
        <f t="shared" si="71"/>
        <v>1.3359127816693847E-30</v>
      </c>
    </row>
    <row r="4571" spans="1:5" x14ac:dyDescent="0.25">
      <c r="A4571">
        <v>5</v>
      </c>
      <c r="B4571">
        <v>2</v>
      </c>
      <c r="C4571">
        <v>36</v>
      </c>
      <c r="D4571">
        <v>5</v>
      </c>
      <c r="E4571">
        <f t="shared" si="71"/>
        <v>3.3397819541734625E-31</v>
      </c>
    </row>
    <row r="4572" spans="1:5" x14ac:dyDescent="0.25">
      <c r="A4572">
        <v>5</v>
      </c>
      <c r="B4572">
        <v>2</v>
      </c>
      <c r="C4572">
        <v>37</v>
      </c>
      <c r="D4572">
        <v>4</v>
      </c>
      <c r="E4572">
        <f t="shared" si="71"/>
        <v>6.2325403263211342E-32</v>
      </c>
    </row>
    <row r="4573" spans="1:5" x14ac:dyDescent="0.25">
      <c r="A4573">
        <v>5</v>
      </c>
      <c r="B4573">
        <v>2</v>
      </c>
      <c r="C4573">
        <v>38</v>
      </c>
      <c r="D4573">
        <v>3</v>
      </c>
      <c r="E4573">
        <f t="shared" si="71"/>
        <v>8.3498147912436214E-33</v>
      </c>
    </row>
    <row r="4574" spans="1:5" x14ac:dyDescent="0.25">
      <c r="A4574">
        <v>5</v>
      </c>
      <c r="B4574">
        <v>2</v>
      </c>
      <c r="C4574">
        <v>39</v>
      </c>
      <c r="D4574">
        <v>2</v>
      </c>
      <c r="E4574">
        <f t="shared" si="71"/>
        <v>7.5399665338989229E-34</v>
      </c>
    </row>
    <row r="4575" spans="1:5" x14ac:dyDescent="0.25">
      <c r="A4575">
        <v>5</v>
      </c>
      <c r="B4575">
        <v>2</v>
      </c>
      <c r="C4575">
        <v>40</v>
      </c>
      <c r="D4575">
        <v>1</v>
      </c>
      <c r="E4575">
        <f t="shared" si="71"/>
        <v>4.0841485391952523E-35</v>
      </c>
    </row>
    <row r="4576" spans="1:5" x14ac:dyDescent="0.25">
      <c r="A4576">
        <v>5</v>
      </c>
      <c r="B4576">
        <v>2</v>
      </c>
      <c r="C4576">
        <v>41</v>
      </c>
      <c r="D4576">
        <v>0</v>
      </c>
      <c r="E4576">
        <f t="shared" si="71"/>
        <v>9.9613379004762208E-37</v>
      </c>
    </row>
    <row r="4577" spans="1:5" x14ac:dyDescent="0.25">
      <c r="A4577">
        <v>5</v>
      </c>
      <c r="B4577">
        <v>3</v>
      </c>
      <c r="C4577">
        <v>15</v>
      </c>
      <c r="D4577">
        <v>25</v>
      </c>
      <c r="E4577">
        <f t="shared" si="71"/>
        <v>4.9732286351784958E-38</v>
      </c>
    </row>
    <row r="4578" spans="1:5" x14ac:dyDescent="0.25">
      <c r="A4578">
        <v>5</v>
      </c>
      <c r="B4578">
        <v>3</v>
      </c>
      <c r="C4578">
        <v>16</v>
      </c>
      <c r="D4578">
        <v>24</v>
      </c>
      <c r="E4578">
        <f t="shared" si="71"/>
        <v>3.8853348712332008E-36</v>
      </c>
    </row>
    <row r="4579" spans="1:5" x14ac:dyDescent="0.25">
      <c r="A4579">
        <v>5</v>
      </c>
      <c r="B4579">
        <v>3</v>
      </c>
      <c r="C4579">
        <v>17</v>
      </c>
      <c r="D4579">
        <v>23</v>
      </c>
      <c r="E4579">
        <f t="shared" si="71"/>
        <v>1.3438687672265428E-34</v>
      </c>
    </row>
    <row r="4580" spans="1:5" x14ac:dyDescent="0.25">
      <c r="A4580">
        <v>5</v>
      </c>
      <c r="B4580">
        <v>3</v>
      </c>
      <c r="C4580">
        <v>18</v>
      </c>
      <c r="D4580">
        <v>22</v>
      </c>
      <c r="E4580">
        <f t="shared" si="71"/>
        <v>2.7474650352187073E-33</v>
      </c>
    </row>
    <row r="4581" spans="1:5" x14ac:dyDescent="0.25">
      <c r="A4581">
        <v>5</v>
      </c>
      <c r="B4581">
        <v>3</v>
      </c>
      <c r="C4581">
        <v>19</v>
      </c>
      <c r="D4581">
        <v>21</v>
      </c>
      <c r="E4581">
        <f t="shared" si="71"/>
        <v>3.7379984821265066E-32</v>
      </c>
    </row>
    <row r="4582" spans="1:5" x14ac:dyDescent="0.25">
      <c r="A4582">
        <v>5</v>
      </c>
      <c r="B4582">
        <v>3</v>
      </c>
      <c r="C4582">
        <v>20</v>
      </c>
      <c r="D4582">
        <v>20</v>
      </c>
      <c r="E4582">
        <f t="shared" si="71"/>
        <v>3.6109065337342076E-31</v>
      </c>
    </row>
    <row r="4583" spans="1:5" x14ac:dyDescent="0.25">
      <c r="A4583">
        <v>5</v>
      </c>
      <c r="B4583">
        <v>3</v>
      </c>
      <c r="C4583">
        <v>21</v>
      </c>
      <c r="D4583">
        <v>19</v>
      </c>
      <c r="E4583">
        <f t="shared" si="71"/>
        <v>2.5792189526672879E-30</v>
      </c>
    </row>
    <row r="4584" spans="1:5" x14ac:dyDescent="0.25">
      <c r="A4584">
        <v>5</v>
      </c>
      <c r="B4584">
        <v>3</v>
      </c>
      <c r="C4584">
        <v>22</v>
      </c>
      <c r="D4584">
        <v>18</v>
      </c>
      <c r="E4584">
        <f t="shared" si="71"/>
        <v>1.4001474314479579E-29</v>
      </c>
    </row>
    <row r="4585" spans="1:5" x14ac:dyDescent="0.25">
      <c r="A4585">
        <v>5</v>
      </c>
      <c r="B4585">
        <v>3</v>
      </c>
      <c r="C4585">
        <v>23</v>
      </c>
      <c r="D4585">
        <v>17</v>
      </c>
      <c r="E4585">
        <f t="shared" si="71"/>
        <v>5.889750608373471E-29</v>
      </c>
    </row>
    <row r="4586" spans="1:5" x14ac:dyDescent="0.25">
      <c r="A4586">
        <v>5</v>
      </c>
      <c r="B4586">
        <v>3</v>
      </c>
      <c r="C4586">
        <v>24</v>
      </c>
      <c r="D4586">
        <v>16</v>
      </c>
      <c r="E4586">
        <f t="shared" si="71"/>
        <v>1.9468897844345639E-28</v>
      </c>
    </row>
    <row r="4587" spans="1:5" x14ac:dyDescent="0.25">
      <c r="A4587">
        <v>5</v>
      </c>
      <c r="B4587">
        <v>3</v>
      </c>
      <c r="C4587">
        <v>25</v>
      </c>
      <c r="D4587">
        <v>15</v>
      </c>
      <c r="E4587">
        <f t="shared" si="71"/>
        <v>5.1086387943562978E-28</v>
      </c>
    </row>
    <row r="4588" spans="1:5" x14ac:dyDescent="0.25">
      <c r="A4588">
        <v>5</v>
      </c>
      <c r="B4588">
        <v>3</v>
      </c>
      <c r="C4588">
        <v>26</v>
      </c>
      <c r="D4588">
        <v>14</v>
      </c>
      <c r="E4588">
        <f t="shared" si="71"/>
        <v>1.0717424044104116E-27</v>
      </c>
    </row>
    <row r="4589" spans="1:5" x14ac:dyDescent="0.25">
      <c r="A4589">
        <v>5</v>
      </c>
      <c r="B4589">
        <v>3</v>
      </c>
      <c r="C4589">
        <v>27</v>
      </c>
      <c r="D4589">
        <v>13</v>
      </c>
      <c r="E4589">
        <f t="shared" si="71"/>
        <v>1.8060844222471752E-27</v>
      </c>
    </row>
    <row r="4590" spans="1:5" x14ac:dyDescent="0.25">
      <c r="A4590">
        <v>5</v>
      </c>
      <c r="B4590">
        <v>3</v>
      </c>
      <c r="C4590">
        <v>28</v>
      </c>
      <c r="D4590">
        <v>12</v>
      </c>
      <c r="E4590">
        <f t="shared" si="71"/>
        <v>2.451114573049738E-27</v>
      </c>
    </row>
    <row r="4591" spans="1:5" x14ac:dyDescent="0.25">
      <c r="A4591">
        <v>5</v>
      </c>
      <c r="B4591">
        <v>3</v>
      </c>
      <c r="C4591">
        <v>29</v>
      </c>
      <c r="D4591">
        <v>11</v>
      </c>
      <c r="E4591">
        <f t="shared" si="71"/>
        <v>2.6805292375223735E-27</v>
      </c>
    </row>
    <row r="4592" spans="1:5" x14ac:dyDescent="0.25">
      <c r="A4592">
        <v>5</v>
      </c>
      <c r="B4592">
        <v>3</v>
      </c>
      <c r="C4592">
        <v>30</v>
      </c>
      <c r="D4592">
        <v>10</v>
      </c>
      <c r="E4592">
        <f t="shared" si="71"/>
        <v>2.3588657290196885E-27</v>
      </c>
    </row>
    <row r="4593" spans="1:5" x14ac:dyDescent="0.25">
      <c r="A4593">
        <v>5</v>
      </c>
      <c r="B4593">
        <v>3</v>
      </c>
      <c r="C4593">
        <v>31</v>
      </c>
      <c r="D4593">
        <v>9</v>
      </c>
      <c r="E4593">
        <f t="shared" si="71"/>
        <v>1.6645221878163125E-27</v>
      </c>
    </row>
    <row r="4594" spans="1:5" x14ac:dyDescent="0.25">
      <c r="A4594">
        <v>5</v>
      </c>
      <c r="B4594">
        <v>3</v>
      </c>
      <c r="C4594">
        <v>32</v>
      </c>
      <c r="D4594">
        <v>8</v>
      </c>
      <c r="E4594">
        <f t="shared" si="71"/>
        <v>9.362937306466758E-28</v>
      </c>
    </row>
    <row r="4595" spans="1:5" x14ac:dyDescent="0.25">
      <c r="A4595">
        <v>5</v>
      </c>
      <c r="B4595">
        <v>3</v>
      </c>
      <c r="C4595">
        <v>33</v>
      </c>
      <c r="D4595">
        <v>7</v>
      </c>
      <c r="E4595">
        <f t="shared" si="71"/>
        <v>4.1613054695407814E-28</v>
      </c>
    </row>
    <row r="4596" spans="1:5" x14ac:dyDescent="0.25">
      <c r="A4596">
        <v>5</v>
      </c>
      <c r="B4596">
        <v>3</v>
      </c>
      <c r="C4596">
        <v>34</v>
      </c>
      <c r="D4596">
        <v>6</v>
      </c>
      <c r="E4596">
        <f t="shared" si="71"/>
        <v>1.442929450738599E-28</v>
      </c>
    </row>
    <row r="4597" spans="1:5" x14ac:dyDescent="0.25">
      <c r="A4597">
        <v>5</v>
      </c>
      <c r="B4597">
        <v>3</v>
      </c>
      <c r="C4597">
        <v>35</v>
      </c>
      <c r="D4597">
        <v>5</v>
      </c>
      <c r="E4597">
        <f t="shared" si="71"/>
        <v>3.8340696833911342E-29</v>
      </c>
    </row>
    <row r="4598" spans="1:5" x14ac:dyDescent="0.25">
      <c r="A4598">
        <v>5</v>
      </c>
      <c r="B4598">
        <v>3</v>
      </c>
      <c r="C4598">
        <v>36</v>
      </c>
      <c r="D4598">
        <v>4</v>
      </c>
      <c r="E4598">
        <f t="shared" si="71"/>
        <v>7.6072811178395549E-30</v>
      </c>
    </row>
    <row r="4599" spans="1:5" x14ac:dyDescent="0.25">
      <c r="A4599">
        <v>5</v>
      </c>
      <c r="B4599">
        <v>3</v>
      </c>
      <c r="C4599">
        <v>37</v>
      </c>
      <c r="D4599">
        <v>3</v>
      </c>
      <c r="E4599">
        <f t="shared" si="71"/>
        <v>1.0840842870631303E-30</v>
      </c>
    </row>
    <row r="4600" spans="1:5" x14ac:dyDescent="0.25">
      <c r="A4600">
        <v>5</v>
      </c>
      <c r="B4600">
        <v>3</v>
      </c>
      <c r="C4600">
        <v>38</v>
      </c>
      <c r="D4600">
        <v>2</v>
      </c>
      <c r="E4600">
        <f t="shared" si="71"/>
        <v>1.0419116717769215E-31</v>
      </c>
    </row>
    <row r="4601" spans="1:5" x14ac:dyDescent="0.25">
      <c r="A4601">
        <v>5</v>
      </c>
      <c r="B4601">
        <v>3</v>
      </c>
      <c r="C4601">
        <v>39</v>
      </c>
      <c r="D4601">
        <v>1</v>
      </c>
      <c r="E4601">
        <f t="shared" si="71"/>
        <v>6.0110288756360859E-33</v>
      </c>
    </row>
    <row r="4602" spans="1:5" x14ac:dyDescent="0.25">
      <c r="A4602">
        <v>5</v>
      </c>
      <c r="B4602">
        <v>3</v>
      </c>
      <c r="C4602">
        <v>40</v>
      </c>
      <c r="D4602">
        <v>0</v>
      </c>
      <c r="E4602">
        <f t="shared" si="71"/>
        <v>1.5628675076653832E-34</v>
      </c>
    </row>
    <row r="4603" spans="1:5" x14ac:dyDescent="0.25">
      <c r="A4603">
        <v>5</v>
      </c>
      <c r="B4603">
        <v>4</v>
      </c>
      <c r="C4603">
        <v>14</v>
      </c>
      <c r="D4603">
        <v>25</v>
      </c>
      <c r="E4603">
        <f t="shared" si="71"/>
        <v>1.0458407276919488E-36</v>
      </c>
    </row>
    <row r="4604" spans="1:5" x14ac:dyDescent="0.25">
      <c r="A4604">
        <v>5</v>
      </c>
      <c r="B4604">
        <v>4</v>
      </c>
      <c r="C4604">
        <v>15</v>
      </c>
      <c r="D4604">
        <v>24</v>
      </c>
      <c r="E4604">
        <f t="shared" si="71"/>
        <v>8.8896461853815613E-35</v>
      </c>
    </row>
    <row r="4605" spans="1:5" x14ac:dyDescent="0.25">
      <c r="A4605">
        <v>5</v>
      </c>
      <c r="B4605">
        <v>4</v>
      </c>
      <c r="C4605">
        <v>16</v>
      </c>
      <c r="D4605">
        <v>23</v>
      </c>
      <c r="E4605">
        <f t="shared" si="71"/>
        <v>3.3336173195180864E-33</v>
      </c>
    </row>
    <row r="4606" spans="1:5" x14ac:dyDescent="0.25">
      <c r="A4606">
        <v>5</v>
      </c>
      <c r="B4606">
        <v>4</v>
      </c>
      <c r="C4606">
        <v>17</v>
      </c>
      <c r="D4606">
        <v>22</v>
      </c>
      <c r="E4606">
        <f t="shared" si="71"/>
        <v>7.3666406256801665E-32</v>
      </c>
    </row>
    <row r="4607" spans="1:5" x14ac:dyDescent="0.25">
      <c r="A4607">
        <v>5</v>
      </c>
      <c r="B4607">
        <v>4</v>
      </c>
      <c r="C4607">
        <v>18</v>
      </c>
      <c r="D4607">
        <v>21</v>
      </c>
      <c r="E4607">
        <f t="shared" si="71"/>
        <v>1.0804406250997569E-30</v>
      </c>
    </row>
    <row r="4608" spans="1:5" x14ac:dyDescent="0.25">
      <c r="A4608">
        <v>5</v>
      </c>
      <c r="B4608">
        <v>4</v>
      </c>
      <c r="C4608">
        <v>19</v>
      </c>
      <c r="D4608">
        <v>20</v>
      </c>
      <c r="E4608">
        <f t="shared" si="71"/>
        <v>1.1225209441825896E-29</v>
      </c>
    </row>
    <row r="4609" spans="1:5" x14ac:dyDescent="0.25">
      <c r="A4609">
        <v>5</v>
      </c>
      <c r="B4609">
        <v>4</v>
      </c>
      <c r="C4609">
        <v>20</v>
      </c>
      <c r="D4609">
        <v>19</v>
      </c>
      <c r="E4609">
        <f t="shared" si="71"/>
        <v>8.6059939053998607E-29</v>
      </c>
    </row>
    <row r="4610" spans="1:5" x14ac:dyDescent="0.25">
      <c r="A4610">
        <v>5</v>
      </c>
      <c r="B4610">
        <v>4</v>
      </c>
      <c r="C4610">
        <v>21</v>
      </c>
      <c r="D4610">
        <v>18</v>
      </c>
      <c r="E4610">
        <f t="shared" si="71"/>
        <v>5.0055270674264457E-28</v>
      </c>
    </row>
    <row r="4611" spans="1:5" x14ac:dyDescent="0.25">
      <c r="A4611">
        <v>5</v>
      </c>
      <c r="B4611">
        <v>4</v>
      </c>
      <c r="C4611">
        <v>22</v>
      </c>
      <c r="D4611">
        <v>17</v>
      </c>
      <c r="E4611">
        <f t="shared" si="71"/>
        <v>2.2524871803419014E-27</v>
      </c>
    </row>
    <row r="4612" spans="1:5" x14ac:dyDescent="0.25">
      <c r="A4612">
        <v>5</v>
      </c>
      <c r="B4612">
        <v>4</v>
      </c>
      <c r="C4612">
        <v>23</v>
      </c>
      <c r="D4612">
        <v>16</v>
      </c>
      <c r="E4612">
        <f t="shared" si="71"/>
        <v>7.9544354049755044E-27</v>
      </c>
    </row>
    <row r="4613" spans="1:5" x14ac:dyDescent="0.25">
      <c r="A4613">
        <v>5</v>
      </c>
      <c r="B4613">
        <v>4</v>
      </c>
      <c r="C4613">
        <v>24</v>
      </c>
      <c r="D4613">
        <v>15</v>
      </c>
      <c r="E4613">
        <f t="shared" si="71"/>
        <v>2.2272419133931408E-26</v>
      </c>
    </row>
    <row r="4614" spans="1:5" x14ac:dyDescent="0.25">
      <c r="A4614">
        <v>5</v>
      </c>
      <c r="B4614">
        <v>4</v>
      </c>
      <c r="C4614">
        <v>25</v>
      </c>
      <c r="D4614">
        <v>14</v>
      </c>
      <c r="E4614">
        <f t="shared" si="71"/>
        <v>4.9809228244973912E-26</v>
      </c>
    </row>
    <row r="4615" spans="1:5" x14ac:dyDescent="0.25">
      <c r="A4615">
        <v>5</v>
      </c>
      <c r="B4615">
        <v>4</v>
      </c>
      <c r="C4615">
        <v>26</v>
      </c>
      <c r="D4615">
        <v>13</v>
      </c>
      <c r="E4615">
        <f t="shared" si="71"/>
        <v>8.9401178901235164E-26</v>
      </c>
    </row>
    <row r="4616" spans="1:5" x14ac:dyDescent="0.25">
      <c r="A4616">
        <v>5</v>
      </c>
      <c r="B4616">
        <v>4</v>
      </c>
      <c r="C4616">
        <v>27</v>
      </c>
      <c r="D4616">
        <v>12</v>
      </c>
      <c r="E4616">
        <f t="shared" si="71"/>
        <v>1.2913503619067302E-25</v>
      </c>
    </row>
    <row r="4617" spans="1:5" x14ac:dyDescent="0.25">
      <c r="A4617">
        <v>5</v>
      </c>
      <c r="B4617">
        <v>4</v>
      </c>
      <c r="C4617">
        <v>28</v>
      </c>
      <c r="D4617">
        <v>11</v>
      </c>
      <c r="E4617">
        <f t="shared" si="71"/>
        <v>1.5021830740547677E-25</v>
      </c>
    </row>
    <row r="4618" spans="1:5" x14ac:dyDescent="0.25">
      <c r="A4618">
        <v>5</v>
      </c>
      <c r="B4618">
        <v>4</v>
      </c>
      <c r="C4618">
        <v>29</v>
      </c>
      <c r="D4618">
        <v>10</v>
      </c>
      <c r="E4618">
        <f t="shared" si="71"/>
        <v>1.4054908302075644E-25</v>
      </c>
    </row>
    <row r="4619" spans="1:5" x14ac:dyDescent="0.25">
      <c r="A4619">
        <v>5</v>
      </c>
      <c r="B4619">
        <v>4</v>
      </c>
      <c r="C4619">
        <v>30</v>
      </c>
      <c r="D4619">
        <v>9</v>
      </c>
      <c r="E4619">
        <f t="shared" si="71"/>
        <v>1.0541181226556734E-25</v>
      </c>
    </row>
    <row r="4620" spans="1:5" x14ac:dyDescent="0.25">
      <c r="A4620">
        <v>5</v>
      </c>
      <c r="B4620">
        <v>4</v>
      </c>
      <c r="C4620">
        <v>31</v>
      </c>
      <c r="D4620">
        <v>8</v>
      </c>
      <c r="E4620">
        <f t="shared" si="71"/>
        <v>6.300706046234101E-26</v>
      </c>
    </row>
    <row r="4621" spans="1:5" x14ac:dyDescent="0.25">
      <c r="A4621">
        <v>5</v>
      </c>
      <c r="B4621">
        <v>4</v>
      </c>
      <c r="C4621">
        <v>32</v>
      </c>
      <c r="D4621">
        <v>7</v>
      </c>
      <c r="E4621">
        <f t="shared" si="71"/>
        <v>2.9753334107216589E-26</v>
      </c>
    </row>
    <row r="4622" spans="1:5" x14ac:dyDescent="0.25">
      <c r="A4622">
        <v>5</v>
      </c>
      <c r="B4622">
        <v>4</v>
      </c>
      <c r="C4622">
        <v>33</v>
      </c>
      <c r="D4622">
        <v>6</v>
      </c>
      <c r="E4622">
        <f t="shared" ref="E4622:E4685" si="72">COMBIN(A$4,A4622)*COMBIN(B$4,B4622)*COMBIN(C$4,C4622)*COMBIN(D$4,D4622)/COMBIN($G$4,$F$4)</f>
        <v>1.0961754671079792E-26</v>
      </c>
    </row>
    <row r="4623" spans="1:5" x14ac:dyDescent="0.25">
      <c r="A4623">
        <v>5</v>
      </c>
      <c r="B4623">
        <v>4</v>
      </c>
      <c r="C4623">
        <v>34</v>
      </c>
      <c r="D4623">
        <v>5</v>
      </c>
      <c r="E4623">
        <f t="shared" si="72"/>
        <v>3.095083671834295E-27</v>
      </c>
    </row>
    <row r="4624" spans="1:5" x14ac:dyDescent="0.25">
      <c r="A4624">
        <v>5</v>
      </c>
      <c r="B4624">
        <v>4</v>
      </c>
      <c r="C4624">
        <v>35</v>
      </c>
      <c r="D4624">
        <v>4</v>
      </c>
      <c r="E4624">
        <f t="shared" si="72"/>
        <v>6.527047199106338E-28</v>
      </c>
    </row>
    <row r="4625" spans="1:5" x14ac:dyDescent="0.25">
      <c r="A4625">
        <v>5</v>
      </c>
      <c r="B4625">
        <v>4</v>
      </c>
      <c r="C4625">
        <v>36</v>
      </c>
      <c r="D4625">
        <v>3</v>
      </c>
      <c r="E4625">
        <f t="shared" si="72"/>
        <v>9.8894654531914208E-29</v>
      </c>
    </row>
    <row r="4626" spans="1:5" x14ac:dyDescent="0.25">
      <c r="A4626">
        <v>5</v>
      </c>
      <c r="B4626">
        <v>4</v>
      </c>
      <c r="C4626">
        <v>37</v>
      </c>
      <c r="D4626">
        <v>2</v>
      </c>
      <c r="E4626">
        <f t="shared" si="72"/>
        <v>1.011026432934963E-29</v>
      </c>
    </row>
    <row r="4627" spans="1:5" x14ac:dyDescent="0.25">
      <c r="A4627">
        <v>5</v>
      </c>
      <c r="B4627">
        <v>4</v>
      </c>
      <c r="C4627">
        <v>38</v>
      </c>
      <c r="D4627">
        <v>1</v>
      </c>
      <c r="E4627">
        <f t="shared" si="72"/>
        <v>6.2080570443374902E-31</v>
      </c>
    </row>
    <row r="4628" spans="1:5" x14ac:dyDescent="0.25">
      <c r="A4628">
        <v>5</v>
      </c>
      <c r="B4628">
        <v>4</v>
      </c>
      <c r="C4628">
        <v>39</v>
      </c>
      <c r="D4628">
        <v>0</v>
      </c>
      <c r="E4628">
        <f t="shared" si="72"/>
        <v>1.7191542584319205E-32</v>
      </c>
    </row>
    <row r="4629" spans="1:5" x14ac:dyDescent="0.25">
      <c r="A4629">
        <v>5</v>
      </c>
      <c r="B4629">
        <v>5</v>
      </c>
      <c r="C4629">
        <v>13</v>
      </c>
      <c r="D4629">
        <v>25</v>
      </c>
      <c r="E4629">
        <f t="shared" si="72"/>
        <v>1.6049632705734134E-35</v>
      </c>
    </row>
    <row r="4630" spans="1:5" x14ac:dyDescent="0.25">
      <c r="A4630">
        <v>5</v>
      </c>
      <c r="B4630">
        <v>5</v>
      </c>
      <c r="C4630">
        <v>14</v>
      </c>
      <c r="D4630">
        <v>24</v>
      </c>
      <c r="E4630">
        <f t="shared" si="72"/>
        <v>1.4903230369610274E-33</v>
      </c>
    </row>
    <row r="4631" spans="1:5" x14ac:dyDescent="0.25">
      <c r="A4631">
        <v>5</v>
      </c>
      <c r="B4631">
        <v>5</v>
      </c>
      <c r="C4631">
        <v>15</v>
      </c>
      <c r="D4631">
        <v>23</v>
      </c>
      <c r="E4631">
        <f t="shared" si="72"/>
        <v>6.080517990800988E-32</v>
      </c>
    </row>
    <row r="4632" spans="1:5" x14ac:dyDescent="0.25">
      <c r="A4632">
        <v>5</v>
      </c>
      <c r="B4632">
        <v>5</v>
      </c>
      <c r="C4632">
        <v>16</v>
      </c>
      <c r="D4632">
        <v>22</v>
      </c>
      <c r="E4632">
        <f t="shared" si="72"/>
        <v>1.4567907686294035E-30</v>
      </c>
    </row>
    <row r="4633" spans="1:5" x14ac:dyDescent="0.25">
      <c r="A4633">
        <v>5</v>
      </c>
      <c r="B4633">
        <v>5</v>
      </c>
      <c r="C4633">
        <v>17</v>
      </c>
      <c r="D4633">
        <v>21</v>
      </c>
      <c r="E4633">
        <f t="shared" si="72"/>
        <v>2.3094418361507322E-29</v>
      </c>
    </row>
    <row r="4634" spans="1:5" x14ac:dyDescent="0.25">
      <c r="A4634">
        <v>5</v>
      </c>
      <c r="B4634">
        <v>5</v>
      </c>
      <c r="C4634">
        <v>18</v>
      </c>
      <c r="D4634">
        <v>20</v>
      </c>
      <c r="E4634">
        <f t="shared" si="72"/>
        <v>2.5865748564888169E-28</v>
      </c>
    </row>
    <row r="4635" spans="1:5" x14ac:dyDescent="0.25">
      <c r="A4635">
        <v>5</v>
      </c>
      <c r="B4635">
        <v>5</v>
      </c>
      <c r="C4635">
        <v>19</v>
      </c>
      <c r="D4635">
        <v>19</v>
      </c>
      <c r="E4635">
        <f t="shared" si="72"/>
        <v>2.1327897939469205E-27</v>
      </c>
    </row>
    <row r="4636" spans="1:5" x14ac:dyDescent="0.25">
      <c r="A4636">
        <v>5</v>
      </c>
      <c r="B4636">
        <v>5</v>
      </c>
      <c r="C4636">
        <v>20</v>
      </c>
      <c r="D4636">
        <v>18</v>
      </c>
      <c r="E4636">
        <f t="shared" si="72"/>
        <v>1.3314701999354362E-26</v>
      </c>
    </row>
    <row r="4637" spans="1:5" x14ac:dyDescent="0.25">
      <c r="A4637">
        <v>5</v>
      </c>
      <c r="B4637">
        <v>5</v>
      </c>
      <c r="C4637">
        <v>21</v>
      </c>
      <c r="D4637">
        <v>17</v>
      </c>
      <c r="E4637">
        <f t="shared" si="72"/>
        <v>6.4195884639744161E-26</v>
      </c>
    </row>
    <row r="4638" spans="1:5" x14ac:dyDescent="0.25">
      <c r="A4638">
        <v>5</v>
      </c>
      <c r="B4638">
        <v>5</v>
      </c>
      <c r="C4638">
        <v>22</v>
      </c>
      <c r="D4638">
        <v>16</v>
      </c>
      <c r="E4638">
        <f t="shared" si="72"/>
        <v>2.425177864168114E-25</v>
      </c>
    </row>
    <row r="4639" spans="1:5" x14ac:dyDescent="0.25">
      <c r="A4639">
        <v>5</v>
      </c>
      <c r="B4639">
        <v>5</v>
      </c>
      <c r="C4639">
        <v>23</v>
      </c>
      <c r="D4639">
        <v>15</v>
      </c>
      <c r="E4639">
        <f t="shared" si="72"/>
        <v>7.254445089337659E-25</v>
      </c>
    </row>
    <row r="4640" spans="1:5" x14ac:dyDescent="0.25">
      <c r="A4640">
        <v>5</v>
      </c>
      <c r="B4640">
        <v>5</v>
      </c>
      <c r="C4640">
        <v>24</v>
      </c>
      <c r="D4640">
        <v>14</v>
      </c>
      <c r="E4640">
        <f t="shared" si="72"/>
        <v>1.7311743963192142E-24</v>
      </c>
    </row>
    <row r="4641" spans="1:5" x14ac:dyDescent="0.25">
      <c r="A4641">
        <v>5</v>
      </c>
      <c r="B4641">
        <v>5</v>
      </c>
      <c r="C4641">
        <v>25</v>
      </c>
      <c r="D4641">
        <v>13</v>
      </c>
      <c r="E4641">
        <f t="shared" si="72"/>
        <v>3.312313678290766E-24</v>
      </c>
    </row>
    <row r="4642" spans="1:5" x14ac:dyDescent="0.25">
      <c r="A4642">
        <v>5</v>
      </c>
      <c r="B4642">
        <v>5</v>
      </c>
      <c r="C4642">
        <v>26</v>
      </c>
      <c r="D4642">
        <v>12</v>
      </c>
      <c r="E4642">
        <f t="shared" si="72"/>
        <v>5.0958671973704057E-24</v>
      </c>
    </row>
    <row r="4643" spans="1:5" x14ac:dyDescent="0.25">
      <c r="A4643">
        <v>5</v>
      </c>
      <c r="B4643">
        <v>5</v>
      </c>
      <c r="C4643">
        <v>27</v>
      </c>
      <c r="D4643">
        <v>11</v>
      </c>
      <c r="E4643">
        <f t="shared" si="72"/>
        <v>6.3091689110300243E-24</v>
      </c>
    </row>
    <row r="4644" spans="1:5" x14ac:dyDescent="0.25">
      <c r="A4644">
        <v>5</v>
      </c>
      <c r="B4644">
        <v>5</v>
      </c>
      <c r="C4644">
        <v>28</v>
      </c>
      <c r="D4644">
        <v>10</v>
      </c>
      <c r="E4644">
        <f t="shared" si="72"/>
        <v>6.2791252495489284E-24</v>
      </c>
    </row>
    <row r="4645" spans="1:5" x14ac:dyDescent="0.25">
      <c r="A4645">
        <v>5</v>
      </c>
      <c r="B4645">
        <v>5</v>
      </c>
      <c r="C4645">
        <v>29</v>
      </c>
      <c r="D4645">
        <v>9</v>
      </c>
      <c r="E4645">
        <f t="shared" si="72"/>
        <v>5.0070610826144488E-24</v>
      </c>
    </row>
    <row r="4646" spans="1:5" x14ac:dyDescent="0.25">
      <c r="A4646">
        <v>5</v>
      </c>
      <c r="B4646">
        <v>5</v>
      </c>
      <c r="C4646">
        <v>30</v>
      </c>
      <c r="D4646">
        <v>8</v>
      </c>
      <c r="E4646">
        <f t="shared" si="72"/>
        <v>3.1809564524844732E-24</v>
      </c>
    </row>
    <row r="4647" spans="1:5" x14ac:dyDescent="0.25">
      <c r="A4647">
        <v>5</v>
      </c>
      <c r="B4647">
        <v>5</v>
      </c>
      <c r="C4647">
        <v>31</v>
      </c>
      <c r="D4647">
        <v>7</v>
      </c>
      <c r="E4647">
        <f t="shared" si="72"/>
        <v>1.5961788650459727E-24</v>
      </c>
    </row>
    <row r="4648" spans="1:5" x14ac:dyDescent="0.25">
      <c r="A4648">
        <v>5</v>
      </c>
      <c r="B4648">
        <v>5</v>
      </c>
      <c r="C4648">
        <v>32</v>
      </c>
      <c r="D4648">
        <v>6</v>
      </c>
      <c r="E4648">
        <f t="shared" si="72"/>
        <v>6.2482001625154812E-25</v>
      </c>
    </row>
    <row r="4649" spans="1:5" x14ac:dyDescent="0.25">
      <c r="A4649">
        <v>5</v>
      </c>
      <c r="B4649">
        <v>5</v>
      </c>
      <c r="C4649">
        <v>33</v>
      </c>
      <c r="D4649">
        <v>5</v>
      </c>
      <c r="E4649">
        <f t="shared" si="72"/>
        <v>1.8744600487546445E-25</v>
      </c>
    </row>
    <row r="4650" spans="1:5" x14ac:dyDescent="0.25">
      <c r="A4650">
        <v>5</v>
      </c>
      <c r="B4650">
        <v>5</v>
      </c>
      <c r="C4650">
        <v>34</v>
      </c>
      <c r="D4650">
        <v>4</v>
      </c>
      <c r="E4650">
        <f t="shared" si="72"/>
        <v>4.200470697489401E-26</v>
      </c>
    </row>
    <row r="4651" spans="1:5" x14ac:dyDescent="0.25">
      <c r="A4651">
        <v>5</v>
      </c>
      <c r="B4651">
        <v>5</v>
      </c>
      <c r="C4651">
        <v>35</v>
      </c>
      <c r="D4651">
        <v>3</v>
      </c>
      <c r="E4651">
        <f t="shared" si="72"/>
        <v>6.7643943699829305E-27</v>
      </c>
    </row>
    <row r="4652" spans="1:5" x14ac:dyDescent="0.25">
      <c r="A4652">
        <v>5</v>
      </c>
      <c r="B4652">
        <v>5</v>
      </c>
      <c r="C4652">
        <v>36</v>
      </c>
      <c r="D4652">
        <v>2</v>
      </c>
      <c r="E4652">
        <f t="shared" si="72"/>
        <v>7.3526025760684035E-28</v>
      </c>
    </row>
    <row r="4653" spans="1:5" x14ac:dyDescent="0.25">
      <c r="A4653">
        <v>5</v>
      </c>
      <c r="B4653">
        <v>5</v>
      </c>
      <c r="C4653">
        <v>37</v>
      </c>
      <c r="D4653">
        <v>1</v>
      </c>
      <c r="E4653">
        <f t="shared" si="72"/>
        <v>4.8023755564410735E-29</v>
      </c>
    </row>
    <row r="4654" spans="1:5" x14ac:dyDescent="0.25">
      <c r="A4654">
        <v>5</v>
      </c>
      <c r="B4654">
        <v>5</v>
      </c>
      <c r="C4654">
        <v>38</v>
      </c>
      <c r="D4654">
        <v>0</v>
      </c>
      <c r="E4654">
        <f t="shared" si="72"/>
        <v>1.4154370061089479E-30</v>
      </c>
    </row>
    <row r="4655" spans="1:5" x14ac:dyDescent="0.25">
      <c r="A4655">
        <v>5</v>
      </c>
      <c r="B4655">
        <v>6</v>
      </c>
      <c r="C4655">
        <v>12</v>
      </c>
      <c r="D4655">
        <v>25</v>
      </c>
      <c r="E4655">
        <f t="shared" si="72"/>
        <v>1.8633724512443522E-34</v>
      </c>
    </row>
    <row r="4656" spans="1:5" x14ac:dyDescent="0.25">
      <c r="A4656">
        <v>5</v>
      </c>
      <c r="B4656">
        <v>6</v>
      </c>
      <c r="C4656">
        <v>13</v>
      </c>
      <c r="D4656">
        <v>24</v>
      </c>
      <c r="E4656">
        <f t="shared" si="72"/>
        <v>1.899206536845206E-32</v>
      </c>
    </row>
    <row r="4657" spans="1:5" x14ac:dyDescent="0.25">
      <c r="A4657">
        <v>5</v>
      </c>
      <c r="B4657">
        <v>6</v>
      </c>
      <c r="C4657">
        <v>14</v>
      </c>
      <c r="D4657">
        <v>23</v>
      </c>
      <c r="E4657">
        <f t="shared" si="72"/>
        <v>8.4650348499386328E-31</v>
      </c>
    </row>
    <row r="4658" spans="1:5" x14ac:dyDescent="0.25">
      <c r="A4658">
        <v>5</v>
      </c>
      <c r="B4658">
        <v>6</v>
      </c>
      <c r="C4658">
        <v>15</v>
      </c>
      <c r="D4658">
        <v>22</v>
      </c>
      <c r="E4658">
        <f t="shared" si="72"/>
        <v>2.2065524175506695E-29</v>
      </c>
    </row>
    <row r="4659" spans="1:5" x14ac:dyDescent="0.25">
      <c r="A4659">
        <v>5</v>
      </c>
      <c r="B4659">
        <v>6</v>
      </c>
      <c r="C4659">
        <v>16</v>
      </c>
      <c r="D4659">
        <v>21</v>
      </c>
      <c r="E4659">
        <f t="shared" si="72"/>
        <v>3.7925119676652146E-28</v>
      </c>
    </row>
    <row r="4660" spans="1:5" x14ac:dyDescent="0.25">
      <c r="A4660">
        <v>5</v>
      </c>
      <c r="B4660">
        <v>6</v>
      </c>
      <c r="C4660">
        <v>17</v>
      </c>
      <c r="D4660">
        <v>20</v>
      </c>
      <c r="E4660">
        <f t="shared" si="72"/>
        <v>4.5911703702676554E-27</v>
      </c>
    </row>
    <row r="4661" spans="1:5" x14ac:dyDescent="0.25">
      <c r="A4661">
        <v>5</v>
      </c>
      <c r="B4661">
        <v>6</v>
      </c>
      <c r="C4661">
        <v>18</v>
      </c>
      <c r="D4661">
        <v>19</v>
      </c>
      <c r="E4661">
        <f t="shared" si="72"/>
        <v>4.0810403291268E-26</v>
      </c>
    </row>
    <row r="4662" spans="1:5" x14ac:dyDescent="0.25">
      <c r="A4662">
        <v>5</v>
      </c>
      <c r="B4662">
        <v>6</v>
      </c>
      <c r="C4662">
        <v>19</v>
      </c>
      <c r="D4662">
        <v>18</v>
      </c>
      <c r="E4662">
        <f t="shared" si="72"/>
        <v>2.7401270781279972E-25</v>
      </c>
    </row>
    <row r="4663" spans="1:5" x14ac:dyDescent="0.25">
      <c r="A4663">
        <v>5</v>
      </c>
      <c r="B4663">
        <v>6</v>
      </c>
      <c r="C4663">
        <v>20</v>
      </c>
      <c r="D4663">
        <v>17</v>
      </c>
      <c r="E4663">
        <f t="shared" si="72"/>
        <v>1.4180157629312392E-24</v>
      </c>
    </row>
    <row r="4664" spans="1:5" x14ac:dyDescent="0.25">
      <c r="A4664">
        <v>5</v>
      </c>
      <c r="B4664">
        <v>6</v>
      </c>
      <c r="C4664">
        <v>21</v>
      </c>
      <c r="D4664">
        <v>16</v>
      </c>
      <c r="E4664">
        <f t="shared" si="72"/>
        <v>5.7395876118645324E-24</v>
      </c>
    </row>
    <row r="4665" spans="1:5" x14ac:dyDescent="0.25">
      <c r="A4665">
        <v>5</v>
      </c>
      <c r="B4665">
        <v>6</v>
      </c>
      <c r="C4665">
        <v>22</v>
      </c>
      <c r="D4665">
        <v>15</v>
      </c>
      <c r="E4665">
        <f t="shared" si="72"/>
        <v>1.8366680357966515E-23</v>
      </c>
    </row>
    <row r="4666" spans="1:5" x14ac:dyDescent="0.25">
      <c r="A4666">
        <v>5</v>
      </c>
      <c r="B4666">
        <v>6</v>
      </c>
      <c r="C4666">
        <v>23</v>
      </c>
      <c r="D4666">
        <v>14</v>
      </c>
      <c r="E4666">
        <f t="shared" si="72"/>
        <v>4.6824145576633998E-23</v>
      </c>
    </row>
    <row r="4667" spans="1:5" x14ac:dyDescent="0.25">
      <c r="A4667">
        <v>5</v>
      </c>
      <c r="B4667">
        <v>6</v>
      </c>
      <c r="C4667">
        <v>24</v>
      </c>
      <c r="D4667">
        <v>13</v>
      </c>
      <c r="E4667">
        <f t="shared" si="72"/>
        <v>9.5599297218961085E-23</v>
      </c>
    </row>
    <row r="4668" spans="1:5" x14ac:dyDescent="0.25">
      <c r="A4668">
        <v>5</v>
      </c>
      <c r="B4668">
        <v>6</v>
      </c>
      <c r="C4668">
        <v>25</v>
      </c>
      <c r="D4668">
        <v>12</v>
      </c>
      <c r="E4668">
        <f t="shared" si="72"/>
        <v>1.5678284743909624E-22</v>
      </c>
    </row>
    <row r="4669" spans="1:5" x14ac:dyDescent="0.25">
      <c r="A4669">
        <v>5</v>
      </c>
      <c r="B4669">
        <v>6</v>
      </c>
      <c r="C4669">
        <v>26</v>
      </c>
      <c r="D4669">
        <v>11</v>
      </c>
      <c r="E4669">
        <f t="shared" si="72"/>
        <v>2.0674661200759926E-22</v>
      </c>
    </row>
    <row r="4670" spans="1:5" x14ac:dyDescent="0.25">
      <c r="A4670">
        <v>5</v>
      </c>
      <c r="B4670">
        <v>6</v>
      </c>
      <c r="C4670">
        <v>27</v>
      </c>
      <c r="D4670">
        <v>10</v>
      </c>
      <c r="E4670">
        <f t="shared" si="72"/>
        <v>2.1899826308953104E-22</v>
      </c>
    </row>
    <row r="4671" spans="1:5" x14ac:dyDescent="0.25">
      <c r="A4671">
        <v>5</v>
      </c>
      <c r="B4671">
        <v>6</v>
      </c>
      <c r="C4671">
        <v>28</v>
      </c>
      <c r="D4671">
        <v>9</v>
      </c>
      <c r="E4671">
        <f t="shared" si="72"/>
        <v>1.8575745529915585E-22</v>
      </c>
    </row>
    <row r="4672" spans="1:5" x14ac:dyDescent="0.25">
      <c r="A4672">
        <v>5</v>
      </c>
      <c r="B4672">
        <v>6</v>
      </c>
      <c r="C4672">
        <v>29</v>
      </c>
      <c r="D4672">
        <v>8</v>
      </c>
      <c r="E4672">
        <f t="shared" si="72"/>
        <v>1.2547106007022089E-22</v>
      </c>
    </row>
    <row r="4673" spans="1:5" x14ac:dyDescent="0.25">
      <c r="A4673">
        <v>5</v>
      </c>
      <c r="B4673">
        <v>6</v>
      </c>
      <c r="C4673">
        <v>30</v>
      </c>
      <c r="D4673">
        <v>7</v>
      </c>
      <c r="E4673">
        <f t="shared" si="72"/>
        <v>6.6917898704117818E-23</v>
      </c>
    </row>
    <row r="4674" spans="1:5" x14ac:dyDescent="0.25">
      <c r="A4674">
        <v>5</v>
      </c>
      <c r="B4674">
        <v>6</v>
      </c>
      <c r="C4674">
        <v>31</v>
      </c>
      <c r="D4674">
        <v>6</v>
      </c>
      <c r="E4674">
        <f t="shared" si="72"/>
        <v>2.7835119155363091E-23</v>
      </c>
    </row>
    <row r="4675" spans="1:5" x14ac:dyDescent="0.25">
      <c r="A4675">
        <v>5</v>
      </c>
      <c r="B4675">
        <v>6</v>
      </c>
      <c r="C4675">
        <v>32</v>
      </c>
      <c r="D4675">
        <v>5</v>
      </c>
      <c r="E4675">
        <f t="shared" si="72"/>
        <v>8.8724442307719829E-24</v>
      </c>
    </row>
    <row r="4676" spans="1:5" x14ac:dyDescent="0.25">
      <c r="A4676">
        <v>5</v>
      </c>
      <c r="B4676">
        <v>6</v>
      </c>
      <c r="C4676">
        <v>33</v>
      </c>
      <c r="D4676">
        <v>4</v>
      </c>
      <c r="E4676">
        <f t="shared" si="72"/>
        <v>2.1124867216123777E-24</v>
      </c>
    </row>
    <row r="4677" spans="1:5" x14ac:dyDescent="0.25">
      <c r="A4677">
        <v>5</v>
      </c>
      <c r="B4677">
        <v>6</v>
      </c>
      <c r="C4677">
        <v>34</v>
      </c>
      <c r="D4677">
        <v>3</v>
      </c>
      <c r="E4677">
        <f t="shared" si="72"/>
        <v>3.6149505396575451E-25</v>
      </c>
    </row>
    <row r="4678" spans="1:5" x14ac:dyDescent="0.25">
      <c r="A4678">
        <v>5</v>
      </c>
      <c r="B4678">
        <v>6</v>
      </c>
      <c r="C4678">
        <v>35</v>
      </c>
      <c r="D4678">
        <v>2</v>
      </c>
      <c r="E4678">
        <f t="shared" si="72"/>
        <v>4.1762782632068529E-26</v>
      </c>
    </row>
    <row r="4679" spans="1:5" x14ac:dyDescent="0.25">
      <c r="A4679">
        <v>5</v>
      </c>
      <c r="B4679">
        <v>6</v>
      </c>
      <c r="C4679">
        <v>36</v>
      </c>
      <c r="D4679">
        <v>1</v>
      </c>
      <c r="E4679">
        <f t="shared" si="72"/>
        <v>2.9001932383380927E-27</v>
      </c>
    </row>
    <row r="4680" spans="1:5" x14ac:dyDescent="0.25">
      <c r="A4680">
        <v>5</v>
      </c>
      <c r="B4680">
        <v>6</v>
      </c>
      <c r="C4680">
        <v>37</v>
      </c>
      <c r="D4680">
        <v>0</v>
      </c>
      <c r="E4680">
        <f t="shared" si="72"/>
        <v>9.0924977201950994E-29</v>
      </c>
    </row>
    <row r="4681" spans="1:5" x14ac:dyDescent="0.25">
      <c r="A4681">
        <v>5</v>
      </c>
      <c r="B4681">
        <v>7</v>
      </c>
      <c r="C4681">
        <v>11</v>
      </c>
      <c r="D4681">
        <v>25</v>
      </c>
      <c r="E4681">
        <f t="shared" si="72"/>
        <v>1.6740774720703237E-33</v>
      </c>
    </row>
    <row r="4682" spans="1:5" x14ac:dyDescent="0.25">
      <c r="A4682">
        <v>5</v>
      </c>
      <c r="B4682">
        <v>7</v>
      </c>
      <c r="C4682">
        <v>12</v>
      </c>
      <c r="D4682">
        <v>24</v>
      </c>
      <c r="E4682">
        <f t="shared" si="72"/>
        <v>1.8833371560791131E-31</v>
      </c>
    </row>
    <row r="4683" spans="1:5" x14ac:dyDescent="0.25">
      <c r="A4683">
        <v>5</v>
      </c>
      <c r="B4683">
        <v>7</v>
      </c>
      <c r="C4683">
        <v>13</v>
      </c>
      <c r="D4683">
        <v>23</v>
      </c>
      <c r="E4683">
        <f t="shared" si="72"/>
        <v>9.2138648558947434E-30</v>
      </c>
    </row>
    <row r="4684" spans="1:5" x14ac:dyDescent="0.25">
      <c r="A4684">
        <v>5</v>
      </c>
      <c r="B4684">
        <v>7</v>
      </c>
      <c r="C4684">
        <v>14</v>
      </c>
      <c r="D4684">
        <v>22</v>
      </c>
      <c r="E4684">
        <f t="shared" si="72"/>
        <v>2.6237577065833607E-28</v>
      </c>
    </row>
    <row r="4685" spans="1:5" x14ac:dyDescent="0.25">
      <c r="A4685">
        <v>5</v>
      </c>
      <c r="B4685">
        <v>7</v>
      </c>
      <c r="C4685">
        <v>15</v>
      </c>
      <c r="D4685">
        <v>21</v>
      </c>
      <c r="E4685">
        <f t="shared" si="72"/>
        <v>4.9064269113108819E-27</v>
      </c>
    </row>
    <row r="4686" spans="1:5" x14ac:dyDescent="0.25">
      <c r="A4686">
        <v>5</v>
      </c>
      <c r="B4686">
        <v>7</v>
      </c>
      <c r="C4686">
        <v>16</v>
      </c>
      <c r="D4686">
        <v>20</v>
      </c>
      <c r="E4686">
        <f t="shared" ref="E4686:E4749" si="73">COMBIN(A$4,A4686)*COMBIN(B$4,B4686)*COMBIN(C$4,C4686)*COMBIN(D$4,D4686)/COMBIN($G$4,$F$4)</f>
        <v>6.4396853210955334E-26</v>
      </c>
    </row>
    <row r="4687" spans="1:5" x14ac:dyDescent="0.25">
      <c r="A4687">
        <v>5</v>
      </c>
      <c r="B4687">
        <v>7</v>
      </c>
      <c r="C4687">
        <v>17</v>
      </c>
      <c r="D4687">
        <v>19</v>
      </c>
      <c r="E4687">
        <f t="shared" si="73"/>
        <v>6.1871486418368878E-25</v>
      </c>
    </row>
    <row r="4688" spans="1:5" x14ac:dyDescent="0.25">
      <c r="A4688">
        <v>5</v>
      </c>
      <c r="B4688">
        <v>7</v>
      </c>
      <c r="C4688">
        <v>18</v>
      </c>
      <c r="D4688">
        <v>18</v>
      </c>
      <c r="E4688">
        <f t="shared" si="73"/>
        <v>4.4783171121866972E-24</v>
      </c>
    </row>
    <row r="4689" spans="1:5" x14ac:dyDescent="0.25">
      <c r="A4689">
        <v>5</v>
      </c>
      <c r="B4689">
        <v>7</v>
      </c>
      <c r="C4689">
        <v>19</v>
      </c>
      <c r="D4689">
        <v>17</v>
      </c>
      <c r="E4689">
        <f t="shared" si="73"/>
        <v>2.4925370242828592E-23</v>
      </c>
    </row>
    <row r="4690" spans="1:5" x14ac:dyDescent="0.25">
      <c r="A4690">
        <v>5</v>
      </c>
      <c r="B4690">
        <v>7</v>
      </c>
      <c r="C4690">
        <v>20</v>
      </c>
      <c r="D4690">
        <v>16</v>
      </c>
      <c r="E4690">
        <f t="shared" si="73"/>
        <v>1.0828688627717766E-22</v>
      </c>
    </row>
    <row r="4691" spans="1:5" x14ac:dyDescent="0.25">
      <c r="A4691">
        <v>5</v>
      </c>
      <c r="B4691">
        <v>7</v>
      </c>
      <c r="C4691">
        <v>21</v>
      </c>
      <c r="D4691">
        <v>15</v>
      </c>
      <c r="E4691">
        <f t="shared" si="73"/>
        <v>3.7126932437889427E-22</v>
      </c>
    </row>
    <row r="4692" spans="1:5" x14ac:dyDescent="0.25">
      <c r="A4692">
        <v>5</v>
      </c>
      <c r="B4692">
        <v>7</v>
      </c>
      <c r="C4692">
        <v>22</v>
      </c>
      <c r="D4692">
        <v>14</v>
      </c>
      <c r="E4692">
        <f t="shared" si="73"/>
        <v>1.0125527028515306E-21</v>
      </c>
    </row>
    <row r="4693" spans="1:5" x14ac:dyDescent="0.25">
      <c r="A4693">
        <v>5</v>
      </c>
      <c r="B4693">
        <v>7</v>
      </c>
      <c r="C4693">
        <v>23</v>
      </c>
      <c r="D4693">
        <v>13</v>
      </c>
      <c r="E4693">
        <f t="shared" si="73"/>
        <v>2.2085388663645707E-21</v>
      </c>
    </row>
    <row r="4694" spans="1:5" x14ac:dyDescent="0.25">
      <c r="A4694">
        <v>5</v>
      </c>
      <c r="B4694">
        <v>7</v>
      </c>
      <c r="C4694">
        <v>24</v>
      </c>
      <c r="D4694">
        <v>12</v>
      </c>
      <c r="E4694">
        <f t="shared" si="73"/>
        <v>3.8649430161379981E-21</v>
      </c>
    </row>
    <row r="4695" spans="1:5" x14ac:dyDescent="0.25">
      <c r="A4695">
        <v>5</v>
      </c>
      <c r="B4695">
        <v>7</v>
      </c>
      <c r="C4695">
        <v>25</v>
      </c>
      <c r="D4695">
        <v>11</v>
      </c>
      <c r="E4695">
        <f t="shared" si="73"/>
        <v>5.4330056112568444E-21</v>
      </c>
    </row>
    <row r="4696" spans="1:5" x14ac:dyDescent="0.25">
      <c r="A4696">
        <v>5</v>
      </c>
      <c r="B4696">
        <v>7</v>
      </c>
      <c r="C4696">
        <v>26</v>
      </c>
      <c r="D4696">
        <v>10</v>
      </c>
      <c r="E4696">
        <f t="shared" si="73"/>
        <v>6.1295447921872041E-21</v>
      </c>
    </row>
    <row r="4697" spans="1:5" x14ac:dyDescent="0.25">
      <c r="A4697">
        <v>5</v>
      </c>
      <c r="B4697">
        <v>7</v>
      </c>
      <c r="C4697">
        <v>27</v>
      </c>
      <c r="D4697">
        <v>9</v>
      </c>
      <c r="E4697">
        <f t="shared" si="73"/>
        <v>5.5336168262801148E-21</v>
      </c>
    </row>
    <row r="4698" spans="1:5" x14ac:dyDescent="0.25">
      <c r="A4698">
        <v>5</v>
      </c>
      <c r="B4698">
        <v>7</v>
      </c>
      <c r="C4698">
        <v>28</v>
      </c>
      <c r="D4698">
        <v>8</v>
      </c>
      <c r="E4698">
        <f t="shared" si="73"/>
        <v>3.9758339382096634E-21</v>
      </c>
    </row>
    <row r="4699" spans="1:5" x14ac:dyDescent="0.25">
      <c r="A4699">
        <v>5</v>
      </c>
      <c r="B4699">
        <v>7</v>
      </c>
      <c r="C4699">
        <v>29</v>
      </c>
      <c r="D4699">
        <v>7</v>
      </c>
      <c r="E4699">
        <f t="shared" si="73"/>
        <v>2.2544958730077792E-21</v>
      </c>
    </row>
    <row r="4700" spans="1:5" x14ac:dyDescent="0.25">
      <c r="A4700">
        <v>5</v>
      </c>
      <c r="B4700">
        <v>7</v>
      </c>
      <c r="C4700">
        <v>30</v>
      </c>
      <c r="D4700">
        <v>6</v>
      </c>
      <c r="E4700">
        <f t="shared" si="73"/>
        <v>9.9672449122449146E-22</v>
      </c>
    </row>
    <row r="4701" spans="1:5" x14ac:dyDescent="0.25">
      <c r="A4701">
        <v>5</v>
      </c>
      <c r="B4701">
        <v>7</v>
      </c>
      <c r="C4701">
        <v>31</v>
      </c>
      <c r="D4701">
        <v>5</v>
      </c>
      <c r="E4701">
        <f t="shared" si="73"/>
        <v>3.3760023089861813E-22</v>
      </c>
    </row>
    <row r="4702" spans="1:5" x14ac:dyDescent="0.25">
      <c r="A4702">
        <v>5</v>
      </c>
      <c r="B4702">
        <v>7</v>
      </c>
      <c r="C4702">
        <v>32</v>
      </c>
      <c r="D4702">
        <v>4</v>
      </c>
      <c r="E4702">
        <f t="shared" si="73"/>
        <v>8.5404820316614714E-23</v>
      </c>
    </row>
    <row r="4703" spans="1:5" x14ac:dyDescent="0.25">
      <c r="A4703">
        <v>5</v>
      </c>
      <c r="B4703">
        <v>7</v>
      </c>
      <c r="C4703">
        <v>33</v>
      </c>
      <c r="D4703">
        <v>3</v>
      </c>
      <c r="E4703">
        <f t="shared" si="73"/>
        <v>1.5528149148475399E-23</v>
      </c>
    </row>
    <row r="4704" spans="1:5" x14ac:dyDescent="0.25">
      <c r="A4704">
        <v>5</v>
      </c>
      <c r="B4704">
        <v>7</v>
      </c>
      <c r="C4704">
        <v>34</v>
      </c>
      <c r="D4704">
        <v>2</v>
      </c>
      <c r="E4704">
        <f t="shared" si="73"/>
        <v>1.9062689491734509E-24</v>
      </c>
    </row>
    <row r="4705" spans="1:5" x14ac:dyDescent="0.25">
      <c r="A4705">
        <v>5</v>
      </c>
      <c r="B4705">
        <v>7</v>
      </c>
      <c r="C4705">
        <v>35</v>
      </c>
      <c r="D4705">
        <v>1</v>
      </c>
      <c r="E4705">
        <f t="shared" si="73"/>
        <v>1.4070080339137373E-25</v>
      </c>
    </row>
    <row r="4706" spans="1:5" x14ac:dyDescent="0.25">
      <c r="A4706">
        <v>5</v>
      </c>
      <c r="B4706">
        <v>7</v>
      </c>
      <c r="C4706">
        <v>36</v>
      </c>
      <c r="D4706">
        <v>0</v>
      </c>
      <c r="E4706">
        <f t="shared" si="73"/>
        <v>4.6900267797124581E-27</v>
      </c>
    </row>
    <row r="4707" spans="1:5" x14ac:dyDescent="0.25">
      <c r="A4707">
        <v>5</v>
      </c>
      <c r="B4707">
        <v>8</v>
      </c>
      <c r="C4707">
        <v>10</v>
      </c>
      <c r="D4707">
        <v>25</v>
      </c>
      <c r="E4707">
        <f t="shared" si="73"/>
        <v>1.1802246178095782E-32</v>
      </c>
    </row>
    <row r="4708" spans="1:5" x14ac:dyDescent="0.25">
      <c r="A4708">
        <v>5</v>
      </c>
      <c r="B4708">
        <v>8</v>
      </c>
      <c r="C4708">
        <v>11</v>
      </c>
      <c r="D4708">
        <v>24</v>
      </c>
      <c r="E4708">
        <f t="shared" si="73"/>
        <v>1.4752807722619729E-30</v>
      </c>
    </row>
    <row r="4709" spans="1:5" x14ac:dyDescent="0.25">
      <c r="A4709">
        <v>5</v>
      </c>
      <c r="B4709">
        <v>8</v>
      </c>
      <c r="C4709">
        <v>12</v>
      </c>
      <c r="D4709">
        <v>23</v>
      </c>
      <c r="E4709">
        <f t="shared" si="73"/>
        <v>7.9665161702146467E-29</v>
      </c>
    </row>
    <row r="4710" spans="1:5" x14ac:dyDescent="0.25">
      <c r="A4710">
        <v>5</v>
      </c>
      <c r="B4710">
        <v>8</v>
      </c>
      <c r="C4710">
        <v>13</v>
      </c>
      <c r="D4710">
        <v>22</v>
      </c>
      <c r="E4710">
        <f t="shared" si="73"/>
        <v>2.4900469773055541E-27</v>
      </c>
    </row>
    <row r="4711" spans="1:5" x14ac:dyDescent="0.25">
      <c r="A4711">
        <v>5</v>
      </c>
      <c r="B4711">
        <v>8</v>
      </c>
      <c r="C4711">
        <v>14</v>
      </c>
      <c r="D4711">
        <v>21</v>
      </c>
      <c r="E4711">
        <f t="shared" si="73"/>
        <v>5.0868102536384905E-26</v>
      </c>
    </row>
    <row r="4712" spans="1:5" x14ac:dyDescent="0.25">
      <c r="A4712">
        <v>5</v>
      </c>
      <c r="B4712">
        <v>8</v>
      </c>
      <c r="C4712">
        <v>15</v>
      </c>
      <c r="D4712">
        <v>20</v>
      </c>
      <c r="E4712">
        <f t="shared" si="73"/>
        <v>7.2639650421957599E-25</v>
      </c>
    </row>
    <row r="4713" spans="1:5" x14ac:dyDescent="0.25">
      <c r="A4713">
        <v>5</v>
      </c>
      <c r="B4713">
        <v>8</v>
      </c>
      <c r="C4713">
        <v>16</v>
      </c>
      <c r="D4713">
        <v>19</v>
      </c>
      <c r="E4713">
        <f t="shared" si="73"/>
        <v>7.5666302522872495E-24</v>
      </c>
    </row>
    <row r="4714" spans="1:5" x14ac:dyDescent="0.25">
      <c r="A4714">
        <v>5</v>
      </c>
      <c r="B4714">
        <v>8</v>
      </c>
      <c r="C4714">
        <v>17</v>
      </c>
      <c r="D4714">
        <v>18</v>
      </c>
      <c r="E4714">
        <f t="shared" si="73"/>
        <v>5.9197754326717956E-23</v>
      </c>
    </row>
    <row r="4715" spans="1:5" x14ac:dyDescent="0.25">
      <c r="A4715">
        <v>5</v>
      </c>
      <c r="B4715">
        <v>8</v>
      </c>
      <c r="C4715">
        <v>18</v>
      </c>
      <c r="D4715">
        <v>17</v>
      </c>
      <c r="E4715">
        <f t="shared" si="73"/>
        <v>3.5518652596030729E-22</v>
      </c>
    </row>
    <row r="4716" spans="1:5" x14ac:dyDescent="0.25">
      <c r="A4716">
        <v>5</v>
      </c>
      <c r="B4716">
        <v>8</v>
      </c>
      <c r="C4716">
        <v>19</v>
      </c>
      <c r="D4716">
        <v>16</v>
      </c>
      <c r="E4716">
        <f t="shared" si="73"/>
        <v>1.6596142353350039E-21</v>
      </c>
    </row>
    <row r="4717" spans="1:5" x14ac:dyDescent="0.25">
      <c r="A4717">
        <v>5</v>
      </c>
      <c r="B4717">
        <v>8</v>
      </c>
      <c r="C4717">
        <v>20</v>
      </c>
      <c r="D4717">
        <v>15</v>
      </c>
      <c r="E4717">
        <f t="shared" si="73"/>
        <v>6.1073803860328184E-21</v>
      </c>
    </row>
    <row r="4718" spans="1:5" x14ac:dyDescent="0.25">
      <c r="A4718">
        <v>5</v>
      </c>
      <c r="B4718">
        <v>8</v>
      </c>
      <c r="C4718">
        <v>21</v>
      </c>
      <c r="D4718">
        <v>14</v>
      </c>
      <c r="E4718">
        <f t="shared" si="73"/>
        <v>1.7846241387758215E-20</v>
      </c>
    </row>
    <row r="4719" spans="1:5" x14ac:dyDescent="0.25">
      <c r="A4719">
        <v>5</v>
      </c>
      <c r="B4719">
        <v>8</v>
      </c>
      <c r="C4719">
        <v>22</v>
      </c>
      <c r="D4719">
        <v>13</v>
      </c>
      <c r="E4719">
        <f t="shared" si="73"/>
        <v>4.164122990476921E-20</v>
      </c>
    </row>
    <row r="4720" spans="1:5" x14ac:dyDescent="0.25">
      <c r="A4720">
        <v>5</v>
      </c>
      <c r="B4720">
        <v>8</v>
      </c>
      <c r="C4720">
        <v>23</v>
      </c>
      <c r="D4720">
        <v>12</v>
      </c>
      <c r="E4720">
        <f t="shared" si="73"/>
        <v>7.7850995039351104E-20</v>
      </c>
    </row>
    <row r="4721" spans="1:5" x14ac:dyDescent="0.25">
      <c r="A4721">
        <v>5</v>
      </c>
      <c r="B4721">
        <v>8</v>
      </c>
      <c r="C4721">
        <v>24</v>
      </c>
      <c r="D4721">
        <v>11</v>
      </c>
      <c r="E4721">
        <f t="shared" si="73"/>
        <v>1.1677649255902663E-19</v>
      </c>
    </row>
    <row r="4722" spans="1:5" x14ac:dyDescent="0.25">
      <c r="A4722">
        <v>5</v>
      </c>
      <c r="B4722">
        <v>8</v>
      </c>
      <c r="C4722">
        <v>25</v>
      </c>
      <c r="D4722">
        <v>10</v>
      </c>
      <c r="E4722">
        <f t="shared" si="73"/>
        <v>1.4044319505098939E-19</v>
      </c>
    </row>
    <row r="4723" spans="1:5" x14ac:dyDescent="0.25">
      <c r="A4723">
        <v>5</v>
      </c>
      <c r="B4723">
        <v>8</v>
      </c>
      <c r="C4723">
        <v>26</v>
      </c>
      <c r="D4723">
        <v>9</v>
      </c>
      <c r="E4723">
        <f t="shared" si="73"/>
        <v>1.3504153370287434E-19</v>
      </c>
    </row>
    <row r="4724" spans="1:5" x14ac:dyDescent="0.25">
      <c r="A4724">
        <v>5</v>
      </c>
      <c r="B4724">
        <v>8</v>
      </c>
      <c r="C4724">
        <v>27</v>
      </c>
      <c r="D4724">
        <v>8</v>
      </c>
      <c r="E4724">
        <f t="shared" si="73"/>
        <v>1.0326705518455097E-19</v>
      </c>
    </row>
    <row r="4725" spans="1:5" x14ac:dyDescent="0.25">
      <c r="A4725">
        <v>5</v>
      </c>
      <c r="B4725">
        <v>8</v>
      </c>
      <c r="C4725">
        <v>28</v>
      </c>
      <c r="D4725">
        <v>7</v>
      </c>
      <c r="E4725">
        <f t="shared" si="73"/>
        <v>6.2288065031951402E-20</v>
      </c>
    </row>
    <row r="4726" spans="1:5" x14ac:dyDescent="0.25">
      <c r="A4726">
        <v>5</v>
      </c>
      <c r="B4726">
        <v>8</v>
      </c>
      <c r="C4726">
        <v>29</v>
      </c>
      <c r="D4726">
        <v>6</v>
      </c>
      <c r="E4726">
        <f t="shared" si="73"/>
        <v>2.9278781929719441E-20</v>
      </c>
    </row>
    <row r="4727" spans="1:5" x14ac:dyDescent="0.25">
      <c r="A4727">
        <v>5</v>
      </c>
      <c r="B4727">
        <v>8</v>
      </c>
      <c r="C4727">
        <v>30</v>
      </c>
      <c r="D4727">
        <v>5</v>
      </c>
      <c r="E4727">
        <f t="shared" si="73"/>
        <v>1.0540361494698997E-20</v>
      </c>
    </row>
    <row r="4728" spans="1:5" x14ac:dyDescent="0.25">
      <c r="A4728">
        <v>5</v>
      </c>
      <c r="B4728">
        <v>8</v>
      </c>
      <c r="C4728">
        <v>31</v>
      </c>
      <c r="D4728">
        <v>4</v>
      </c>
      <c r="E4728">
        <f t="shared" si="73"/>
        <v>2.8334305093276883E-21</v>
      </c>
    </row>
    <row r="4729" spans="1:5" x14ac:dyDescent="0.25">
      <c r="A4729">
        <v>5</v>
      </c>
      <c r="B4729">
        <v>8</v>
      </c>
      <c r="C4729">
        <v>32</v>
      </c>
      <c r="D4729">
        <v>3</v>
      </c>
      <c r="E4729">
        <f t="shared" si="73"/>
        <v>5.4736725748375771E-22</v>
      </c>
    </row>
    <row r="4730" spans="1:5" x14ac:dyDescent="0.25">
      <c r="A4730">
        <v>5</v>
      </c>
      <c r="B4730">
        <v>8</v>
      </c>
      <c r="C4730">
        <v>33</v>
      </c>
      <c r="D4730">
        <v>2</v>
      </c>
      <c r="E4730">
        <f t="shared" si="73"/>
        <v>7.1395729237011873E-23</v>
      </c>
    </row>
    <row r="4731" spans="1:5" x14ac:dyDescent="0.25">
      <c r="A4731">
        <v>5</v>
      </c>
      <c r="B4731">
        <v>8</v>
      </c>
      <c r="C4731">
        <v>34</v>
      </c>
      <c r="D4731">
        <v>1</v>
      </c>
      <c r="E4731">
        <f t="shared" si="73"/>
        <v>5.5996650381970112E-24</v>
      </c>
    </row>
    <row r="4732" spans="1:5" x14ac:dyDescent="0.25">
      <c r="A4732">
        <v>5</v>
      </c>
      <c r="B4732">
        <v>8</v>
      </c>
      <c r="C4732">
        <v>35</v>
      </c>
      <c r="D4732">
        <v>0</v>
      </c>
      <c r="E4732">
        <f t="shared" si="73"/>
        <v>1.9838813278183694E-25</v>
      </c>
    </row>
    <row r="4733" spans="1:5" x14ac:dyDescent="0.25">
      <c r="A4733">
        <v>5</v>
      </c>
      <c r="B4733">
        <v>9</v>
      </c>
      <c r="C4733">
        <v>9</v>
      </c>
      <c r="D4733">
        <v>25</v>
      </c>
      <c r="E4733">
        <f t="shared" si="73"/>
        <v>6.5802205873907012E-32</v>
      </c>
    </row>
    <row r="4734" spans="1:5" x14ac:dyDescent="0.25">
      <c r="A4734">
        <v>5</v>
      </c>
      <c r="B4734">
        <v>9</v>
      </c>
      <c r="C4734">
        <v>10</v>
      </c>
      <c r="D4734">
        <v>24</v>
      </c>
      <c r="E4734">
        <f t="shared" si="73"/>
        <v>9.2123088223469844E-30</v>
      </c>
    </row>
    <row r="4735" spans="1:5" x14ac:dyDescent="0.25">
      <c r="A4735">
        <v>5</v>
      </c>
      <c r="B4735">
        <v>9</v>
      </c>
      <c r="C4735">
        <v>11</v>
      </c>
      <c r="D4735">
        <v>23</v>
      </c>
      <c r="E4735">
        <f t="shared" si="73"/>
        <v>5.5273852934081921E-28</v>
      </c>
    </row>
    <row r="4736" spans="1:5" x14ac:dyDescent="0.25">
      <c r="A4736">
        <v>5</v>
      </c>
      <c r="B4736">
        <v>9</v>
      </c>
      <c r="C4736">
        <v>12</v>
      </c>
      <c r="D4736">
        <v>22</v>
      </c>
      <c r="E4736">
        <f t="shared" si="73"/>
        <v>1.9069479262258249E-26</v>
      </c>
    </row>
    <row r="4737" spans="1:5" x14ac:dyDescent="0.25">
      <c r="A4737">
        <v>5</v>
      </c>
      <c r="B4737">
        <v>9</v>
      </c>
      <c r="C4737">
        <v>13</v>
      </c>
      <c r="D4737">
        <v>21</v>
      </c>
      <c r="E4737">
        <f t="shared" si="73"/>
        <v>4.275964003806372E-25</v>
      </c>
    </row>
    <row r="4738" spans="1:5" x14ac:dyDescent="0.25">
      <c r="A4738">
        <v>5</v>
      </c>
      <c r="B4738">
        <v>9</v>
      </c>
      <c r="C4738">
        <v>14</v>
      </c>
      <c r="D4738">
        <v>20</v>
      </c>
      <c r="E4738">
        <f t="shared" si="73"/>
        <v>6.6705038459379377E-24</v>
      </c>
    </row>
    <row r="4739" spans="1:5" x14ac:dyDescent="0.25">
      <c r="A4739">
        <v>5</v>
      </c>
      <c r="B4739">
        <v>9</v>
      </c>
      <c r="C4739">
        <v>15</v>
      </c>
      <c r="D4739">
        <v>19</v>
      </c>
      <c r="E4739">
        <f t="shared" si="73"/>
        <v>7.5599043587296595E-23</v>
      </c>
    </row>
    <row r="4740" spans="1:5" x14ac:dyDescent="0.25">
      <c r="A4740">
        <v>5</v>
      </c>
      <c r="B4740">
        <v>9</v>
      </c>
      <c r="C4740">
        <v>16</v>
      </c>
      <c r="D4740">
        <v>18</v>
      </c>
      <c r="E4740">
        <f t="shared" si="73"/>
        <v>6.4124188757081987E-22</v>
      </c>
    </row>
    <row r="4741" spans="1:5" x14ac:dyDescent="0.25">
      <c r="A4741">
        <v>5</v>
      </c>
      <c r="B4741">
        <v>9</v>
      </c>
      <c r="C4741">
        <v>17</v>
      </c>
      <c r="D4741">
        <v>17</v>
      </c>
      <c r="E4741">
        <f t="shared" si="73"/>
        <v>4.1586422414519352E-21</v>
      </c>
    </row>
    <row r="4742" spans="1:5" x14ac:dyDescent="0.25">
      <c r="A4742">
        <v>5</v>
      </c>
      <c r="B4742">
        <v>9</v>
      </c>
      <c r="C4742">
        <v>18</v>
      </c>
      <c r="D4742">
        <v>16</v>
      </c>
      <c r="E4742">
        <f t="shared" si="73"/>
        <v>2.0947234993980098E-20</v>
      </c>
    </row>
    <row r="4743" spans="1:5" x14ac:dyDescent="0.25">
      <c r="A4743">
        <v>5</v>
      </c>
      <c r="B4743">
        <v>9</v>
      </c>
      <c r="C4743">
        <v>19</v>
      </c>
      <c r="D4743">
        <v>15</v>
      </c>
      <c r="E4743">
        <f t="shared" si="73"/>
        <v>8.2906951134068628E-20</v>
      </c>
    </row>
    <row r="4744" spans="1:5" x14ac:dyDescent="0.25">
      <c r="A4744">
        <v>5</v>
      </c>
      <c r="B4744">
        <v>9</v>
      </c>
      <c r="C4744">
        <v>20</v>
      </c>
      <c r="D4744">
        <v>14</v>
      </c>
      <c r="E4744">
        <f t="shared" si="73"/>
        <v>2.6002634673867004E-19</v>
      </c>
    </row>
    <row r="4745" spans="1:5" x14ac:dyDescent="0.25">
      <c r="A4745">
        <v>5</v>
      </c>
      <c r="B4745">
        <v>9</v>
      </c>
      <c r="C4745">
        <v>21</v>
      </c>
      <c r="D4745">
        <v>13</v>
      </c>
      <c r="E4745">
        <f t="shared" si="73"/>
        <v>6.500658668466743E-19</v>
      </c>
    </row>
    <row r="4746" spans="1:5" x14ac:dyDescent="0.25">
      <c r="A4746">
        <v>5</v>
      </c>
      <c r="B4746">
        <v>9</v>
      </c>
      <c r="C4746">
        <v>22</v>
      </c>
      <c r="D4746">
        <v>12</v>
      </c>
      <c r="E4746">
        <f t="shared" si="73"/>
        <v>1.3001317336933496E-18</v>
      </c>
    </row>
    <row r="4747" spans="1:5" x14ac:dyDescent="0.25">
      <c r="A4747">
        <v>5</v>
      </c>
      <c r="B4747">
        <v>9</v>
      </c>
      <c r="C4747">
        <v>23</v>
      </c>
      <c r="D4747">
        <v>11</v>
      </c>
      <c r="E4747">
        <f t="shared" si="73"/>
        <v>2.0834409148626337E-18</v>
      </c>
    </row>
    <row r="4748" spans="1:5" x14ac:dyDescent="0.25">
      <c r="A4748">
        <v>5</v>
      </c>
      <c r="B4748">
        <v>9</v>
      </c>
      <c r="C4748">
        <v>24</v>
      </c>
      <c r="D4748">
        <v>10</v>
      </c>
      <c r="E4748">
        <f t="shared" si="73"/>
        <v>2.673749174073713E-18</v>
      </c>
    </row>
    <row r="4749" spans="1:5" x14ac:dyDescent="0.25">
      <c r="A4749">
        <v>5</v>
      </c>
      <c r="B4749">
        <v>9</v>
      </c>
      <c r="C4749">
        <v>25</v>
      </c>
      <c r="D4749">
        <v>9</v>
      </c>
      <c r="E4749">
        <f t="shared" si="73"/>
        <v>2.740592903425557E-18</v>
      </c>
    </row>
    <row r="4750" spans="1:5" x14ac:dyDescent="0.25">
      <c r="A4750">
        <v>5</v>
      </c>
      <c r="B4750">
        <v>9</v>
      </c>
      <c r="C4750">
        <v>26</v>
      </c>
      <c r="D4750">
        <v>8</v>
      </c>
      <c r="E4750">
        <f t="shared" ref="E4750:E4813" si="74">COMBIN(A$4,A4750)*COMBIN(B$4,B4750)*COMBIN(C$4,C4750)*COMBIN(D$4,D4750)/COMBIN($G$4,$F$4)</f>
        <v>2.2321571159122171E-18</v>
      </c>
    </row>
    <row r="4751" spans="1:5" x14ac:dyDescent="0.25">
      <c r="A4751">
        <v>5</v>
      </c>
      <c r="B4751">
        <v>9</v>
      </c>
      <c r="C4751">
        <v>27</v>
      </c>
      <c r="D4751">
        <v>7</v>
      </c>
      <c r="E4751">
        <f t="shared" si="74"/>
        <v>1.4329897534251274E-18</v>
      </c>
    </row>
    <row r="4752" spans="1:5" x14ac:dyDescent="0.25">
      <c r="A4752">
        <v>5</v>
      </c>
      <c r="B4752">
        <v>9</v>
      </c>
      <c r="C4752">
        <v>28</v>
      </c>
      <c r="D4752">
        <v>6</v>
      </c>
      <c r="E4752">
        <f t="shared" si="74"/>
        <v>7.1649487671256358E-19</v>
      </c>
    </row>
    <row r="4753" spans="1:5" x14ac:dyDescent="0.25">
      <c r="A4753">
        <v>5</v>
      </c>
      <c r="B4753">
        <v>9</v>
      </c>
      <c r="C4753">
        <v>29</v>
      </c>
      <c r="D4753">
        <v>5</v>
      </c>
      <c r="E4753">
        <f t="shared" si="74"/>
        <v>2.7424459074170542E-19</v>
      </c>
    </row>
    <row r="4754" spans="1:5" x14ac:dyDescent="0.25">
      <c r="A4754">
        <v>5</v>
      </c>
      <c r="B4754">
        <v>9</v>
      </c>
      <c r="C4754">
        <v>30</v>
      </c>
      <c r="D4754">
        <v>4</v>
      </c>
      <c r="E4754">
        <f t="shared" si="74"/>
        <v>7.8355597354772974E-20</v>
      </c>
    </row>
    <row r="4755" spans="1:5" x14ac:dyDescent="0.25">
      <c r="A4755">
        <v>5</v>
      </c>
      <c r="B4755">
        <v>9</v>
      </c>
      <c r="C4755">
        <v>31</v>
      </c>
      <c r="D4755">
        <v>3</v>
      </c>
      <c r="E4755">
        <f t="shared" si="74"/>
        <v>1.6084726729718793E-20</v>
      </c>
    </row>
    <row r="4756" spans="1:5" x14ac:dyDescent="0.25">
      <c r="A4756">
        <v>5</v>
      </c>
      <c r="B4756">
        <v>9</v>
      </c>
      <c r="C4756">
        <v>32</v>
      </c>
      <c r="D4756">
        <v>2</v>
      </c>
      <c r="E4756">
        <f t="shared" si="74"/>
        <v>2.229133323955593E-21</v>
      </c>
    </row>
    <row r="4757" spans="1:5" x14ac:dyDescent="0.25">
      <c r="A4757">
        <v>5</v>
      </c>
      <c r="B4757">
        <v>9</v>
      </c>
      <c r="C4757">
        <v>33</v>
      </c>
      <c r="D4757">
        <v>1</v>
      </c>
      <c r="E4757">
        <f t="shared" si="74"/>
        <v>1.8576111032963277E-22</v>
      </c>
    </row>
    <row r="4758" spans="1:5" x14ac:dyDescent="0.25">
      <c r="A4758">
        <v>5</v>
      </c>
      <c r="B4758">
        <v>9</v>
      </c>
      <c r="C4758">
        <v>34</v>
      </c>
      <c r="D4758">
        <v>0</v>
      </c>
      <c r="E4758">
        <f t="shared" si="74"/>
        <v>6.9933594477038219E-24</v>
      </c>
    </row>
    <row r="4759" spans="1:5" x14ac:dyDescent="0.25">
      <c r="A4759">
        <v>5</v>
      </c>
      <c r="B4759">
        <v>10</v>
      </c>
      <c r="C4759">
        <v>8</v>
      </c>
      <c r="D4759">
        <v>25</v>
      </c>
      <c r="E4759">
        <f t="shared" si="74"/>
        <v>2.9091501544253639E-31</v>
      </c>
    </row>
    <row r="4760" spans="1:5" x14ac:dyDescent="0.25">
      <c r="A4760">
        <v>5</v>
      </c>
      <c r="B4760">
        <v>10</v>
      </c>
      <c r="C4760">
        <v>9</v>
      </c>
      <c r="D4760">
        <v>24</v>
      </c>
      <c r="E4760">
        <f t="shared" si="74"/>
        <v>4.6061544111734919E-29</v>
      </c>
    </row>
    <row r="4761" spans="1:5" x14ac:dyDescent="0.25">
      <c r="A4761">
        <v>5</v>
      </c>
      <c r="B4761">
        <v>10</v>
      </c>
      <c r="C4761">
        <v>10</v>
      </c>
      <c r="D4761">
        <v>23</v>
      </c>
      <c r="E4761">
        <f t="shared" si="74"/>
        <v>3.0953357643085874E-27</v>
      </c>
    </row>
    <row r="4762" spans="1:5" x14ac:dyDescent="0.25">
      <c r="A4762">
        <v>5</v>
      </c>
      <c r="B4762">
        <v>10</v>
      </c>
      <c r="C4762">
        <v>11</v>
      </c>
      <c r="D4762">
        <v>22</v>
      </c>
      <c r="E4762">
        <f t="shared" si="74"/>
        <v>1.1865453763182918E-25</v>
      </c>
    </row>
    <row r="4763" spans="1:5" x14ac:dyDescent="0.25">
      <c r="A4763">
        <v>5</v>
      </c>
      <c r="B4763">
        <v>10</v>
      </c>
      <c r="C4763">
        <v>12</v>
      </c>
      <c r="D4763">
        <v>21</v>
      </c>
      <c r="E4763">
        <f t="shared" si="74"/>
        <v>2.9366998063877712E-24</v>
      </c>
    </row>
    <row r="4764" spans="1:5" x14ac:dyDescent="0.25">
      <c r="A4764">
        <v>5</v>
      </c>
      <c r="B4764">
        <v>10</v>
      </c>
      <c r="C4764">
        <v>13</v>
      </c>
      <c r="D4764">
        <v>20</v>
      </c>
      <c r="E4764">
        <f t="shared" si="74"/>
        <v>5.0285336684762922E-23</v>
      </c>
    </row>
    <row r="4765" spans="1:5" x14ac:dyDescent="0.25">
      <c r="A4765">
        <v>5</v>
      </c>
      <c r="B4765">
        <v>10</v>
      </c>
      <c r="C4765">
        <v>14</v>
      </c>
      <c r="D4765">
        <v>19</v>
      </c>
      <c r="E4765">
        <f t="shared" si="74"/>
        <v>6.225803589542077E-22</v>
      </c>
    </row>
    <row r="4766" spans="1:5" x14ac:dyDescent="0.25">
      <c r="A4766">
        <v>5</v>
      </c>
      <c r="B4766">
        <v>10</v>
      </c>
      <c r="C4766">
        <v>15</v>
      </c>
      <c r="D4766">
        <v>18</v>
      </c>
      <c r="E4766">
        <f t="shared" si="74"/>
        <v>5.745527312634545E-21</v>
      </c>
    </row>
    <row r="4767" spans="1:5" x14ac:dyDescent="0.25">
      <c r="A4767">
        <v>5</v>
      </c>
      <c r="B4767">
        <v>10</v>
      </c>
      <c r="C4767">
        <v>16</v>
      </c>
      <c r="D4767">
        <v>17</v>
      </c>
      <c r="E4767">
        <f t="shared" si="74"/>
        <v>4.0398238916961635E-20</v>
      </c>
    </row>
    <row r="4768" spans="1:5" x14ac:dyDescent="0.25">
      <c r="A4768">
        <v>5</v>
      </c>
      <c r="B4768">
        <v>10</v>
      </c>
      <c r="C4768">
        <v>17</v>
      </c>
      <c r="D4768">
        <v>16</v>
      </c>
      <c r="E4768">
        <f t="shared" si="74"/>
        <v>2.1994596743679126E-19</v>
      </c>
    </row>
    <row r="4769" spans="1:5" x14ac:dyDescent="0.25">
      <c r="A4769">
        <v>5</v>
      </c>
      <c r="B4769">
        <v>10</v>
      </c>
      <c r="C4769">
        <v>18</v>
      </c>
      <c r="D4769">
        <v>15</v>
      </c>
      <c r="E4769">
        <f t="shared" si="74"/>
        <v>9.3843612773030849E-19</v>
      </c>
    </row>
    <row r="4770" spans="1:5" x14ac:dyDescent="0.25">
      <c r="A4770">
        <v>5</v>
      </c>
      <c r="B4770">
        <v>10</v>
      </c>
      <c r="C4770">
        <v>19</v>
      </c>
      <c r="D4770">
        <v>14</v>
      </c>
      <c r="E4770">
        <f t="shared" si="74"/>
        <v>3.1655381342098936E-18</v>
      </c>
    </row>
    <row r="4771" spans="1:5" x14ac:dyDescent="0.25">
      <c r="A4771">
        <v>5</v>
      </c>
      <c r="B4771">
        <v>10</v>
      </c>
      <c r="C4771">
        <v>20</v>
      </c>
      <c r="D4771">
        <v>13</v>
      </c>
      <c r="E4771">
        <f t="shared" si="74"/>
        <v>8.4941939934632232E-18</v>
      </c>
    </row>
    <row r="4772" spans="1:5" x14ac:dyDescent="0.25">
      <c r="A4772">
        <v>5</v>
      </c>
      <c r="B4772">
        <v>10</v>
      </c>
      <c r="C4772">
        <v>21</v>
      </c>
      <c r="D4772">
        <v>12</v>
      </c>
      <c r="E4772">
        <f t="shared" si="74"/>
        <v>1.8201844271706885E-17</v>
      </c>
    </row>
    <row r="4773" spans="1:5" x14ac:dyDescent="0.25">
      <c r="A4773">
        <v>5</v>
      </c>
      <c r="B4773">
        <v>10</v>
      </c>
      <c r="C4773">
        <v>22</v>
      </c>
      <c r="D4773">
        <v>11</v>
      </c>
      <c r="E4773">
        <f t="shared" si="74"/>
        <v>3.1203161608640392E-17</v>
      </c>
    </row>
    <row r="4774" spans="1:5" x14ac:dyDescent="0.25">
      <c r="A4774">
        <v>5</v>
      </c>
      <c r="B4774">
        <v>10</v>
      </c>
      <c r="C4774">
        <v>23</v>
      </c>
      <c r="D4774">
        <v>10</v>
      </c>
      <c r="E4774">
        <f t="shared" si="74"/>
        <v>4.2779986785179414E-17</v>
      </c>
    </row>
    <row r="4775" spans="1:5" x14ac:dyDescent="0.25">
      <c r="A4775">
        <v>5</v>
      </c>
      <c r="B4775">
        <v>10</v>
      </c>
      <c r="C4775">
        <v>24</v>
      </c>
      <c r="D4775">
        <v>9</v>
      </c>
      <c r="E4775">
        <f t="shared" si="74"/>
        <v>4.6790610546289997E-17</v>
      </c>
    </row>
    <row r="4776" spans="1:5" x14ac:dyDescent="0.25">
      <c r="A4776">
        <v>5</v>
      </c>
      <c r="B4776">
        <v>10</v>
      </c>
      <c r="C4776">
        <v>25</v>
      </c>
      <c r="D4776">
        <v>8</v>
      </c>
      <c r="E4776">
        <f t="shared" si="74"/>
        <v>4.0625259509602378E-17</v>
      </c>
    </row>
    <row r="4777" spans="1:5" x14ac:dyDescent="0.25">
      <c r="A4777">
        <v>5</v>
      </c>
      <c r="B4777">
        <v>10</v>
      </c>
      <c r="C4777">
        <v>26</v>
      </c>
      <c r="D4777">
        <v>7</v>
      </c>
      <c r="E4777">
        <f t="shared" si="74"/>
        <v>2.7777955220240933E-17</v>
      </c>
    </row>
    <row r="4778" spans="1:5" x14ac:dyDescent="0.25">
      <c r="A4778">
        <v>5</v>
      </c>
      <c r="B4778">
        <v>10</v>
      </c>
      <c r="C4778">
        <v>27</v>
      </c>
      <c r="D4778">
        <v>6</v>
      </c>
      <c r="E4778">
        <f t="shared" si="74"/>
        <v>1.4782420614280257E-17</v>
      </c>
    </row>
    <row r="4779" spans="1:5" x14ac:dyDescent="0.25">
      <c r="A4779">
        <v>5</v>
      </c>
      <c r="B4779">
        <v>10</v>
      </c>
      <c r="C4779">
        <v>28</v>
      </c>
      <c r="D4779">
        <v>5</v>
      </c>
      <c r="E4779">
        <f t="shared" si="74"/>
        <v>6.0185569643855346E-18</v>
      </c>
    </row>
    <row r="4780" spans="1:5" x14ac:dyDescent="0.25">
      <c r="A4780">
        <v>5</v>
      </c>
      <c r="B4780">
        <v>10</v>
      </c>
      <c r="C4780">
        <v>29</v>
      </c>
      <c r="D4780">
        <v>4</v>
      </c>
      <c r="E4780">
        <f t="shared" si="74"/>
        <v>1.8282972716113702E-18</v>
      </c>
    </row>
    <row r="4781" spans="1:5" x14ac:dyDescent="0.25">
      <c r="A4781">
        <v>5</v>
      </c>
      <c r="B4781">
        <v>10</v>
      </c>
      <c r="C4781">
        <v>30</v>
      </c>
      <c r="D4781">
        <v>3</v>
      </c>
      <c r="E4781">
        <f t="shared" si="74"/>
        <v>3.9890122289702607E-19</v>
      </c>
    </row>
    <row r="4782" spans="1:5" x14ac:dyDescent="0.25">
      <c r="A4782">
        <v>5</v>
      </c>
      <c r="B4782">
        <v>10</v>
      </c>
      <c r="C4782">
        <v>31</v>
      </c>
      <c r="D4782">
        <v>2</v>
      </c>
      <c r="E4782">
        <f t="shared" si="74"/>
        <v>5.8744219360712115E-20</v>
      </c>
    </row>
    <row r="4783" spans="1:5" x14ac:dyDescent="0.25">
      <c r="A4783">
        <v>5</v>
      </c>
      <c r="B4783">
        <v>10</v>
      </c>
      <c r="C4783">
        <v>32</v>
      </c>
      <c r="D4783">
        <v>1</v>
      </c>
      <c r="E4783">
        <f t="shared" si="74"/>
        <v>5.2013110892297174E-21</v>
      </c>
    </row>
    <row r="4784" spans="1:5" x14ac:dyDescent="0.25">
      <c r="A4784">
        <v>5</v>
      </c>
      <c r="B4784">
        <v>10</v>
      </c>
      <c r="C4784">
        <v>33</v>
      </c>
      <c r="D4784">
        <v>0</v>
      </c>
      <c r="E4784">
        <f t="shared" si="74"/>
        <v>2.080524435691887E-22</v>
      </c>
    </row>
    <row r="4785" spans="1:5" x14ac:dyDescent="0.25">
      <c r="A4785">
        <v>5</v>
      </c>
      <c r="B4785">
        <v>11</v>
      </c>
      <c r="C4785">
        <v>7</v>
      </c>
      <c r="D4785">
        <v>25</v>
      </c>
      <c r="E4785">
        <f t="shared" si="74"/>
        <v>1.0177465744008481E-30</v>
      </c>
    </row>
    <row r="4786" spans="1:5" x14ac:dyDescent="0.25">
      <c r="A4786">
        <v>5</v>
      </c>
      <c r="B4786">
        <v>11</v>
      </c>
      <c r="C4786">
        <v>8</v>
      </c>
      <c r="D4786">
        <v>24</v>
      </c>
      <c r="E4786">
        <f t="shared" si="74"/>
        <v>1.8446656661015375E-28</v>
      </c>
    </row>
    <row r="4787" spans="1:5" x14ac:dyDescent="0.25">
      <c r="A4787">
        <v>5</v>
      </c>
      <c r="B4787">
        <v>11</v>
      </c>
      <c r="C4787">
        <v>9</v>
      </c>
      <c r="D4787">
        <v>23</v>
      </c>
      <c r="E4787">
        <f t="shared" si="74"/>
        <v>1.4019459062371681E-26</v>
      </c>
    </row>
    <row r="4788" spans="1:5" x14ac:dyDescent="0.25">
      <c r="A4788">
        <v>5</v>
      </c>
      <c r="B4788">
        <v>11</v>
      </c>
      <c r="C4788">
        <v>10</v>
      </c>
      <c r="D4788">
        <v>22</v>
      </c>
      <c r="E4788">
        <f t="shared" si="74"/>
        <v>6.019021090778244E-25</v>
      </c>
    </row>
    <row r="4789" spans="1:5" x14ac:dyDescent="0.25">
      <c r="A4789">
        <v>5</v>
      </c>
      <c r="B4789">
        <v>11</v>
      </c>
      <c r="C4789">
        <v>11</v>
      </c>
      <c r="D4789">
        <v>21</v>
      </c>
      <c r="E4789">
        <f t="shared" si="74"/>
        <v>1.6552307999640172E-23</v>
      </c>
    </row>
    <row r="4790" spans="1:5" x14ac:dyDescent="0.25">
      <c r="A4790">
        <v>5</v>
      </c>
      <c r="B4790">
        <v>11</v>
      </c>
      <c r="C4790">
        <v>12</v>
      </c>
      <c r="D4790">
        <v>20</v>
      </c>
      <c r="E4790">
        <f t="shared" si="74"/>
        <v>3.1283862119319897E-22</v>
      </c>
    </row>
    <row r="4791" spans="1:5" x14ac:dyDescent="0.25">
      <c r="A4791">
        <v>5</v>
      </c>
      <c r="B4791">
        <v>11</v>
      </c>
      <c r="C4791">
        <v>13</v>
      </c>
      <c r="D4791">
        <v>19</v>
      </c>
      <c r="E4791">
        <f t="shared" si="74"/>
        <v>4.2513966469845019E-21</v>
      </c>
    </row>
    <row r="4792" spans="1:5" x14ac:dyDescent="0.25">
      <c r="A4792">
        <v>5</v>
      </c>
      <c r="B4792">
        <v>11</v>
      </c>
      <c r="C4792">
        <v>14</v>
      </c>
      <c r="D4792">
        <v>18</v>
      </c>
      <c r="E4792">
        <f t="shared" si="74"/>
        <v>4.2861019257353972E-20</v>
      </c>
    </row>
    <row r="4793" spans="1:5" x14ac:dyDescent="0.25">
      <c r="A4793">
        <v>5</v>
      </c>
      <c r="B4793">
        <v>11</v>
      </c>
      <c r="C4793">
        <v>15</v>
      </c>
      <c r="D4793">
        <v>17</v>
      </c>
      <c r="E4793">
        <f t="shared" si="74"/>
        <v>3.2788679731875768E-19</v>
      </c>
    </row>
    <row r="4794" spans="1:5" x14ac:dyDescent="0.25">
      <c r="A4794">
        <v>5</v>
      </c>
      <c r="B4794">
        <v>11</v>
      </c>
      <c r="C4794">
        <v>16</v>
      </c>
      <c r="D4794">
        <v>16</v>
      </c>
      <c r="E4794">
        <f t="shared" si="74"/>
        <v>1.9354429008398895E-18</v>
      </c>
    </row>
    <row r="4795" spans="1:5" x14ac:dyDescent="0.25">
      <c r="A4795">
        <v>5</v>
      </c>
      <c r="B4795">
        <v>11</v>
      </c>
      <c r="C4795">
        <v>17</v>
      </c>
      <c r="D4795">
        <v>15</v>
      </c>
      <c r="E4795">
        <f t="shared" si="74"/>
        <v>8.9258072603439623E-18</v>
      </c>
    </row>
    <row r="4796" spans="1:5" x14ac:dyDescent="0.25">
      <c r="A4796">
        <v>5</v>
      </c>
      <c r="B4796">
        <v>11</v>
      </c>
      <c r="C4796">
        <v>18</v>
      </c>
      <c r="D4796">
        <v>14</v>
      </c>
      <c r="E4796">
        <f t="shared" si="74"/>
        <v>3.2457480946705297E-17</v>
      </c>
    </row>
    <row r="4797" spans="1:5" x14ac:dyDescent="0.25">
      <c r="A4797">
        <v>5</v>
      </c>
      <c r="B4797">
        <v>11</v>
      </c>
      <c r="C4797">
        <v>19</v>
      </c>
      <c r="D4797">
        <v>13</v>
      </c>
      <c r="E4797">
        <f t="shared" si="74"/>
        <v>9.3671151153210962E-17</v>
      </c>
    </row>
    <row r="4798" spans="1:5" x14ac:dyDescent="0.25">
      <c r="A4798">
        <v>5</v>
      </c>
      <c r="B4798">
        <v>11</v>
      </c>
      <c r="C4798">
        <v>20</v>
      </c>
      <c r="D4798">
        <v>12</v>
      </c>
      <c r="E4798">
        <f t="shared" si="74"/>
        <v>2.1544364765238536E-16</v>
      </c>
    </row>
    <row r="4799" spans="1:5" x14ac:dyDescent="0.25">
      <c r="A4799">
        <v>5</v>
      </c>
      <c r="B4799">
        <v>11</v>
      </c>
      <c r="C4799">
        <v>21</v>
      </c>
      <c r="D4799">
        <v>11</v>
      </c>
      <c r="E4799">
        <f t="shared" si="74"/>
        <v>3.9571282221866642E-16</v>
      </c>
    </row>
    <row r="4800" spans="1:5" x14ac:dyDescent="0.25">
      <c r="A4800">
        <v>5</v>
      </c>
      <c r="B4800">
        <v>11</v>
      </c>
      <c r="C4800">
        <v>22</v>
      </c>
      <c r="D4800">
        <v>10</v>
      </c>
      <c r="E4800">
        <f t="shared" si="74"/>
        <v>5.8037880592071101E-16</v>
      </c>
    </row>
    <row r="4801" spans="1:5" x14ac:dyDescent="0.25">
      <c r="A4801">
        <v>5</v>
      </c>
      <c r="B4801">
        <v>11</v>
      </c>
      <c r="C4801">
        <v>23</v>
      </c>
      <c r="D4801">
        <v>9</v>
      </c>
      <c r="E4801">
        <f t="shared" si="74"/>
        <v>6.7816001778778726E-16</v>
      </c>
    </row>
    <row r="4802" spans="1:5" x14ac:dyDescent="0.25">
      <c r="A4802">
        <v>5</v>
      </c>
      <c r="B4802">
        <v>11</v>
      </c>
      <c r="C4802">
        <v>24</v>
      </c>
      <c r="D4802">
        <v>8</v>
      </c>
      <c r="E4802">
        <f t="shared" si="74"/>
        <v>6.2829531059750882E-16</v>
      </c>
    </row>
    <row r="4803" spans="1:5" x14ac:dyDescent="0.25">
      <c r="A4803">
        <v>5</v>
      </c>
      <c r="B4803">
        <v>11</v>
      </c>
      <c r="C4803">
        <v>25</v>
      </c>
      <c r="D4803">
        <v>7</v>
      </c>
      <c r="E4803">
        <f t="shared" si="74"/>
        <v>4.579574708355178E-16</v>
      </c>
    </row>
    <row r="4804" spans="1:5" x14ac:dyDescent="0.25">
      <c r="A4804">
        <v>5</v>
      </c>
      <c r="B4804">
        <v>11</v>
      </c>
      <c r="C4804">
        <v>26</v>
      </c>
      <c r="D4804">
        <v>6</v>
      </c>
      <c r="E4804">
        <f t="shared" si="74"/>
        <v>2.59571036101103E-16</v>
      </c>
    </row>
    <row r="4805" spans="1:5" x14ac:dyDescent="0.25">
      <c r="A4805">
        <v>5</v>
      </c>
      <c r="B4805">
        <v>11</v>
      </c>
      <c r="C4805">
        <v>27</v>
      </c>
      <c r="D4805">
        <v>5</v>
      </c>
      <c r="E4805">
        <f t="shared" si="74"/>
        <v>1.1248078231047793E-16</v>
      </c>
    </row>
    <row r="4806" spans="1:5" x14ac:dyDescent="0.25">
      <c r="A4806">
        <v>5</v>
      </c>
      <c r="B4806">
        <v>11</v>
      </c>
      <c r="C4806">
        <v>28</v>
      </c>
      <c r="D4806">
        <v>4</v>
      </c>
      <c r="E4806">
        <f t="shared" si="74"/>
        <v>3.634583101869187E-17</v>
      </c>
    </row>
    <row r="4807" spans="1:5" x14ac:dyDescent="0.25">
      <c r="A4807">
        <v>5</v>
      </c>
      <c r="B4807">
        <v>11</v>
      </c>
      <c r="C4807">
        <v>29</v>
      </c>
      <c r="D4807">
        <v>3</v>
      </c>
      <c r="E4807">
        <f t="shared" si="74"/>
        <v>8.431321302141689E-18</v>
      </c>
    </row>
    <row r="4808" spans="1:5" x14ac:dyDescent="0.25">
      <c r="A4808">
        <v>5</v>
      </c>
      <c r="B4808">
        <v>11</v>
      </c>
      <c r="C4808">
        <v>30</v>
      </c>
      <c r="D4808">
        <v>2</v>
      </c>
      <c r="E4808">
        <f t="shared" si="74"/>
        <v>1.3196850733786987E-18</v>
      </c>
    </row>
    <row r="4809" spans="1:5" x14ac:dyDescent="0.25">
      <c r="A4809">
        <v>5</v>
      </c>
      <c r="B4809">
        <v>11</v>
      </c>
      <c r="C4809">
        <v>31</v>
      </c>
      <c r="D4809">
        <v>1</v>
      </c>
      <c r="E4809">
        <f t="shared" si="74"/>
        <v>1.2416391819423243E-19</v>
      </c>
    </row>
    <row r="4810" spans="1:5" x14ac:dyDescent="0.25">
      <c r="A4810">
        <v>5</v>
      </c>
      <c r="B4810">
        <v>11</v>
      </c>
      <c r="C4810">
        <v>32</v>
      </c>
      <c r="D4810">
        <v>0</v>
      </c>
      <c r="E4810">
        <f t="shared" si="74"/>
        <v>5.2769665232548771E-21</v>
      </c>
    </row>
    <row r="4811" spans="1:5" x14ac:dyDescent="0.25">
      <c r="A4811">
        <v>5</v>
      </c>
      <c r="B4811">
        <v>12</v>
      </c>
      <c r="C4811">
        <v>6</v>
      </c>
      <c r="D4811">
        <v>25</v>
      </c>
      <c r="E4811">
        <f t="shared" si="74"/>
        <v>2.7973655844407487E-30</v>
      </c>
    </row>
    <row r="4812" spans="1:5" x14ac:dyDescent="0.25">
      <c r="A4812">
        <v>5</v>
      </c>
      <c r="B4812">
        <v>12</v>
      </c>
      <c r="C4812">
        <v>7</v>
      </c>
      <c r="D4812">
        <v>24</v>
      </c>
      <c r="E4812">
        <f t="shared" si="74"/>
        <v>5.8944489100715776E-28</v>
      </c>
    </row>
    <row r="4813" spans="1:5" x14ac:dyDescent="0.25">
      <c r="A4813">
        <v>5</v>
      </c>
      <c r="B4813">
        <v>12</v>
      </c>
      <c r="C4813">
        <v>8</v>
      </c>
      <c r="D4813">
        <v>23</v>
      </c>
      <c r="E4813">
        <f t="shared" si="74"/>
        <v>5.1281705517622737E-26</v>
      </c>
    </row>
    <row r="4814" spans="1:5" x14ac:dyDescent="0.25">
      <c r="A4814">
        <v>5</v>
      </c>
      <c r="B4814">
        <v>12</v>
      </c>
      <c r="C4814">
        <v>9</v>
      </c>
      <c r="D4814">
        <v>22</v>
      </c>
      <c r="E4814">
        <f t="shared" ref="E4814:E4877" si="75">COMBIN(A$4,A4814)*COMBIN(B$4,B4814)*COMBIN(C$4,C4814)*COMBIN(D$4,D4814)/COMBIN($G$4,$F$4)</f>
        <v>2.4900117012445701E-24</v>
      </c>
    </row>
    <row r="4815" spans="1:5" x14ac:dyDescent="0.25">
      <c r="A4815">
        <v>5</v>
      </c>
      <c r="B4815">
        <v>12</v>
      </c>
      <c r="C4815">
        <v>10</v>
      </c>
      <c r="D4815">
        <v>21</v>
      </c>
      <c r="E4815">
        <f t="shared" si="75"/>
        <v>7.6692360398332788E-23</v>
      </c>
    </row>
    <row r="4816" spans="1:5" x14ac:dyDescent="0.25">
      <c r="A4816">
        <v>5</v>
      </c>
      <c r="B4816">
        <v>12</v>
      </c>
      <c r="C4816">
        <v>11</v>
      </c>
      <c r="D4816">
        <v>20</v>
      </c>
      <c r="E4816">
        <f t="shared" si="75"/>
        <v>1.6105395683649882E-21</v>
      </c>
    </row>
    <row r="4817" spans="1:5" x14ac:dyDescent="0.25">
      <c r="A4817">
        <v>5</v>
      </c>
      <c r="B4817">
        <v>12</v>
      </c>
      <c r="C4817">
        <v>12</v>
      </c>
      <c r="D4817">
        <v>19</v>
      </c>
      <c r="E4817">
        <f t="shared" si="75"/>
        <v>2.4158093525474805E-20</v>
      </c>
    </row>
    <row r="4818" spans="1:5" x14ac:dyDescent="0.25">
      <c r="A4818">
        <v>5</v>
      </c>
      <c r="B4818">
        <v>12</v>
      </c>
      <c r="C4818">
        <v>13</v>
      </c>
      <c r="D4818">
        <v>18</v>
      </c>
      <c r="E4818">
        <f t="shared" si="75"/>
        <v>2.6733187011157308E-19</v>
      </c>
    </row>
    <row r="4819" spans="1:5" x14ac:dyDescent="0.25">
      <c r="A4819">
        <v>5</v>
      </c>
      <c r="B4819">
        <v>12</v>
      </c>
      <c r="C4819">
        <v>14</v>
      </c>
      <c r="D4819">
        <v>17</v>
      </c>
      <c r="E4819">
        <f t="shared" si="75"/>
        <v>2.2341306287895747E-18</v>
      </c>
    </row>
    <row r="4820" spans="1:5" x14ac:dyDescent="0.25">
      <c r="A4820">
        <v>5</v>
      </c>
      <c r="B4820">
        <v>12</v>
      </c>
      <c r="C4820">
        <v>15</v>
      </c>
      <c r="D4820">
        <v>16</v>
      </c>
      <c r="E4820">
        <f t="shared" si="75"/>
        <v>1.434808337155971E-17</v>
      </c>
    </row>
    <row r="4821" spans="1:5" x14ac:dyDescent="0.25">
      <c r="A4821">
        <v>5</v>
      </c>
      <c r="B4821">
        <v>12</v>
      </c>
      <c r="C4821">
        <v>16</v>
      </c>
      <c r="D4821">
        <v>15</v>
      </c>
      <c r="E4821">
        <f t="shared" si="75"/>
        <v>7.174041685779855E-17</v>
      </c>
    </row>
    <row r="4822" spans="1:5" x14ac:dyDescent="0.25">
      <c r="A4822">
        <v>5</v>
      </c>
      <c r="B4822">
        <v>12</v>
      </c>
      <c r="C4822">
        <v>17</v>
      </c>
      <c r="D4822">
        <v>14</v>
      </c>
      <c r="E4822">
        <f t="shared" si="75"/>
        <v>2.8197436572450245E-16</v>
      </c>
    </row>
    <row r="4823" spans="1:5" x14ac:dyDescent="0.25">
      <c r="A4823">
        <v>5</v>
      </c>
      <c r="B4823">
        <v>12</v>
      </c>
      <c r="C4823">
        <v>18</v>
      </c>
      <c r="D4823">
        <v>13</v>
      </c>
      <c r="E4823">
        <f t="shared" si="75"/>
        <v>8.7725358225400699E-16</v>
      </c>
    </row>
    <row r="4824" spans="1:5" x14ac:dyDescent="0.25">
      <c r="A4824">
        <v>5</v>
      </c>
      <c r="B4824">
        <v>12</v>
      </c>
      <c r="C4824">
        <v>19</v>
      </c>
      <c r="D4824">
        <v>12</v>
      </c>
      <c r="E4824">
        <f t="shared" si="75"/>
        <v>2.1700483350493864E-15</v>
      </c>
    </row>
    <row r="4825" spans="1:5" x14ac:dyDescent="0.25">
      <c r="A4825">
        <v>5</v>
      </c>
      <c r="B4825">
        <v>12</v>
      </c>
      <c r="C4825">
        <v>20</v>
      </c>
      <c r="D4825">
        <v>11</v>
      </c>
      <c r="E4825">
        <f t="shared" si="75"/>
        <v>4.2780952890973647E-15</v>
      </c>
    </row>
    <row r="4826" spans="1:5" x14ac:dyDescent="0.25">
      <c r="A4826">
        <v>5</v>
      </c>
      <c r="B4826">
        <v>12</v>
      </c>
      <c r="C4826">
        <v>21</v>
      </c>
      <c r="D4826">
        <v>10</v>
      </c>
      <c r="E4826">
        <f t="shared" si="75"/>
        <v>6.7227211685815653E-15</v>
      </c>
    </row>
    <row r="4827" spans="1:5" x14ac:dyDescent="0.25">
      <c r="A4827">
        <v>5</v>
      </c>
      <c r="B4827">
        <v>12</v>
      </c>
      <c r="C4827">
        <v>22</v>
      </c>
      <c r="D4827">
        <v>9</v>
      </c>
      <c r="E4827">
        <f t="shared" si="75"/>
        <v>8.4034014607269627E-15</v>
      </c>
    </row>
    <row r="4828" spans="1:5" x14ac:dyDescent="0.25">
      <c r="A4828">
        <v>5</v>
      </c>
      <c r="B4828">
        <v>12</v>
      </c>
      <c r="C4828">
        <v>23</v>
      </c>
      <c r="D4828">
        <v>8</v>
      </c>
      <c r="E4828">
        <f t="shared" si="75"/>
        <v>8.3174331593384496E-15</v>
      </c>
    </row>
    <row r="4829" spans="1:5" x14ac:dyDescent="0.25">
      <c r="A4829">
        <v>5</v>
      </c>
      <c r="B4829">
        <v>12</v>
      </c>
      <c r="C4829">
        <v>24</v>
      </c>
      <c r="D4829">
        <v>7</v>
      </c>
      <c r="E4829">
        <f t="shared" si="75"/>
        <v>6.4691146794854614E-15</v>
      </c>
    </row>
    <row r="4830" spans="1:5" x14ac:dyDescent="0.25">
      <c r="A4830">
        <v>5</v>
      </c>
      <c r="B4830">
        <v>12</v>
      </c>
      <c r="C4830">
        <v>25</v>
      </c>
      <c r="D4830">
        <v>6</v>
      </c>
      <c r="E4830">
        <f t="shared" si="75"/>
        <v>3.9087071852891105E-15</v>
      </c>
    </row>
    <row r="4831" spans="1:5" x14ac:dyDescent="0.25">
      <c r="A4831">
        <v>5</v>
      </c>
      <c r="B4831">
        <v>12</v>
      </c>
      <c r="C4831">
        <v>26</v>
      </c>
      <c r="D4831">
        <v>5</v>
      </c>
      <c r="E4831">
        <f t="shared" si="75"/>
        <v>1.804018700902665E-15</v>
      </c>
    </row>
    <row r="4832" spans="1:5" x14ac:dyDescent="0.25">
      <c r="A4832">
        <v>5</v>
      </c>
      <c r="B4832">
        <v>12</v>
      </c>
      <c r="C4832">
        <v>27</v>
      </c>
      <c r="D4832">
        <v>4</v>
      </c>
      <c r="E4832">
        <f t="shared" si="75"/>
        <v>6.2042971195065231E-16</v>
      </c>
    </row>
    <row r="4833" spans="1:5" x14ac:dyDescent="0.25">
      <c r="A4833">
        <v>5</v>
      </c>
      <c r="B4833">
        <v>12</v>
      </c>
      <c r="C4833">
        <v>28</v>
      </c>
      <c r="D4833">
        <v>3</v>
      </c>
      <c r="E4833">
        <f t="shared" si="75"/>
        <v>1.530930458060051E-16</v>
      </c>
    </row>
    <row r="4834" spans="1:5" x14ac:dyDescent="0.25">
      <c r="A4834">
        <v>5</v>
      </c>
      <c r="B4834">
        <v>12</v>
      </c>
      <c r="C4834">
        <v>29</v>
      </c>
      <c r="D4834">
        <v>2</v>
      </c>
      <c r="E4834">
        <f t="shared" si="75"/>
        <v>2.5477253499949879E-17</v>
      </c>
    </row>
    <row r="4835" spans="1:5" x14ac:dyDescent="0.25">
      <c r="A4835">
        <v>5</v>
      </c>
      <c r="B4835">
        <v>12</v>
      </c>
      <c r="C4835">
        <v>30</v>
      </c>
      <c r="D4835">
        <v>1</v>
      </c>
      <c r="E4835">
        <f t="shared" si="75"/>
        <v>2.5477253499949875E-18</v>
      </c>
    </row>
    <row r="4836" spans="1:5" x14ac:dyDescent="0.25">
      <c r="A4836">
        <v>5</v>
      </c>
      <c r="B4836">
        <v>12</v>
      </c>
      <c r="C4836">
        <v>31</v>
      </c>
      <c r="D4836">
        <v>0</v>
      </c>
      <c r="E4836">
        <f t="shared" si="75"/>
        <v>1.1505856419332202E-19</v>
      </c>
    </row>
    <row r="4837" spans="1:5" x14ac:dyDescent="0.25">
      <c r="A4837">
        <v>5</v>
      </c>
      <c r="B4837">
        <v>13</v>
      </c>
      <c r="C4837">
        <v>5</v>
      </c>
      <c r="D4837">
        <v>25</v>
      </c>
      <c r="E4837">
        <f t="shared" si="75"/>
        <v>5.9605405145391355E-30</v>
      </c>
    </row>
    <row r="4838" spans="1:5" x14ac:dyDescent="0.25">
      <c r="A4838">
        <v>5</v>
      </c>
      <c r="B4838">
        <v>13</v>
      </c>
      <c r="C4838">
        <v>6</v>
      </c>
      <c r="D4838">
        <v>24</v>
      </c>
      <c r="E4838">
        <f t="shared" si="75"/>
        <v>1.4901351286347838E-27</v>
      </c>
    </row>
    <row r="4839" spans="1:5" x14ac:dyDescent="0.25">
      <c r="A4839">
        <v>5</v>
      </c>
      <c r="B4839">
        <v>13</v>
      </c>
      <c r="C4839">
        <v>7</v>
      </c>
      <c r="D4839">
        <v>23</v>
      </c>
      <c r="E4839">
        <f t="shared" si="75"/>
        <v>1.5071652443906099E-25</v>
      </c>
    </row>
    <row r="4840" spans="1:5" x14ac:dyDescent="0.25">
      <c r="A4840">
        <v>5</v>
      </c>
      <c r="B4840">
        <v>13</v>
      </c>
      <c r="C4840">
        <v>8</v>
      </c>
      <c r="D4840">
        <v>22</v>
      </c>
      <c r="E4840">
        <f t="shared" si="75"/>
        <v>8.3773268167378074E-24</v>
      </c>
    </row>
    <row r="4841" spans="1:5" x14ac:dyDescent="0.25">
      <c r="A4841">
        <v>5</v>
      </c>
      <c r="B4841">
        <v>13</v>
      </c>
      <c r="C4841">
        <v>9</v>
      </c>
      <c r="D4841">
        <v>21</v>
      </c>
      <c r="E4841">
        <f t="shared" si="75"/>
        <v>2.9181021744970026E-22</v>
      </c>
    </row>
    <row r="4842" spans="1:5" x14ac:dyDescent="0.25">
      <c r="A4842">
        <v>5</v>
      </c>
      <c r="B4842">
        <v>13</v>
      </c>
      <c r="C4842">
        <v>10</v>
      </c>
      <c r="D4842">
        <v>20</v>
      </c>
      <c r="E4842">
        <f t="shared" si="75"/>
        <v>6.8633763144169492E-21</v>
      </c>
    </row>
    <row r="4843" spans="1:5" x14ac:dyDescent="0.25">
      <c r="A4843">
        <v>5</v>
      </c>
      <c r="B4843">
        <v>13</v>
      </c>
      <c r="C4843">
        <v>11</v>
      </c>
      <c r="D4843">
        <v>19</v>
      </c>
      <c r="E4843">
        <f t="shared" si="75"/>
        <v>1.143896052402825E-19</v>
      </c>
    </row>
    <row r="4844" spans="1:5" x14ac:dyDescent="0.25">
      <c r="A4844">
        <v>5</v>
      </c>
      <c r="B4844">
        <v>13</v>
      </c>
      <c r="C4844">
        <v>12</v>
      </c>
      <c r="D4844">
        <v>18</v>
      </c>
      <c r="E4844">
        <f t="shared" si="75"/>
        <v>1.3971873211491645E-18</v>
      </c>
    </row>
    <row r="4845" spans="1:5" x14ac:dyDescent="0.25">
      <c r="A4845">
        <v>5</v>
      </c>
      <c r="B4845">
        <v>13</v>
      </c>
      <c r="C4845">
        <v>13</v>
      </c>
      <c r="D4845">
        <v>17</v>
      </c>
      <c r="E4845">
        <f t="shared" si="75"/>
        <v>1.281650677284907E-17</v>
      </c>
    </row>
    <row r="4846" spans="1:5" x14ac:dyDescent="0.25">
      <c r="A4846">
        <v>5</v>
      </c>
      <c r="B4846">
        <v>13</v>
      </c>
      <c r="C4846">
        <v>14</v>
      </c>
      <c r="D4846">
        <v>16</v>
      </c>
      <c r="E4846">
        <f t="shared" si="75"/>
        <v>8.9918984025385549E-17</v>
      </c>
    </row>
    <row r="4847" spans="1:5" x14ac:dyDescent="0.25">
      <c r="A4847">
        <v>5</v>
      </c>
      <c r="B4847">
        <v>13</v>
      </c>
      <c r="C4847">
        <v>15</v>
      </c>
      <c r="D4847">
        <v>15</v>
      </c>
      <c r="E4847">
        <f t="shared" si="75"/>
        <v>4.8915927309809716E-16</v>
      </c>
    </row>
    <row r="4848" spans="1:5" x14ac:dyDescent="0.25">
      <c r="A4848">
        <v>5</v>
      </c>
      <c r="B4848">
        <v>13</v>
      </c>
      <c r="C4848">
        <v>16</v>
      </c>
      <c r="D4848">
        <v>14</v>
      </c>
      <c r="E4848">
        <f t="shared" si="75"/>
        <v>2.0844855387703008E-15</v>
      </c>
    </row>
    <row r="4849" spans="1:5" x14ac:dyDescent="0.25">
      <c r="A4849">
        <v>5</v>
      </c>
      <c r="B4849">
        <v>13</v>
      </c>
      <c r="C4849">
        <v>17</v>
      </c>
      <c r="D4849">
        <v>13</v>
      </c>
      <c r="E4849">
        <f t="shared" si="75"/>
        <v>7.0095935274334684E-15</v>
      </c>
    </row>
    <row r="4850" spans="1:5" x14ac:dyDescent="0.25">
      <c r="A4850">
        <v>5</v>
      </c>
      <c r="B4850">
        <v>13</v>
      </c>
      <c r="C4850">
        <v>18</v>
      </c>
      <c r="D4850">
        <v>12</v>
      </c>
      <c r="E4850">
        <f t="shared" si="75"/>
        <v>1.8692249406489229E-14</v>
      </c>
    </row>
    <row r="4851" spans="1:5" x14ac:dyDescent="0.25">
      <c r="A4851">
        <v>5</v>
      </c>
      <c r="B4851">
        <v>13</v>
      </c>
      <c r="C4851">
        <v>19</v>
      </c>
      <c r="D4851">
        <v>11</v>
      </c>
      <c r="E4851">
        <f t="shared" si="75"/>
        <v>3.9633190470901983E-14</v>
      </c>
    </row>
    <row r="4852" spans="1:5" x14ac:dyDescent="0.25">
      <c r="A4852">
        <v>5</v>
      </c>
      <c r="B4852">
        <v>13</v>
      </c>
      <c r="C4852">
        <v>20</v>
      </c>
      <c r="D4852">
        <v>10</v>
      </c>
      <c r="E4852">
        <f t="shared" si="75"/>
        <v>6.6847981260921403E-14</v>
      </c>
    </row>
    <row r="4853" spans="1:5" x14ac:dyDescent="0.25">
      <c r="A4853">
        <v>5</v>
      </c>
      <c r="B4853">
        <v>13</v>
      </c>
      <c r="C4853">
        <v>21</v>
      </c>
      <c r="D4853">
        <v>9</v>
      </c>
      <c r="E4853">
        <f t="shared" si="75"/>
        <v>8.9528546331591063E-14</v>
      </c>
    </row>
    <row r="4854" spans="1:5" x14ac:dyDescent="0.25">
      <c r="A4854">
        <v>5</v>
      </c>
      <c r="B4854">
        <v>13</v>
      </c>
      <c r="C4854">
        <v>22</v>
      </c>
      <c r="D4854">
        <v>8</v>
      </c>
      <c r="E4854">
        <f t="shared" si="75"/>
        <v>9.4794931409920003E-14</v>
      </c>
    </row>
    <row r="4855" spans="1:5" x14ac:dyDescent="0.25">
      <c r="A4855">
        <v>5</v>
      </c>
      <c r="B4855">
        <v>13</v>
      </c>
      <c r="C4855">
        <v>23</v>
      </c>
      <c r="D4855">
        <v>7</v>
      </c>
      <c r="E4855">
        <f t="shared" si="75"/>
        <v>7.8766802910658161E-14</v>
      </c>
    </row>
    <row r="4856" spans="1:5" x14ac:dyDescent="0.25">
      <c r="A4856">
        <v>5</v>
      </c>
      <c r="B4856">
        <v>13</v>
      </c>
      <c r="C4856">
        <v>24</v>
      </c>
      <c r="D4856">
        <v>6</v>
      </c>
      <c r="E4856">
        <f t="shared" si="75"/>
        <v>5.0783859771345377E-14</v>
      </c>
    </row>
    <row r="4857" spans="1:5" x14ac:dyDescent="0.25">
      <c r="A4857">
        <v>5</v>
      </c>
      <c r="B4857">
        <v>13</v>
      </c>
      <c r="C4857">
        <v>25</v>
      </c>
      <c r="D4857">
        <v>5</v>
      </c>
      <c r="E4857">
        <f t="shared" si="75"/>
        <v>2.4985659007501936E-14</v>
      </c>
    </row>
    <row r="4858" spans="1:5" x14ac:dyDescent="0.25">
      <c r="A4858">
        <v>5</v>
      </c>
      <c r="B4858">
        <v>13</v>
      </c>
      <c r="C4858">
        <v>26</v>
      </c>
      <c r="D4858">
        <v>4</v>
      </c>
      <c r="E4858">
        <f t="shared" si="75"/>
        <v>9.1522560467040019E-15</v>
      </c>
    </row>
    <row r="4859" spans="1:5" x14ac:dyDescent="0.25">
      <c r="A4859">
        <v>5</v>
      </c>
      <c r="B4859">
        <v>13</v>
      </c>
      <c r="C4859">
        <v>27</v>
      </c>
      <c r="D4859">
        <v>3</v>
      </c>
      <c r="E4859">
        <f t="shared" si="75"/>
        <v>2.4036228001444851E-15</v>
      </c>
    </row>
    <row r="4860" spans="1:5" x14ac:dyDescent="0.25">
      <c r="A4860">
        <v>5</v>
      </c>
      <c r="B4860">
        <v>13</v>
      </c>
      <c r="C4860">
        <v>28</v>
      </c>
      <c r="D4860">
        <v>2</v>
      </c>
      <c r="E4860">
        <f t="shared" si="75"/>
        <v>4.25486023628061E-16</v>
      </c>
    </row>
    <row r="4861" spans="1:5" x14ac:dyDescent="0.25">
      <c r="A4861">
        <v>5</v>
      </c>
      <c r="B4861">
        <v>13</v>
      </c>
      <c r="C4861">
        <v>29</v>
      </c>
      <c r="D4861">
        <v>1</v>
      </c>
      <c r="E4861">
        <f t="shared" si="75"/>
        <v>4.5238456535167421E-17</v>
      </c>
    </row>
    <row r="4862" spans="1:5" x14ac:dyDescent="0.25">
      <c r="A4862">
        <v>5</v>
      </c>
      <c r="B4862">
        <v>13</v>
      </c>
      <c r="C4862">
        <v>30</v>
      </c>
      <c r="D4862">
        <v>0</v>
      </c>
      <c r="E4862">
        <f t="shared" si="75"/>
        <v>2.1714459136880357E-18</v>
      </c>
    </row>
    <row r="4863" spans="1:5" x14ac:dyDescent="0.25">
      <c r="A4863">
        <v>5</v>
      </c>
      <c r="B4863">
        <v>14</v>
      </c>
      <c r="C4863">
        <v>4</v>
      </c>
      <c r="D4863">
        <v>25</v>
      </c>
      <c r="E4863">
        <f t="shared" si="75"/>
        <v>9.6317867799344327E-30</v>
      </c>
    </row>
    <row r="4864" spans="1:5" x14ac:dyDescent="0.25">
      <c r="A4864">
        <v>5</v>
      </c>
      <c r="B4864">
        <v>14</v>
      </c>
      <c r="C4864">
        <v>5</v>
      </c>
      <c r="D4864">
        <v>24</v>
      </c>
      <c r="E4864">
        <f t="shared" si="75"/>
        <v>2.9376949678800024E-27</v>
      </c>
    </row>
    <row r="4865" spans="1:5" x14ac:dyDescent="0.25">
      <c r="A4865">
        <v>5</v>
      </c>
      <c r="B4865">
        <v>14</v>
      </c>
      <c r="C4865">
        <v>6</v>
      </c>
      <c r="D4865">
        <v>23</v>
      </c>
      <c r="E4865">
        <f t="shared" si="75"/>
        <v>3.5252339614560028E-25</v>
      </c>
    </row>
    <row r="4866" spans="1:5" x14ac:dyDescent="0.25">
      <c r="A4866">
        <v>5</v>
      </c>
      <c r="B4866">
        <v>14</v>
      </c>
      <c r="C4866">
        <v>7</v>
      </c>
      <c r="D4866">
        <v>22</v>
      </c>
      <c r="E4866">
        <f t="shared" si="75"/>
        <v>2.2779726122360931E-23</v>
      </c>
    </row>
    <row r="4867" spans="1:5" x14ac:dyDescent="0.25">
      <c r="A4867">
        <v>5</v>
      </c>
      <c r="B4867">
        <v>14</v>
      </c>
      <c r="C4867">
        <v>8</v>
      </c>
      <c r="D4867">
        <v>21</v>
      </c>
      <c r="E4867">
        <f t="shared" si="75"/>
        <v>9.0834157912914238E-22</v>
      </c>
    </row>
    <row r="4868" spans="1:5" x14ac:dyDescent="0.25">
      <c r="A4868">
        <v>5</v>
      </c>
      <c r="B4868">
        <v>14</v>
      </c>
      <c r="C4868">
        <v>9</v>
      </c>
      <c r="D4868">
        <v>20</v>
      </c>
      <c r="E4868">
        <f t="shared" si="75"/>
        <v>2.4161886004835175E-20</v>
      </c>
    </row>
    <row r="4869" spans="1:5" x14ac:dyDescent="0.25">
      <c r="A4869">
        <v>5</v>
      </c>
      <c r="B4869">
        <v>14</v>
      </c>
      <c r="C4869">
        <v>10</v>
      </c>
      <c r="D4869">
        <v>19</v>
      </c>
      <c r="E4869">
        <f t="shared" si="75"/>
        <v>4.5102187209025666E-19</v>
      </c>
    </row>
    <row r="4870" spans="1:5" x14ac:dyDescent="0.25">
      <c r="A4870">
        <v>5</v>
      </c>
      <c r="B4870">
        <v>14</v>
      </c>
      <c r="C4870">
        <v>11</v>
      </c>
      <c r="D4870">
        <v>18</v>
      </c>
      <c r="E4870">
        <f t="shared" si="75"/>
        <v>6.1210111212249148E-18</v>
      </c>
    </row>
    <row r="4871" spans="1:5" x14ac:dyDescent="0.25">
      <c r="A4871">
        <v>5</v>
      </c>
      <c r="B4871">
        <v>14</v>
      </c>
      <c r="C4871">
        <v>12</v>
      </c>
      <c r="D4871">
        <v>17</v>
      </c>
      <c r="E4871">
        <f t="shared" si="75"/>
        <v>6.1975237602402212E-17</v>
      </c>
    </row>
    <row r="4872" spans="1:5" x14ac:dyDescent="0.25">
      <c r="A4872">
        <v>5</v>
      </c>
      <c r="B4872">
        <v>14</v>
      </c>
      <c r="C4872">
        <v>13</v>
      </c>
      <c r="D4872">
        <v>16</v>
      </c>
      <c r="E4872">
        <f t="shared" si="75"/>
        <v>4.7726229982704636E-16</v>
      </c>
    </row>
    <row r="4873" spans="1:5" x14ac:dyDescent="0.25">
      <c r="A4873">
        <v>5</v>
      </c>
      <c r="B4873">
        <v>14</v>
      </c>
      <c r="C4873">
        <v>14</v>
      </c>
      <c r="D4873">
        <v>15</v>
      </c>
      <c r="E4873">
        <f t="shared" si="75"/>
        <v>2.8363016675435894E-15</v>
      </c>
    </row>
    <row r="4874" spans="1:5" x14ac:dyDescent="0.25">
      <c r="A4874">
        <v>5</v>
      </c>
      <c r="B4874">
        <v>14</v>
      </c>
      <c r="C4874">
        <v>15</v>
      </c>
      <c r="D4874">
        <v>14</v>
      </c>
      <c r="E4874">
        <f t="shared" si="75"/>
        <v>1.3150125913156637E-14</v>
      </c>
    </row>
    <row r="4875" spans="1:5" x14ac:dyDescent="0.25">
      <c r="A4875">
        <v>5</v>
      </c>
      <c r="B4875">
        <v>14</v>
      </c>
      <c r="C4875">
        <v>16</v>
      </c>
      <c r="D4875">
        <v>13</v>
      </c>
      <c r="E4875">
        <f t="shared" si="75"/>
        <v>4.7943167391716935E-14</v>
      </c>
    </row>
    <row r="4876" spans="1:5" x14ac:dyDescent="0.25">
      <c r="A4876">
        <v>5</v>
      </c>
      <c r="B4876">
        <v>14</v>
      </c>
      <c r="C4876">
        <v>17</v>
      </c>
      <c r="D4876">
        <v>12</v>
      </c>
      <c r="E4876">
        <f t="shared" si="75"/>
        <v>1.3818912954083124E-13</v>
      </c>
    </row>
    <row r="4877" spans="1:5" x14ac:dyDescent="0.25">
      <c r="A4877">
        <v>5</v>
      </c>
      <c r="B4877">
        <v>14</v>
      </c>
      <c r="C4877">
        <v>18</v>
      </c>
      <c r="D4877">
        <v>11</v>
      </c>
      <c r="E4877">
        <f t="shared" si="75"/>
        <v>3.1586086752189955E-13</v>
      </c>
    </row>
    <row r="4878" spans="1:5" x14ac:dyDescent="0.25">
      <c r="A4878">
        <v>5</v>
      </c>
      <c r="B4878">
        <v>14</v>
      </c>
      <c r="C4878">
        <v>19</v>
      </c>
      <c r="D4878">
        <v>10</v>
      </c>
      <c r="E4878">
        <f t="shared" ref="E4878:E4941" si="76">COMBIN(A$4,A4878)*COMBIN(B$4,B4878)*COMBIN(C$4,C4878)*COMBIN(D$4,D4878)/COMBIN($G$4,$F$4)</f>
        <v>5.7298269652218292E-13</v>
      </c>
    </row>
    <row r="4879" spans="1:5" x14ac:dyDescent="0.25">
      <c r="A4879">
        <v>5</v>
      </c>
      <c r="B4879">
        <v>14</v>
      </c>
      <c r="C4879">
        <v>20</v>
      </c>
      <c r="D4879">
        <v>9</v>
      </c>
      <c r="E4879">
        <f t="shared" si="76"/>
        <v>8.2366262625063877E-13</v>
      </c>
    </row>
    <row r="4880" spans="1:5" x14ac:dyDescent="0.25">
      <c r="A4880">
        <v>5</v>
      </c>
      <c r="B4880">
        <v>14</v>
      </c>
      <c r="C4880">
        <v>21</v>
      </c>
      <c r="D4880">
        <v>8</v>
      </c>
      <c r="E4880">
        <f t="shared" si="76"/>
        <v>9.3440718104063954E-13</v>
      </c>
    </row>
    <row r="4881" spans="1:5" x14ac:dyDescent="0.25">
      <c r="A4881">
        <v>5</v>
      </c>
      <c r="B4881">
        <v>14</v>
      </c>
      <c r="C4881">
        <v>22</v>
      </c>
      <c r="D4881">
        <v>7</v>
      </c>
      <c r="E4881">
        <f t="shared" si="76"/>
        <v>8.3058416092501354E-13</v>
      </c>
    </row>
    <row r="4882" spans="1:5" x14ac:dyDescent="0.25">
      <c r="A4882">
        <v>5</v>
      </c>
      <c r="B4882">
        <v>14</v>
      </c>
      <c r="C4882">
        <v>23</v>
      </c>
      <c r="D4882">
        <v>6</v>
      </c>
      <c r="E4882">
        <f t="shared" si="76"/>
        <v>5.7209572640372743E-13</v>
      </c>
    </row>
    <row r="4883" spans="1:5" x14ac:dyDescent="0.25">
      <c r="A4883">
        <v>5</v>
      </c>
      <c r="B4883">
        <v>14</v>
      </c>
      <c r="C4883">
        <v>24</v>
      </c>
      <c r="D4883">
        <v>5</v>
      </c>
      <c r="E4883">
        <f t="shared" si="76"/>
        <v>3.0035025636195698E-13</v>
      </c>
    </row>
    <row r="4884" spans="1:5" x14ac:dyDescent="0.25">
      <c r="A4884">
        <v>5</v>
      </c>
      <c r="B4884">
        <v>14</v>
      </c>
      <c r="C4884">
        <v>25</v>
      </c>
      <c r="D4884">
        <v>4</v>
      </c>
      <c r="E4884">
        <f t="shared" si="76"/>
        <v>1.1727962391276423E-13</v>
      </c>
    </row>
    <row r="4885" spans="1:5" x14ac:dyDescent="0.25">
      <c r="A4885">
        <v>5</v>
      </c>
      <c r="B4885">
        <v>14</v>
      </c>
      <c r="C4885">
        <v>26</v>
      </c>
      <c r="D4885">
        <v>3</v>
      </c>
      <c r="E4885">
        <f t="shared" si="76"/>
        <v>3.2805489206367583E-14</v>
      </c>
    </row>
    <row r="4886" spans="1:5" x14ac:dyDescent="0.25">
      <c r="A4886">
        <v>5</v>
      </c>
      <c r="B4886">
        <v>14</v>
      </c>
      <c r="C4886">
        <v>27</v>
      </c>
      <c r="D4886">
        <v>2</v>
      </c>
      <c r="E4886">
        <f t="shared" si="76"/>
        <v>6.1807443432286755E-15</v>
      </c>
    </row>
    <row r="4887" spans="1:5" x14ac:dyDescent="0.25">
      <c r="A4887">
        <v>5</v>
      </c>
      <c r="B4887">
        <v>14</v>
      </c>
      <c r="C4887">
        <v>28</v>
      </c>
      <c r="D4887">
        <v>1</v>
      </c>
      <c r="E4887">
        <f t="shared" si="76"/>
        <v>6.9901275310324311E-16</v>
      </c>
    </row>
    <row r="4888" spans="1:5" x14ac:dyDescent="0.25">
      <c r="A4888">
        <v>5</v>
      </c>
      <c r="B4888">
        <v>14</v>
      </c>
      <c r="C4888">
        <v>29</v>
      </c>
      <c r="D4888">
        <v>0</v>
      </c>
      <c r="E4888">
        <f t="shared" si="76"/>
        <v>3.5673754296303456E-17</v>
      </c>
    </row>
    <row r="4889" spans="1:5" x14ac:dyDescent="0.25">
      <c r="A4889">
        <v>5</v>
      </c>
      <c r="B4889">
        <v>15</v>
      </c>
      <c r="C4889">
        <v>3</v>
      </c>
      <c r="D4889">
        <v>25</v>
      </c>
      <c r="E4889">
        <f t="shared" si="76"/>
        <v>1.1392435976266532E-29</v>
      </c>
    </row>
    <row r="4890" spans="1:5" x14ac:dyDescent="0.25">
      <c r="A4890">
        <v>5</v>
      </c>
      <c r="B4890">
        <v>15</v>
      </c>
      <c r="C4890">
        <v>4</v>
      </c>
      <c r="D4890">
        <v>24</v>
      </c>
      <c r="E4890">
        <f t="shared" si="76"/>
        <v>4.4145689408032816E-27</v>
      </c>
    </row>
    <row r="4891" spans="1:5" x14ac:dyDescent="0.25">
      <c r="A4891">
        <v>5</v>
      </c>
      <c r="B4891">
        <v>15</v>
      </c>
      <c r="C4891">
        <v>5</v>
      </c>
      <c r="D4891">
        <v>23</v>
      </c>
      <c r="E4891">
        <f t="shared" si="76"/>
        <v>6.4629289293360043E-25</v>
      </c>
    </row>
    <row r="4892" spans="1:5" x14ac:dyDescent="0.25">
      <c r="A4892">
        <v>5</v>
      </c>
      <c r="B4892">
        <v>15</v>
      </c>
      <c r="C4892">
        <v>6</v>
      </c>
      <c r="D4892">
        <v>22</v>
      </c>
      <c r="E4892">
        <f t="shared" si="76"/>
        <v>4.9549121791576023E-23</v>
      </c>
    </row>
    <row r="4893" spans="1:5" x14ac:dyDescent="0.25">
      <c r="A4893">
        <v>5</v>
      </c>
      <c r="B4893">
        <v>15</v>
      </c>
      <c r="C4893">
        <v>7</v>
      </c>
      <c r="D4893">
        <v>21</v>
      </c>
      <c r="E4893">
        <f t="shared" si="76"/>
        <v>2.2969557173380602E-21</v>
      </c>
    </row>
    <row r="4894" spans="1:5" x14ac:dyDescent="0.25">
      <c r="A4894">
        <v>5</v>
      </c>
      <c r="B4894">
        <v>15</v>
      </c>
      <c r="C4894">
        <v>8</v>
      </c>
      <c r="D4894">
        <v>20</v>
      </c>
      <c r="E4894">
        <f t="shared" si="76"/>
        <v>6.9942301592943944E-20</v>
      </c>
    </row>
    <row r="4895" spans="1:5" x14ac:dyDescent="0.25">
      <c r="A4895">
        <v>5</v>
      </c>
      <c r="B4895">
        <v>15</v>
      </c>
      <c r="C4895">
        <v>9</v>
      </c>
      <c r="D4895">
        <v>19</v>
      </c>
      <c r="E4895">
        <f t="shared" si="76"/>
        <v>1.4765597002954826E-18</v>
      </c>
    </row>
    <row r="4896" spans="1:5" x14ac:dyDescent="0.25">
      <c r="A4896">
        <v>5</v>
      </c>
      <c r="B4896">
        <v>15</v>
      </c>
      <c r="C4896">
        <v>10</v>
      </c>
      <c r="D4896">
        <v>18</v>
      </c>
      <c r="E4896">
        <f t="shared" si="76"/>
        <v>2.2443707444491351E-17</v>
      </c>
    </row>
    <row r="4897" spans="1:5" x14ac:dyDescent="0.25">
      <c r="A4897">
        <v>5</v>
      </c>
      <c r="B4897">
        <v>15</v>
      </c>
      <c r="C4897">
        <v>11</v>
      </c>
      <c r="D4897">
        <v>17</v>
      </c>
      <c r="E4897">
        <f t="shared" si="76"/>
        <v>2.5249170875052767E-16</v>
      </c>
    </row>
    <row r="4898" spans="1:5" x14ac:dyDescent="0.25">
      <c r="A4898">
        <v>5</v>
      </c>
      <c r="B4898">
        <v>15</v>
      </c>
      <c r="C4898">
        <v>12</v>
      </c>
      <c r="D4898">
        <v>16</v>
      </c>
      <c r="E4898">
        <f t="shared" si="76"/>
        <v>2.1461795243794838E-15</v>
      </c>
    </row>
    <row r="4899" spans="1:5" x14ac:dyDescent="0.25">
      <c r="A4899">
        <v>5</v>
      </c>
      <c r="B4899">
        <v>15</v>
      </c>
      <c r="C4899">
        <v>13</v>
      </c>
      <c r="D4899">
        <v>15</v>
      </c>
      <c r="E4899">
        <f t="shared" si="76"/>
        <v>1.3999694128260021E-14</v>
      </c>
    </row>
    <row r="4900" spans="1:5" x14ac:dyDescent="0.25">
      <c r="A4900">
        <v>5</v>
      </c>
      <c r="B4900">
        <v>15</v>
      </c>
      <c r="C4900">
        <v>14</v>
      </c>
      <c r="D4900">
        <v>14</v>
      </c>
      <c r="E4900">
        <f t="shared" si="76"/>
        <v>7.0907541688589735E-14</v>
      </c>
    </row>
    <row r="4901" spans="1:5" x14ac:dyDescent="0.25">
      <c r="A4901">
        <v>5</v>
      </c>
      <c r="B4901">
        <v>15</v>
      </c>
      <c r="C4901">
        <v>15</v>
      </c>
      <c r="D4901">
        <v>13</v>
      </c>
      <c r="E4901">
        <f t="shared" si="76"/>
        <v>2.8126658203140595E-13</v>
      </c>
    </row>
    <row r="4902" spans="1:5" x14ac:dyDescent="0.25">
      <c r="A4902">
        <v>5</v>
      </c>
      <c r="B4902">
        <v>15</v>
      </c>
      <c r="C4902">
        <v>16</v>
      </c>
      <c r="D4902">
        <v>12</v>
      </c>
      <c r="E4902">
        <f t="shared" si="76"/>
        <v>8.7895806884814361E-13</v>
      </c>
    </row>
    <row r="4903" spans="1:5" x14ac:dyDescent="0.25">
      <c r="A4903">
        <v>5</v>
      </c>
      <c r="B4903">
        <v>15</v>
      </c>
      <c r="C4903">
        <v>17</v>
      </c>
      <c r="D4903">
        <v>11</v>
      </c>
      <c r="E4903">
        <f t="shared" si="76"/>
        <v>2.1715434642130614E-12</v>
      </c>
    </row>
    <row r="4904" spans="1:5" x14ac:dyDescent="0.25">
      <c r="A4904">
        <v>5</v>
      </c>
      <c r="B4904">
        <v>15</v>
      </c>
      <c r="C4904">
        <v>18</v>
      </c>
      <c r="D4904">
        <v>10</v>
      </c>
      <c r="E4904">
        <f t="shared" si="76"/>
        <v>4.2465738855722039E-12</v>
      </c>
    </row>
    <row r="4905" spans="1:5" x14ac:dyDescent="0.25">
      <c r="A4905">
        <v>5</v>
      </c>
      <c r="B4905">
        <v>15</v>
      </c>
      <c r="C4905">
        <v>19</v>
      </c>
      <c r="D4905">
        <v>9</v>
      </c>
      <c r="E4905">
        <f t="shared" si="76"/>
        <v>6.5654267309833459E-12</v>
      </c>
    </row>
    <row r="4906" spans="1:5" x14ac:dyDescent="0.25">
      <c r="A4906">
        <v>5</v>
      </c>
      <c r="B4906">
        <v>15</v>
      </c>
      <c r="C4906">
        <v>20</v>
      </c>
      <c r="D4906">
        <v>8</v>
      </c>
      <c r="E4906">
        <f t="shared" si="76"/>
        <v>7.9943725489032573E-12</v>
      </c>
    </row>
    <row r="4907" spans="1:5" x14ac:dyDescent="0.25">
      <c r="A4907">
        <v>5</v>
      </c>
      <c r="B4907">
        <v>15</v>
      </c>
      <c r="C4907">
        <v>21</v>
      </c>
      <c r="D4907">
        <v>7</v>
      </c>
      <c r="E4907">
        <f t="shared" si="76"/>
        <v>7.6136881418126178E-12</v>
      </c>
    </row>
    <row r="4908" spans="1:5" x14ac:dyDescent="0.25">
      <c r="A4908">
        <v>5</v>
      </c>
      <c r="B4908">
        <v>15</v>
      </c>
      <c r="C4908">
        <v>22</v>
      </c>
      <c r="D4908">
        <v>6</v>
      </c>
      <c r="E4908">
        <f t="shared" si="76"/>
        <v>5.6100859992303513E-12</v>
      </c>
    </row>
    <row r="4909" spans="1:5" x14ac:dyDescent="0.25">
      <c r="A4909">
        <v>5</v>
      </c>
      <c r="B4909">
        <v>15</v>
      </c>
      <c r="C4909">
        <v>23</v>
      </c>
      <c r="D4909">
        <v>5</v>
      </c>
      <c r="E4909">
        <f t="shared" si="76"/>
        <v>3.1465264952205007E-12</v>
      </c>
    </row>
    <row r="4910" spans="1:5" x14ac:dyDescent="0.25">
      <c r="A4910">
        <v>5</v>
      </c>
      <c r="B4910">
        <v>15</v>
      </c>
      <c r="C4910">
        <v>24</v>
      </c>
      <c r="D4910">
        <v>4</v>
      </c>
      <c r="E4910">
        <f t="shared" si="76"/>
        <v>1.3110527063418757E-12</v>
      </c>
    </row>
    <row r="4911" spans="1:5" x14ac:dyDescent="0.25">
      <c r="A4911">
        <v>5</v>
      </c>
      <c r="B4911">
        <v>15</v>
      </c>
      <c r="C4911">
        <v>25</v>
      </c>
      <c r="D4911">
        <v>3</v>
      </c>
      <c r="E4911">
        <f t="shared" si="76"/>
        <v>3.9093207970921392E-13</v>
      </c>
    </row>
    <row r="4912" spans="1:5" x14ac:dyDescent="0.25">
      <c r="A4912">
        <v>5</v>
      </c>
      <c r="B4912">
        <v>15</v>
      </c>
      <c r="C4912">
        <v>26</v>
      </c>
      <c r="D4912">
        <v>2</v>
      </c>
      <c r="E4912">
        <f t="shared" si="76"/>
        <v>7.8447908971748556E-14</v>
      </c>
    </row>
    <row r="4913" spans="1:5" x14ac:dyDescent="0.25">
      <c r="A4913">
        <v>5</v>
      </c>
      <c r="B4913">
        <v>15</v>
      </c>
      <c r="C4913">
        <v>27</v>
      </c>
      <c r="D4913">
        <v>1</v>
      </c>
      <c r="E4913">
        <f t="shared" si="76"/>
        <v>9.4428038577104752E-15</v>
      </c>
    </row>
    <row r="4914" spans="1:5" x14ac:dyDescent="0.25">
      <c r="A4914">
        <v>5</v>
      </c>
      <c r="B4914">
        <v>15</v>
      </c>
      <c r="C4914">
        <v>28</v>
      </c>
      <c r="D4914">
        <v>0</v>
      </c>
      <c r="E4914">
        <f t="shared" si="76"/>
        <v>5.1260935227571164E-16</v>
      </c>
    </row>
    <row r="4915" spans="1:5" x14ac:dyDescent="0.25">
      <c r="A4915">
        <v>5</v>
      </c>
      <c r="B4915">
        <v>16</v>
      </c>
      <c r="C4915">
        <v>2</v>
      </c>
      <c r="D4915">
        <v>25</v>
      </c>
      <c r="E4915">
        <f t="shared" si="76"/>
        <v>9.2902602901697311E-30</v>
      </c>
    </row>
    <row r="4916" spans="1:5" x14ac:dyDescent="0.25">
      <c r="A4916">
        <v>5</v>
      </c>
      <c r="B4916">
        <v>16</v>
      </c>
      <c r="C4916">
        <v>3</v>
      </c>
      <c r="D4916">
        <v>24</v>
      </c>
      <c r="E4916">
        <f t="shared" si="76"/>
        <v>4.8773866523391091E-27</v>
      </c>
    </row>
    <row r="4917" spans="1:5" x14ac:dyDescent="0.25">
      <c r="A4917">
        <v>5</v>
      </c>
      <c r="B4917">
        <v>16</v>
      </c>
      <c r="C4917">
        <v>4</v>
      </c>
      <c r="D4917">
        <v>23</v>
      </c>
      <c r="E4917">
        <f t="shared" si="76"/>
        <v>9.0719391733507424E-25</v>
      </c>
    </row>
    <row r="4918" spans="1:5" x14ac:dyDescent="0.25">
      <c r="A4918">
        <v>5</v>
      </c>
      <c r="B4918">
        <v>16</v>
      </c>
      <c r="C4918">
        <v>5</v>
      </c>
      <c r="D4918">
        <v>22</v>
      </c>
      <c r="E4918">
        <f t="shared" si="76"/>
        <v>8.4852871068073952E-23</v>
      </c>
    </row>
    <row r="4919" spans="1:5" x14ac:dyDescent="0.25">
      <c r="A4919">
        <v>5</v>
      </c>
      <c r="B4919">
        <v>16</v>
      </c>
      <c r="C4919">
        <v>6</v>
      </c>
      <c r="D4919">
        <v>21</v>
      </c>
      <c r="E4919">
        <f t="shared" si="76"/>
        <v>4.6669079087440676E-21</v>
      </c>
    </row>
    <row r="4920" spans="1:5" x14ac:dyDescent="0.25">
      <c r="A4920">
        <v>5</v>
      </c>
      <c r="B4920">
        <v>16</v>
      </c>
      <c r="C4920">
        <v>7</v>
      </c>
      <c r="D4920">
        <v>20</v>
      </c>
      <c r="E4920">
        <f t="shared" si="76"/>
        <v>1.6520853996953994E-19</v>
      </c>
    </row>
    <row r="4921" spans="1:5" x14ac:dyDescent="0.25">
      <c r="A4921">
        <v>5</v>
      </c>
      <c r="B4921">
        <v>16</v>
      </c>
      <c r="C4921">
        <v>8</v>
      </c>
      <c r="D4921">
        <v>19</v>
      </c>
      <c r="E4921">
        <f t="shared" si="76"/>
        <v>3.9925397159305493E-18</v>
      </c>
    </row>
    <row r="4922" spans="1:5" x14ac:dyDescent="0.25">
      <c r="A4922">
        <v>5</v>
      </c>
      <c r="B4922">
        <v>16</v>
      </c>
      <c r="C4922">
        <v>9</v>
      </c>
      <c r="D4922">
        <v>18</v>
      </c>
      <c r="E4922">
        <f t="shared" si="76"/>
        <v>6.8633658926234694E-17</v>
      </c>
    </row>
    <row r="4923" spans="1:5" x14ac:dyDescent="0.25">
      <c r="A4923">
        <v>5</v>
      </c>
      <c r="B4923">
        <v>16</v>
      </c>
      <c r="C4923">
        <v>10</v>
      </c>
      <c r="D4923">
        <v>17</v>
      </c>
      <c r="E4923">
        <f t="shared" si="76"/>
        <v>8.6478410247055712E-16</v>
      </c>
    </row>
    <row r="4924" spans="1:5" x14ac:dyDescent="0.25">
      <c r="A4924">
        <v>5</v>
      </c>
      <c r="B4924">
        <v>16</v>
      </c>
      <c r="C4924">
        <v>11</v>
      </c>
      <c r="D4924">
        <v>16</v>
      </c>
      <c r="E4924">
        <f t="shared" si="76"/>
        <v>8.1674054122219293E-15</v>
      </c>
    </row>
    <row r="4925" spans="1:5" x14ac:dyDescent="0.25">
      <c r="A4925">
        <v>5</v>
      </c>
      <c r="B4925">
        <v>16</v>
      </c>
      <c r="C4925">
        <v>12</v>
      </c>
      <c r="D4925">
        <v>15</v>
      </c>
      <c r="E4925">
        <f t="shared" si="76"/>
        <v>5.8805318967997839E-14</v>
      </c>
    </row>
    <row r="4926" spans="1:5" x14ac:dyDescent="0.25">
      <c r="A4926">
        <v>5</v>
      </c>
      <c r="B4926">
        <v>16</v>
      </c>
      <c r="C4926">
        <v>13</v>
      </c>
      <c r="D4926">
        <v>14</v>
      </c>
      <c r="E4926">
        <f t="shared" si="76"/>
        <v>3.2692467538152671E-13</v>
      </c>
    </row>
    <row r="4927" spans="1:5" x14ac:dyDescent="0.25">
      <c r="A4927">
        <v>5</v>
      </c>
      <c r="B4927">
        <v>16</v>
      </c>
      <c r="C4927">
        <v>14</v>
      </c>
      <c r="D4927">
        <v>13</v>
      </c>
      <c r="E4927">
        <f t="shared" si="76"/>
        <v>1.4166735933199494E-12</v>
      </c>
    </row>
    <row r="4928" spans="1:5" x14ac:dyDescent="0.25">
      <c r="A4928">
        <v>5</v>
      </c>
      <c r="B4928">
        <v>16</v>
      </c>
      <c r="C4928">
        <v>15</v>
      </c>
      <c r="D4928">
        <v>12</v>
      </c>
      <c r="E4928">
        <f t="shared" si="76"/>
        <v>4.8166902172878259E-12</v>
      </c>
    </row>
    <row r="4929" spans="1:5" x14ac:dyDescent="0.25">
      <c r="A4929">
        <v>5</v>
      </c>
      <c r="B4929">
        <v>16</v>
      </c>
      <c r="C4929">
        <v>16</v>
      </c>
      <c r="D4929">
        <v>11</v>
      </c>
      <c r="E4929">
        <f t="shared" si="76"/>
        <v>1.2901848796306677E-11</v>
      </c>
    </row>
    <row r="4930" spans="1:5" x14ac:dyDescent="0.25">
      <c r="A4930">
        <v>5</v>
      </c>
      <c r="B4930">
        <v>16</v>
      </c>
      <c r="C4930">
        <v>17</v>
      </c>
      <c r="D4930">
        <v>10</v>
      </c>
      <c r="E4930">
        <f t="shared" si="76"/>
        <v>2.7270966671409025E-11</v>
      </c>
    </row>
    <row r="4931" spans="1:5" x14ac:dyDescent="0.25">
      <c r="A4931">
        <v>5</v>
      </c>
      <c r="B4931">
        <v>16</v>
      </c>
      <c r="C4931">
        <v>18</v>
      </c>
      <c r="D4931">
        <v>9</v>
      </c>
      <c r="E4931">
        <f t="shared" si="76"/>
        <v>4.5451611119015E-11</v>
      </c>
    </row>
    <row r="4932" spans="1:5" x14ac:dyDescent="0.25">
      <c r="A4932">
        <v>5</v>
      </c>
      <c r="B4932">
        <v>16</v>
      </c>
      <c r="C4932">
        <v>19</v>
      </c>
      <c r="D4932">
        <v>8</v>
      </c>
      <c r="E4932">
        <f t="shared" si="76"/>
        <v>5.9523317347812245E-11</v>
      </c>
    </row>
    <row r="4933" spans="1:5" x14ac:dyDescent="0.25">
      <c r="A4933">
        <v>5</v>
      </c>
      <c r="B4933">
        <v>16</v>
      </c>
      <c r="C4933">
        <v>20</v>
      </c>
      <c r="D4933">
        <v>7</v>
      </c>
      <c r="E4933">
        <f t="shared" si="76"/>
        <v>6.0846057733319246E-11</v>
      </c>
    </row>
    <row r="4934" spans="1:5" x14ac:dyDescent="0.25">
      <c r="A4934">
        <v>5</v>
      </c>
      <c r="B4934">
        <v>16</v>
      </c>
      <c r="C4934">
        <v>21</v>
      </c>
      <c r="D4934">
        <v>6</v>
      </c>
      <c r="E4934">
        <f t="shared" si="76"/>
        <v>4.8036361368409852E-11</v>
      </c>
    </row>
    <row r="4935" spans="1:5" x14ac:dyDescent="0.25">
      <c r="A4935">
        <v>5</v>
      </c>
      <c r="B4935">
        <v>16</v>
      </c>
      <c r="C4935">
        <v>22</v>
      </c>
      <c r="D4935">
        <v>5</v>
      </c>
      <c r="E4935">
        <f t="shared" si="76"/>
        <v>2.882181682104593E-11</v>
      </c>
    </row>
    <row r="4936" spans="1:5" x14ac:dyDescent="0.25">
      <c r="A4936">
        <v>5</v>
      </c>
      <c r="B4936">
        <v>16</v>
      </c>
      <c r="C4936">
        <v>23</v>
      </c>
      <c r="D4936">
        <v>4</v>
      </c>
      <c r="E4936">
        <f t="shared" si="76"/>
        <v>1.282958719777407E-11</v>
      </c>
    </row>
    <row r="4937" spans="1:5" x14ac:dyDescent="0.25">
      <c r="A4937">
        <v>5</v>
      </c>
      <c r="B4937">
        <v>16</v>
      </c>
      <c r="C4937">
        <v>24</v>
      </c>
      <c r="D4937">
        <v>3</v>
      </c>
      <c r="E4937">
        <f t="shared" si="76"/>
        <v>4.0821413811099306E-12</v>
      </c>
    </row>
    <row r="4938" spans="1:5" x14ac:dyDescent="0.25">
      <c r="A4938">
        <v>5</v>
      </c>
      <c r="B4938">
        <v>16</v>
      </c>
      <c r="C4938">
        <v>25</v>
      </c>
      <c r="D4938">
        <v>2</v>
      </c>
      <c r="E4938">
        <f t="shared" si="76"/>
        <v>8.7322328674177675E-13</v>
      </c>
    </row>
    <row r="4939" spans="1:5" x14ac:dyDescent="0.25">
      <c r="A4939">
        <v>5</v>
      </c>
      <c r="B4939">
        <v>16</v>
      </c>
      <c r="C4939">
        <v>26</v>
      </c>
      <c r="D4939">
        <v>1</v>
      </c>
      <c r="E4939">
        <f t="shared" si="76"/>
        <v>1.1195170342843286E-13</v>
      </c>
    </row>
    <row r="4940" spans="1:5" x14ac:dyDescent="0.25">
      <c r="A4940">
        <v>5</v>
      </c>
      <c r="B4940">
        <v>16</v>
      </c>
      <c r="C4940">
        <v>27</v>
      </c>
      <c r="D4940">
        <v>0</v>
      </c>
      <c r="E4940">
        <f t="shared" si="76"/>
        <v>6.4683206425316756E-15</v>
      </c>
    </row>
    <row r="4941" spans="1:5" x14ac:dyDescent="0.25">
      <c r="A4941">
        <v>5</v>
      </c>
      <c r="B4941">
        <v>17</v>
      </c>
      <c r="C4941">
        <v>1</v>
      </c>
      <c r="D4941">
        <v>25</v>
      </c>
      <c r="E4941">
        <f t="shared" si="76"/>
        <v>4.6622078294417969E-30</v>
      </c>
    </row>
    <row r="4942" spans="1:5" x14ac:dyDescent="0.25">
      <c r="A4942">
        <v>5</v>
      </c>
      <c r="B4942">
        <v>17</v>
      </c>
      <c r="C4942">
        <v>2</v>
      </c>
      <c r="D4942">
        <v>24</v>
      </c>
      <c r="E4942">
        <f t="shared" ref="E4942:E5005" si="77">COMBIN(A$4,A4942)*COMBIN(B$4,B4942)*COMBIN(C$4,C4942)*COMBIN(D$4,D4942)/COMBIN($G$4,$F$4)</f>
        <v>3.7297662635534379E-27</v>
      </c>
    </row>
    <row r="4943" spans="1:5" x14ac:dyDescent="0.25">
      <c r="A4943">
        <v>5</v>
      </c>
      <c r="B4943">
        <v>17</v>
      </c>
      <c r="C4943">
        <v>3</v>
      </c>
      <c r="D4943">
        <v>23</v>
      </c>
      <c r="E4943">
        <f t="shared" si="77"/>
        <v>9.3990109841546616E-25</v>
      </c>
    </row>
    <row r="4944" spans="1:5" x14ac:dyDescent="0.25">
      <c r="A4944">
        <v>5</v>
      </c>
      <c r="B4944">
        <v>17</v>
      </c>
      <c r="C4944">
        <v>4</v>
      </c>
      <c r="D4944">
        <v>22</v>
      </c>
      <c r="E4944">
        <f t="shared" si="77"/>
        <v>1.1169158052837124E-22</v>
      </c>
    </row>
    <row r="4945" spans="1:5" x14ac:dyDescent="0.25">
      <c r="A4945">
        <v>5</v>
      </c>
      <c r="B4945">
        <v>17</v>
      </c>
      <c r="C4945">
        <v>5</v>
      </c>
      <c r="D4945">
        <v>21</v>
      </c>
      <c r="E4945">
        <f t="shared" si="77"/>
        <v>7.4945050534537109E-21</v>
      </c>
    </row>
    <row r="4946" spans="1:5" x14ac:dyDescent="0.25">
      <c r="A4946">
        <v>5</v>
      </c>
      <c r="B4946">
        <v>17</v>
      </c>
      <c r="C4946">
        <v>6</v>
      </c>
      <c r="D4946">
        <v>20</v>
      </c>
      <c r="E4946">
        <f t="shared" si="77"/>
        <v>3.1476921224505573E-19</v>
      </c>
    </row>
    <row r="4947" spans="1:5" x14ac:dyDescent="0.25">
      <c r="A4947">
        <v>5</v>
      </c>
      <c r="B4947">
        <v>17</v>
      </c>
      <c r="C4947">
        <v>7</v>
      </c>
      <c r="D4947">
        <v>19</v>
      </c>
      <c r="E4947">
        <f t="shared" si="77"/>
        <v>8.8435159630753753E-18</v>
      </c>
    </row>
    <row r="4948" spans="1:5" x14ac:dyDescent="0.25">
      <c r="A4948">
        <v>5</v>
      </c>
      <c r="B4948">
        <v>17</v>
      </c>
      <c r="C4948">
        <v>8</v>
      </c>
      <c r="D4948">
        <v>18</v>
      </c>
      <c r="E4948">
        <f t="shared" si="77"/>
        <v>1.7402776055909052E-16</v>
      </c>
    </row>
    <row r="4949" spans="1:5" x14ac:dyDescent="0.25">
      <c r="A4949">
        <v>5</v>
      </c>
      <c r="B4949">
        <v>17</v>
      </c>
      <c r="C4949">
        <v>9</v>
      </c>
      <c r="D4949">
        <v>17</v>
      </c>
      <c r="E4949">
        <f t="shared" si="77"/>
        <v>2.4798955879670391E-15</v>
      </c>
    </row>
    <row r="4950" spans="1:5" x14ac:dyDescent="0.25">
      <c r="A4950">
        <v>5</v>
      </c>
      <c r="B4950">
        <v>17</v>
      </c>
      <c r="C4950">
        <v>10</v>
      </c>
      <c r="D4950">
        <v>16</v>
      </c>
      <c r="E4950">
        <f t="shared" si="77"/>
        <v>2.6231784441606906E-14</v>
      </c>
    </row>
    <row r="4951" spans="1:5" x14ac:dyDescent="0.25">
      <c r="A4951">
        <v>5</v>
      </c>
      <c r="B4951">
        <v>17</v>
      </c>
      <c r="C4951">
        <v>11</v>
      </c>
      <c r="D4951">
        <v>15</v>
      </c>
      <c r="E4951">
        <f t="shared" si="77"/>
        <v>2.0985427553285522E-13</v>
      </c>
    </row>
    <row r="4952" spans="1:5" x14ac:dyDescent="0.25">
      <c r="A4952">
        <v>5</v>
      </c>
      <c r="B4952">
        <v>17</v>
      </c>
      <c r="C4952">
        <v>12</v>
      </c>
      <c r="D4952">
        <v>14</v>
      </c>
      <c r="E4952">
        <f t="shared" si="77"/>
        <v>1.2877421453152472E-12</v>
      </c>
    </row>
    <row r="4953" spans="1:5" x14ac:dyDescent="0.25">
      <c r="A4953">
        <v>5</v>
      </c>
      <c r="B4953">
        <v>17</v>
      </c>
      <c r="C4953">
        <v>13</v>
      </c>
      <c r="D4953">
        <v>13</v>
      </c>
      <c r="E4953">
        <f t="shared" si="77"/>
        <v>6.1250299475891936E-12</v>
      </c>
    </row>
    <row r="4954" spans="1:5" x14ac:dyDescent="0.25">
      <c r="A4954">
        <v>5</v>
      </c>
      <c r="B4954">
        <v>17</v>
      </c>
      <c r="C4954">
        <v>14</v>
      </c>
      <c r="D4954">
        <v>12</v>
      </c>
      <c r="E4954">
        <f t="shared" si="77"/>
        <v>2.2750111233902723E-11</v>
      </c>
    </row>
    <row r="4955" spans="1:5" x14ac:dyDescent="0.25">
      <c r="A4955">
        <v>5</v>
      </c>
      <c r="B4955">
        <v>17</v>
      </c>
      <c r="C4955">
        <v>15</v>
      </c>
      <c r="D4955">
        <v>11</v>
      </c>
      <c r="E4955">
        <f t="shared" si="77"/>
        <v>6.6300324167373612E-11</v>
      </c>
    </row>
    <row r="4956" spans="1:5" x14ac:dyDescent="0.25">
      <c r="A4956">
        <v>5</v>
      </c>
      <c r="B4956">
        <v>17</v>
      </c>
      <c r="C4956">
        <v>16</v>
      </c>
      <c r="D4956">
        <v>10</v>
      </c>
      <c r="E4956">
        <f t="shared" si="77"/>
        <v>1.5193824288356453E-10</v>
      </c>
    </row>
    <row r="4957" spans="1:5" x14ac:dyDescent="0.25">
      <c r="A4957">
        <v>5</v>
      </c>
      <c r="B4957">
        <v>17</v>
      </c>
      <c r="C4957">
        <v>17</v>
      </c>
      <c r="D4957">
        <v>9</v>
      </c>
      <c r="E4957">
        <f t="shared" si="77"/>
        <v>2.7371227578289215E-10</v>
      </c>
    </row>
    <row r="4958" spans="1:5" x14ac:dyDescent="0.25">
      <c r="A4958">
        <v>5</v>
      </c>
      <c r="B4958">
        <v>17</v>
      </c>
      <c r="C4958">
        <v>18</v>
      </c>
      <c r="D4958">
        <v>8</v>
      </c>
      <c r="E4958">
        <f t="shared" si="77"/>
        <v>3.8641733051702391E-10</v>
      </c>
    </row>
    <row r="4959" spans="1:5" x14ac:dyDescent="0.25">
      <c r="A4959">
        <v>5</v>
      </c>
      <c r="B4959">
        <v>17</v>
      </c>
      <c r="C4959">
        <v>19</v>
      </c>
      <c r="D4959">
        <v>7</v>
      </c>
      <c r="E4959">
        <f t="shared" si="77"/>
        <v>4.2483308852164056E-10</v>
      </c>
    </row>
    <row r="4960" spans="1:5" x14ac:dyDescent="0.25">
      <c r="A4960">
        <v>5</v>
      </c>
      <c r="B4960">
        <v>17</v>
      </c>
      <c r="C4960">
        <v>20</v>
      </c>
      <c r="D4960">
        <v>6</v>
      </c>
      <c r="E4960">
        <f t="shared" si="77"/>
        <v>3.5999014343149556E-10</v>
      </c>
    </row>
    <row r="4961" spans="1:5" x14ac:dyDescent="0.25">
      <c r="A4961">
        <v>5</v>
      </c>
      <c r="B4961">
        <v>17</v>
      </c>
      <c r="C4961">
        <v>21</v>
      </c>
      <c r="D4961">
        <v>5</v>
      </c>
      <c r="E4961">
        <f t="shared" si="77"/>
        <v>2.31422235063104E-10</v>
      </c>
    </row>
    <row r="4962" spans="1:5" x14ac:dyDescent="0.25">
      <c r="A4962">
        <v>5</v>
      </c>
      <c r="B4962">
        <v>17</v>
      </c>
      <c r="C4962">
        <v>22</v>
      </c>
      <c r="D4962">
        <v>4</v>
      </c>
      <c r="E4962">
        <f t="shared" si="77"/>
        <v>1.1020106431576391E-10</v>
      </c>
    </row>
    <row r="4963" spans="1:5" x14ac:dyDescent="0.25">
      <c r="A4963">
        <v>5</v>
      </c>
      <c r="B4963">
        <v>17</v>
      </c>
      <c r="C4963">
        <v>23</v>
      </c>
      <c r="D4963">
        <v>3</v>
      </c>
      <c r="E4963">
        <f t="shared" si="77"/>
        <v>3.7459650320773492E-11</v>
      </c>
    </row>
    <row r="4964" spans="1:5" x14ac:dyDescent="0.25">
      <c r="A4964">
        <v>5</v>
      </c>
      <c r="B4964">
        <v>17</v>
      </c>
      <c r="C4964">
        <v>24</v>
      </c>
      <c r="D4964">
        <v>2</v>
      </c>
      <c r="E4964">
        <f t="shared" si="77"/>
        <v>8.5505723558287311E-12</v>
      </c>
    </row>
    <row r="4965" spans="1:5" x14ac:dyDescent="0.25">
      <c r="A4965">
        <v>5</v>
      </c>
      <c r="B4965">
        <v>17</v>
      </c>
      <c r="C4965">
        <v>25</v>
      </c>
      <c r="D4965">
        <v>1</v>
      </c>
      <c r="E4965">
        <f t="shared" si="77"/>
        <v>1.1685782219632605E-12</v>
      </c>
    </row>
    <row r="4966" spans="1:5" x14ac:dyDescent="0.25">
      <c r="A4966">
        <v>5</v>
      </c>
      <c r="B4966">
        <v>17</v>
      </c>
      <c r="C4966">
        <v>26</v>
      </c>
      <c r="D4966">
        <v>0</v>
      </c>
      <c r="E4966">
        <f t="shared" si="77"/>
        <v>7.1912505966969823E-14</v>
      </c>
    </row>
    <row r="4967" spans="1:5" x14ac:dyDescent="0.25">
      <c r="A4967">
        <v>5</v>
      </c>
      <c r="B4967">
        <v>18</v>
      </c>
      <c r="C4967">
        <v>0</v>
      </c>
      <c r="D4967">
        <v>25</v>
      </c>
      <c r="E4967">
        <f t="shared" si="77"/>
        <v>1.0838637005198022E-30</v>
      </c>
    </row>
    <row r="4968" spans="1:5" x14ac:dyDescent="0.25">
      <c r="A4968">
        <v>5</v>
      </c>
      <c r="B4968">
        <v>18</v>
      </c>
      <c r="C4968">
        <v>1</v>
      </c>
      <c r="D4968">
        <v>24</v>
      </c>
      <c r="E4968">
        <f t="shared" si="77"/>
        <v>1.7612785133446786E-27</v>
      </c>
    </row>
    <row r="4969" spans="1:5" x14ac:dyDescent="0.25">
      <c r="A4969">
        <v>5</v>
      </c>
      <c r="B4969">
        <v>18</v>
      </c>
      <c r="C4969">
        <v>2</v>
      </c>
      <c r="D4969">
        <v>23</v>
      </c>
      <c r="E4969">
        <f t="shared" si="77"/>
        <v>6.7633094912435659E-25</v>
      </c>
    </row>
    <row r="4970" spans="1:5" x14ac:dyDescent="0.25">
      <c r="A4970">
        <v>5</v>
      </c>
      <c r="B4970">
        <v>18</v>
      </c>
      <c r="C4970">
        <v>3</v>
      </c>
      <c r="D4970">
        <v>22</v>
      </c>
      <c r="E4970">
        <f t="shared" si="77"/>
        <v>1.0888928280902142E-22</v>
      </c>
    </row>
    <row r="4971" spans="1:5" x14ac:dyDescent="0.25">
      <c r="A4971">
        <v>5</v>
      </c>
      <c r="B4971">
        <v>18</v>
      </c>
      <c r="C4971">
        <v>4</v>
      </c>
      <c r="D4971">
        <v>21</v>
      </c>
      <c r="E4971">
        <f t="shared" si="77"/>
        <v>9.2828113594690759E-21</v>
      </c>
    </row>
    <row r="4972" spans="1:5" x14ac:dyDescent="0.25">
      <c r="A4972">
        <v>5</v>
      </c>
      <c r="B4972">
        <v>18</v>
      </c>
      <c r="C4972">
        <v>5</v>
      </c>
      <c r="D4972">
        <v>20</v>
      </c>
      <c r="E4972">
        <f t="shared" si="77"/>
        <v>4.7565125405919541E-19</v>
      </c>
    </row>
    <row r="4973" spans="1:5" x14ac:dyDescent="0.25">
      <c r="A4973">
        <v>5</v>
      </c>
      <c r="B4973">
        <v>18</v>
      </c>
      <c r="C4973">
        <v>6</v>
      </c>
      <c r="D4973">
        <v>19</v>
      </c>
      <c r="E4973">
        <f t="shared" si="77"/>
        <v>1.5855041801973176E-17</v>
      </c>
    </row>
    <row r="4974" spans="1:5" x14ac:dyDescent="0.25">
      <c r="A4974">
        <v>5</v>
      </c>
      <c r="B4974">
        <v>18</v>
      </c>
      <c r="C4974">
        <v>7</v>
      </c>
      <c r="D4974">
        <v>18</v>
      </c>
      <c r="E4974">
        <f t="shared" si="77"/>
        <v>3.6272452775534568E-16</v>
      </c>
    </row>
    <row r="4975" spans="1:5" x14ac:dyDescent="0.25">
      <c r="A4975">
        <v>5</v>
      </c>
      <c r="B4975">
        <v>18</v>
      </c>
      <c r="C4975">
        <v>8</v>
      </c>
      <c r="D4975">
        <v>17</v>
      </c>
      <c r="E4975">
        <f t="shared" si="77"/>
        <v>5.9169438590090767E-15</v>
      </c>
    </row>
    <row r="4976" spans="1:5" x14ac:dyDescent="0.25">
      <c r="A4976">
        <v>5</v>
      </c>
      <c r="B4976">
        <v>18</v>
      </c>
      <c r="C4976">
        <v>9</v>
      </c>
      <c r="D4976">
        <v>16</v>
      </c>
      <c r="E4976">
        <f t="shared" si="77"/>
        <v>7.0784180239256723E-14</v>
      </c>
    </row>
    <row r="4977" spans="1:5" x14ac:dyDescent="0.25">
      <c r="A4977">
        <v>5</v>
      </c>
      <c r="B4977">
        <v>18</v>
      </c>
      <c r="C4977">
        <v>10</v>
      </c>
      <c r="D4977">
        <v>15</v>
      </c>
      <c r="E4977">
        <f t="shared" si="77"/>
        <v>6.3422625494374022E-13</v>
      </c>
    </row>
    <row r="4978" spans="1:5" x14ac:dyDescent="0.25">
      <c r="A4978">
        <v>5</v>
      </c>
      <c r="B4978">
        <v>18</v>
      </c>
      <c r="C4978">
        <v>11</v>
      </c>
      <c r="D4978">
        <v>14</v>
      </c>
      <c r="E4978">
        <f t="shared" si="77"/>
        <v>4.3242699200709572E-12</v>
      </c>
    </row>
    <row r="4979" spans="1:5" x14ac:dyDescent="0.25">
      <c r="A4979">
        <v>5</v>
      </c>
      <c r="B4979">
        <v>18</v>
      </c>
      <c r="C4979">
        <v>12</v>
      </c>
      <c r="D4979">
        <v>13</v>
      </c>
      <c r="E4979">
        <f t="shared" si="77"/>
        <v>2.2702417080372512E-11</v>
      </c>
    </row>
    <row r="4980" spans="1:5" x14ac:dyDescent="0.25">
      <c r="A4980">
        <v>5</v>
      </c>
      <c r="B4980">
        <v>18</v>
      </c>
      <c r="C4980">
        <v>13</v>
      </c>
      <c r="D4980">
        <v>12</v>
      </c>
      <c r="E4980">
        <f t="shared" si="77"/>
        <v>9.2556008096903366E-11</v>
      </c>
    </row>
    <row r="4981" spans="1:5" x14ac:dyDescent="0.25">
      <c r="A4981">
        <v>5</v>
      </c>
      <c r="B4981">
        <v>18</v>
      </c>
      <c r="C4981">
        <v>14</v>
      </c>
      <c r="D4981">
        <v>11</v>
      </c>
      <c r="E4981">
        <f t="shared" si="77"/>
        <v>2.9466810741054949E-10</v>
      </c>
    </row>
    <row r="4982" spans="1:5" x14ac:dyDescent="0.25">
      <c r="A4982">
        <v>5</v>
      </c>
      <c r="B4982">
        <v>18</v>
      </c>
      <c r="C4982">
        <v>15</v>
      </c>
      <c r="D4982">
        <v>10</v>
      </c>
      <c r="E4982">
        <f t="shared" si="77"/>
        <v>7.3470581447696968E-10</v>
      </c>
    </row>
    <row r="4983" spans="1:5" x14ac:dyDescent="0.25">
      <c r="A4983">
        <v>5</v>
      </c>
      <c r="B4983">
        <v>18</v>
      </c>
      <c r="C4983">
        <v>16</v>
      </c>
      <c r="D4983">
        <v>9</v>
      </c>
      <c r="E4983">
        <f t="shared" si="77"/>
        <v>1.4349722939003317E-9</v>
      </c>
    </row>
    <row r="4984" spans="1:5" x14ac:dyDescent="0.25">
      <c r="A4984">
        <v>5</v>
      </c>
      <c r="B4984">
        <v>18</v>
      </c>
      <c r="C4984">
        <v>17</v>
      </c>
      <c r="D4984">
        <v>8</v>
      </c>
      <c r="E4984">
        <f t="shared" si="77"/>
        <v>2.1896982062631372E-9</v>
      </c>
    </row>
    <row r="4985" spans="1:5" x14ac:dyDescent="0.25">
      <c r="A4985">
        <v>5</v>
      </c>
      <c r="B4985">
        <v>18</v>
      </c>
      <c r="C4985">
        <v>18</v>
      </c>
      <c r="D4985">
        <v>7</v>
      </c>
      <c r="E4985">
        <f t="shared" si="77"/>
        <v>2.5951978740896423E-9</v>
      </c>
    </row>
    <row r="4986" spans="1:5" x14ac:dyDescent="0.25">
      <c r="A4986">
        <v>5</v>
      </c>
      <c r="B4986">
        <v>18</v>
      </c>
      <c r="C4986">
        <v>19</v>
      </c>
      <c r="D4986">
        <v>6</v>
      </c>
      <c r="E4986">
        <f t="shared" si="77"/>
        <v>2.3651526331731089E-9</v>
      </c>
    </row>
    <row r="4987" spans="1:5" x14ac:dyDescent="0.25">
      <c r="A4987">
        <v>5</v>
      </c>
      <c r="B4987">
        <v>18</v>
      </c>
      <c r="C4987">
        <v>20</v>
      </c>
      <c r="D4987">
        <v>5</v>
      </c>
      <c r="E4987">
        <f t="shared" si="77"/>
        <v>1.6319553168894467E-9</v>
      </c>
    </row>
    <row r="4988" spans="1:5" x14ac:dyDescent="0.25">
      <c r="A4988">
        <v>5</v>
      </c>
      <c r="B4988">
        <v>18</v>
      </c>
      <c r="C4988">
        <v>21</v>
      </c>
      <c r="D4988">
        <v>4</v>
      </c>
      <c r="E4988">
        <f t="shared" si="77"/>
        <v>8.3263026371910461E-10</v>
      </c>
    </row>
    <row r="4989" spans="1:5" x14ac:dyDescent="0.25">
      <c r="A4989">
        <v>5</v>
      </c>
      <c r="B4989">
        <v>18</v>
      </c>
      <c r="C4989">
        <v>22</v>
      </c>
      <c r="D4989">
        <v>3</v>
      </c>
      <c r="E4989">
        <f t="shared" si="77"/>
        <v>3.0277464135240181E-10</v>
      </c>
    </row>
    <row r="4990" spans="1:5" x14ac:dyDescent="0.25">
      <c r="A4990">
        <v>5</v>
      </c>
      <c r="B4990">
        <v>18</v>
      </c>
      <c r="C4990">
        <v>23</v>
      </c>
      <c r="D4990">
        <v>2</v>
      </c>
      <c r="E4990">
        <f t="shared" si="77"/>
        <v>7.3833513675727459E-11</v>
      </c>
    </row>
    <row r="4991" spans="1:5" x14ac:dyDescent="0.25">
      <c r="A4991">
        <v>5</v>
      </c>
      <c r="B4991">
        <v>18</v>
      </c>
      <c r="C4991">
        <v>24</v>
      </c>
      <c r="D4991">
        <v>1</v>
      </c>
      <c r="E4991">
        <f t="shared" si="77"/>
        <v>1.0767387411043588E-11</v>
      </c>
    </row>
    <row r="4992" spans="1:5" x14ac:dyDescent="0.25">
      <c r="A4992">
        <v>5</v>
      </c>
      <c r="B4992">
        <v>18</v>
      </c>
      <c r="C4992">
        <v>25</v>
      </c>
      <c r="D4992">
        <v>0</v>
      </c>
      <c r="E4992">
        <f t="shared" si="77"/>
        <v>7.063406141644596E-13</v>
      </c>
    </row>
    <row r="4993" spans="1:5" x14ac:dyDescent="0.25">
      <c r="A4993">
        <v>5</v>
      </c>
      <c r="B4993">
        <v>19</v>
      </c>
      <c r="C4993">
        <v>0</v>
      </c>
      <c r="D4993">
        <v>24</v>
      </c>
      <c r="E4993">
        <f t="shared" si="77"/>
        <v>3.8648297742219261E-28</v>
      </c>
    </row>
    <row r="4994" spans="1:5" x14ac:dyDescent="0.25">
      <c r="A4994">
        <v>5</v>
      </c>
      <c r="B4994">
        <v>19</v>
      </c>
      <c r="C4994">
        <v>1</v>
      </c>
      <c r="D4994">
        <v>23</v>
      </c>
      <c r="E4994">
        <f t="shared" si="77"/>
        <v>3.0145672238931023E-25</v>
      </c>
    </row>
    <row r="4995" spans="1:5" x14ac:dyDescent="0.25">
      <c r="A4995">
        <v>5</v>
      </c>
      <c r="B4995">
        <v>19</v>
      </c>
      <c r="C4995">
        <v>2</v>
      </c>
      <c r="D4995">
        <v>22</v>
      </c>
      <c r="E4995">
        <f t="shared" si="77"/>
        <v>7.3957382559510785E-23</v>
      </c>
    </row>
    <row r="4996" spans="1:5" x14ac:dyDescent="0.25">
      <c r="A4996">
        <v>5</v>
      </c>
      <c r="B4996">
        <v>19</v>
      </c>
      <c r="C4996">
        <v>3</v>
      </c>
      <c r="D4996">
        <v>21</v>
      </c>
      <c r="E4996">
        <f t="shared" si="77"/>
        <v>8.5420776856234958E-21</v>
      </c>
    </row>
    <row r="4997" spans="1:5" x14ac:dyDescent="0.25">
      <c r="A4997">
        <v>5</v>
      </c>
      <c r="B4997">
        <v>19</v>
      </c>
      <c r="C4997">
        <v>4</v>
      </c>
      <c r="D4997">
        <v>20</v>
      </c>
      <c r="E4997">
        <f t="shared" si="77"/>
        <v>5.5608925733408945E-19</v>
      </c>
    </row>
    <row r="4998" spans="1:5" x14ac:dyDescent="0.25">
      <c r="A4998">
        <v>5</v>
      </c>
      <c r="B4998">
        <v>19</v>
      </c>
      <c r="C4998">
        <v>5</v>
      </c>
      <c r="D4998">
        <v>19</v>
      </c>
      <c r="E4998">
        <f t="shared" si="77"/>
        <v>2.2614296464919637E-17</v>
      </c>
    </row>
    <row r="4999" spans="1:5" x14ac:dyDescent="0.25">
      <c r="A4999">
        <v>5</v>
      </c>
      <c r="B4999">
        <v>19</v>
      </c>
      <c r="C4999">
        <v>6</v>
      </c>
      <c r="D4999">
        <v>18</v>
      </c>
      <c r="E4999">
        <f t="shared" si="77"/>
        <v>6.1381661833353321E-16</v>
      </c>
    </row>
    <row r="5000" spans="1:5" x14ac:dyDescent="0.25">
      <c r="A5000">
        <v>5</v>
      </c>
      <c r="B5000">
        <v>19</v>
      </c>
      <c r="C5000">
        <v>7</v>
      </c>
      <c r="D5000">
        <v>17</v>
      </c>
      <c r="E5000">
        <f t="shared" si="77"/>
        <v>1.1640593726253788E-14</v>
      </c>
    </row>
    <row r="5001" spans="1:5" x14ac:dyDescent="0.25">
      <c r="A5001">
        <v>5</v>
      </c>
      <c r="B5001">
        <v>19</v>
      </c>
      <c r="C5001">
        <v>8</v>
      </c>
      <c r="D5001">
        <v>16</v>
      </c>
      <c r="E5001">
        <f t="shared" si="77"/>
        <v>1.5941146408453107E-13</v>
      </c>
    </row>
    <row r="5002" spans="1:5" x14ac:dyDescent="0.25">
      <c r="A5002">
        <v>5</v>
      </c>
      <c r="B5002">
        <v>19</v>
      </c>
      <c r="C5002">
        <v>9</v>
      </c>
      <c r="D5002">
        <v>15</v>
      </c>
      <c r="E5002">
        <f t="shared" si="77"/>
        <v>1.6153695027232477E-12</v>
      </c>
    </row>
    <row r="5003" spans="1:5" x14ac:dyDescent="0.25">
      <c r="A5003">
        <v>5</v>
      </c>
      <c r="B5003">
        <v>19</v>
      </c>
      <c r="C5003">
        <v>10</v>
      </c>
      <c r="D5003">
        <v>14</v>
      </c>
      <c r="E5003">
        <f t="shared" si="77"/>
        <v>1.2335548929886621E-11</v>
      </c>
    </row>
    <row r="5004" spans="1:5" x14ac:dyDescent="0.25">
      <c r="A5004">
        <v>5</v>
      </c>
      <c r="B5004">
        <v>19</v>
      </c>
      <c r="C5004">
        <v>11</v>
      </c>
      <c r="D5004">
        <v>13</v>
      </c>
      <c r="E5004">
        <f t="shared" si="77"/>
        <v>7.1957368757671988E-11</v>
      </c>
    </row>
    <row r="5005" spans="1:5" x14ac:dyDescent="0.25">
      <c r="A5005">
        <v>5</v>
      </c>
      <c r="B5005">
        <v>19</v>
      </c>
      <c r="C5005">
        <v>12</v>
      </c>
      <c r="D5005">
        <v>12</v>
      </c>
      <c r="E5005">
        <f t="shared" si="77"/>
        <v>3.2380815940952375E-10</v>
      </c>
    </row>
    <row r="5006" spans="1:5" x14ac:dyDescent="0.25">
      <c r="A5006">
        <v>5</v>
      </c>
      <c r="B5006">
        <v>19</v>
      </c>
      <c r="C5006">
        <v>13</v>
      </c>
      <c r="D5006">
        <v>11</v>
      </c>
      <c r="E5006">
        <f t="shared" ref="E5006:E5069" si="78">COMBIN(A$4,A5006)*COMBIN(B$4,B5006)*COMBIN(C$4,C5006)*COMBIN(D$4,D5006)/COMBIN($G$4,$F$4)</f>
        <v>1.1315493922222919E-9</v>
      </c>
    </row>
    <row r="5007" spans="1:5" x14ac:dyDescent="0.25">
      <c r="A5007">
        <v>5</v>
      </c>
      <c r="B5007">
        <v>19</v>
      </c>
      <c r="C5007">
        <v>14</v>
      </c>
      <c r="D5007">
        <v>10</v>
      </c>
      <c r="E5007">
        <f t="shared" si="78"/>
        <v>3.0821250111959575E-9</v>
      </c>
    </row>
    <row r="5008" spans="1:5" x14ac:dyDescent="0.25">
      <c r="A5008">
        <v>5</v>
      </c>
      <c r="B5008">
        <v>19</v>
      </c>
      <c r="C5008">
        <v>15</v>
      </c>
      <c r="D5008">
        <v>9</v>
      </c>
      <c r="E5008">
        <f t="shared" si="78"/>
        <v>6.5495156487914074E-9</v>
      </c>
    </row>
    <row r="5009" spans="1:5" x14ac:dyDescent="0.25">
      <c r="A5009">
        <v>5</v>
      </c>
      <c r="B5009">
        <v>19</v>
      </c>
      <c r="C5009">
        <v>16</v>
      </c>
      <c r="D5009">
        <v>8</v>
      </c>
      <c r="E5009">
        <f t="shared" si="78"/>
        <v>1.0835595742485787E-8</v>
      </c>
    </row>
    <row r="5010" spans="1:5" x14ac:dyDescent="0.25">
      <c r="A5010">
        <v>5</v>
      </c>
      <c r="B5010">
        <v>19</v>
      </c>
      <c r="C5010">
        <v>17</v>
      </c>
      <c r="D5010">
        <v>7</v>
      </c>
      <c r="E5010">
        <f t="shared" si="78"/>
        <v>1.3880893892334744E-8</v>
      </c>
    </row>
    <row r="5011" spans="1:5" x14ac:dyDescent="0.25">
      <c r="A5011">
        <v>5</v>
      </c>
      <c r="B5011">
        <v>19</v>
      </c>
      <c r="C5011">
        <v>18</v>
      </c>
      <c r="D5011">
        <v>6</v>
      </c>
      <c r="E5011">
        <f t="shared" si="78"/>
        <v>1.3637369438083237E-8</v>
      </c>
    </row>
    <row r="5012" spans="1:5" x14ac:dyDescent="0.25">
      <c r="A5012">
        <v>5</v>
      </c>
      <c r="B5012">
        <v>19</v>
      </c>
      <c r="C5012">
        <v>19</v>
      </c>
      <c r="D5012">
        <v>5</v>
      </c>
      <c r="E5012">
        <f t="shared" si="78"/>
        <v>1.0120363635630197E-8</v>
      </c>
    </row>
    <row r="5013" spans="1:5" x14ac:dyDescent="0.25">
      <c r="A5013">
        <v>5</v>
      </c>
      <c r="B5013">
        <v>19</v>
      </c>
      <c r="C5013">
        <v>20</v>
      </c>
      <c r="D5013">
        <v>4</v>
      </c>
      <c r="E5013">
        <f t="shared" si="78"/>
        <v>5.5421038957022567E-9</v>
      </c>
    </row>
    <row r="5014" spans="1:5" x14ac:dyDescent="0.25">
      <c r="A5014">
        <v>5</v>
      </c>
      <c r="B5014">
        <v>19</v>
      </c>
      <c r="C5014">
        <v>21</v>
      </c>
      <c r="D5014">
        <v>3</v>
      </c>
      <c r="E5014">
        <f t="shared" si="78"/>
        <v>2.1592612580658115E-9</v>
      </c>
    </row>
    <row r="5015" spans="1:5" x14ac:dyDescent="0.25">
      <c r="A5015">
        <v>5</v>
      </c>
      <c r="B5015">
        <v>19</v>
      </c>
      <c r="C5015">
        <v>22</v>
      </c>
      <c r="D5015">
        <v>2</v>
      </c>
      <c r="E5015">
        <f t="shared" si="78"/>
        <v>5.6328554558238595E-10</v>
      </c>
    </row>
    <row r="5016" spans="1:5" x14ac:dyDescent="0.25">
      <c r="A5016">
        <v>5</v>
      </c>
      <c r="B5016">
        <v>19</v>
      </c>
      <c r="C5016">
        <v>23</v>
      </c>
      <c r="D5016">
        <v>1</v>
      </c>
      <c r="E5016">
        <f t="shared" si="78"/>
        <v>8.775825529000939E-11</v>
      </c>
    </row>
    <row r="5017" spans="1:5" x14ac:dyDescent="0.25">
      <c r="A5017">
        <v>5</v>
      </c>
      <c r="B5017">
        <v>19</v>
      </c>
      <c r="C5017">
        <v>24</v>
      </c>
      <c r="D5017">
        <v>0</v>
      </c>
      <c r="E5017">
        <f t="shared" si="78"/>
        <v>6.1430778703006566E-12</v>
      </c>
    </row>
    <row r="5018" spans="1:5" x14ac:dyDescent="0.25">
      <c r="A5018">
        <v>5</v>
      </c>
      <c r="B5018">
        <v>20</v>
      </c>
      <c r="C5018">
        <v>0</v>
      </c>
      <c r="D5018">
        <v>23</v>
      </c>
      <c r="E5018">
        <f t="shared" si="78"/>
        <v>6.2610242342395199E-26</v>
      </c>
    </row>
    <row r="5019" spans="1:5" x14ac:dyDescent="0.25">
      <c r="A5019">
        <v>5</v>
      </c>
      <c r="B5019">
        <v>20</v>
      </c>
      <c r="C5019">
        <v>1</v>
      </c>
      <c r="D5019">
        <v>22</v>
      </c>
      <c r="E5019">
        <f t="shared" si="78"/>
        <v>3.1200770767293607E-23</v>
      </c>
    </row>
    <row r="5020" spans="1:5" x14ac:dyDescent="0.25">
      <c r="A5020">
        <v>5</v>
      </c>
      <c r="B5020">
        <v>20</v>
      </c>
      <c r="C5020">
        <v>2</v>
      </c>
      <c r="D5020">
        <v>21</v>
      </c>
      <c r="E5020">
        <f t="shared" si="78"/>
        <v>5.4913356550436755E-21</v>
      </c>
    </row>
    <row r="5021" spans="1:5" x14ac:dyDescent="0.25">
      <c r="A5021">
        <v>5</v>
      </c>
      <c r="B5021">
        <v>20</v>
      </c>
      <c r="C5021">
        <v>3</v>
      </c>
      <c r="D5021">
        <v>20</v>
      </c>
      <c r="E5021">
        <f t="shared" si="78"/>
        <v>4.8433580477485208E-19</v>
      </c>
    </row>
    <row r="5022" spans="1:5" x14ac:dyDescent="0.25">
      <c r="A5022">
        <v>5</v>
      </c>
      <c r="B5022">
        <v>20</v>
      </c>
      <c r="C5022">
        <v>4</v>
      </c>
      <c r="D5022">
        <v>19</v>
      </c>
      <c r="E5022">
        <f t="shared" si="78"/>
        <v>2.5024016580034019E-17</v>
      </c>
    </row>
    <row r="5023" spans="1:5" x14ac:dyDescent="0.25">
      <c r="A5023">
        <v>5</v>
      </c>
      <c r="B5023">
        <v>20</v>
      </c>
      <c r="C5023">
        <v>5</v>
      </c>
      <c r="D5023">
        <v>18</v>
      </c>
      <c r="E5023">
        <f t="shared" si="78"/>
        <v>8.2865243475026993E-16</v>
      </c>
    </row>
    <row r="5024" spans="1:5" x14ac:dyDescent="0.25">
      <c r="A5024">
        <v>5</v>
      </c>
      <c r="B5024">
        <v>20</v>
      </c>
      <c r="C5024">
        <v>6</v>
      </c>
      <c r="D5024">
        <v>17</v>
      </c>
      <c r="E5024">
        <f t="shared" si="78"/>
        <v>1.8644679781881064E-14</v>
      </c>
    </row>
    <row r="5025" spans="1:5" x14ac:dyDescent="0.25">
      <c r="A5025">
        <v>5</v>
      </c>
      <c r="B5025">
        <v>20</v>
      </c>
      <c r="C5025">
        <v>7</v>
      </c>
      <c r="D5025">
        <v>16</v>
      </c>
      <c r="E5025">
        <f t="shared" si="78"/>
        <v>2.9683514001947158E-13</v>
      </c>
    </row>
    <row r="5026" spans="1:5" x14ac:dyDescent="0.25">
      <c r="A5026">
        <v>5</v>
      </c>
      <c r="B5026">
        <v>20</v>
      </c>
      <c r="C5026">
        <v>8</v>
      </c>
      <c r="D5026">
        <v>15</v>
      </c>
      <c r="E5026">
        <f t="shared" si="78"/>
        <v>3.4432876242258706E-12</v>
      </c>
    </row>
    <row r="5027" spans="1:5" x14ac:dyDescent="0.25">
      <c r="A5027">
        <v>5</v>
      </c>
      <c r="B5027">
        <v>20</v>
      </c>
      <c r="C5027">
        <v>9</v>
      </c>
      <c r="D5027">
        <v>14</v>
      </c>
      <c r="E5027">
        <f t="shared" si="78"/>
        <v>2.9737484027405244E-11</v>
      </c>
    </row>
    <row r="5028" spans="1:5" x14ac:dyDescent="0.25">
      <c r="A5028">
        <v>5</v>
      </c>
      <c r="B5028">
        <v>20</v>
      </c>
      <c r="C5028">
        <v>10</v>
      </c>
      <c r="D5028">
        <v>13</v>
      </c>
      <c r="E5028">
        <f t="shared" si="78"/>
        <v>1.9428489564571434E-10</v>
      </c>
    </row>
    <row r="5029" spans="1:5" x14ac:dyDescent="0.25">
      <c r="A5029">
        <v>5</v>
      </c>
      <c r="B5029">
        <v>20</v>
      </c>
      <c r="C5029">
        <v>11</v>
      </c>
      <c r="D5029">
        <v>12</v>
      </c>
      <c r="E5029">
        <f t="shared" si="78"/>
        <v>9.7142447822857188E-10</v>
      </c>
    </row>
    <row r="5030" spans="1:5" x14ac:dyDescent="0.25">
      <c r="A5030">
        <v>5</v>
      </c>
      <c r="B5030">
        <v>20</v>
      </c>
      <c r="C5030">
        <v>12</v>
      </c>
      <c r="D5030">
        <v>11</v>
      </c>
      <c r="E5030">
        <f t="shared" si="78"/>
        <v>3.7469229874530596E-9</v>
      </c>
    </row>
    <row r="5031" spans="1:5" x14ac:dyDescent="0.25">
      <c r="A5031">
        <v>5</v>
      </c>
      <c r="B5031">
        <v>20</v>
      </c>
      <c r="C5031">
        <v>13</v>
      </c>
      <c r="D5031">
        <v>10</v>
      </c>
      <c r="E5031">
        <f t="shared" si="78"/>
        <v>1.1202338983000688E-8</v>
      </c>
    </row>
    <row r="5032" spans="1:5" x14ac:dyDescent="0.25">
      <c r="A5032">
        <v>5</v>
      </c>
      <c r="B5032">
        <v>20</v>
      </c>
      <c r="C5032">
        <v>14</v>
      </c>
      <c r="D5032">
        <v>9</v>
      </c>
      <c r="E5032">
        <f t="shared" si="78"/>
        <v>2.6005429781965893E-8</v>
      </c>
    </row>
    <row r="5033" spans="1:5" x14ac:dyDescent="0.25">
      <c r="A5033">
        <v>5</v>
      </c>
      <c r="B5033">
        <v>20</v>
      </c>
      <c r="C5033">
        <v>15</v>
      </c>
      <c r="D5033">
        <v>8</v>
      </c>
      <c r="E5033">
        <f t="shared" si="78"/>
        <v>4.6809773607538581E-8</v>
      </c>
    </row>
    <row r="5034" spans="1:5" x14ac:dyDescent="0.25">
      <c r="A5034">
        <v>5</v>
      </c>
      <c r="B5034">
        <v>20</v>
      </c>
      <c r="C5034">
        <v>16</v>
      </c>
      <c r="D5034">
        <v>7</v>
      </c>
      <c r="E5034">
        <f t="shared" si="78"/>
        <v>6.501357445491472E-8</v>
      </c>
    </row>
    <row r="5035" spans="1:5" x14ac:dyDescent="0.25">
      <c r="A5035">
        <v>5</v>
      </c>
      <c r="B5035">
        <v>20</v>
      </c>
      <c r="C5035">
        <v>17</v>
      </c>
      <c r="D5035">
        <v>6</v>
      </c>
      <c r="E5035">
        <f t="shared" si="78"/>
        <v>6.9039182780296451E-8</v>
      </c>
    </row>
    <row r="5036" spans="1:5" x14ac:dyDescent="0.25">
      <c r="A5036">
        <v>5</v>
      </c>
      <c r="B5036">
        <v>20</v>
      </c>
      <c r="C5036">
        <v>18</v>
      </c>
      <c r="D5036">
        <v>5</v>
      </c>
      <c r="E5036">
        <f t="shared" si="78"/>
        <v>5.5231346224237114E-8</v>
      </c>
    </row>
    <row r="5037" spans="1:5" x14ac:dyDescent="0.25">
      <c r="A5037">
        <v>5</v>
      </c>
      <c r="B5037">
        <v>20</v>
      </c>
      <c r="C5037">
        <v>19</v>
      </c>
      <c r="D5037">
        <v>4</v>
      </c>
      <c r="E5037">
        <f t="shared" si="78"/>
        <v>3.2529740257382784E-8</v>
      </c>
    </row>
    <row r="5038" spans="1:5" x14ac:dyDescent="0.25">
      <c r="A5038">
        <v>5</v>
      </c>
      <c r="B5038">
        <v>20</v>
      </c>
      <c r="C5038">
        <v>20</v>
      </c>
      <c r="D5038">
        <v>3</v>
      </c>
      <c r="E5038">
        <f t="shared" si="78"/>
        <v>1.3603345925814628E-8</v>
      </c>
    </row>
    <row r="5039" spans="1:5" x14ac:dyDescent="0.25">
      <c r="A5039">
        <v>5</v>
      </c>
      <c r="B5039">
        <v>20</v>
      </c>
      <c r="C5039">
        <v>21</v>
      </c>
      <c r="D5039">
        <v>2</v>
      </c>
      <c r="E5039">
        <f t="shared" si="78"/>
        <v>3.8021774326811022E-9</v>
      </c>
    </row>
    <row r="5040" spans="1:5" x14ac:dyDescent="0.25">
      <c r="A5040">
        <v>5</v>
      </c>
      <c r="B5040">
        <v>20</v>
      </c>
      <c r="C5040">
        <v>22</v>
      </c>
      <c r="D5040">
        <v>1</v>
      </c>
      <c r="E5040">
        <f t="shared" si="78"/>
        <v>6.3369623878018415E-10</v>
      </c>
    </row>
    <row r="5041" spans="1:5" x14ac:dyDescent="0.25">
      <c r="A5041">
        <v>5</v>
      </c>
      <c r="B5041">
        <v>20</v>
      </c>
      <c r="C5041">
        <v>23</v>
      </c>
      <c r="D5041">
        <v>0</v>
      </c>
      <c r="E5041">
        <f t="shared" si="78"/>
        <v>4.7389457856605063E-11</v>
      </c>
    </row>
    <row r="5042" spans="1:5" x14ac:dyDescent="0.25">
      <c r="A5042">
        <v>5</v>
      </c>
      <c r="B5042">
        <v>21</v>
      </c>
      <c r="C5042">
        <v>0</v>
      </c>
      <c r="D5042">
        <v>22</v>
      </c>
      <c r="E5042">
        <f t="shared" si="78"/>
        <v>6.1487233233714157E-24</v>
      </c>
    </row>
    <row r="5043" spans="1:5" x14ac:dyDescent="0.25">
      <c r="A5043">
        <v>5</v>
      </c>
      <c r="B5043">
        <v>21</v>
      </c>
      <c r="C5043">
        <v>1</v>
      </c>
      <c r="D5043">
        <v>21</v>
      </c>
      <c r="E5043">
        <f t="shared" si="78"/>
        <v>2.1981685881052814E-21</v>
      </c>
    </row>
    <row r="5044" spans="1:5" x14ac:dyDescent="0.25">
      <c r="A5044">
        <v>5</v>
      </c>
      <c r="B5044">
        <v>21</v>
      </c>
      <c r="C5044">
        <v>2</v>
      </c>
      <c r="D5044">
        <v>20</v>
      </c>
      <c r="E5044">
        <f t="shared" si="78"/>
        <v>2.9543385824134977E-19</v>
      </c>
    </row>
    <row r="5045" spans="1:5" x14ac:dyDescent="0.25">
      <c r="A5045">
        <v>5</v>
      </c>
      <c r="B5045">
        <v>21</v>
      </c>
      <c r="C5045">
        <v>3</v>
      </c>
      <c r="D5045">
        <v>19</v>
      </c>
      <c r="E5045">
        <f t="shared" si="78"/>
        <v>2.0680370076894481E-17</v>
      </c>
    </row>
    <row r="5046" spans="1:5" x14ac:dyDescent="0.25">
      <c r="A5046">
        <v>5</v>
      </c>
      <c r="B5046">
        <v>21</v>
      </c>
      <c r="C5046">
        <v>4</v>
      </c>
      <c r="D5046">
        <v>18</v>
      </c>
      <c r="E5046">
        <f t="shared" si="78"/>
        <v>8.7005271252077535E-16</v>
      </c>
    </row>
    <row r="5047" spans="1:5" x14ac:dyDescent="0.25">
      <c r="A5047">
        <v>5</v>
      </c>
      <c r="B5047">
        <v>21</v>
      </c>
      <c r="C5047">
        <v>5</v>
      </c>
      <c r="D5047">
        <v>17</v>
      </c>
      <c r="E5047">
        <f t="shared" si="78"/>
        <v>2.3882946958695279E-14</v>
      </c>
    </row>
    <row r="5048" spans="1:5" x14ac:dyDescent="0.25">
      <c r="A5048">
        <v>5</v>
      </c>
      <c r="B5048">
        <v>21</v>
      </c>
      <c r="C5048">
        <v>6</v>
      </c>
      <c r="D5048">
        <v>16</v>
      </c>
      <c r="E5048">
        <f t="shared" si="78"/>
        <v>4.511223314420219E-13</v>
      </c>
    </row>
    <row r="5049" spans="1:5" x14ac:dyDescent="0.25">
      <c r="A5049">
        <v>5</v>
      </c>
      <c r="B5049">
        <v>21</v>
      </c>
      <c r="C5049">
        <v>7</v>
      </c>
      <c r="D5049">
        <v>15</v>
      </c>
      <c r="E5049">
        <f t="shared" si="78"/>
        <v>6.0837068697324088E-12</v>
      </c>
    </row>
    <row r="5050" spans="1:5" x14ac:dyDescent="0.25">
      <c r="A5050">
        <v>5</v>
      </c>
      <c r="B5050">
        <v>21</v>
      </c>
      <c r="C5050">
        <v>8</v>
      </c>
      <c r="D5050">
        <v>14</v>
      </c>
      <c r="E5050">
        <f t="shared" si="78"/>
        <v>6.0145738371218163E-11</v>
      </c>
    </row>
    <row r="5051" spans="1:5" x14ac:dyDescent="0.25">
      <c r="A5051">
        <v>5</v>
      </c>
      <c r="B5051">
        <v>21</v>
      </c>
      <c r="C5051">
        <v>9</v>
      </c>
      <c r="D5051">
        <v>13</v>
      </c>
      <c r="E5051">
        <f t="shared" si="78"/>
        <v>4.4441017796511191E-10</v>
      </c>
    </row>
    <row r="5052" spans="1:5" x14ac:dyDescent="0.25">
      <c r="A5052">
        <v>5</v>
      </c>
      <c r="B5052">
        <v>21</v>
      </c>
      <c r="C5052">
        <v>10</v>
      </c>
      <c r="D5052">
        <v>12</v>
      </c>
      <c r="E5052">
        <f t="shared" si="78"/>
        <v>2.4886969966046273E-9</v>
      </c>
    </row>
    <row r="5053" spans="1:5" x14ac:dyDescent="0.25">
      <c r="A5053">
        <v>5</v>
      </c>
      <c r="B5053">
        <v>21</v>
      </c>
      <c r="C5053">
        <v>11</v>
      </c>
      <c r="D5053">
        <v>11</v>
      </c>
      <c r="E5053">
        <f t="shared" si="78"/>
        <v>1.0665844271162685E-8</v>
      </c>
    </row>
    <row r="5054" spans="1:5" x14ac:dyDescent="0.25">
      <c r="A5054">
        <v>5</v>
      </c>
      <c r="B5054">
        <v>21</v>
      </c>
      <c r="C5054">
        <v>12</v>
      </c>
      <c r="D5054">
        <v>10</v>
      </c>
      <c r="E5054">
        <f t="shared" si="78"/>
        <v>3.5197286094836839E-8</v>
      </c>
    </row>
    <row r="5055" spans="1:5" x14ac:dyDescent="0.25">
      <c r="A5055">
        <v>5</v>
      </c>
      <c r="B5055">
        <v>21</v>
      </c>
      <c r="C5055">
        <v>13</v>
      </c>
      <c r="D5055">
        <v>9</v>
      </c>
      <c r="E5055">
        <f t="shared" si="78"/>
        <v>8.9685392453190081E-8</v>
      </c>
    </row>
    <row r="5056" spans="1:5" x14ac:dyDescent="0.25">
      <c r="A5056">
        <v>5</v>
      </c>
      <c r="B5056">
        <v>21</v>
      </c>
      <c r="C5056">
        <v>14</v>
      </c>
      <c r="D5056">
        <v>8</v>
      </c>
      <c r="E5056">
        <f t="shared" si="78"/>
        <v>1.7635614986593682E-7</v>
      </c>
    </row>
    <row r="5057" spans="1:5" x14ac:dyDescent="0.25">
      <c r="A5057">
        <v>5</v>
      </c>
      <c r="B5057">
        <v>21</v>
      </c>
      <c r="C5057">
        <v>15</v>
      </c>
      <c r="D5057">
        <v>7</v>
      </c>
      <c r="E5057">
        <f t="shared" si="78"/>
        <v>2.664937375751934E-7</v>
      </c>
    </row>
    <row r="5058" spans="1:5" x14ac:dyDescent="0.25">
      <c r="A5058">
        <v>5</v>
      </c>
      <c r="B5058">
        <v>21</v>
      </c>
      <c r="C5058">
        <v>16</v>
      </c>
      <c r="D5058">
        <v>6</v>
      </c>
      <c r="E5058">
        <f t="shared" si="78"/>
        <v>3.068184478661765E-7</v>
      </c>
    </row>
    <row r="5059" spans="1:5" x14ac:dyDescent="0.25">
      <c r="A5059">
        <v>5</v>
      </c>
      <c r="B5059">
        <v>21</v>
      </c>
      <c r="C5059">
        <v>17</v>
      </c>
      <c r="D5059">
        <v>5</v>
      </c>
      <c r="E5059">
        <f t="shared" si="78"/>
        <v>2.653077166842822E-7</v>
      </c>
    </row>
    <row r="5060" spans="1:5" x14ac:dyDescent="0.25">
      <c r="A5060">
        <v>5</v>
      </c>
      <c r="B5060">
        <v>21</v>
      </c>
      <c r="C5060">
        <v>18</v>
      </c>
      <c r="D5060">
        <v>4</v>
      </c>
      <c r="E5060">
        <f t="shared" si="78"/>
        <v>1.6844934392652826E-7</v>
      </c>
    </row>
    <row r="5061" spans="1:5" x14ac:dyDescent="0.25">
      <c r="A5061">
        <v>5</v>
      </c>
      <c r="B5061">
        <v>21</v>
      </c>
      <c r="C5061">
        <v>19</v>
      </c>
      <c r="D5061">
        <v>3</v>
      </c>
      <c r="E5061">
        <f t="shared" si="78"/>
        <v>7.5761905880830912E-8</v>
      </c>
    </row>
    <row r="5062" spans="1:5" x14ac:dyDescent="0.25">
      <c r="A5062">
        <v>5</v>
      </c>
      <c r="B5062">
        <v>21</v>
      </c>
      <c r="C5062">
        <v>20</v>
      </c>
      <c r="D5062">
        <v>2</v>
      </c>
      <c r="E5062">
        <f t="shared" si="78"/>
        <v>2.2728571764249291E-8</v>
      </c>
    </row>
    <row r="5063" spans="1:5" x14ac:dyDescent="0.25">
      <c r="A5063">
        <v>5</v>
      </c>
      <c r="B5063">
        <v>21</v>
      </c>
      <c r="C5063">
        <v>21</v>
      </c>
      <c r="D5063">
        <v>1</v>
      </c>
      <c r="E5063">
        <f t="shared" si="78"/>
        <v>4.0586735293302259E-9</v>
      </c>
    </row>
    <row r="5064" spans="1:5" x14ac:dyDescent="0.25">
      <c r="A5064">
        <v>5</v>
      </c>
      <c r="B5064">
        <v>21</v>
      </c>
      <c r="C5064">
        <v>22</v>
      </c>
      <c r="D5064">
        <v>0</v>
      </c>
      <c r="E5064">
        <f t="shared" si="78"/>
        <v>3.2469388234641827E-10</v>
      </c>
    </row>
    <row r="5065" spans="1:5" x14ac:dyDescent="0.25">
      <c r="A5065">
        <v>5</v>
      </c>
      <c r="B5065">
        <v>22</v>
      </c>
      <c r="C5065">
        <v>0</v>
      </c>
      <c r="D5065">
        <v>21</v>
      </c>
      <c r="E5065">
        <f t="shared" si="78"/>
        <v>4.1196446266588486E-22</v>
      </c>
    </row>
    <row r="5066" spans="1:5" x14ac:dyDescent="0.25">
      <c r="A5066">
        <v>5</v>
      </c>
      <c r="B5066">
        <v>22</v>
      </c>
      <c r="C5066">
        <v>1</v>
      </c>
      <c r="D5066">
        <v>20</v>
      </c>
      <c r="E5066">
        <f t="shared" si="78"/>
        <v>1.1246629830778654E-19</v>
      </c>
    </row>
    <row r="5067" spans="1:5" x14ac:dyDescent="0.25">
      <c r="A5067">
        <v>5</v>
      </c>
      <c r="B5067">
        <v>22</v>
      </c>
      <c r="C5067">
        <v>2</v>
      </c>
      <c r="D5067">
        <v>19</v>
      </c>
      <c r="E5067">
        <f t="shared" si="78"/>
        <v>1.1996405152830563E-17</v>
      </c>
    </row>
    <row r="5068" spans="1:5" x14ac:dyDescent="0.25">
      <c r="A5068">
        <v>5</v>
      </c>
      <c r="B5068">
        <v>22</v>
      </c>
      <c r="C5068">
        <v>3</v>
      </c>
      <c r="D5068">
        <v>18</v>
      </c>
      <c r="E5068">
        <f t="shared" si="78"/>
        <v>6.8379509371134235E-16</v>
      </c>
    </row>
    <row r="5069" spans="1:5" x14ac:dyDescent="0.25">
      <c r="A5069">
        <v>5</v>
      </c>
      <c r="B5069">
        <v>22</v>
      </c>
      <c r="C5069">
        <v>4</v>
      </c>
      <c r="D5069">
        <v>17</v>
      </c>
      <c r="E5069">
        <f t="shared" si="78"/>
        <v>2.3847353893183059E-14</v>
      </c>
    </row>
    <row r="5070" spans="1:5" x14ac:dyDescent="0.25">
      <c r="A5070">
        <v>5</v>
      </c>
      <c r="B5070">
        <v>22</v>
      </c>
      <c r="C5070">
        <v>5</v>
      </c>
      <c r="D5070">
        <v>16</v>
      </c>
      <c r="E5070">
        <f t="shared" ref="E5070:E5133" si="79">COMBIN(A$4,A5070)*COMBIN(B$4,B5070)*COMBIN(C$4,C5070)*COMBIN(D$4,D5070)/COMBIN($G$4,$F$4)</f>
        <v>5.4954902193846305E-13</v>
      </c>
    </row>
    <row r="5071" spans="1:5" x14ac:dyDescent="0.25">
      <c r="A5071">
        <v>5</v>
      </c>
      <c r="B5071">
        <v>22</v>
      </c>
      <c r="C5071">
        <v>6</v>
      </c>
      <c r="D5071">
        <v>15</v>
      </c>
      <c r="E5071">
        <f t="shared" si="79"/>
        <v>8.7927843510154071E-12</v>
      </c>
    </row>
    <row r="5072" spans="1:5" x14ac:dyDescent="0.25">
      <c r="A5072">
        <v>5</v>
      </c>
      <c r="B5072">
        <v>22</v>
      </c>
      <c r="C5072">
        <v>7</v>
      </c>
      <c r="D5072">
        <v>14</v>
      </c>
      <c r="E5072">
        <f t="shared" si="79"/>
        <v>1.0105992403439786E-10</v>
      </c>
    </row>
    <row r="5073" spans="1:5" x14ac:dyDescent="0.25">
      <c r="A5073">
        <v>5</v>
      </c>
      <c r="B5073">
        <v>22</v>
      </c>
      <c r="C5073">
        <v>8</v>
      </c>
      <c r="D5073">
        <v>13</v>
      </c>
      <c r="E5073">
        <f t="shared" si="79"/>
        <v>8.5479852412428232E-10</v>
      </c>
    </row>
    <row r="5074" spans="1:5" x14ac:dyDescent="0.25">
      <c r="A5074">
        <v>5</v>
      </c>
      <c r="B5074">
        <v>22</v>
      </c>
      <c r="C5074">
        <v>9</v>
      </c>
      <c r="D5074">
        <v>12</v>
      </c>
      <c r="E5074">
        <f t="shared" si="79"/>
        <v>5.413723986120453E-9</v>
      </c>
    </row>
    <row r="5075" spans="1:5" x14ac:dyDescent="0.25">
      <c r="A5075">
        <v>5</v>
      </c>
      <c r="B5075">
        <v>22</v>
      </c>
      <c r="C5075">
        <v>10</v>
      </c>
      <c r="D5075">
        <v>11</v>
      </c>
      <c r="E5075">
        <f t="shared" si="79"/>
        <v>2.5985875133378177E-8</v>
      </c>
    </row>
    <row r="5076" spans="1:5" x14ac:dyDescent="0.25">
      <c r="A5076">
        <v>5</v>
      </c>
      <c r="B5076">
        <v>22</v>
      </c>
      <c r="C5076">
        <v>11</v>
      </c>
      <c r="D5076">
        <v>10</v>
      </c>
      <c r="E5076">
        <f t="shared" si="79"/>
        <v>9.5281542155719978E-8</v>
      </c>
    </row>
    <row r="5077" spans="1:5" x14ac:dyDescent="0.25">
      <c r="A5077">
        <v>5</v>
      </c>
      <c r="B5077">
        <v>22</v>
      </c>
      <c r="C5077">
        <v>12</v>
      </c>
      <c r="D5077">
        <v>9</v>
      </c>
      <c r="E5077">
        <f t="shared" si="79"/>
        <v>2.6797933731296229E-7</v>
      </c>
    </row>
    <row r="5078" spans="1:5" x14ac:dyDescent="0.25">
      <c r="A5078">
        <v>5</v>
      </c>
      <c r="B5078">
        <v>22</v>
      </c>
      <c r="C5078">
        <v>13</v>
      </c>
      <c r="D5078">
        <v>8</v>
      </c>
      <c r="E5078">
        <f t="shared" si="79"/>
        <v>5.7839884116870172E-7</v>
      </c>
    </row>
    <row r="5079" spans="1:5" x14ac:dyDescent="0.25">
      <c r="A5079">
        <v>5</v>
      </c>
      <c r="B5079">
        <v>22</v>
      </c>
      <c r="C5079">
        <v>14</v>
      </c>
      <c r="D5079">
        <v>7</v>
      </c>
      <c r="E5079">
        <f t="shared" si="79"/>
        <v>9.5481713462769848E-7</v>
      </c>
    </row>
    <row r="5080" spans="1:5" x14ac:dyDescent="0.25">
      <c r="A5080">
        <v>5</v>
      </c>
      <c r="B5080">
        <v>22</v>
      </c>
      <c r="C5080">
        <v>15</v>
      </c>
      <c r="D5080">
        <v>6</v>
      </c>
      <c r="E5080">
        <f t="shared" si="79"/>
        <v>1.1960340949546949E-6</v>
      </c>
    </row>
    <row r="5081" spans="1:5" x14ac:dyDescent="0.25">
      <c r="A5081">
        <v>5</v>
      </c>
      <c r="B5081">
        <v>22</v>
      </c>
      <c r="C5081">
        <v>16</v>
      </c>
      <c r="D5081">
        <v>5</v>
      </c>
      <c r="E5081">
        <f t="shared" si="79"/>
        <v>1.1212819640200268E-6</v>
      </c>
    </row>
    <row r="5082" spans="1:5" x14ac:dyDescent="0.25">
      <c r="A5082">
        <v>5</v>
      </c>
      <c r="B5082">
        <v>22</v>
      </c>
      <c r="C5082">
        <v>17</v>
      </c>
      <c r="D5082">
        <v>4</v>
      </c>
      <c r="E5082">
        <f t="shared" si="79"/>
        <v>7.6950723020982284E-7</v>
      </c>
    </row>
    <row r="5083" spans="1:5" x14ac:dyDescent="0.25">
      <c r="A5083">
        <v>5</v>
      </c>
      <c r="B5083">
        <v>22</v>
      </c>
      <c r="C5083">
        <v>18</v>
      </c>
      <c r="D5083">
        <v>3</v>
      </c>
      <c r="E5083">
        <f t="shared" si="79"/>
        <v>3.7309441464718641E-7</v>
      </c>
    </row>
    <row r="5084" spans="1:5" x14ac:dyDescent="0.25">
      <c r="A5084">
        <v>5</v>
      </c>
      <c r="B5084">
        <v>22</v>
      </c>
      <c r="C5084">
        <v>19</v>
      </c>
      <c r="D5084">
        <v>2</v>
      </c>
      <c r="E5084">
        <f t="shared" si="79"/>
        <v>1.2038057772369179E-7</v>
      </c>
    </row>
    <row r="5085" spans="1:5" x14ac:dyDescent="0.25">
      <c r="A5085">
        <v>5</v>
      </c>
      <c r="B5085">
        <v>22</v>
      </c>
      <c r="C5085">
        <v>20</v>
      </c>
      <c r="D5085">
        <v>1</v>
      </c>
      <c r="E5085">
        <f t="shared" si="79"/>
        <v>2.3072944063707611E-8</v>
      </c>
    </row>
    <row r="5086" spans="1:5" x14ac:dyDescent="0.25">
      <c r="A5086">
        <v>5</v>
      </c>
      <c r="B5086">
        <v>22</v>
      </c>
      <c r="C5086">
        <v>21</v>
      </c>
      <c r="D5086">
        <v>0</v>
      </c>
      <c r="E5086">
        <f t="shared" si="79"/>
        <v>1.9776809197463642E-9</v>
      </c>
    </row>
    <row r="5087" spans="1:5" x14ac:dyDescent="0.25">
      <c r="A5087">
        <v>5</v>
      </c>
      <c r="B5087">
        <v>23</v>
      </c>
      <c r="C5087">
        <v>0</v>
      </c>
      <c r="D5087">
        <v>20</v>
      </c>
      <c r="E5087">
        <f t="shared" si="79"/>
        <v>2.0085954279718386E-20</v>
      </c>
    </row>
    <row r="5088" spans="1:5" x14ac:dyDescent="0.25">
      <c r="A5088">
        <v>5</v>
      </c>
      <c r="B5088">
        <v>23</v>
      </c>
      <c r="C5088">
        <v>1</v>
      </c>
      <c r="D5088">
        <v>19</v>
      </c>
      <c r="E5088">
        <f t="shared" si="79"/>
        <v>4.3519567606056505E-18</v>
      </c>
    </row>
    <row r="5089" spans="1:5" x14ac:dyDescent="0.25">
      <c r="A5089">
        <v>5</v>
      </c>
      <c r="B5089">
        <v>23</v>
      </c>
      <c r="C5089">
        <v>2</v>
      </c>
      <c r="D5089">
        <v>18</v>
      </c>
      <c r="E5089">
        <f t="shared" si="79"/>
        <v>3.7799853006403386E-16</v>
      </c>
    </row>
    <row r="5090" spans="1:5" x14ac:dyDescent="0.25">
      <c r="A5090">
        <v>5</v>
      </c>
      <c r="B5090">
        <v>23</v>
      </c>
      <c r="C5090">
        <v>3</v>
      </c>
      <c r="D5090">
        <v>17</v>
      </c>
      <c r="E5090">
        <f t="shared" si="79"/>
        <v>1.7860430545525592E-14</v>
      </c>
    </row>
    <row r="5091" spans="1:5" x14ac:dyDescent="0.25">
      <c r="A5091">
        <v>5</v>
      </c>
      <c r="B5091">
        <v>23</v>
      </c>
      <c r="C5091">
        <v>4</v>
      </c>
      <c r="D5091">
        <v>16</v>
      </c>
      <c r="E5091">
        <f t="shared" si="79"/>
        <v>5.2291371652733264E-13</v>
      </c>
    </row>
    <row r="5092" spans="1:5" x14ac:dyDescent="0.25">
      <c r="A5092">
        <v>5</v>
      </c>
      <c r="B5092">
        <v>23</v>
      </c>
      <c r="C5092">
        <v>5</v>
      </c>
      <c r="D5092">
        <v>15</v>
      </c>
      <c r="E5092">
        <f t="shared" si="79"/>
        <v>1.0207275746613534E-11</v>
      </c>
    </row>
    <row r="5093" spans="1:5" x14ac:dyDescent="0.25">
      <c r="A5093">
        <v>5</v>
      </c>
      <c r="B5093">
        <v>23</v>
      </c>
      <c r="C5093">
        <v>6</v>
      </c>
      <c r="D5093">
        <v>14</v>
      </c>
      <c r="E5093">
        <f t="shared" si="79"/>
        <v>1.3919012381745727E-10</v>
      </c>
    </row>
    <row r="5094" spans="1:5" x14ac:dyDescent="0.25">
      <c r="A5094">
        <v>5</v>
      </c>
      <c r="B5094">
        <v>23</v>
      </c>
      <c r="C5094">
        <v>7</v>
      </c>
      <c r="D5094">
        <v>13</v>
      </c>
      <c r="E5094">
        <f t="shared" si="79"/>
        <v>1.3687028842049967E-9</v>
      </c>
    </row>
    <row r="5095" spans="1:5" x14ac:dyDescent="0.25">
      <c r="A5095">
        <v>5</v>
      </c>
      <c r="B5095">
        <v>23</v>
      </c>
      <c r="C5095">
        <v>8</v>
      </c>
      <c r="D5095">
        <v>12</v>
      </c>
      <c r="E5095">
        <f t="shared" si="79"/>
        <v>9.9230959104862296E-9</v>
      </c>
    </row>
    <row r="5096" spans="1:5" x14ac:dyDescent="0.25">
      <c r="A5096">
        <v>5</v>
      </c>
      <c r="B5096">
        <v>23</v>
      </c>
      <c r="C5096">
        <v>9</v>
      </c>
      <c r="D5096">
        <v>11</v>
      </c>
      <c r="E5096">
        <f t="shared" si="79"/>
        <v>5.3868234942639506E-8</v>
      </c>
    </row>
    <row r="5097" spans="1:5" x14ac:dyDescent="0.25">
      <c r="A5097">
        <v>5</v>
      </c>
      <c r="B5097">
        <v>23</v>
      </c>
      <c r="C5097">
        <v>10</v>
      </c>
      <c r="D5097">
        <v>10</v>
      </c>
      <c r="E5097">
        <f t="shared" si="79"/>
        <v>2.2121888483110626E-7</v>
      </c>
    </row>
    <row r="5098" spans="1:5" x14ac:dyDescent="0.25">
      <c r="A5098">
        <v>5</v>
      </c>
      <c r="B5098">
        <v>23</v>
      </c>
      <c r="C5098">
        <v>11</v>
      </c>
      <c r="D5098">
        <v>9</v>
      </c>
      <c r="E5098">
        <f t="shared" si="79"/>
        <v>6.9130901509720713E-7</v>
      </c>
    </row>
    <row r="5099" spans="1:5" x14ac:dyDescent="0.25">
      <c r="A5099">
        <v>5</v>
      </c>
      <c r="B5099">
        <v>23</v>
      </c>
      <c r="C5099">
        <v>12</v>
      </c>
      <c r="D5099">
        <v>8</v>
      </c>
      <c r="E5099">
        <f t="shared" si="79"/>
        <v>1.6469420653786395E-6</v>
      </c>
    </row>
    <row r="5100" spans="1:5" x14ac:dyDescent="0.25">
      <c r="A5100">
        <v>5</v>
      </c>
      <c r="B5100">
        <v>23</v>
      </c>
      <c r="C5100">
        <v>13</v>
      </c>
      <c r="D5100">
        <v>7</v>
      </c>
      <c r="E5100">
        <f t="shared" si="79"/>
        <v>2.9842027167544601E-6</v>
      </c>
    </row>
    <row r="5101" spans="1:5" x14ac:dyDescent="0.25">
      <c r="A5101">
        <v>5</v>
      </c>
      <c r="B5101">
        <v>23</v>
      </c>
      <c r="C5101">
        <v>14</v>
      </c>
      <c r="D5101">
        <v>6</v>
      </c>
      <c r="E5101">
        <f t="shared" si="79"/>
        <v>4.0836458229271552E-6</v>
      </c>
    </row>
    <row r="5102" spans="1:5" x14ac:dyDescent="0.25">
      <c r="A5102">
        <v>5</v>
      </c>
      <c r="B5102">
        <v>23</v>
      </c>
      <c r="C5102">
        <v>15</v>
      </c>
      <c r="D5102">
        <v>5</v>
      </c>
      <c r="E5102">
        <f t="shared" si="79"/>
        <v>4.1653187393856965E-6</v>
      </c>
    </row>
    <row r="5103" spans="1:5" x14ac:dyDescent="0.25">
      <c r="A5103">
        <v>5</v>
      </c>
      <c r="B5103">
        <v>23</v>
      </c>
      <c r="C5103">
        <v>16</v>
      </c>
      <c r="D5103">
        <v>4</v>
      </c>
      <c r="E5103">
        <f t="shared" si="79"/>
        <v>3.0991954906143588E-6</v>
      </c>
    </row>
    <row r="5104" spans="1:5" x14ac:dyDescent="0.25">
      <c r="A5104">
        <v>5</v>
      </c>
      <c r="B5104">
        <v>23</v>
      </c>
      <c r="C5104">
        <v>17</v>
      </c>
      <c r="D5104">
        <v>3</v>
      </c>
      <c r="E5104">
        <f t="shared" si="79"/>
        <v>1.6241773159369377E-6</v>
      </c>
    </row>
    <row r="5105" spans="1:5" x14ac:dyDescent="0.25">
      <c r="A5105">
        <v>5</v>
      </c>
      <c r="B5105">
        <v>23</v>
      </c>
      <c r="C5105">
        <v>18</v>
      </c>
      <c r="D5105">
        <v>2</v>
      </c>
      <c r="E5105">
        <f t="shared" si="79"/>
        <v>5.6493124032589065E-7</v>
      </c>
    </row>
    <row r="5106" spans="1:5" x14ac:dyDescent="0.25">
      <c r="A5106">
        <v>5</v>
      </c>
      <c r="B5106">
        <v>23</v>
      </c>
      <c r="C5106">
        <v>19</v>
      </c>
      <c r="D5106">
        <v>1</v>
      </c>
      <c r="E5106">
        <f t="shared" si="79"/>
        <v>1.1645512410226699E-7</v>
      </c>
    </row>
    <row r="5107" spans="1:5" x14ac:dyDescent="0.25">
      <c r="A5107">
        <v>5</v>
      </c>
      <c r="B5107">
        <v>23</v>
      </c>
      <c r="C5107">
        <v>20</v>
      </c>
      <c r="D5107">
        <v>0</v>
      </c>
      <c r="E5107">
        <f t="shared" si="79"/>
        <v>1.0713871417408573E-8</v>
      </c>
    </row>
    <row r="5108" spans="1:5" x14ac:dyDescent="0.25">
      <c r="A5108">
        <v>5</v>
      </c>
      <c r="B5108">
        <v>24</v>
      </c>
      <c r="C5108">
        <v>0</v>
      </c>
      <c r="D5108">
        <v>19</v>
      </c>
      <c r="E5108">
        <f t="shared" si="79"/>
        <v>7.4206442200070747E-19</v>
      </c>
    </row>
    <row r="5109" spans="1:5" x14ac:dyDescent="0.25">
      <c r="A5109">
        <v>5</v>
      </c>
      <c r="B5109">
        <v>24</v>
      </c>
      <c r="C5109">
        <v>1</v>
      </c>
      <c r="D5109">
        <v>18</v>
      </c>
      <c r="E5109">
        <f t="shared" si="79"/>
        <v>1.3092136588155346E-16</v>
      </c>
    </row>
    <row r="5110" spans="1:5" x14ac:dyDescent="0.25">
      <c r="A5110">
        <v>5</v>
      </c>
      <c r="B5110">
        <v>24</v>
      </c>
      <c r="C5110">
        <v>2</v>
      </c>
      <c r="D5110">
        <v>17</v>
      </c>
      <c r="E5110">
        <f t="shared" si="79"/>
        <v>9.4263383434718466E-15</v>
      </c>
    </row>
    <row r="5111" spans="1:5" x14ac:dyDescent="0.25">
      <c r="A5111">
        <v>5</v>
      </c>
      <c r="B5111">
        <v>24</v>
      </c>
      <c r="C5111">
        <v>3</v>
      </c>
      <c r="D5111">
        <v>16</v>
      </c>
      <c r="E5111">
        <f t="shared" si="79"/>
        <v>3.7391142095771656E-13</v>
      </c>
    </row>
    <row r="5112" spans="1:5" x14ac:dyDescent="0.25">
      <c r="A5112">
        <v>5</v>
      </c>
      <c r="B5112">
        <v>24</v>
      </c>
      <c r="C5112">
        <v>4</v>
      </c>
      <c r="D5112">
        <v>15</v>
      </c>
      <c r="E5112">
        <f t="shared" si="79"/>
        <v>9.2730032397513704E-12</v>
      </c>
    </row>
    <row r="5113" spans="1:5" x14ac:dyDescent="0.25">
      <c r="A5113">
        <v>5</v>
      </c>
      <c r="B5113">
        <v>24</v>
      </c>
      <c r="C5113">
        <v>5</v>
      </c>
      <c r="D5113">
        <v>14</v>
      </c>
      <c r="E5113">
        <f t="shared" si="79"/>
        <v>1.542690538976819E-10</v>
      </c>
    </row>
    <row r="5114" spans="1:5" x14ac:dyDescent="0.25">
      <c r="A5114">
        <v>5</v>
      </c>
      <c r="B5114">
        <v>24</v>
      </c>
      <c r="C5114">
        <v>6</v>
      </c>
      <c r="D5114">
        <v>13</v>
      </c>
      <c r="E5114">
        <f t="shared" si="79"/>
        <v>1.7998056288062892E-9</v>
      </c>
    </row>
    <row r="5115" spans="1:5" x14ac:dyDescent="0.25">
      <c r="A5115">
        <v>5</v>
      </c>
      <c r="B5115">
        <v>24</v>
      </c>
      <c r="C5115">
        <v>7</v>
      </c>
      <c r="D5115">
        <v>12</v>
      </c>
      <c r="E5115">
        <f t="shared" si="79"/>
        <v>1.5169790299938723E-8</v>
      </c>
    </row>
    <row r="5116" spans="1:5" x14ac:dyDescent="0.25">
      <c r="A5116">
        <v>5</v>
      </c>
      <c r="B5116">
        <v>24</v>
      </c>
      <c r="C5116">
        <v>8</v>
      </c>
      <c r="D5116">
        <v>11</v>
      </c>
      <c r="E5116">
        <f t="shared" si="79"/>
        <v>9.4269411149619215E-8</v>
      </c>
    </row>
    <row r="5117" spans="1:5" x14ac:dyDescent="0.25">
      <c r="A5117">
        <v>5</v>
      </c>
      <c r="B5117">
        <v>24</v>
      </c>
      <c r="C5117">
        <v>9</v>
      </c>
      <c r="D5117">
        <v>10</v>
      </c>
      <c r="E5117">
        <f t="shared" si="79"/>
        <v>4.3782904289489795E-7</v>
      </c>
    </row>
    <row r="5118" spans="1:5" x14ac:dyDescent="0.25">
      <c r="A5118">
        <v>5</v>
      </c>
      <c r="B5118">
        <v>24</v>
      </c>
      <c r="C5118">
        <v>10</v>
      </c>
      <c r="D5118">
        <v>9</v>
      </c>
      <c r="E5118">
        <f t="shared" si="79"/>
        <v>1.5324016501321433E-6</v>
      </c>
    </row>
    <row r="5119" spans="1:5" x14ac:dyDescent="0.25">
      <c r="A5119">
        <v>5</v>
      </c>
      <c r="B5119">
        <v>24</v>
      </c>
      <c r="C5119">
        <v>11</v>
      </c>
      <c r="D5119">
        <v>8</v>
      </c>
      <c r="E5119">
        <f t="shared" si="79"/>
        <v>4.0563573091733206E-6</v>
      </c>
    </row>
    <row r="5120" spans="1:5" x14ac:dyDescent="0.25">
      <c r="A5120">
        <v>5</v>
      </c>
      <c r="B5120">
        <v>24</v>
      </c>
      <c r="C5120">
        <v>12</v>
      </c>
      <c r="D5120">
        <v>7</v>
      </c>
      <c r="E5120">
        <f t="shared" si="79"/>
        <v>8.1127146183466378E-6</v>
      </c>
    </row>
    <row r="5121" spans="1:5" x14ac:dyDescent="0.25">
      <c r="A5121">
        <v>5</v>
      </c>
      <c r="B5121">
        <v>24</v>
      </c>
      <c r="C5121">
        <v>13</v>
      </c>
      <c r="D5121">
        <v>6</v>
      </c>
      <c r="E5121">
        <f t="shared" si="79"/>
        <v>1.2185494426747382E-5</v>
      </c>
    </row>
    <row r="5122" spans="1:5" x14ac:dyDescent="0.25">
      <c r="A5122">
        <v>5</v>
      </c>
      <c r="B5122">
        <v>24</v>
      </c>
      <c r="C5122">
        <v>14</v>
      </c>
      <c r="D5122">
        <v>5</v>
      </c>
      <c r="E5122">
        <f t="shared" si="79"/>
        <v>1.3578122361232799E-5</v>
      </c>
    </row>
    <row r="5123" spans="1:5" x14ac:dyDescent="0.25">
      <c r="A5123">
        <v>5</v>
      </c>
      <c r="B5123">
        <v>24</v>
      </c>
      <c r="C5123">
        <v>15</v>
      </c>
      <c r="D5123">
        <v>4</v>
      </c>
      <c r="E5123">
        <f t="shared" si="79"/>
        <v>1.0991813340045598E-5</v>
      </c>
    </row>
    <row r="5124" spans="1:5" x14ac:dyDescent="0.25">
      <c r="A5124">
        <v>5</v>
      </c>
      <c r="B5124">
        <v>24</v>
      </c>
      <c r="C5124">
        <v>16</v>
      </c>
      <c r="D5124">
        <v>3</v>
      </c>
      <c r="E5124">
        <f t="shared" si="79"/>
        <v>6.2453484886622712E-6</v>
      </c>
    </row>
    <row r="5125" spans="1:5" x14ac:dyDescent="0.25">
      <c r="A5125">
        <v>5</v>
      </c>
      <c r="B5125">
        <v>24</v>
      </c>
      <c r="C5125">
        <v>17</v>
      </c>
      <c r="D5125">
        <v>2</v>
      </c>
      <c r="E5125">
        <f t="shared" si="79"/>
        <v>2.3479954676044872E-6</v>
      </c>
    </row>
    <row r="5126" spans="1:5" x14ac:dyDescent="0.25">
      <c r="A5126">
        <v>5</v>
      </c>
      <c r="B5126">
        <v>24</v>
      </c>
      <c r="C5126">
        <v>18</v>
      </c>
      <c r="D5126">
        <v>1</v>
      </c>
      <c r="E5126">
        <f t="shared" si="79"/>
        <v>5.2177677057877437E-7</v>
      </c>
    </row>
    <row r="5127" spans="1:5" x14ac:dyDescent="0.25">
      <c r="A5127">
        <v>5</v>
      </c>
      <c r="B5127">
        <v>24</v>
      </c>
      <c r="C5127">
        <v>19</v>
      </c>
      <c r="D5127">
        <v>0</v>
      </c>
      <c r="E5127">
        <f t="shared" si="79"/>
        <v>5.1628438352005067E-8</v>
      </c>
    </row>
    <row r="5128" spans="1:5" x14ac:dyDescent="0.25">
      <c r="A5128">
        <v>5</v>
      </c>
      <c r="B5128">
        <v>25</v>
      </c>
      <c r="C5128">
        <v>0</v>
      </c>
      <c r="D5128">
        <v>18</v>
      </c>
      <c r="E5128">
        <f t="shared" si="79"/>
        <v>2.1350253512991799E-17</v>
      </c>
    </row>
    <row r="5129" spans="1:5" x14ac:dyDescent="0.25">
      <c r="A5129">
        <v>5</v>
      </c>
      <c r="B5129">
        <v>25</v>
      </c>
      <c r="C5129">
        <v>1</v>
      </c>
      <c r="D5129">
        <v>17</v>
      </c>
      <c r="E5129">
        <f t="shared" si="79"/>
        <v>3.1224745762750501E-15</v>
      </c>
    </row>
    <row r="5130" spans="1:5" x14ac:dyDescent="0.25">
      <c r="A5130">
        <v>5</v>
      </c>
      <c r="B5130">
        <v>25</v>
      </c>
      <c r="C5130">
        <v>2</v>
      </c>
      <c r="D5130">
        <v>16</v>
      </c>
      <c r="E5130">
        <f t="shared" si="79"/>
        <v>1.8873624105484747E-13</v>
      </c>
    </row>
    <row r="5131" spans="1:5" x14ac:dyDescent="0.25">
      <c r="A5131">
        <v>5</v>
      </c>
      <c r="B5131">
        <v>25</v>
      </c>
      <c r="C5131">
        <v>3</v>
      </c>
      <c r="D5131">
        <v>15</v>
      </c>
      <c r="E5131">
        <f t="shared" si="79"/>
        <v>6.3415376994428736E-12</v>
      </c>
    </row>
    <row r="5132" spans="1:5" x14ac:dyDescent="0.25">
      <c r="A5132">
        <v>5</v>
      </c>
      <c r="B5132">
        <v>25</v>
      </c>
      <c r="C5132">
        <v>4</v>
      </c>
      <c r="D5132">
        <v>14</v>
      </c>
      <c r="E5132">
        <f t="shared" si="79"/>
        <v>1.3403704682913351E-10</v>
      </c>
    </row>
    <row r="5133" spans="1:5" x14ac:dyDescent="0.25">
      <c r="A5133">
        <v>5</v>
      </c>
      <c r="B5133">
        <v>25</v>
      </c>
      <c r="C5133">
        <v>5</v>
      </c>
      <c r="D5133">
        <v>13</v>
      </c>
      <c r="E5133">
        <f t="shared" si="79"/>
        <v>1.9077939665346668E-9</v>
      </c>
    </row>
    <row r="5134" spans="1:5" x14ac:dyDescent="0.25">
      <c r="A5134">
        <v>5</v>
      </c>
      <c r="B5134">
        <v>25</v>
      </c>
      <c r="C5134">
        <v>6</v>
      </c>
      <c r="D5134">
        <v>12</v>
      </c>
      <c r="E5134">
        <f t="shared" ref="E5134:E5197" si="80">COMBIN(A$4,A5134)*COMBIN(B$4,B5134)*COMBIN(C$4,C5134)*COMBIN(D$4,D5134)/COMBIN($G$4,$F$4)</f>
        <v>1.9077939665346667E-8</v>
      </c>
    </row>
    <row r="5135" spans="1:5" x14ac:dyDescent="0.25">
      <c r="A5135">
        <v>5</v>
      </c>
      <c r="B5135">
        <v>25</v>
      </c>
      <c r="C5135">
        <v>7</v>
      </c>
      <c r="D5135">
        <v>11</v>
      </c>
      <c r="E5135">
        <f t="shared" si="80"/>
        <v>1.3782838043944327E-7</v>
      </c>
    </row>
    <row r="5136" spans="1:5" x14ac:dyDescent="0.25">
      <c r="A5136">
        <v>5</v>
      </c>
      <c r="B5136">
        <v>25</v>
      </c>
      <c r="C5136">
        <v>8</v>
      </c>
      <c r="D5136">
        <v>10</v>
      </c>
      <c r="E5136">
        <f t="shared" si="80"/>
        <v>7.3278755600304007E-7</v>
      </c>
    </row>
    <row r="5137" spans="1:5" x14ac:dyDescent="0.25">
      <c r="A5137">
        <v>5</v>
      </c>
      <c r="B5137">
        <v>25</v>
      </c>
      <c r="C5137">
        <v>9</v>
      </c>
      <c r="D5137">
        <v>9</v>
      </c>
      <c r="E5137">
        <f t="shared" si="80"/>
        <v>2.9006174091787E-6</v>
      </c>
    </row>
    <row r="5138" spans="1:5" x14ac:dyDescent="0.25">
      <c r="A5138">
        <v>5</v>
      </c>
      <c r="B5138">
        <v>25</v>
      </c>
      <c r="C5138">
        <v>10</v>
      </c>
      <c r="D5138">
        <v>8</v>
      </c>
      <c r="E5138">
        <f t="shared" si="80"/>
        <v>8.5994774954474415E-6</v>
      </c>
    </row>
    <row r="5139" spans="1:5" x14ac:dyDescent="0.25">
      <c r="A5139">
        <v>5</v>
      </c>
      <c r="B5139">
        <v>25</v>
      </c>
      <c r="C5139">
        <v>11</v>
      </c>
      <c r="D5139">
        <v>7</v>
      </c>
      <c r="E5139">
        <f t="shared" si="80"/>
        <v>1.9109949989883209E-5</v>
      </c>
    </row>
    <row r="5140" spans="1:5" x14ac:dyDescent="0.25">
      <c r="A5140">
        <v>5</v>
      </c>
      <c r="B5140">
        <v>25</v>
      </c>
      <c r="C5140">
        <v>12</v>
      </c>
      <c r="D5140">
        <v>6</v>
      </c>
      <c r="E5140">
        <f t="shared" si="80"/>
        <v>3.1682285509543178E-5</v>
      </c>
    </row>
    <row r="5141" spans="1:5" x14ac:dyDescent="0.25">
      <c r="A5141">
        <v>5</v>
      </c>
      <c r="B5141">
        <v>25</v>
      </c>
      <c r="C5141">
        <v>13</v>
      </c>
      <c r="D5141">
        <v>5</v>
      </c>
      <c r="E5141">
        <f t="shared" si="80"/>
        <v>3.8749872277056681E-5</v>
      </c>
    </row>
    <row r="5142" spans="1:5" x14ac:dyDescent="0.25">
      <c r="A5142">
        <v>5</v>
      </c>
      <c r="B5142">
        <v>25</v>
      </c>
      <c r="C5142">
        <v>14</v>
      </c>
      <c r="D5142">
        <v>4</v>
      </c>
      <c r="E5142">
        <f t="shared" si="80"/>
        <v>3.4268594530730417E-5</v>
      </c>
    </row>
    <row r="5143" spans="1:5" x14ac:dyDescent="0.25">
      <c r="A5143">
        <v>5</v>
      </c>
      <c r="B5143">
        <v>25</v>
      </c>
      <c r="C5143">
        <v>15</v>
      </c>
      <c r="D5143">
        <v>3</v>
      </c>
      <c r="E5143">
        <f t="shared" si="80"/>
        <v>2.1184222073542426E-5</v>
      </c>
    </row>
    <row r="5144" spans="1:5" x14ac:dyDescent="0.25">
      <c r="A5144">
        <v>5</v>
      </c>
      <c r="B5144">
        <v>25</v>
      </c>
      <c r="C5144">
        <v>16</v>
      </c>
      <c r="D5144">
        <v>2</v>
      </c>
      <c r="E5144">
        <f t="shared" si="80"/>
        <v>8.6348731278026202E-6</v>
      </c>
    </row>
    <row r="5145" spans="1:5" x14ac:dyDescent="0.25">
      <c r="A5145">
        <v>5</v>
      </c>
      <c r="B5145">
        <v>25</v>
      </c>
      <c r="C5145">
        <v>17</v>
      </c>
      <c r="D5145">
        <v>1</v>
      </c>
      <c r="E5145">
        <f t="shared" si="80"/>
        <v>2.0740626630506305E-6</v>
      </c>
    </row>
    <row r="5146" spans="1:5" x14ac:dyDescent="0.25">
      <c r="A5146">
        <v>5</v>
      </c>
      <c r="B5146">
        <v>25</v>
      </c>
      <c r="C5146">
        <v>18</v>
      </c>
      <c r="D5146">
        <v>0</v>
      </c>
      <c r="E5146">
        <f t="shared" si="80"/>
        <v>2.212333507254004E-7</v>
      </c>
    </row>
    <row r="5147" spans="1:5" x14ac:dyDescent="0.25">
      <c r="A5147">
        <v>5</v>
      </c>
      <c r="B5147">
        <v>26</v>
      </c>
      <c r="C5147">
        <v>0</v>
      </c>
      <c r="D5147">
        <v>17</v>
      </c>
      <c r="E5147">
        <f t="shared" si="80"/>
        <v>4.8777117641219682E-16</v>
      </c>
    </row>
    <row r="5148" spans="1:5" x14ac:dyDescent="0.25">
      <c r="A5148">
        <v>5</v>
      </c>
      <c r="B5148">
        <v>26</v>
      </c>
      <c r="C5148">
        <v>1</v>
      </c>
      <c r="D5148">
        <v>16</v>
      </c>
      <c r="E5148">
        <f t="shared" si="80"/>
        <v>5.9887461103941948E-14</v>
      </c>
    </row>
    <row r="5149" spans="1:5" x14ac:dyDescent="0.25">
      <c r="A5149">
        <v>5</v>
      </c>
      <c r="B5149">
        <v>26</v>
      </c>
      <c r="C5149">
        <v>2</v>
      </c>
      <c r="D5149">
        <v>15</v>
      </c>
      <c r="E5149">
        <f t="shared" si="80"/>
        <v>3.0662380085218268E-12</v>
      </c>
    </row>
    <row r="5150" spans="1:5" x14ac:dyDescent="0.25">
      <c r="A5150">
        <v>5</v>
      </c>
      <c r="B5150">
        <v>26</v>
      </c>
      <c r="C5150">
        <v>3</v>
      </c>
      <c r="D5150">
        <v>14</v>
      </c>
      <c r="E5150">
        <f t="shared" si="80"/>
        <v>8.7805906607670511E-11</v>
      </c>
    </row>
    <row r="5151" spans="1:5" x14ac:dyDescent="0.25">
      <c r="A5151">
        <v>5</v>
      </c>
      <c r="B5151">
        <v>26</v>
      </c>
      <c r="C5151">
        <v>4</v>
      </c>
      <c r="D5151">
        <v>13</v>
      </c>
      <c r="E5151">
        <f t="shared" si="80"/>
        <v>1.5878234778220419E-9</v>
      </c>
    </row>
    <row r="5152" spans="1:5" x14ac:dyDescent="0.25">
      <c r="A5152">
        <v>5</v>
      </c>
      <c r="B5152">
        <v>26</v>
      </c>
      <c r="C5152">
        <v>5</v>
      </c>
      <c r="D5152">
        <v>12</v>
      </c>
      <c r="E5152">
        <f t="shared" si="80"/>
        <v>1.9371446429428914E-8</v>
      </c>
    </row>
    <row r="5153" spans="1:5" x14ac:dyDescent="0.25">
      <c r="A5153">
        <v>5</v>
      </c>
      <c r="B5153">
        <v>26</v>
      </c>
      <c r="C5153">
        <v>6</v>
      </c>
      <c r="D5153">
        <v>11</v>
      </c>
      <c r="E5153">
        <f t="shared" si="80"/>
        <v>1.6604096939510494E-7</v>
      </c>
    </row>
    <row r="5154" spans="1:5" x14ac:dyDescent="0.25">
      <c r="A5154">
        <v>5</v>
      </c>
      <c r="B5154">
        <v>26</v>
      </c>
      <c r="C5154">
        <v>7</v>
      </c>
      <c r="D5154">
        <v>10</v>
      </c>
      <c r="E5154">
        <f t="shared" si="80"/>
        <v>1.026291325118315E-6</v>
      </c>
    </row>
    <row r="5155" spans="1:5" x14ac:dyDescent="0.25">
      <c r="A5155">
        <v>5</v>
      </c>
      <c r="B5155">
        <v>26</v>
      </c>
      <c r="C5155">
        <v>8</v>
      </c>
      <c r="D5155">
        <v>9</v>
      </c>
      <c r="E5155">
        <f t="shared" si="80"/>
        <v>4.6503825669423666E-6</v>
      </c>
    </row>
    <row r="5156" spans="1:5" x14ac:dyDescent="0.25">
      <c r="A5156">
        <v>5</v>
      </c>
      <c r="B5156">
        <v>26</v>
      </c>
      <c r="C5156">
        <v>9</v>
      </c>
      <c r="D5156">
        <v>8</v>
      </c>
      <c r="E5156">
        <f t="shared" si="80"/>
        <v>1.5592459195042053E-5</v>
      </c>
    </row>
    <row r="5157" spans="1:5" x14ac:dyDescent="0.25">
      <c r="A5157">
        <v>5</v>
      </c>
      <c r="B5157">
        <v>26</v>
      </c>
      <c r="C5157">
        <v>10</v>
      </c>
      <c r="D5157">
        <v>7</v>
      </c>
      <c r="E5157">
        <f t="shared" si="80"/>
        <v>3.8807898440993568E-5</v>
      </c>
    </row>
    <row r="5158" spans="1:5" x14ac:dyDescent="0.25">
      <c r="A5158">
        <v>5</v>
      </c>
      <c r="B5158">
        <v>26</v>
      </c>
      <c r="C5158">
        <v>11</v>
      </c>
      <c r="D5158">
        <v>6</v>
      </c>
      <c r="E5158">
        <f t="shared" si="80"/>
        <v>7.1488233970251272E-5</v>
      </c>
    </row>
    <row r="5159" spans="1:5" x14ac:dyDescent="0.25">
      <c r="A5159">
        <v>5</v>
      </c>
      <c r="B5159">
        <v>26</v>
      </c>
      <c r="C5159">
        <v>12</v>
      </c>
      <c r="D5159">
        <v>5</v>
      </c>
      <c r="E5159">
        <f t="shared" si="80"/>
        <v>9.6509115859839172E-5</v>
      </c>
    </row>
    <row r="5160" spans="1:5" x14ac:dyDescent="0.25">
      <c r="A5160">
        <v>5</v>
      </c>
      <c r="B5160">
        <v>26</v>
      </c>
      <c r="C5160">
        <v>13</v>
      </c>
      <c r="D5160">
        <v>4</v>
      </c>
      <c r="E5160">
        <f t="shared" si="80"/>
        <v>9.3681009900576561E-5</v>
      </c>
    </row>
    <row r="5161" spans="1:5" x14ac:dyDescent="0.25">
      <c r="A5161">
        <v>5</v>
      </c>
      <c r="B5161">
        <v>26</v>
      </c>
      <c r="C5161">
        <v>14</v>
      </c>
      <c r="D5161">
        <v>3</v>
      </c>
      <c r="E5161">
        <f t="shared" si="80"/>
        <v>6.3265097595194552E-5</v>
      </c>
    </row>
    <row r="5162" spans="1:5" x14ac:dyDescent="0.25">
      <c r="A5162">
        <v>5</v>
      </c>
      <c r="B5162">
        <v>26</v>
      </c>
      <c r="C5162">
        <v>15</v>
      </c>
      <c r="D5162">
        <v>2</v>
      </c>
      <c r="E5162">
        <f t="shared" si="80"/>
        <v>2.8056695455260187E-5</v>
      </c>
    </row>
    <row r="5163" spans="1:5" x14ac:dyDescent="0.25">
      <c r="A5163">
        <v>5</v>
      </c>
      <c r="B5163">
        <v>26</v>
      </c>
      <c r="C5163">
        <v>16</v>
      </c>
      <c r="D5163">
        <v>1</v>
      </c>
      <c r="E5163">
        <f t="shared" si="80"/>
        <v>7.3064311081406742E-6</v>
      </c>
    </row>
    <row r="5164" spans="1:5" x14ac:dyDescent="0.25">
      <c r="A5164">
        <v>5</v>
      </c>
      <c r="B5164">
        <v>26</v>
      </c>
      <c r="C5164">
        <v>17</v>
      </c>
      <c r="D5164">
        <v>0</v>
      </c>
      <c r="E5164">
        <f t="shared" si="80"/>
        <v>8.4238852776210166E-7</v>
      </c>
    </row>
    <row r="5165" spans="1:5" x14ac:dyDescent="0.25">
      <c r="A5165">
        <v>5</v>
      </c>
      <c r="B5165">
        <v>27</v>
      </c>
      <c r="C5165">
        <v>0</v>
      </c>
      <c r="D5165">
        <v>16</v>
      </c>
      <c r="E5165">
        <f t="shared" si="80"/>
        <v>8.9745881882260562E-15</v>
      </c>
    </row>
    <row r="5166" spans="1:5" x14ac:dyDescent="0.25">
      <c r="A5166">
        <v>5</v>
      </c>
      <c r="B5166">
        <v>27</v>
      </c>
      <c r="C5166">
        <v>1</v>
      </c>
      <c r="D5166">
        <v>15</v>
      </c>
      <c r="E5166">
        <f t="shared" si="80"/>
        <v>9.3335717157550978E-13</v>
      </c>
    </row>
    <row r="5167" spans="1:5" x14ac:dyDescent="0.25">
      <c r="A5167">
        <v>5</v>
      </c>
      <c r="B5167">
        <v>27</v>
      </c>
      <c r="C5167">
        <v>2</v>
      </c>
      <c r="D5167">
        <v>14</v>
      </c>
      <c r="E5167">
        <f t="shared" si="80"/>
        <v>4.0728312941476791E-11</v>
      </c>
    </row>
    <row r="5168" spans="1:5" x14ac:dyDescent="0.25">
      <c r="A5168">
        <v>5</v>
      </c>
      <c r="B5168">
        <v>27</v>
      </c>
      <c r="C5168">
        <v>3</v>
      </c>
      <c r="D5168">
        <v>13</v>
      </c>
      <c r="E5168">
        <f t="shared" si="80"/>
        <v>9.978436670661816E-10</v>
      </c>
    </row>
    <row r="5169" spans="1:5" x14ac:dyDescent="0.25">
      <c r="A5169">
        <v>5</v>
      </c>
      <c r="B5169">
        <v>27</v>
      </c>
      <c r="C5169">
        <v>4</v>
      </c>
      <c r="D5169">
        <v>12</v>
      </c>
      <c r="E5169">
        <f t="shared" si="80"/>
        <v>1.5466576839525816E-8</v>
      </c>
    </row>
    <row r="5170" spans="1:5" x14ac:dyDescent="0.25">
      <c r="A5170">
        <v>5</v>
      </c>
      <c r="B5170">
        <v>27</v>
      </c>
      <c r="C5170">
        <v>5</v>
      </c>
      <c r="D5170">
        <v>11</v>
      </c>
      <c r="E5170">
        <f t="shared" si="80"/>
        <v>1.6173620352189851E-7</v>
      </c>
    </row>
    <row r="5171" spans="1:5" x14ac:dyDescent="0.25">
      <c r="A5171">
        <v>5</v>
      </c>
      <c r="B5171">
        <v>27</v>
      </c>
      <c r="C5171">
        <v>6</v>
      </c>
      <c r="D5171">
        <v>10</v>
      </c>
      <c r="E5171">
        <f t="shared" si="80"/>
        <v>1.1860654924939222E-6</v>
      </c>
    </row>
    <row r="5172" spans="1:5" x14ac:dyDescent="0.25">
      <c r="A5172">
        <v>5</v>
      </c>
      <c r="B5172">
        <v>27</v>
      </c>
      <c r="C5172">
        <v>7</v>
      </c>
      <c r="D5172">
        <v>9</v>
      </c>
      <c r="E5172">
        <f t="shared" si="80"/>
        <v>6.2480235765304842E-6</v>
      </c>
    </row>
    <row r="5173" spans="1:5" x14ac:dyDescent="0.25">
      <c r="A5173">
        <v>5</v>
      </c>
      <c r="B5173">
        <v>27</v>
      </c>
      <c r="C5173">
        <v>8</v>
      </c>
      <c r="D5173">
        <v>8</v>
      </c>
      <c r="E5173">
        <f t="shared" si="80"/>
        <v>2.3981384609918478E-5</v>
      </c>
    </row>
    <row r="5174" spans="1:5" x14ac:dyDescent="0.25">
      <c r="A5174">
        <v>5</v>
      </c>
      <c r="B5174">
        <v>27</v>
      </c>
      <c r="C5174">
        <v>9</v>
      </c>
      <c r="D5174">
        <v>7</v>
      </c>
      <c r="E5174">
        <f t="shared" si="80"/>
        <v>6.7503156679770538E-5</v>
      </c>
    </row>
    <row r="5175" spans="1:5" x14ac:dyDescent="0.25">
      <c r="A5175">
        <v>5</v>
      </c>
      <c r="B5175">
        <v>27</v>
      </c>
      <c r="C5175">
        <v>10</v>
      </c>
      <c r="D5175">
        <v>6</v>
      </c>
      <c r="E5175">
        <f t="shared" si="80"/>
        <v>1.3926967062352654E-4</v>
      </c>
    </row>
    <row r="5176" spans="1:5" x14ac:dyDescent="0.25">
      <c r="A5176">
        <v>5</v>
      </c>
      <c r="B5176">
        <v>27</v>
      </c>
      <c r="C5176">
        <v>11</v>
      </c>
      <c r="D5176">
        <v>5</v>
      </c>
      <c r="E5176">
        <f t="shared" si="80"/>
        <v>2.0890450593528986E-4</v>
      </c>
    </row>
    <row r="5177" spans="1:5" x14ac:dyDescent="0.25">
      <c r="A5177">
        <v>5</v>
      </c>
      <c r="B5177">
        <v>27</v>
      </c>
      <c r="C5177">
        <v>12</v>
      </c>
      <c r="D5177">
        <v>4</v>
      </c>
      <c r="E5177">
        <f t="shared" si="80"/>
        <v>2.2382625635923903E-4</v>
      </c>
    </row>
    <row r="5178" spans="1:5" x14ac:dyDescent="0.25">
      <c r="A5178">
        <v>5</v>
      </c>
      <c r="B5178">
        <v>27</v>
      </c>
      <c r="C5178">
        <v>13</v>
      </c>
      <c r="D5178">
        <v>3</v>
      </c>
      <c r="E5178">
        <f t="shared" si="80"/>
        <v>1.659131690495059E-4</v>
      </c>
    </row>
    <row r="5179" spans="1:5" x14ac:dyDescent="0.25">
      <c r="A5179">
        <v>5</v>
      </c>
      <c r="B5179">
        <v>27</v>
      </c>
      <c r="C5179">
        <v>14</v>
      </c>
      <c r="D5179">
        <v>2</v>
      </c>
      <c r="E5179">
        <f t="shared" si="80"/>
        <v>8.0380293079884864E-5</v>
      </c>
    </row>
    <row r="5180" spans="1:5" x14ac:dyDescent="0.25">
      <c r="A5180">
        <v>5</v>
      </c>
      <c r="B5180">
        <v>27</v>
      </c>
      <c r="C5180">
        <v>15</v>
      </c>
      <c r="D5180">
        <v>1</v>
      </c>
      <c r="E5180">
        <f t="shared" si="80"/>
        <v>2.2774416372634033E-5</v>
      </c>
    </row>
    <row r="5181" spans="1:5" x14ac:dyDescent="0.25">
      <c r="A5181">
        <v>5</v>
      </c>
      <c r="B5181">
        <v>27</v>
      </c>
      <c r="C5181">
        <v>16</v>
      </c>
      <c r="D5181">
        <v>0</v>
      </c>
      <c r="E5181">
        <f t="shared" si="80"/>
        <v>2.8468020465792549E-6</v>
      </c>
    </row>
    <row r="5182" spans="1:5" x14ac:dyDescent="0.25">
      <c r="A5182">
        <v>5</v>
      </c>
      <c r="B5182">
        <v>28</v>
      </c>
      <c r="C5182">
        <v>0</v>
      </c>
      <c r="D5182">
        <v>15</v>
      </c>
      <c r="E5182">
        <f t="shared" si="80"/>
        <v>1.3436240601801307E-13</v>
      </c>
    </row>
    <row r="5183" spans="1:5" x14ac:dyDescent="0.25">
      <c r="A5183">
        <v>5</v>
      </c>
      <c r="B5183">
        <v>28</v>
      </c>
      <c r="C5183">
        <v>1</v>
      </c>
      <c r="D5183">
        <v>14</v>
      </c>
      <c r="E5183">
        <f t="shared" si="80"/>
        <v>1.1909395078869341E-11</v>
      </c>
    </row>
    <row r="5184" spans="1:5" x14ac:dyDescent="0.25">
      <c r="A5184">
        <v>5</v>
      </c>
      <c r="B5184">
        <v>28</v>
      </c>
      <c r="C5184">
        <v>2</v>
      </c>
      <c r="D5184">
        <v>13</v>
      </c>
      <c r="E5184">
        <f t="shared" si="80"/>
        <v>4.4461741627778878E-10</v>
      </c>
    </row>
    <row r="5185" spans="1:5" x14ac:dyDescent="0.25">
      <c r="A5185">
        <v>5</v>
      </c>
      <c r="B5185">
        <v>28</v>
      </c>
      <c r="C5185">
        <v>3</v>
      </c>
      <c r="D5185">
        <v>12</v>
      </c>
      <c r="E5185">
        <f t="shared" si="80"/>
        <v>9.3369657418335661E-9</v>
      </c>
    </row>
    <row r="5186" spans="1:5" x14ac:dyDescent="0.25">
      <c r="A5186">
        <v>5</v>
      </c>
      <c r="B5186">
        <v>28</v>
      </c>
      <c r="C5186">
        <v>4</v>
      </c>
      <c r="D5186">
        <v>11</v>
      </c>
      <c r="E5186">
        <f t="shared" si="80"/>
        <v>1.2404825914150306E-7</v>
      </c>
    </row>
    <row r="5187" spans="1:5" x14ac:dyDescent="0.25">
      <c r="A5187">
        <v>5</v>
      </c>
      <c r="B5187">
        <v>28</v>
      </c>
      <c r="C5187">
        <v>5</v>
      </c>
      <c r="D5187">
        <v>10</v>
      </c>
      <c r="E5187">
        <f t="shared" si="80"/>
        <v>1.1098184251193141E-6</v>
      </c>
    </row>
    <row r="5188" spans="1:5" x14ac:dyDescent="0.25">
      <c r="A5188">
        <v>5</v>
      </c>
      <c r="B5188">
        <v>28</v>
      </c>
      <c r="C5188">
        <v>6</v>
      </c>
      <c r="D5188">
        <v>9</v>
      </c>
      <c r="E5188">
        <f t="shared" si="80"/>
        <v>6.9363651569957131E-6</v>
      </c>
    </row>
    <row r="5189" spans="1:5" x14ac:dyDescent="0.25">
      <c r="A5189">
        <v>5</v>
      </c>
      <c r="B5189">
        <v>28</v>
      </c>
      <c r="C5189">
        <v>7</v>
      </c>
      <c r="D5189">
        <v>8</v>
      </c>
      <c r="E5189">
        <f t="shared" si="80"/>
        <v>3.0951343683737173E-5</v>
      </c>
    </row>
    <row r="5190" spans="1:5" x14ac:dyDescent="0.25">
      <c r="A5190">
        <v>5</v>
      </c>
      <c r="B5190">
        <v>28</v>
      </c>
      <c r="C5190">
        <v>8</v>
      </c>
      <c r="D5190">
        <v>7</v>
      </c>
      <c r="E5190">
        <f t="shared" si="80"/>
        <v>9.9732107425375385E-5</v>
      </c>
    </row>
    <row r="5191" spans="1:5" x14ac:dyDescent="0.25">
      <c r="A5191">
        <v>5</v>
      </c>
      <c r="B5191">
        <v>28</v>
      </c>
      <c r="C5191">
        <v>9</v>
      </c>
      <c r="D5191">
        <v>6</v>
      </c>
      <c r="E5191">
        <f t="shared" si="80"/>
        <v>2.3270825065920906E-4</v>
      </c>
    </row>
    <row r="5192" spans="1:5" x14ac:dyDescent="0.25">
      <c r="A5192">
        <v>5</v>
      </c>
      <c r="B5192">
        <v>28</v>
      </c>
      <c r="C5192">
        <v>10</v>
      </c>
      <c r="D5192">
        <v>5</v>
      </c>
      <c r="E5192">
        <f t="shared" si="80"/>
        <v>3.9094986110747133E-4</v>
      </c>
    </row>
    <row r="5193" spans="1:5" x14ac:dyDescent="0.25">
      <c r="A5193">
        <v>5</v>
      </c>
      <c r="B5193">
        <v>28</v>
      </c>
      <c r="C5193">
        <v>11</v>
      </c>
      <c r="D5193">
        <v>4</v>
      </c>
      <c r="E5193">
        <f t="shared" si="80"/>
        <v>4.6541650131841838E-4</v>
      </c>
    </row>
    <row r="5194" spans="1:5" x14ac:dyDescent="0.25">
      <c r="A5194">
        <v>5</v>
      </c>
      <c r="B5194">
        <v>28</v>
      </c>
      <c r="C5194">
        <v>12</v>
      </c>
      <c r="D5194">
        <v>3</v>
      </c>
      <c r="E5194">
        <f t="shared" si="80"/>
        <v>3.8079531926052385E-4</v>
      </c>
    </row>
    <row r="5195" spans="1:5" x14ac:dyDescent="0.25">
      <c r="A5195">
        <v>5</v>
      </c>
      <c r="B5195">
        <v>28</v>
      </c>
      <c r="C5195">
        <v>13</v>
      </c>
      <c r="D5195">
        <v>2</v>
      </c>
      <c r="E5195">
        <f t="shared" si="80"/>
        <v>2.0249650756663315E-4</v>
      </c>
    </row>
    <row r="5196" spans="1:5" x14ac:dyDescent="0.25">
      <c r="A5196">
        <v>5</v>
      </c>
      <c r="B5196">
        <v>28</v>
      </c>
      <c r="C5196">
        <v>14</v>
      </c>
      <c r="D5196">
        <v>1</v>
      </c>
      <c r="E5196">
        <f t="shared" si="80"/>
        <v>6.2677490437291239E-5</v>
      </c>
    </row>
    <row r="5197" spans="1:5" x14ac:dyDescent="0.25">
      <c r="A5197">
        <v>5</v>
      </c>
      <c r="B5197">
        <v>28</v>
      </c>
      <c r="C5197">
        <v>15</v>
      </c>
      <c r="D5197">
        <v>0</v>
      </c>
      <c r="E5197">
        <f t="shared" si="80"/>
        <v>8.5241386994716044E-6</v>
      </c>
    </row>
    <row r="5198" spans="1:5" x14ac:dyDescent="0.25">
      <c r="A5198">
        <v>5</v>
      </c>
      <c r="B5198">
        <v>29</v>
      </c>
      <c r="C5198">
        <v>0</v>
      </c>
      <c r="D5198">
        <v>14</v>
      </c>
      <c r="E5198">
        <f t="shared" ref="E5198:E5261" si="81">COMBIN(A$4,A5198)*COMBIN(B$4,B5198)*COMBIN(C$4,C5198)*COMBIN(D$4,D5198)/COMBIN($G$4,$F$4)</f>
        <v>1.6489931647665228E-12</v>
      </c>
    </row>
    <row r="5199" spans="1:5" x14ac:dyDescent="0.25">
      <c r="A5199">
        <v>5</v>
      </c>
      <c r="B5199">
        <v>29</v>
      </c>
      <c r="C5199">
        <v>1</v>
      </c>
      <c r="D5199">
        <v>13</v>
      </c>
      <c r="E5199">
        <f t="shared" si="81"/>
        <v>1.2504864832812799E-10</v>
      </c>
    </row>
    <row r="5200" spans="1:5" x14ac:dyDescent="0.25">
      <c r="A5200">
        <v>5</v>
      </c>
      <c r="B5200">
        <v>29</v>
      </c>
      <c r="C5200">
        <v>2</v>
      </c>
      <c r="D5200">
        <v>12</v>
      </c>
      <c r="E5200">
        <f t="shared" si="81"/>
        <v>4.0015567465000956E-9</v>
      </c>
    </row>
    <row r="5201" spans="1:5" x14ac:dyDescent="0.25">
      <c r="A5201">
        <v>5</v>
      </c>
      <c r="B5201">
        <v>29</v>
      </c>
      <c r="C5201">
        <v>3</v>
      </c>
      <c r="D5201">
        <v>11</v>
      </c>
      <c r="E5201">
        <f t="shared" si="81"/>
        <v>7.2028021437001713E-8</v>
      </c>
    </row>
    <row r="5202" spans="1:5" x14ac:dyDescent="0.25">
      <c r="A5202">
        <v>5</v>
      </c>
      <c r="B5202">
        <v>29</v>
      </c>
      <c r="C5202">
        <v>4</v>
      </c>
      <c r="D5202">
        <v>10</v>
      </c>
      <c r="E5202">
        <f t="shared" si="81"/>
        <v>8.1871851033391946E-7</v>
      </c>
    </row>
    <row r="5203" spans="1:5" x14ac:dyDescent="0.25">
      <c r="A5203">
        <v>5</v>
      </c>
      <c r="B5203">
        <v>29</v>
      </c>
      <c r="C5203">
        <v>5</v>
      </c>
      <c r="D5203">
        <v>9</v>
      </c>
      <c r="E5203">
        <f t="shared" si="81"/>
        <v>6.2427286412961367E-6</v>
      </c>
    </row>
    <row r="5204" spans="1:5" x14ac:dyDescent="0.25">
      <c r="A5204">
        <v>5</v>
      </c>
      <c r="B5204">
        <v>29</v>
      </c>
      <c r="C5204">
        <v>6</v>
      </c>
      <c r="D5204">
        <v>8</v>
      </c>
      <c r="E5204">
        <f t="shared" si="81"/>
        <v>3.3049739865685422E-5</v>
      </c>
    </row>
    <row r="5205" spans="1:5" x14ac:dyDescent="0.25">
      <c r="A5205">
        <v>5</v>
      </c>
      <c r="B5205">
        <v>29</v>
      </c>
      <c r="C5205">
        <v>7</v>
      </c>
      <c r="D5205">
        <v>7</v>
      </c>
      <c r="E5205">
        <f t="shared" si="81"/>
        <v>1.2380537473494861E-4</v>
      </c>
    </row>
    <row r="5206" spans="1:5" x14ac:dyDescent="0.25">
      <c r="A5206">
        <v>5</v>
      </c>
      <c r="B5206">
        <v>29</v>
      </c>
      <c r="C5206">
        <v>8</v>
      </c>
      <c r="D5206">
        <v>6</v>
      </c>
      <c r="E5206">
        <f t="shared" si="81"/>
        <v>3.3069067198940213E-4</v>
      </c>
    </row>
    <row r="5207" spans="1:5" x14ac:dyDescent="0.25">
      <c r="A5207">
        <v>5</v>
      </c>
      <c r="B5207">
        <v>29</v>
      </c>
      <c r="C5207">
        <v>9</v>
      </c>
      <c r="D5207">
        <v>5</v>
      </c>
      <c r="E5207">
        <f t="shared" si="81"/>
        <v>6.283122767798639E-4</v>
      </c>
    </row>
    <row r="5208" spans="1:5" x14ac:dyDescent="0.25">
      <c r="A5208">
        <v>5</v>
      </c>
      <c r="B5208">
        <v>29</v>
      </c>
      <c r="C5208">
        <v>10</v>
      </c>
      <c r="D5208">
        <v>4</v>
      </c>
      <c r="E5208">
        <f t="shared" si="81"/>
        <v>8.377497023731522E-4</v>
      </c>
    </row>
    <row r="5209" spans="1:5" x14ac:dyDescent="0.25">
      <c r="A5209">
        <v>5</v>
      </c>
      <c r="B5209">
        <v>29</v>
      </c>
      <c r="C5209">
        <v>11</v>
      </c>
      <c r="D5209">
        <v>3</v>
      </c>
      <c r="E5209">
        <f t="shared" si="81"/>
        <v>7.6159063852104759E-4</v>
      </c>
    </row>
    <row r="5210" spans="1:5" x14ac:dyDescent="0.25">
      <c r="A5210">
        <v>5</v>
      </c>
      <c r="B5210">
        <v>29</v>
      </c>
      <c r="C5210">
        <v>12</v>
      </c>
      <c r="D5210">
        <v>2</v>
      </c>
      <c r="E5210">
        <f t="shared" si="81"/>
        <v>4.4702059217539716E-4</v>
      </c>
    </row>
    <row r="5211" spans="1:5" x14ac:dyDescent="0.25">
      <c r="A5211">
        <v>5</v>
      </c>
      <c r="B5211">
        <v>29</v>
      </c>
      <c r="C5211">
        <v>13</v>
      </c>
      <c r="D5211">
        <v>1</v>
      </c>
      <c r="E5211">
        <f t="shared" si="81"/>
        <v>1.5187238067497475E-4</v>
      </c>
    </row>
    <row r="5212" spans="1:5" x14ac:dyDescent="0.25">
      <c r="A5212">
        <v>5</v>
      </c>
      <c r="B5212">
        <v>29</v>
      </c>
      <c r="C5212">
        <v>14</v>
      </c>
      <c r="D5212">
        <v>0</v>
      </c>
      <c r="E5212">
        <f t="shared" si="81"/>
        <v>2.2563896557424822E-5</v>
      </c>
    </row>
    <row r="5213" spans="1:5" x14ac:dyDescent="0.25">
      <c r="A5213">
        <v>5</v>
      </c>
      <c r="B5213">
        <v>30</v>
      </c>
      <c r="C5213">
        <v>0</v>
      </c>
      <c r="D5213">
        <v>13</v>
      </c>
      <c r="E5213">
        <f t="shared" si="81"/>
        <v>1.6673153110417064E-11</v>
      </c>
    </row>
    <row r="5214" spans="1:5" x14ac:dyDescent="0.25">
      <c r="A5214">
        <v>5</v>
      </c>
      <c r="B5214">
        <v>30</v>
      </c>
      <c r="C5214">
        <v>1</v>
      </c>
      <c r="D5214">
        <v>12</v>
      </c>
      <c r="E5214">
        <f t="shared" si="81"/>
        <v>1.0837549521771092E-9</v>
      </c>
    </row>
    <row r="5215" spans="1:5" x14ac:dyDescent="0.25">
      <c r="A5215">
        <v>5</v>
      </c>
      <c r="B5215">
        <v>30</v>
      </c>
      <c r="C5215">
        <v>2</v>
      </c>
      <c r="D5215">
        <v>11</v>
      </c>
      <c r="E5215">
        <f t="shared" si="81"/>
        <v>2.9725850116857846E-8</v>
      </c>
    </row>
    <row r="5216" spans="1:5" x14ac:dyDescent="0.25">
      <c r="A5216">
        <v>5</v>
      </c>
      <c r="B5216">
        <v>30</v>
      </c>
      <c r="C5216">
        <v>3</v>
      </c>
      <c r="D5216">
        <v>10</v>
      </c>
      <c r="E5216">
        <f t="shared" si="81"/>
        <v>4.5777809179961077E-7</v>
      </c>
    </row>
    <row r="5217" spans="1:5" x14ac:dyDescent="0.25">
      <c r="A5217">
        <v>5</v>
      </c>
      <c r="B5217">
        <v>30</v>
      </c>
      <c r="C5217">
        <v>4</v>
      </c>
      <c r="D5217">
        <v>9</v>
      </c>
      <c r="E5217">
        <f t="shared" si="81"/>
        <v>4.4347252643087294E-6</v>
      </c>
    </row>
    <row r="5218" spans="1:5" x14ac:dyDescent="0.25">
      <c r="A5218">
        <v>5</v>
      </c>
      <c r="B5218">
        <v>30</v>
      </c>
      <c r="C5218">
        <v>5</v>
      </c>
      <c r="D5218">
        <v>8</v>
      </c>
      <c r="E5218">
        <f t="shared" si="81"/>
        <v>2.8643107883594036E-5</v>
      </c>
    </row>
    <row r="5219" spans="1:5" x14ac:dyDescent="0.25">
      <c r="A5219">
        <v>5</v>
      </c>
      <c r="B5219">
        <v>30</v>
      </c>
      <c r="C5219">
        <v>6</v>
      </c>
      <c r="D5219">
        <v>7</v>
      </c>
      <c r="E5219">
        <f t="shared" si="81"/>
        <v>1.2730270170486238E-4</v>
      </c>
    </row>
    <row r="5220" spans="1:5" x14ac:dyDescent="0.25">
      <c r="A5220">
        <v>5</v>
      </c>
      <c r="B5220">
        <v>30</v>
      </c>
      <c r="C5220">
        <v>7</v>
      </c>
      <c r="D5220">
        <v>6</v>
      </c>
      <c r="E5220">
        <f t="shared" si="81"/>
        <v>3.9530838950457256E-4</v>
      </c>
    </row>
    <row r="5221" spans="1:5" x14ac:dyDescent="0.25">
      <c r="A5221">
        <v>5</v>
      </c>
      <c r="B5221">
        <v>30</v>
      </c>
      <c r="C5221">
        <v>8</v>
      </c>
      <c r="D5221">
        <v>5</v>
      </c>
      <c r="E5221">
        <f t="shared" si="81"/>
        <v>8.5979574717244534E-4</v>
      </c>
    </row>
    <row r="5222" spans="1:5" x14ac:dyDescent="0.25">
      <c r="A5222">
        <v>5</v>
      </c>
      <c r="B5222">
        <v>30</v>
      </c>
      <c r="C5222">
        <v>9</v>
      </c>
      <c r="D5222">
        <v>4</v>
      </c>
      <c r="E5222">
        <f t="shared" si="81"/>
        <v>1.296517396529878E-3</v>
      </c>
    </row>
    <row r="5223" spans="1:5" x14ac:dyDescent="0.25">
      <c r="A5223">
        <v>5</v>
      </c>
      <c r="B5223">
        <v>30</v>
      </c>
      <c r="C5223">
        <v>10</v>
      </c>
      <c r="D5223">
        <v>3</v>
      </c>
      <c r="E5223">
        <f t="shared" si="81"/>
        <v>1.3200904401031489E-3</v>
      </c>
    </row>
    <row r="5224" spans="1:5" x14ac:dyDescent="0.25">
      <c r="A5224">
        <v>5</v>
      </c>
      <c r="B5224">
        <v>30</v>
      </c>
      <c r="C5224">
        <v>11</v>
      </c>
      <c r="D5224">
        <v>2</v>
      </c>
      <c r="E5224">
        <f t="shared" si="81"/>
        <v>8.6092854789335792E-4</v>
      </c>
    </row>
    <row r="5225" spans="1:5" x14ac:dyDescent="0.25">
      <c r="A5225">
        <v>5</v>
      </c>
      <c r="B5225">
        <v>30</v>
      </c>
      <c r="C5225">
        <v>12</v>
      </c>
      <c r="D5225">
        <v>1</v>
      </c>
      <c r="E5225">
        <f t="shared" si="81"/>
        <v>3.2284820546000901E-4</v>
      </c>
    </row>
    <row r="5226" spans="1:5" x14ac:dyDescent="0.25">
      <c r="A5226">
        <v>5</v>
      </c>
      <c r="B5226">
        <v>30</v>
      </c>
      <c r="C5226">
        <v>13</v>
      </c>
      <c r="D5226">
        <v>0</v>
      </c>
      <c r="E5226">
        <f t="shared" si="81"/>
        <v>5.2649091967324568E-5</v>
      </c>
    </row>
    <row r="5227" spans="1:5" x14ac:dyDescent="0.25">
      <c r="A5227">
        <v>5</v>
      </c>
      <c r="B5227">
        <v>31</v>
      </c>
      <c r="C5227">
        <v>0</v>
      </c>
      <c r="D5227">
        <v>12</v>
      </c>
      <c r="E5227">
        <f t="shared" si="81"/>
        <v>1.393015050192911E-10</v>
      </c>
    </row>
    <row r="5228" spans="1:5" x14ac:dyDescent="0.25">
      <c r="A5228">
        <v>5</v>
      </c>
      <c r="B5228">
        <v>31</v>
      </c>
      <c r="C5228">
        <v>1</v>
      </c>
      <c r="D5228">
        <v>11</v>
      </c>
      <c r="E5228">
        <f t="shared" si="81"/>
        <v>7.7610838510747891E-9</v>
      </c>
    </row>
    <row r="5229" spans="1:5" x14ac:dyDescent="0.25">
      <c r="A5229">
        <v>5</v>
      </c>
      <c r="B5229">
        <v>31</v>
      </c>
      <c r="C5229">
        <v>2</v>
      </c>
      <c r="D5229">
        <v>10</v>
      </c>
      <c r="E5229">
        <f t="shared" si="81"/>
        <v>1.8212676770522169E-7</v>
      </c>
    </row>
    <row r="5230" spans="1:5" x14ac:dyDescent="0.25">
      <c r="A5230">
        <v>5</v>
      </c>
      <c r="B5230">
        <v>31</v>
      </c>
      <c r="C5230">
        <v>3</v>
      </c>
      <c r="D5230">
        <v>9</v>
      </c>
      <c r="E5230">
        <f t="shared" si="81"/>
        <v>2.3904138261310351E-6</v>
      </c>
    </row>
    <row r="5231" spans="1:5" x14ac:dyDescent="0.25">
      <c r="A5231">
        <v>5</v>
      </c>
      <c r="B5231">
        <v>31</v>
      </c>
      <c r="C5231">
        <v>4</v>
      </c>
      <c r="D5231">
        <v>8</v>
      </c>
      <c r="E5231">
        <f t="shared" si="81"/>
        <v>1.9615454632075253E-5</v>
      </c>
    </row>
    <row r="5232" spans="1:5" x14ac:dyDescent="0.25">
      <c r="A5232">
        <v>5</v>
      </c>
      <c r="B5232">
        <v>31</v>
      </c>
      <c r="C5232">
        <v>5</v>
      </c>
      <c r="D5232">
        <v>7</v>
      </c>
      <c r="E5232">
        <f t="shared" si="81"/>
        <v>1.0635935400503032E-4</v>
      </c>
    </row>
    <row r="5233" spans="1:5" x14ac:dyDescent="0.25">
      <c r="A5233">
        <v>5</v>
      </c>
      <c r="B5233">
        <v>31</v>
      </c>
      <c r="C5233">
        <v>6</v>
      </c>
      <c r="D5233">
        <v>6</v>
      </c>
      <c r="E5233">
        <f t="shared" si="81"/>
        <v>3.9185025159747989E-4</v>
      </c>
    </row>
    <row r="5234" spans="1:5" x14ac:dyDescent="0.25">
      <c r="A5234">
        <v>5</v>
      </c>
      <c r="B5234">
        <v>31</v>
      </c>
      <c r="C5234">
        <v>7</v>
      </c>
      <c r="D5234">
        <v>5</v>
      </c>
      <c r="E5234">
        <f t="shared" si="81"/>
        <v>9.9082135046791361E-4</v>
      </c>
    </row>
    <row r="5235" spans="1:5" x14ac:dyDescent="0.25">
      <c r="A5235">
        <v>5</v>
      </c>
      <c r="B5235">
        <v>31</v>
      </c>
      <c r="C5235">
        <v>8</v>
      </c>
      <c r="D5235">
        <v>4</v>
      </c>
      <c r="E5235">
        <f t="shared" si="81"/>
        <v>1.7103463787838992E-3</v>
      </c>
    </row>
    <row r="5236" spans="1:5" x14ac:dyDescent="0.25">
      <c r="A5236">
        <v>5</v>
      </c>
      <c r="B5236">
        <v>31</v>
      </c>
      <c r="C5236">
        <v>9</v>
      </c>
      <c r="D5236">
        <v>3</v>
      </c>
      <c r="E5236">
        <f t="shared" si="81"/>
        <v>1.9694897695087315E-3</v>
      </c>
    </row>
    <row r="5237" spans="1:5" x14ac:dyDescent="0.25">
      <c r="A5237">
        <v>5</v>
      </c>
      <c r="B5237">
        <v>31</v>
      </c>
      <c r="C5237">
        <v>10</v>
      </c>
      <c r="D5237">
        <v>2</v>
      </c>
      <c r="E5237">
        <f t="shared" si="81"/>
        <v>1.4385838316411609E-3</v>
      </c>
    </row>
    <row r="5238" spans="1:5" x14ac:dyDescent="0.25">
      <c r="A5238">
        <v>5</v>
      </c>
      <c r="B5238">
        <v>31</v>
      </c>
      <c r="C5238">
        <v>11</v>
      </c>
      <c r="D5238">
        <v>1</v>
      </c>
      <c r="E5238">
        <f t="shared" si="81"/>
        <v>5.9940992985048369E-4</v>
      </c>
    </row>
    <row r="5239" spans="1:5" x14ac:dyDescent="0.25">
      <c r="A5239">
        <v>5</v>
      </c>
      <c r="B5239">
        <v>31</v>
      </c>
      <c r="C5239">
        <v>12</v>
      </c>
      <c r="D5239">
        <v>0</v>
      </c>
      <c r="E5239">
        <f t="shared" si="81"/>
        <v>1.07893787373087E-4</v>
      </c>
    </row>
    <row r="5240" spans="1:5" x14ac:dyDescent="0.25">
      <c r="A5240">
        <v>5</v>
      </c>
      <c r="B5240">
        <v>32</v>
      </c>
      <c r="C5240">
        <v>0</v>
      </c>
      <c r="D5240">
        <v>11</v>
      </c>
      <c r="E5240">
        <f t="shared" si="81"/>
        <v>9.6267290075831415E-10</v>
      </c>
    </row>
    <row r="5241" spans="1:5" x14ac:dyDescent="0.25">
      <c r="A5241">
        <v>5</v>
      </c>
      <c r="B5241">
        <v>32</v>
      </c>
      <c r="C5241">
        <v>1</v>
      </c>
      <c r="D5241">
        <v>10</v>
      </c>
      <c r="E5241">
        <f t="shared" si="81"/>
        <v>4.5887408269479625E-8</v>
      </c>
    </row>
    <row r="5242" spans="1:5" x14ac:dyDescent="0.25">
      <c r="A5242">
        <v>5</v>
      </c>
      <c r="B5242">
        <v>32</v>
      </c>
      <c r="C5242">
        <v>2</v>
      </c>
      <c r="D5242">
        <v>9</v>
      </c>
      <c r="E5242">
        <f t="shared" si="81"/>
        <v>9.1774816538959263E-7</v>
      </c>
    </row>
    <row r="5243" spans="1:5" x14ac:dyDescent="0.25">
      <c r="A5243">
        <v>5</v>
      </c>
      <c r="B5243">
        <v>32</v>
      </c>
      <c r="C5243">
        <v>3</v>
      </c>
      <c r="D5243">
        <v>8</v>
      </c>
      <c r="E5243">
        <f t="shared" si="81"/>
        <v>1.0203200191684295E-5</v>
      </c>
    </row>
    <row r="5244" spans="1:5" x14ac:dyDescent="0.25">
      <c r="A5244">
        <v>5</v>
      </c>
      <c r="B5244">
        <v>32</v>
      </c>
      <c r="C5244">
        <v>4</v>
      </c>
      <c r="D5244">
        <v>7</v>
      </c>
      <c r="E5244">
        <f t="shared" si="81"/>
        <v>7.0288712431602944E-5</v>
      </c>
    </row>
    <row r="5245" spans="1:5" x14ac:dyDescent="0.25">
      <c r="A5245">
        <v>5</v>
      </c>
      <c r="B5245">
        <v>32</v>
      </c>
      <c r="C5245">
        <v>5</v>
      </c>
      <c r="D5245">
        <v>6</v>
      </c>
      <c r="E5245">
        <f t="shared" si="81"/>
        <v>3.1592926535046784E-4</v>
      </c>
    </row>
    <row r="5246" spans="1:5" x14ac:dyDescent="0.25">
      <c r="A5246">
        <v>5</v>
      </c>
      <c r="B5246">
        <v>32</v>
      </c>
      <c r="C5246">
        <v>6</v>
      </c>
      <c r="D5246">
        <v>5</v>
      </c>
      <c r="E5246">
        <f t="shared" si="81"/>
        <v>9.4778779605140346E-4</v>
      </c>
    </row>
    <row r="5247" spans="1:5" x14ac:dyDescent="0.25">
      <c r="A5247">
        <v>5</v>
      </c>
      <c r="B5247">
        <v>32</v>
      </c>
      <c r="C5247">
        <v>7</v>
      </c>
      <c r="D5247">
        <v>4</v>
      </c>
      <c r="E5247">
        <f t="shared" si="81"/>
        <v>1.9020231281303682E-3</v>
      </c>
    </row>
    <row r="5248" spans="1:5" x14ac:dyDescent="0.25">
      <c r="A5248">
        <v>5</v>
      </c>
      <c r="B5248">
        <v>32</v>
      </c>
      <c r="C5248">
        <v>8</v>
      </c>
      <c r="D5248">
        <v>3</v>
      </c>
      <c r="E5248">
        <f t="shared" si="81"/>
        <v>2.5072123052627582E-3</v>
      </c>
    </row>
    <row r="5249" spans="1:5" x14ac:dyDescent="0.25">
      <c r="A5249">
        <v>5</v>
      </c>
      <c r="B5249">
        <v>32</v>
      </c>
      <c r="C5249">
        <v>9</v>
      </c>
      <c r="D5249">
        <v>2</v>
      </c>
      <c r="E5249">
        <f t="shared" si="81"/>
        <v>2.0711753826083649E-3</v>
      </c>
    </row>
    <row r="5250" spans="1:5" x14ac:dyDescent="0.25">
      <c r="A5250">
        <v>5</v>
      </c>
      <c r="B5250">
        <v>32</v>
      </c>
      <c r="C5250">
        <v>10</v>
      </c>
      <c r="D5250">
        <v>1</v>
      </c>
      <c r="E5250">
        <f t="shared" si="81"/>
        <v>9.6654851188390388E-4</v>
      </c>
    </row>
    <row r="5251" spans="1:5" x14ac:dyDescent="0.25">
      <c r="A5251">
        <v>5</v>
      </c>
      <c r="B5251">
        <v>32</v>
      </c>
      <c r="C5251">
        <v>11</v>
      </c>
      <c r="D5251">
        <v>0</v>
      </c>
      <c r="E5251">
        <f t="shared" si="81"/>
        <v>1.9330970237678078E-4</v>
      </c>
    </row>
    <row r="5252" spans="1:5" x14ac:dyDescent="0.25">
      <c r="A5252">
        <v>5</v>
      </c>
      <c r="B5252">
        <v>33</v>
      </c>
      <c r="C5252">
        <v>0</v>
      </c>
      <c r="D5252">
        <v>10</v>
      </c>
      <c r="E5252">
        <f t="shared" si="81"/>
        <v>5.4979318998863756E-9</v>
      </c>
    </row>
    <row r="5253" spans="1:5" x14ac:dyDescent="0.25">
      <c r="A5253">
        <v>5</v>
      </c>
      <c r="B5253">
        <v>33</v>
      </c>
      <c r="C5253">
        <v>1</v>
      </c>
      <c r="D5253">
        <v>9</v>
      </c>
      <c r="E5253">
        <f t="shared" si="81"/>
        <v>2.23353483432884E-7</v>
      </c>
    </row>
    <row r="5254" spans="1:5" x14ac:dyDescent="0.25">
      <c r="A5254">
        <v>5</v>
      </c>
      <c r="B5254">
        <v>33</v>
      </c>
      <c r="C5254">
        <v>2</v>
      </c>
      <c r="D5254">
        <v>8</v>
      </c>
      <c r="E5254">
        <f t="shared" si="81"/>
        <v>3.7838707781570937E-6</v>
      </c>
    </row>
    <row r="5255" spans="1:5" x14ac:dyDescent="0.25">
      <c r="A5255">
        <v>5</v>
      </c>
      <c r="B5255">
        <v>33</v>
      </c>
      <c r="C5255">
        <v>3</v>
      </c>
      <c r="D5255">
        <v>7</v>
      </c>
      <c r="E5255">
        <f t="shared" si="81"/>
        <v>3.5316127262799554E-5</v>
      </c>
    </row>
    <row r="5256" spans="1:5" x14ac:dyDescent="0.25">
      <c r="A5256">
        <v>5</v>
      </c>
      <c r="B5256">
        <v>33</v>
      </c>
      <c r="C5256">
        <v>4</v>
      </c>
      <c r="D5256">
        <v>6</v>
      </c>
      <c r="E5256">
        <f t="shared" si="81"/>
        <v>2.0167367410598683E-4</v>
      </c>
    </row>
    <row r="5257" spans="1:5" x14ac:dyDescent="0.25">
      <c r="A5257">
        <v>5</v>
      </c>
      <c r="B5257">
        <v>33</v>
      </c>
      <c r="C5257">
        <v>5</v>
      </c>
      <c r="D5257">
        <v>5</v>
      </c>
      <c r="E5257">
        <f t="shared" si="81"/>
        <v>7.3812564722791206E-4</v>
      </c>
    </row>
    <row r="5258" spans="1:5" x14ac:dyDescent="0.25">
      <c r="A5258">
        <v>5</v>
      </c>
      <c r="B5258">
        <v>33</v>
      </c>
      <c r="C5258">
        <v>6</v>
      </c>
      <c r="D5258">
        <v>4</v>
      </c>
      <c r="E5258">
        <f t="shared" si="81"/>
        <v>1.7574420172093144E-3</v>
      </c>
    </row>
    <row r="5259" spans="1:5" x14ac:dyDescent="0.25">
      <c r="A5259">
        <v>5</v>
      </c>
      <c r="B5259">
        <v>33</v>
      </c>
      <c r="C5259">
        <v>7</v>
      </c>
      <c r="D5259">
        <v>3</v>
      </c>
      <c r="E5259">
        <f t="shared" si="81"/>
        <v>2.6932228315675205E-3</v>
      </c>
    </row>
    <row r="5260" spans="1:5" x14ac:dyDescent="0.25">
      <c r="A5260">
        <v>5</v>
      </c>
      <c r="B5260">
        <v>33</v>
      </c>
      <c r="C5260">
        <v>8</v>
      </c>
      <c r="D5260">
        <v>2</v>
      </c>
      <c r="E5260">
        <f t="shared" si="81"/>
        <v>2.546852025504069E-3</v>
      </c>
    </row>
    <row r="5261" spans="1:5" x14ac:dyDescent="0.25">
      <c r="A5261">
        <v>5</v>
      </c>
      <c r="B5261">
        <v>33</v>
      </c>
      <c r="C5261">
        <v>9</v>
      </c>
      <c r="D5261">
        <v>1</v>
      </c>
      <c r="E5261">
        <f t="shared" si="81"/>
        <v>1.3441719023493696E-3</v>
      </c>
    </row>
    <row r="5262" spans="1:5" x14ac:dyDescent="0.25">
      <c r="A5262">
        <v>5</v>
      </c>
      <c r="B5262">
        <v>33</v>
      </c>
      <c r="C5262">
        <v>10</v>
      </c>
      <c r="D5262">
        <v>0</v>
      </c>
      <c r="E5262">
        <f t="shared" ref="E5262:E5325" si="82">COMBIN(A$4,A5262)*COMBIN(B$4,B5262)*COMBIN(C$4,C5262)*COMBIN(D$4,D5262)/COMBIN($G$4,$F$4)</f>
        <v>3.0109450612625876E-4</v>
      </c>
    </row>
    <row r="5263" spans="1:5" x14ac:dyDescent="0.25">
      <c r="A5263">
        <v>5</v>
      </c>
      <c r="B5263">
        <v>34</v>
      </c>
      <c r="C5263">
        <v>0</v>
      </c>
      <c r="D5263">
        <v>9</v>
      </c>
      <c r="E5263">
        <f t="shared" si="82"/>
        <v>2.5872620705347639E-8</v>
      </c>
    </row>
    <row r="5264" spans="1:5" x14ac:dyDescent="0.25">
      <c r="A5264">
        <v>5</v>
      </c>
      <c r="B5264">
        <v>34</v>
      </c>
      <c r="C5264">
        <v>1</v>
      </c>
      <c r="D5264">
        <v>8</v>
      </c>
      <c r="E5264">
        <f t="shared" si="82"/>
        <v>8.9032253603696291E-7</v>
      </c>
    </row>
    <row r="5265" spans="1:5" x14ac:dyDescent="0.25">
      <c r="A5265">
        <v>5</v>
      </c>
      <c r="B5265">
        <v>34</v>
      </c>
      <c r="C5265">
        <v>2</v>
      </c>
      <c r="D5265">
        <v>7</v>
      </c>
      <c r="E5265">
        <f t="shared" si="82"/>
        <v>1.2662364956970142E-5</v>
      </c>
    </row>
    <row r="5266" spans="1:5" x14ac:dyDescent="0.25">
      <c r="A5266">
        <v>5</v>
      </c>
      <c r="B5266">
        <v>34</v>
      </c>
      <c r="C5266">
        <v>3</v>
      </c>
      <c r="D5266">
        <v>6</v>
      </c>
      <c r="E5266">
        <f t="shared" si="82"/>
        <v>9.7966718351295281E-5</v>
      </c>
    </row>
    <row r="5267" spans="1:5" x14ac:dyDescent="0.25">
      <c r="A5267">
        <v>5</v>
      </c>
      <c r="B5267">
        <v>34</v>
      </c>
      <c r="C5267">
        <v>4</v>
      </c>
      <c r="D5267">
        <v>5</v>
      </c>
      <c r="E5267">
        <f t="shared" si="82"/>
        <v>4.5554524033352301E-4</v>
      </c>
    </row>
    <row r="5268" spans="1:5" x14ac:dyDescent="0.25">
      <c r="A5268">
        <v>5</v>
      </c>
      <c r="B5268">
        <v>34</v>
      </c>
      <c r="C5268">
        <v>5</v>
      </c>
      <c r="D5268">
        <v>4</v>
      </c>
      <c r="E5268">
        <f t="shared" si="82"/>
        <v>1.3232504600164247E-3</v>
      </c>
    </row>
    <row r="5269" spans="1:5" x14ac:dyDescent="0.25">
      <c r="A5269">
        <v>5</v>
      </c>
      <c r="B5269">
        <v>34</v>
      </c>
      <c r="C5269">
        <v>6</v>
      </c>
      <c r="D5269">
        <v>3</v>
      </c>
      <c r="E5269">
        <f t="shared" si="82"/>
        <v>2.4059099273025892E-3</v>
      </c>
    </row>
    <row r="5270" spans="1:5" x14ac:dyDescent="0.25">
      <c r="A5270">
        <v>5</v>
      </c>
      <c r="B5270">
        <v>34</v>
      </c>
      <c r="C5270">
        <v>7</v>
      </c>
      <c r="D5270">
        <v>2</v>
      </c>
      <c r="E5270">
        <f t="shared" si="82"/>
        <v>2.6450065660407352E-3</v>
      </c>
    </row>
    <row r="5271" spans="1:5" x14ac:dyDescent="0.25">
      <c r="A5271">
        <v>5</v>
      </c>
      <c r="B5271">
        <v>34</v>
      </c>
      <c r="C5271">
        <v>8</v>
      </c>
      <c r="D5271">
        <v>1</v>
      </c>
      <c r="E5271">
        <f t="shared" si="82"/>
        <v>1.5980248003162776E-3</v>
      </c>
    </row>
    <row r="5272" spans="1:5" x14ac:dyDescent="0.25">
      <c r="A5272">
        <v>5</v>
      </c>
      <c r="B5272">
        <v>34</v>
      </c>
      <c r="C5272">
        <v>9</v>
      </c>
      <c r="D5272">
        <v>0</v>
      </c>
      <c r="E5272">
        <f t="shared" si="82"/>
        <v>4.0483294941345697E-4</v>
      </c>
    </row>
    <row r="5273" spans="1:5" x14ac:dyDescent="0.25">
      <c r="A5273">
        <v>5</v>
      </c>
      <c r="B5273">
        <v>35</v>
      </c>
      <c r="C5273">
        <v>0</v>
      </c>
      <c r="D5273">
        <v>8</v>
      </c>
      <c r="E5273">
        <f t="shared" si="82"/>
        <v>9.9794394149198024E-8</v>
      </c>
    </row>
    <row r="5274" spans="1:5" x14ac:dyDescent="0.25">
      <c r="A5274">
        <v>5</v>
      </c>
      <c r="B5274">
        <v>35</v>
      </c>
      <c r="C5274">
        <v>1</v>
      </c>
      <c r="D5274">
        <v>7</v>
      </c>
      <c r="E5274">
        <f t="shared" si="82"/>
        <v>2.8829491643101657E-6</v>
      </c>
    </row>
    <row r="5275" spans="1:5" x14ac:dyDescent="0.25">
      <c r="A5275">
        <v>5</v>
      </c>
      <c r="B5275">
        <v>35</v>
      </c>
      <c r="C5275">
        <v>2</v>
      </c>
      <c r="D5275">
        <v>6</v>
      </c>
      <c r="E5275">
        <f t="shared" si="82"/>
        <v>3.3988453305551421E-5</v>
      </c>
    </row>
    <row r="5276" spans="1:5" x14ac:dyDescent="0.25">
      <c r="A5276">
        <v>5</v>
      </c>
      <c r="B5276">
        <v>35</v>
      </c>
      <c r="C5276">
        <v>3</v>
      </c>
      <c r="D5276">
        <v>5</v>
      </c>
      <c r="E5276">
        <f t="shared" si="82"/>
        <v>2.1412725582497391E-4</v>
      </c>
    </row>
    <row r="5277" spans="1:5" x14ac:dyDescent="0.25">
      <c r="A5277">
        <v>5</v>
      </c>
      <c r="B5277">
        <v>35</v>
      </c>
      <c r="C5277">
        <v>4</v>
      </c>
      <c r="D5277">
        <v>4</v>
      </c>
      <c r="E5277">
        <f t="shared" si="82"/>
        <v>7.9023153935407059E-4</v>
      </c>
    </row>
    <row r="5278" spans="1:5" x14ac:dyDescent="0.25">
      <c r="A5278">
        <v>5</v>
      </c>
      <c r="B5278">
        <v>35</v>
      </c>
      <c r="C5278">
        <v>5</v>
      </c>
      <c r="D5278">
        <v>3</v>
      </c>
      <c r="E5278">
        <f t="shared" si="82"/>
        <v>1.7528772327490292E-3</v>
      </c>
    </row>
    <row r="5279" spans="1:5" x14ac:dyDescent="0.25">
      <c r="A5279">
        <v>5</v>
      </c>
      <c r="B5279">
        <v>35</v>
      </c>
      <c r="C5279">
        <v>6</v>
      </c>
      <c r="D5279">
        <v>2</v>
      </c>
      <c r="E5279">
        <f t="shared" si="82"/>
        <v>2.2863616079335162E-3</v>
      </c>
    </row>
    <row r="5280" spans="1:5" x14ac:dyDescent="0.25">
      <c r="A5280">
        <v>5</v>
      </c>
      <c r="B5280">
        <v>35</v>
      </c>
      <c r="C5280">
        <v>7</v>
      </c>
      <c r="D5280">
        <v>1</v>
      </c>
      <c r="E5280">
        <f t="shared" si="82"/>
        <v>1.6058968436675888E-3</v>
      </c>
    </row>
    <row r="5281" spans="1:5" x14ac:dyDescent="0.25">
      <c r="A5281">
        <v>5</v>
      </c>
      <c r="B5281">
        <v>35</v>
      </c>
      <c r="C5281">
        <v>8</v>
      </c>
      <c r="D5281">
        <v>0</v>
      </c>
      <c r="E5281">
        <f t="shared" si="82"/>
        <v>4.6571008466360082E-4</v>
      </c>
    </row>
    <row r="5282" spans="1:5" x14ac:dyDescent="0.25">
      <c r="A5282">
        <v>5</v>
      </c>
      <c r="B5282">
        <v>36</v>
      </c>
      <c r="C5282">
        <v>0</v>
      </c>
      <c r="D5282">
        <v>7</v>
      </c>
      <c r="E5282">
        <f t="shared" si="82"/>
        <v>3.1293550757896693E-7</v>
      </c>
    </row>
    <row r="5283" spans="1:5" x14ac:dyDescent="0.25">
      <c r="A5283">
        <v>5</v>
      </c>
      <c r="B5283">
        <v>36</v>
      </c>
      <c r="C5283">
        <v>1</v>
      </c>
      <c r="D5283">
        <v>6</v>
      </c>
      <c r="E5283">
        <f t="shared" si="82"/>
        <v>7.4939818920226265E-6</v>
      </c>
    </row>
    <row r="5284" spans="1:5" x14ac:dyDescent="0.25">
      <c r="A5284">
        <v>5</v>
      </c>
      <c r="B5284">
        <v>36</v>
      </c>
      <c r="C5284">
        <v>2</v>
      </c>
      <c r="D5284">
        <v>5</v>
      </c>
      <c r="E5284">
        <f t="shared" si="82"/>
        <v>7.1942226163417214E-5</v>
      </c>
    </row>
    <row r="5285" spans="1:5" x14ac:dyDescent="0.25">
      <c r="A5285">
        <v>5</v>
      </c>
      <c r="B5285">
        <v>36</v>
      </c>
      <c r="C5285">
        <v>3</v>
      </c>
      <c r="D5285">
        <v>4</v>
      </c>
      <c r="E5285">
        <f t="shared" si="82"/>
        <v>3.5971113081708614E-4</v>
      </c>
    </row>
    <row r="5286" spans="1:5" x14ac:dyDescent="0.25">
      <c r="A5286">
        <v>5</v>
      </c>
      <c r="B5286">
        <v>36</v>
      </c>
      <c r="C5286">
        <v>4</v>
      </c>
      <c r="D5286">
        <v>3</v>
      </c>
      <c r="E5286">
        <f t="shared" si="82"/>
        <v>1.0137313686663335E-3</v>
      </c>
    </row>
    <row r="5287" spans="1:5" x14ac:dyDescent="0.25">
      <c r="A5287">
        <v>5</v>
      </c>
      <c r="B5287">
        <v>36</v>
      </c>
      <c r="C5287">
        <v>5</v>
      </c>
      <c r="D5287">
        <v>2</v>
      </c>
      <c r="E5287">
        <f t="shared" si="82"/>
        <v>1.6131551344864266E-3</v>
      </c>
    </row>
    <row r="5288" spans="1:5" x14ac:dyDescent="0.25">
      <c r="A5288">
        <v>5</v>
      </c>
      <c r="B5288">
        <v>36</v>
      </c>
      <c r="C5288">
        <v>6</v>
      </c>
      <c r="D5288">
        <v>1</v>
      </c>
      <c r="E5288">
        <f t="shared" si="82"/>
        <v>1.3442959454053555E-3</v>
      </c>
    </row>
    <row r="5289" spans="1:5" x14ac:dyDescent="0.25">
      <c r="A5289">
        <v>5</v>
      </c>
      <c r="B5289">
        <v>36</v>
      </c>
      <c r="C5289">
        <v>7</v>
      </c>
      <c r="D5289">
        <v>0</v>
      </c>
      <c r="E5289">
        <f t="shared" si="82"/>
        <v>4.532197758795198E-4</v>
      </c>
    </row>
    <row r="5290" spans="1:5" x14ac:dyDescent="0.25">
      <c r="A5290">
        <v>5</v>
      </c>
      <c r="B5290">
        <v>37</v>
      </c>
      <c r="C5290">
        <v>0</v>
      </c>
      <c r="D5290">
        <v>6</v>
      </c>
      <c r="E5290">
        <f t="shared" si="82"/>
        <v>7.8834819903605932E-7</v>
      </c>
    </row>
    <row r="5291" spans="1:5" x14ac:dyDescent="0.25">
      <c r="A5291">
        <v>5</v>
      </c>
      <c r="B5291">
        <v>37</v>
      </c>
      <c r="C5291">
        <v>1</v>
      </c>
      <c r="D5291">
        <v>5</v>
      </c>
      <c r="E5291">
        <f t="shared" si="82"/>
        <v>1.5372789881203157E-5</v>
      </c>
    </row>
    <row r="5292" spans="1:5" x14ac:dyDescent="0.25">
      <c r="A5292">
        <v>5</v>
      </c>
      <c r="B5292">
        <v>37</v>
      </c>
      <c r="C5292">
        <v>2</v>
      </c>
      <c r="D5292">
        <v>4</v>
      </c>
      <c r="E5292">
        <f t="shared" si="82"/>
        <v>1.1712601814250028E-4</v>
      </c>
    </row>
    <row r="5293" spans="1:5" x14ac:dyDescent="0.25">
      <c r="A5293">
        <v>5</v>
      </c>
      <c r="B5293">
        <v>37</v>
      </c>
      <c r="C5293">
        <v>3</v>
      </c>
      <c r="D5293">
        <v>3</v>
      </c>
      <c r="E5293">
        <f t="shared" si="82"/>
        <v>4.4720843290772827E-4</v>
      </c>
    </row>
    <row r="5294" spans="1:5" x14ac:dyDescent="0.25">
      <c r="A5294">
        <v>5</v>
      </c>
      <c r="B5294">
        <v>37</v>
      </c>
      <c r="C5294">
        <v>4</v>
      </c>
      <c r="D5294">
        <v>2</v>
      </c>
      <c r="E5294">
        <f t="shared" si="82"/>
        <v>9.0413878826997227E-4</v>
      </c>
    </row>
    <row r="5295" spans="1:5" x14ac:dyDescent="0.25">
      <c r="A5295">
        <v>5</v>
      </c>
      <c r="B5295">
        <v>37</v>
      </c>
      <c r="C5295">
        <v>5</v>
      </c>
      <c r="D5295">
        <v>1</v>
      </c>
      <c r="E5295">
        <f t="shared" si="82"/>
        <v>9.1920776807447198E-4</v>
      </c>
    </row>
    <row r="5296" spans="1:5" x14ac:dyDescent="0.25">
      <c r="A5296">
        <v>5</v>
      </c>
      <c r="B5296">
        <v>37</v>
      </c>
      <c r="C5296">
        <v>6</v>
      </c>
      <c r="D5296">
        <v>0</v>
      </c>
      <c r="E5296">
        <f t="shared" si="82"/>
        <v>3.6768310722978874E-4</v>
      </c>
    </row>
    <row r="5297" spans="1:5" x14ac:dyDescent="0.25">
      <c r="A5297">
        <v>5</v>
      </c>
      <c r="B5297">
        <v>38</v>
      </c>
      <c r="C5297">
        <v>0</v>
      </c>
      <c r="D5297">
        <v>5</v>
      </c>
      <c r="E5297">
        <f t="shared" si="82"/>
        <v>1.5683979959770033E-6</v>
      </c>
    </row>
    <row r="5298" spans="1:5" x14ac:dyDescent="0.25">
      <c r="A5298">
        <v>5</v>
      </c>
      <c r="B5298">
        <v>38</v>
      </c>
      <c r="C5298">
        <v>1</v>
      </c>
      <c r="D5298">
        <v>4</v>
      </c>
      <c r="E5298">
        <f t="shared" si="82"/>
        <v>2.4272826128215533E-5</v>
      </c>
    </row>
    <row r="5299" spans="1:5" x14ac:dyDescent="0.25">
      <c r="A5299">
        <v>5</v>
      </c>
      <c r="B5299">
        <v>38</v>
      </c>
      <c r="C5299">
        <v>2</v>
      </c>
      <c r="D5299">
        <v>3</v>
      </c>
      <c r="E5299">
        <f t="shared" si="82"/>
        <v>1.4122371565507218E-4</v>
      </c>
    </row>
    <row r="5300" spans="1:5" x14ac:dyDescent="0.25">
      <c r="A5300">
        <v>5</v>
      </c>
      <c r="B5300">
        <v>38</v>
      </c>
      <c r="C5300">
        <v>3</v>
      </c>
      <c r="D5300">
        <v>2</v>
      </c>
      <c r="E5300">
        <f t="shared" si="82"/>
        <v>3.8683017766389337E-4</v>
      </c>
    </row>
    <row r="5301" spans="1:5" x14ac:dyDescent="0.25">
      <c r="A5301">
        <v>5</v>
      </c>
      <c r="B5301">
        <v>38</v>
      </c>
      <c r="C5301">
        <v>4</v>
      </c>
      <c r="D5301">
        <v>1</v>
      </c>
      <c r="E5301">
        <f t="shared" si="82"/>
        <v>4.9965564614919556E-4</v>
      </c>
    </row>
    <row r="5302" spans="1:5" x14ac:dyDescent="0.25">
      <c r="A5302">
        <v>5</v>
      </c>
      <c r="B5302">
        <v>38</v>
      </c>
      <c r="C5302">
        <v>5</v>
      </c>
      <c r="D5302">
        <v>0</v>
      </c>
      <c r="E5302">
        <f t="shared" si="82"/>
        <v>2.4383195532080748E-4</v>
      </c>
    </row>
    <row r="5303" spans="1:5" x14ac:dyDescent="0.25">
      <c r="A5303">
        <v>5</v>
      </c>
      <c r="B5303">
        <v>39</v>
      </c>
      <c r="C5303">
        <v>0</v>
      </c>
      <c r="D5303">
        <v>4</v>
      </c>
      <c r="E5303">
        <f t="shared" si="82"/>
        <v>2.4033449144702558E-6</v>
      </c>
    </row>
    <row r="5304" spans="1:5" x14ac:dyDescent="0.25">
      <c r="A5304">
        <v>5</v>
      </c>
      <c r="B5304">
        <v>39</v>
      </c>
      <c r="C5304">
        <v>1</v>
      </c>
      <c r="D5304">
        <v>3</v>
      </c>
      <c r="E5304">
        <f t="shared" si="82"/>
        <v>2.8403167171012109E-5</v>
      </c>
    </row>
    <row r="5305" spans="1:5" x14ac:dyDescent="0.25">
      <c r="A5305">
        <v>5</v>
      </c>
      <c r="B5305">
        <v>39</v>
      </c>
      <c r="C5305">
        <v>2</v>
      </c>
      <c r="D5305">
        <v>2</v>
      </c>
      <c r="E5305">
        <f t="shared" si="82"/>
        <v>1.1855234993118098E-4</v>
      </c>
    </row>
    <row r="5306" spans="1:5" x14ac:dyDescent="0.25">
      <c r="A5306">
        <v>5</v>
      </c>
      <c r="B5306">
        <v>39</v>
      </c>
      <c r="C5306">
        <v>3</v>
      </c>
      <c r="D5306">
        <v>1</v>
      </c>
      <c r="E5306">
        <f t="shared" si="82"/>
        <v>2.0746661237956672E-4</v>
      </c>
    </row>
    <row r="5307" spans="1:5" x14ac:dyDescent="0.25">
      <c r="A5307">
        <v>5</v>
      </c>
      <c r="B5307">
        <v>39</v>
      </c>
      <c r="C5307">
        <v>4</v>
      </c>
      <c r="D5307">
        <v>0</v>
      </c>
      <c r="E5307">
        <f t="shared" si="82"/>
        <v>1.2862929967533138E-4</v>
      </c>
    </row>
    <row r="5308" spans="1:5" x14ac:dyDescent="0.25">
      <c r="A5308">
        <v>5</v>
      </c>
      <c r="B5308">
        <v>40</v>
      </c>
      <c r="C5308">
        <v>0</v>
      </c>
      <c r="D5308">
        <v>3</v>
      </c>
      <c r="E5308">
        <f t="shared" si="82"/>
        <v>2.7310737664434742E-6</v>
      </c>
    </row>
    <row r="5309" spans="1:5" x14ac:dyDescent="0.25">
      <c r="A5309">
        <v>5</v>
      </c>
      <c r="B5309">
        <v>40</v>
      </c>
      <c r="C5309">
        <v>1</v>
      </c>
      <c r="D5309">
        <v>2</v>
      </c>
      <c r="E5309">
        <f t="shared" si="82"/>
        <v>2.3154755845933804E-5</v>
      </c>
    </row>
    <row r="5310" spans="1:5" x14ac:dyDescent="0.25">
      <c r="A5310">
        <v>5</v>
      </c>
      <c r="B5310">
        <v>40</v>
      </c>
      <c r="C5310">
        <v>2</v>
      </c>
      <c r="D5310">
        <v>1</v>
      </c>
      <c r="E5310">
        <f t="shared" si="82"/>
        <v>6.1746015589156811E-5</v>
      </c>
    </row>
    <row r="5311" spans="1:5" x14ac:dyDescent="0.25">
      <c r="A5311">
        <v>5</v>
      </c>
      <c r="B5311">
        <v>40</v>
      </c>
      <c r="C5311">
        <v>3</v>
      </c>
      <c r="D5311">
        <v>0</v>
      </c>
      <c r="E5311">
        <f t="shared" si="82"/>
        <v>5.1866653094891726E-5</v>
      </c>
    </row>
    <row r="5312" spans="1:5" x14ac:dyDescent="0.25">
      <c r="A5312">
        <v>5</v>
      </c>
      <c r="B5312">
        <v>41</v>
      </c>
      <c r="C5312">
        <v>0</v>
      </c>
      <c r="D5312">
        <v>2</v>
      </c>
      <c r="E5312">
        <f t="shared" si="82"/>
        <v>2.1634274692823681E-6</v>
      </c>
    </row>
    <row r="5313" spans="1:5" x14ac:dyDescent="0.25">
      <c r="A5313">
        <v>5</v>
      </c>
      <c r="B5313">
        <v>41</v>
      </c>
      <c r="C5313">
        <v>1</v>
      </c>
      <c r="D5313">
        <v>1</v>
      </c>
      <c r="E5313">
        <f t="shared" si="82"/>
        <v>1.1718565458612826E-5</v>
      </c>
    </row>
    <row r="5314" spans="1:5" x14ac:dyDescent="0.25">
      <c r="A5314">
        <v>5</v>
      </c>
      <c r="B5314">
        <v>41</v>
      </c>
      <c r="C5314">
        <v>2</v>
      </c>
      <c r="D5314">
        <v>0</v>
      </c>
      <c r="E5314">
        <f t="shared" si="82"/>
        <v>1.4999763787024417E-5</v>
      </c>
    </row>
    <row r="5315" spans="1:5" x14ac:dyDescent="0.25">
      <c r="A5315">
        <v>5</v>
      </c>
      <c r="B5315">
        <v>42</v>
      </c>
      <c r="C5315">
        <v>0</v>
      </c>
      <c r="D5315">
        <v>1</v>
      </c>
      <c r="E5315">
        <f t="shared" si="82"/>
        <v>1.0645436753611652E-6</v>
      </c>
    </row>
    <row r="5316" spans="1:5" x14ac:dyDescent="0.25">
      <c r="A5316">
        <v>5</v>
      </c>
      <c r="B5316">
        <v>42</v>
      </c>
      <c r="C5316">
        <v>1</v>
      </c>
      <c r="D5316">
        <v>0</v>
      </c>
      <c r="E5316">
        <f t="shared" si="82"/>
        <v>2.7678135559390298E-6</v>
      </c>
    </row>
    <row r="5317" spans="1:5" x14ac:dyDescent="0.25">
      <c r="A5317">
        <v>5</v>
      </c>
      <c r="B5317">
        <v>43</v>
      </c>
      <c r="C5317">
        <v>0</v>
      </c>
      <c r="D5317">
        <v>0</v>
      </c>
      <c r="E5317">
        <f t="shared" si="82"/>
        <v>2.4459747703647251E-7</v>
      </c>
    </row>
    <row r="5318" spans="1:5" x14ac:dyDescent="0.25">
      <c r="A5318">
        <v>6</v>
      </c>
      <c r="B5318">
        <v>0</v>
      </c>
      <c r="C5318">
        <v>17</v>
      </c>
      <c r="D5318">
        <v>25</v>
      </c>
      <c r="E5318">
        <f t="shared" si="82"/>
        <v>3.0004290479417659E-43</v>
      </c>
    </row>
    <row r="5319" spans="1:5" x14ac:dyDescent="0.25">
      <c r="A5319">
        <v>6</v>
      </c>
      <c r="B5319">
        <v>0</v>
      </c>
      <c r="C5319">
        <v>18</v>
      </c>
      <c r="D5319">
        <v>24</v>
      </c>
      <c r="E5319">
        <f t="shared" si="82"/>
        <v>2.0002860319611754E-41</v>
      </c>
    </row>
    <row r="5320" spans="1:5" x14ac:dyDescent="0.25">
      <c r="A5320">
        <v>6</v>
      </c>
      <c r="B5320">
        <v>0</v>
      </c>
      <c r="C5320">
        <v>19</v>
      </c>
      <c r="D5320">
        <v>23</v>
      </c>
      <c r="E5320">
        <f t="shared" si="82"/>
        <v>5.9376911685584379E-40</v>
      </c>
    </row>
    <row r="5321" spans="1:5" x14ac:dyDescent="0.25">
      <c r="A5321">
        <v>6</v>
      </c>
      <c r="B5321">
        <v>0</v>
      </c>
      <c r="C5321">
        <v>20</v>
      </c>
      <c r="D5321">
        <v>22</v>
      </c>
      <c r="E5321">
        <f t="shared" si="82"/>
        <v>1.0470128760558056E-38</v>
      </c>
    </row>
    <row r="5322" spans="1:5" x14ac:dyDescent="0.25">
      <c r="A5322">
        <v>6</v>
      </c>
      <c r="B5322">
        <v>0</v>
      </c>
      <c r="C5322">
        <v>21</v>
      </c>
      <c r="D5322">
        <v>21</v>
      </c>
      <c r="E5322">
        <f t="shared" si="82"/>
        <v>1.2339794610657696E-37</v>
      </c>
    </row>
    <row r="5323" spans="1:5" x14ac:dyDescent="0.25">
      <c r="A5323">
        <v>6</v>
      </c>
      <c r="B5323">
        <v>0</v>
      </c>
      <c r="C5323">
        <v>22</v>
      </c>
      <c r="D5323">
        <v>20</v>
      </c>
      <c r="E5323">
        <f t="shared" si="82"/>
        <v>1.0365427472952467E-36</v>
      </c>
    </row>
    <row r="5324" spans="1:5" x14ac:dyDescent="0.25">
      <c r="A5324">
        <v>6</v>
      </c>
      <c r="B5324">
        <v>0</v>
      </c>
      <c r="C5324">
        <v>23</v>
      </c>
      <c r="D5324">
        <v>19</v>
      </c>
      <c r="E5324">
        <f t="shared" si="82"/>
        <v>6.4596142222747239E-36</v>
      </c>
    </row>
    <row r="5325" spans="1:5" x14ac:dyDescent="0.25">
      <c r="A5325">
        <v>6</v>
      </c>
      <c r="B5325">
        <v>0</v>
      </c>
      <c r="C5325">
        <v>24</v>
      </c>
      <c r="D5325">
        <v>18</v>
      </c>
      <c r="E5325">
        <f t="shared" si="82"/>
        <v>3.0683167555804951E-35</v>
      </c>
    </row>
    <row r="5326" spans="1:5" x14ac:dyDescent="0.25">
      <c r="A5326">
        <v>6</v>
      </c>
      <c r="B5326">
        <v>0</v>
      </c>
      <c r="C5326">
        <v>25</v>
      </c>
      <c r="D5326">
        <v>17</v>
      </c>
      <c r="E5326">
        <f t="shared" ref="E5326:E5389" si="83">COMBIN(A$4,A5326)*COMBIN(B$4,B5326)*COMBIN(C$4,C5326)*COMBIN(D$4,D5326)/COMBIN($G$4,$F$4)</f>
        <v>1.132208882809203E-34</v>
      </c>
    </row>
    <row r="5327" spans="1:5" x14ac:dyDescent="0.25">
      <c r="A5327">
        <v>6</v>
      </c>
      <c r="B5327">
        <v>0</v>
      </c>
      <c r="C5327">
        <v>26</v>
      </c>
      <c r="D5327">
        <v>16</v>
      </c>
      <c r="E5327">
        <f t="shared" si="83"/>
        <v>3.2901796594455448E-34</v>
      </c>
    </row>
    <row r="5328" spans="1:5" x14ac:dyDescent="0.25">
      <c r="A5328">
        <v>6</v>
      </c>
      <c r="B5328">
        <v>0</v>
      </c>
      <c r="C5328">
        <v>27</v>
      </c>
      <c r="D5328">
        <v>15</v>
      </c>
      <c r="E5328">
        <f t="shared" si="83"/>
        <v>7.6039707684963699E-34</v>
      </c>
    </row>
    <row r="5329" spans="1:5" x14ac:dyDescent="0.25">
      <c r="A5329">
        <v>6</v>
      </c>
      <c r="B5329">
        <v>0</v>
      </c>
      <c r="C5329">
        <v>28</v>
      </c>
      <c r="D5329">
        <v>14</v>
      </c>
      <c r="E5329">
        <f t="shared" si="83"/>
        <v>1.4072283565074454E-33</v>
      </c>
    </row>
    <row r="5330" spans="1:5" x14ac:dyDescent="0.25">
      <c r="A5330">
        <v>6</v>
      </c>
      <c r="B5330">
        <v>0</v>
      </c>
      <c r="C5330">
        <v>29</v>
      </c>
      <c r="D5330">
        <v>13</v>
      </c>
      <c r="E5330">
        <f t="shared" si="83"/>
        <v>2.0946674961806234E-33</v>
      </c>
    </row>
    <row r="5331" spans="1:5" x14ac:dyDescent="0.25">
      <c r="A5331">
        <v>6</v>
      </c>
      <c r="B5331">
        <v>0</v>
      </c>
      <c r="C5331">
        <v>30</v>
      </c>
      <c r="D5331">
        <v>12</v>
      </c>
      <c r="E5331">
        <f t="shared" si="83"/>
        <v>2.5136009954167476E-33</v>
      </c>
    </row>
    <row r="5332" spans="1:5" x14ac:dyDescent="0.25">
      <c r="A5332">
        <v>6</v>
      </c>
      <c r="B5332">
        <v>0</v>
      </c>
      <c r="C5332">
        <v>31</v>
      </c>
      <c r="D5332">
        <v>11</v>
      </c>
      <c r="E5332">
        <f t="shared" si="83"/>
        <v>2.4325170923387878E-33</v>
      </c>
    </row>
    <row r="5333" spans="1:5" x14ac:dyDescent="0.25">
      <c r="A5333">
        <v>6</v>
      </c>
      <c r="B5333">
        <v>0</v>
      </c>
      <c r="C5333">
        <v>32</v>
      </c>
      <c r="D5333">
        <v>10</v>
      </c>
      <c r="E5333">
        <f t="shared" si="83"/>
        <v>1.8953362344473048E-33</v>
      </c>
    </row>
    <row r="5334" spans="1:5" x14ac:dyDescent="0.25">
      <c r="A5334">
        <v>6</v>
      </c>
      <c r="B5334">
        <v>0</v>
      </c>
      <c r="C5334">
        <v>33</v>
      </c>
      <c r="D5334">
        <v>9</v>
      </c>
      <c r="E5334">
        <f t="shared" si="83"/>
        <v>1.184585146529566E-33</v>
      </c>
    </row>
    <row r="5335" spans="1:5" x14ac:dyDescent="0.25">
      <c r="A5335">
        <v>6</v>
      </c>
      <c r="B5335">
        <v>0</v>
      </c>
      <c r="C5335">
        <v>34</v>
      </c>
      <c r="D5335">
        <v>8</v>
      </c>
      <c r="E5335">
        <f t="shared" si="83"/>
        <v>5.9024311799397061E-34</v>
      </c>
    </row>
    <row r="5336" spans="1:5" x14ac:dyDescent="0.25">
      <c r="A5336">
        <v>6</v>
      </c>
      <c r="B5336">
        <v>0</v>
      </c>
      <c r="C5336">
        <v>35</v>
      </c>
      <c r="D5336">
        <v>7</v>
      </c>
      <c r="E5336">
        <f t="shared" si="83"/>
        <v>2.323496718452456E-34</v>
      </c>
    </row>
    <row r="5337" spans="1:5" x14ac:dyDescent="0.25">
      <c r="A5337">
        <v>6</v>
      </c>
      <c r="B5337">
        <v>0</v>
      </c>
      <c r="C5337">
        <v>36</v>
      </c>
      <c r="D5337">
        <v>6</v>
      </c>
      <c r="E5337">
        <f t="shared" si="83"/>
        <v>7.1335425566522759E-35</v>
      </c>
    </row>
    <row r="5338" spans="1:5" x14ac:dyDescent="0.25">
      <c r="A5338">
        <v>6</v>
      </c>
      <c r="B5338">
        <v>0</v>
      </c>
      <c r="C5338">
        <v>37</v>
      </c>
      <c r="D5338">
        <v>5</v>
      </c>
      <c r="E5338">
        <f t="shared" si="83"/>
        <v>1.6773464930506701E-35</v>
      </c>
    </row>
    <row r="5339" spans="1:5" x14ac:dyDescent="0.25">
      <c r="A5339">
        <v>6</v>
      </c>
      <c r="B5339">
        <v>0</v>
      </c>
      <c r="C5339">
        <v>38</v>
      </c>
      <c r="D5339">
        <v>4</v>
      </c>
      <c r="E5339">
        <f t="shared" si="83"/>
        <v>2.9427131457029299E-36</v>
      </c>
    </row>
    <row r="5340" spans="1:5" x14ac:dyDescent="0.25">
      <c r="A5340">
        <v>6</v>
      </c>
      <c r="B5340">
        <v>0</v>
      </c>
      <c r="C5340">
        <v>39</v>
      </c>
      <c r="D5340">
        <v>3</v>
      </c>
      <c r="E5340">
        <f t="shared" si="83"/>
        <v>3.7041144491365547E-37</v>
      </c>
    </row>
    <row r="5341" spans="1:5" x14ac:dyDescent="0.25">
      <c r="A5341">
        <v>6</v>
      </c>
      <c r="B5341">
        <v>0</v>
      </c>
      <c r="C5341">
        <v>40</v>
      </c>
      <c r="D5341">
        <v>2</v>
      </c>
      <c r="E5341">
        <f t="shared" si="83"/>
        <v>3.1404448590505589E-38</v>
      </c>
    </row>
    <row r="5342" spans="1:5" x14ac:dyDescent="0.25">
      <c r="A5342">
        <v>6</v>
      </c>
      <c r="B5342">
        <v>0</v>
      </c>
      <c r="C5342">
        <v>41</v>
      </c>
      <c r="D5342">
        <v>1</v>
      </c>
      <c r="E5342">
        <f t="shared" si="83"/>
        <v>1.5957545015500805E-39</v>
      </c>
    </row>
    <row r="5343" spans="1:5" x14ac:dyDescent="0.25">
      <c r="A5343">
        <v>6</v>
      </c>
      <c r="B5343">
        <v>0</v>
      </c>
      <c r="C5343">
        <v>42</v>
      </c>
      <c r="D5343">
        <v>0</v>
      </c>
      <c r="E5343">
        <f t="shared" si="83"/>
        <v>3.6474388606858976E-41</v>
      </c>
    </row>
    <row r="5344" spans="1:5" x14ac:dyDescent="0.25">
      <c r="A5344">
        <v>6</v>
      </c>
      <c r="B5344">
        <v>1</v>
      </c>
      <c r="C5344">
        <v>16</v>
      </c>
      <c r="D5344">
        <v>25</v>
      </c>
      <c r="E5344">
        <f t="shared" si="83"/>
        <v>3.0083893699056915E-41</v>
      </c>
    </row>
    <row r="5345" spans="1:5" x14ac:dyDescent="0.25">
      <c r="A5345">
        <v>6</v>
      </c>
      <c r="B5345">
        <v>1</v>
      </c>
      <c r="C5345">
        <v>17</v>
      </c>
      <c r="D5345">
        <v>24</v>
      </c>
      <c r="E5345">
        <f t="shared" si="83"/>
        <v>2.167809987137926E-39</v>
      </c>
    </row>
    <row r="5346" spans="1:5" x14ac:dyDescent="0.25">
      <c r="A5346">
        <v>6</v>
      </c>
      <c r="B5346">
        <v>1</v>
      </c>
      <c r="C5346">
        <v>18</v>
      </c>
      <c r="D5346">
        <v>23</v>
      </c>
      <c r="E5346">
        <f t="shared" si="83"/>
        <v>6.9369919588413549E-38</v>
      </c>
    </row>
    <row r="5347" spans="1:5" x14ac:dyDescent="0.25">
      <c r="A5347">
        <v>6</v>
      </c>
      <c r="B5347">
        <v>1</v>
      </c>
      <c r="C5347">
        <v>19</v>
      </c>
      <c r="D5347">
        <v>22</v>
      </c>
      <c r="E5347">
        <f t="shared" si="83"/>
        <v>1.3155944399135979E-36</v>
      </c>
    </row>
    <row r="5348" spans="1:5" x14ac:dyDescent="0.25">
      <c r="A5348">
        <v>6</v>
      </c>
      <c r="B5348">
        <v>1</v>
      </c>
      <c r="C5348">
        <v>20</v>
      </c>
      <c r="D5348">
        <v>21</v>
      </c>
      <c r="E5348">
        <f t="shared" si="83"/>
        <v>1.6642269664907031E-35</v>
      </c>
    </row>
    <row r="5349" spans="1:5" x14ac:dyDescent="0.25">
      <c r="A5349">
        <v>6</v>
      </c>
      <c r="B5349">
        <v>1</v>
      </c>
      <c r="C5349">
        <v>21</v>
      </c>
      <c r="D5349">
        <v>20</v>
      </c>
      <c r="E5349">
        <f t="shared" si="83"/>
        <v>1.4978042698416306E-34</v>
      </c>
    </row>
    <row r="5350" spans="1:5" x14ac:dyDescent="0.25">
      <c r="A5350">
        <v>6</v>
      </c>
      <c r="B5350">
        <v>1</v>
      </c>
      <c r="C5350">
        <v>22</v>
      </c>
      <c r="D5350">
        <v>19</v>
      </c>
      <c r="E5350">
        <f t="shared" si="83"/>
        <v>9.9853617989442096E-34</v>
      </c>
    </row>
    <row r="5351" spans="1:5" x14ac:dyDescent="0.25">
      <c r="A5351">
        <v>6</v>
      </c>
      <c r="B5351">
        <v>1</v>
      </c>
      <c r="C5351">
        <v>23</v>
      </c>
      <c r="D5351">
        <v>18</v>
      </c>
      <c r="E5351">
        <f t="shared" si="83"/>
        <v>5.0671059563586468E-33</v>
      </c>
    </row>
    <row r="5352" spans="1:5" x14ac:dyDescent="0.25">
      <c r="A5352">
        <v>6</v>
      </c>
      <c r="B5352">
        <v>1</v>
      </c>
      <c r="C5352">
        <v>24</v>
      </c>
      <c r="D5352">
        <v>17</v>
      </c>
      <c r="E5352">
        <f t="shared" si="83"/>
        <v>1.9951729703162164E-32</v>
      </c>
    </row>
    <row r="5353" spans="1:5" x14ac:dyDescent="0.25">
      <c r="A5353">
        <v>6</v>
      </c>
      <c r="B5353">
        <v>1</v>
      </c>
      <c r="C5353">
        <v>25</v>
      </c>
      <c r="D5353">
        <v>16</v>
      </c>
      <c r="E5353">
        <f t="shared" si="83"/>
        <v>6.1806024902684606E-32</v>
      </c>
    </row>
    <row r="5354" spans="1:5" x14ac:dyDescent="0.25">
      <c r="A5354">
        <v>6</v>
      </c>
      <c r="B5354">
        <v>1</v>
      </c>
      <c r="C5354">
        <v>26</v>
      </c>
      <c r="D5354">
        <v>15</v>
      </c>
      <c r="E5354">
        <f t="shared" si="83"/>
        <v>1.5213790745276199E-31</v>
      </c>
    </row>
    <row r="5355" spans="1:5" x14ac:dyDescent="0.25">
      <c r="A5355">
        <v>6</v>
      </c>
      <c r="B5355">
        <v>1</v>
      </c>
      <c r="C5355">
        <v>27</v>
      </c>
      <c r="D5355">
        <v>14</v>
      </c>
      <c r="E5355">
        <f t="shared" si="83"/>
        <v>2.9966557528574326E-31</v>
      </c>
    </row>
    <row r="5356" spans="1:5" x14ac:dyDescent="0.25">
      <c r="A5356">
        <v>6</v>
      </c>
      <c r="B5356">
        <v>1</v>
      </c>
      <c r="C5356">
        <v>28</v>
      </c>
      <c r="D5356">
        <v>13</v>
      </c>
      <c r="E5356">
        <f t="shared" si="83"/>
        <v>4.7447049420242712E-31</v>
      </c>
    </row>
    <row r="5357" spans="1:5" x14ac:dyDescent="0.25">
      <c r="A5357">
        <v>6</v>
      </c>
      <c r="B5357">
        <v>1</v>
      </c>
      <c r="C5357">
        <v>29</v>
      </c>
      <c r="D5357">
        <v>12</v>
      </c>
      <c r="E5357">
        <f t="shared" si="83"/>
        <v>6.0535890639620011E-31</v>
      </c>
    </row>
    <row r="5358" spans="1:5" x14ac:dyDescent="0.25">
      <c r="A5358">
        <v>6</v>
      </c>
      <c r="B5358">
        <v>1</v>
      </c>
      <c r="C5358">
        <v>30</v>
      </c>
      <c r="D5358">
        <v>11</v>
      </c>
      <c r="E5358">
        <f t="shared" si="83"/>
        <v>6.2265487515037711E-31</v>
      </c>
    </row>
    <row r="5359" spans="1:5" x14ac:dyDescent="0.25">
      <c r="A5359">
        <v>6</v>
      </c>
      <c r="B5359">
        <v>1</v>
      </c>
      <c r="C5359">
        <v>31</v>
      </c>
      <c r="D5359">
        <v>10</v>
      </c>
      <c r="E5359">
        <f t="shared" si="83"/>
        <v>5.1553145576966703E-31</v>
      </c>
    </row>
    <row r="5360" spans="1:5" x14ac:dyDescent="0.25">
      <c r="A5360">
        <v>6</v>
      </c>
      <c r="B5360">
        <v>1</v>
      </c>
      <c r="C5360">
        <v>32</v>
      </c>
      <c r="D5360">
        <v>9</v>
      </c>
      <c r="E5360">
        <f t="shared" si="83"/>
        <v>3.4234510734704447E-31</v>
      </c>
    </row>
    <row r="5361" spans="1:5" x14ac:dyDescent="0.25">
      <c r="A5361">
        <v>6</v>
      </c>
      <c r="B5361">
        <v>1</v>
      </c>
      <c r="C5361">
        <v>33</v>
      </c>
      <c r="D5361">
        <v>8</v>
      </c>
      <c r="E5361">
        <f t="shared" si="83"/>
        <v>1.8124152741902354E-31</v>
      </c>
    </row>
    <row r="5362" spans="1:5" x14ac:dyDescent="0.25">
      <c r="A5362">
        <v>6</v>
      </c>
      <c r="B5362">
        <v>1</v>
      </c>
      <c r="C5362">
        <v>34</v>
      </c>
      <c r="D5362">
        <v>7</v>
      </c>
      <c r="E5362">
        <f t="shared" si="83"/>
        <v>7.5813449377892245E-32</v>
      </c>
    </row>
    <row r="5363" spans="1:5" x14ac:dyDescent="0.25">
      <c r="A5363">
        <v>6</v>
      </c>
      <c r="B5363">
        <v>1</v>
      </c>
      <c r="C5363">
        <v>35</v>
      </c>
      <c r="D5363">
        <v>6</v>
      </c>
      <c r="E5363">
        <f t="shared" si="83"/>
        <v>2.4739125586470086E-32</v>
      </c>
    </row>
    <row r="5364" spans="1:5" x14ac:dyDescent="0.25">
      <c r="A5364">
        <v>6</v>
      </c>
      <c r="B5364">
        <v>1</v>
      </c>
      <c r="C5364">
        <v>36</v>
      </c>
      <c r="D5364">
        <v>5</v>
      </c>
      <c r="E5364">
        <f t="shared" si="83"/>
        <v>6.1847813966175228E-33</v>
      </c>
    </row>
    <row r="5365" spans="1:5" x14ac:dyDescent="0.25">
      <c r="A5365">
        <v>6</v>
      </c>
      <c r="B5365">
        <v>1</v>
      </c>
      <c r="C5365">
        <v>37</v>
      </c>
      <c r="D5365">
        <v>4</v>
      </c>
      <c r="E5365">
        <f t="shared" si="83"/>
        <v>1.1541741345039138E-33</v>
      </c>
    </row>
    <row r="5366" spans="1:5" x14ac:dyDescent="0.25">
      <c r="A5366">
        <v>6</v>
      </c>
      <c r="B5366">
        <v>1</v>
      </c>
      <c r="C5366">
        <v>38</v>
      </c>
      <c r="D5366">
        <v>3</v>
      </c>
      <c r="E5366">
        <f t="shared" si="83"/>
        <v>1.5462619983784484E-34</v>
      </c>
    </row>
    <row r="5367" spans="1:5" x14ac:dyDescent="0.25">
      <c r="A5367">
        <v>6</v>
      </c>
      <c r="B5367">
        <v>1</v>
      </c>
      <c r="C5367">
        <v>39</v>
      </c>
      <c r="D5367">
        <v>2</v>
      </c>
      <c r="E5367">
        <f t="shared" si="83"/>
        <v>1.396290098870171E-35</v>
      </c>
    </row>
    <row r="5368" spans="1:5" x14ac:dyDescent="0.25">
      <c r="A5368">
        <v>6</v>
      </c>
      <c r="B5368">
        <v>1</v>
      </c>
      <c r="C5368">
        <v>40</v>
      </c>
      <c r="D5368">
        <v>1</v>
      </c>
      <c r="E5368">
        <f t="shared" si="83"/>
        <v>7.5632380355467648E-37</v>
      </c>
    </row>
    <row r="5369" spans="1:5" x14ac:dyDescent="0.25">
      <c r="A5369">
        <v>6</v>
      </c>
      <c r="B5369">
        <v>1</v>
      </c>
      <c r="C5369">
        <v>41</v>
      </c>
      <c r="D5369">
        <v>0</v>
      </c>
      <c r="E5369">
        <f t="shared" si="83"/>
        <v>1.8446922037918928E-38</v>
      </c>
    </row>
    <row r="5370" spans="1:5" x14ac:dyDescent="0.25">
      <c r="A5370">
        <v>6</v>
      </c>
      <c r="B5370">
        <v>2</v>
      </c>
      <c r="C5370">
        <v>15</v>
      </c>
      <c r="D5370">
        <v>25</v>
      </c>
      <c r="E5370">
        <f t="shared" si="83"/>
        <v>1.3862658216525424E-39</v>
      </c>
    </row>
    <row r="5371" spans="1:5" x14ac:dyDescent="0.25">
      <c r="A5371">
        <v>6</v>
      </c>
      <c r="B5371">
        <v>2</v>
      </c>
      <c r="C5371">
        <v>16</v>
      </c>
      <c r="D5371">
        <v>24</v>
      </c>
      <c r="E5371">
        <f t="shared" si="83"/>
        <v>1.083020173166049E-37</v>
      </c>
    </row>
    <row r="5372" spans="1:5" x14ac:dyDescent="0.25">
      <c r="A5372">
        <v>6</v>
      </c>
      <c r="B5372">
        <v>2</v>
      </c>
      <c r="C5372">
        <v>17</v>
      </c>
      <c r="D5372">
        <v>23</v>
      </c>
      <c r="E5372">
        <f t="shared" si="83"/>
        <v>3.7459756577743356E-36</v>
      </c>
    </row>
    <row r="5373" spans="1:5" x14ac:dyDescent="0.25">
      <c r="A5373">
        <v>6</v>
      </c>
      <c r="B5373">
        <v>2</v>
      </c>
      <c r="C5373">
        <v>18</v>
      </c>
      <c r="D5373">
        <v>22</v>
      </c>
      <c r="E5373">
        <f t="shared" si="83"/>
        <v>7.6584391225608559E-35</v>
      </c>
    </row>
    <row r="5374" spans="1:5" x14ac:dyDescent="0.25">
      <c r="A5374">
        <v>6</v>
      </c>
      <c r="B5374">
        <v>2</v>
      </c>
      <c r="C5374">
        <v>19</v>
      </c>
      <c r="D5374">
        <v>21</v>
      </c>
      <c r="E5374">
        <f t="shared" si="83"/>
        <v>1.0419507964115698E-33</v>
      </c>
    </row>
    <row r="5375" spans="1:5" x14ac:dyDescent="0.25">
      <c r="A5375">
        <v>6</v>
      </c>
      <c r="B5375">
        <v>2</v>
      </c>
      <c r="C5375">
        <v>20</v>
      </c>
      <c r="D5375">
        <v>20</v>
      </c>
      <c r="E5375">
        <f t="shared" si="83"/>
        <v>1.006524469333577E-32</v>
      </c>
    </row>
    <row r="5376" spans="1:5" x14ac:dyDescent="0.25">
      <c r="A5376">
        <v>6</v>
      </c>
      <c r="B5376">
        <v>2</v>
      </c>
      <c r="C5376">
        <v>21</v>
      </c>
      <c r="D5376">
        <v>19</v>
      </c>
      <c r="E5376">
        <f t="shared" si="83"/>
        <v>7.1894604952398269E-32</v>
      </c>
    </row>
    <row r="5377" spans="1:5" x14ac:dyDescent="0.25">
      <c r="A5377">
        <v>6</v>
      </c>
      <c r="B5377">
        <v>2</v>
      </c>
      <c r="C5377">
        <v>22</v>
      </c>
      <c r="D5377">
        <v>18</v>
      </c>
      <c r="E5377">
        <f t="shared" si="83"/>
        <v>3.9028499831301961E-31</v>
      </c>
    </row>
    <row r="5378" spans="1:5" x14ac:dyDescent="0.25">
      <c r="A5378">
        <v>6</v>
      </c>
      <c r="B5378">
        <v>2</v>
      </c>
      <c r="C5378">
        <v>23</v>
      </c>
      <c r="D5378">
        <v>17</v>
      </c>
      <c r="E5378">
        <f t="shared" si="83"/>
        <v>1.6417423298602012E-30</v>
      </c>
    </row>
    <row r="5379" spans="1:5" x14ac:dyDescent="0.25">
      <c r="A5379">
        <v>6</v>
      </c>
      <c r="B5379">
        <v>2</v>
      </c>
      <c r="C5379">
        <v>24</v>
      </c>
      <c r="D5379">
        <v>16</v>
      </c>
      <c r="E5379">
        <f t="shared" si="83"/>
        <v>5.4268704792601088E-30</v>
      </c>
    </row>
    <row r="5380" spans="1:5" x14ac:dyDescent="0.25">
      <c r="A5380">
        <v>6</v>
      </c>
      <c r="B5380">
        <v>2</v>
      </c>
      <c r="C5380">
        <v>25</v>
      </c>
      <c r="D5380">
        <v>15</v>
      </c>
      <c r="E5380">
        <f t="shared" si="83"/>
        <v>1.424010813757853E-29</v>
      </c>
    </row>
    <row r="5381" spans="1:5" x14ac:dyDescent="0.25">
      <c r="A5381">
        <v>6</v>
      </c>
      <c r="B5381">
        <v>2</v>
      </c>
      <c r="C5381">
        <v>26</v>
      </c>
      <c r="D5381">
        <v>14</v>
      </c>
      <c r="E5381">
        <f t="shared" si="83"/>
        <v>2.9874352736178719E-29</v>
      </c>
    </row>
    <row r="5382" spans="1:5" x14ac:dyDescent="0.25">
      <c r="A5382">
        <v>6</v>
      </c>
      <c r="B5382">
        <v>2</v>
      </c>
      <c r="C5382">
        <v>27</v>
      </c>
      <c r="D5382">
        <v>13</v>
      </c>
      <c r="E5382">
        <f t="shared" si="83"/>
        <v>5.0343816648004885E-29</v>
      </c>
    </row>
    <row r="5383" spans="1:5" x14ac:dyDescent="0.25">
      <c r="A5383">
        <v>6</v>
      </c>
      <c r="B5383">
        <v>2</v>
      </c>
      <c r="C5383">
        <v>28</v>
      </c>
      <c r="D5383">
        <v>12</v>
      </c>
      <c r="E5383">
        <f t="shared" si="83"/>
        <v>6.8323751165149487E-29</v>
      </c>
    </row>
    <row r="5384" spans="1:5" x14ac:dyDescent="0.25">
      <c r="A5384">
        <v>6</v>
      </c>
      <c r="B5384">
        <v>2</v>
      </c>
      <c r="C5384">
        <v>29</v>
      </c>
      <c r="D5384">
        <v>11</v>
      </c>
      <c r="E5384">
        <f t="shared" si="83"/>
        <v>7.4718585018045261E-29</v>
      </c>
    </row>
    <row r="5385" spans="1:5" x14ac:dyDescent="0.25">
      <c r="A5385">
        <v>6</v>
      </c>
      <c r="B5385">
        <v>2</v>
      </c>
      <c r="C5385">
        <v>30</v>
      </c>
      <c r="D5385">
        <v>10</v>
      </c>
      <c r="E5385">
        <f t="shared" si="83"/>
        <v>6.5752354815879807E-29</v>
      </c>
    </row>
    <row r="5386" spans="1:5" x14ac:dyDescent="0.25">
      <c r="A5386">
        <v>6</v>
      </c>
      <c r="B5386">
        <v>2</v>
      </c>
      <c r="C5386">
        <v>31</v>
      </c>
      <c r="D5386">
        <v>9</v>
      </c>
      <c r="E5386">
        <f t="shared" si="83"/>
        <v>4.6397831019270043E-29</v>
      </c>
    </row>
    <row r="5387" spans="1:5" x14ac:dyDescent="0.25">
      <c r="A5387">
        <v>6</v>
      </c>
      <c r="B5387">
        <v>2</v>
      </c>
      <c r="C5387">
        <v>32</v>
      </c>
      <c r="D5387">
        <v>8</v>
      </c>
      <c r="E5387">
        <f t="shared" si="83"/>
        <v>2.6098779948339398E-29</v>
      </c>
    </row>
    <row r="5388" spans="1:5" x14ac:dyDescent="0.25">
      <c r="A5388">
        <v>6</v>
      </c>
      <c r="B5388">
        <v>2</v>
      </c>
      <c r="C5388">
        <v>33</v>
      </c>
      <c r="D5388">
        <v>7</v>
      </c>
      <c r="E5388">
        <f t="shared" si="83"/>
        <v>1.1599457754817512E-29</v>
      </c>
    </row>
    <row r="5389" spans="1:5" x14ac:dyDescent="0.25">
      <c r="A5389">
        <v>6</v>
      </c>
      <c r="B5389">
        <v>2</v>
      </c>
      <c r="C5389">
        <v>34</v>
      </c>
      <c r="D5389">
        <v>6</v>
      </c>
      <c r="E5389">
        <f t="shared" si="83"/>
        <v>4.0221029985744918E-30</v>
      </c>
    </row>
    <row r="5390" spans="1:5" x14ac:dyDescent="0.25">
      <c r="A5390">
        <v>6</v>
      </c>
      <c r="B5390">
        <v>2</v>
      </c>
      <c r="C5390">
        <v>35</v>
      </c>
      <c r="D5390">
        <v>5</v>
      </c>
      <c r="E5390">
        <f t="shared" ref="E5390:E5453" si="84">COMBIN(A$4,A5390)*COMBIN(B$4,B5390)*COMBIN(C$4,C5390)*COMBIN(D$4,D5390)/COMBIN($G$4,$F$4)</f>
        <v>1.0687302253355079E-30</v>
      </c>
    </row>
    <row r="5391" spans="1:5" x14ac:dyDescent="0.25">
      <c r="A5391">
        <v>6</v>
      </c>
      <c r="B5391">
        <v>2</v>
      </c>
      <c r="C5391">
        <v>36</v>
      </c>
      <c r="D5391">
        <v>4</v>
      </c>
      <c r="E5391">
        <f t="shared" si="84"/>
        <v>2.120496478840294E-31</v>
      </c>
    </row>
    <row r="5392" spans="1:5" x14ac:dyDescent="0.25">
      <c r="A5392">
        <v>6</v>
      </c>
      <c r="B5392">
        <v>2</v>
      </c>
      <c r="C5392">
        <v>37</v>
      </c>
      <c r="D5392">
        <v>3</v>
      </c>
      <c r="E5392">
        <f t="shared" si="84"/>
        <v>3.0218377339738823E-32</v>
      </c>
    </row>
    <row r="5393" spans="1:5" x14ac:dyDescent="0.25">
      <c r="A5393">
        <v>6</v>
      </c>
      <c r="B5393">
        <v>2</v>
      </c>
      <c r="C5393">
        <v>38</v>
      </c>
      <c r="D5393">
        <v>2</v>
      </c>
      <c r="E5393">
        <f t="shared" si="84"/>
        <v>2.9042834056499556E-33</v>
      </c>
    </row>
    <row r="5394" spans="1:5" x14ac:dyDescent="0.25">
      <c r="A5394">
        <v>6</v>
      </c>
      <c r="B5394">
        <v>2</v>
      </c>
      <c r="C5394">
        <v>39</v>
      </c>
      <c r="D5394">
        <v>1</v>
      </c>
      <c r="E5394">
        <f t="shared" si="84"/>
        <v>1.6755481186442051E-34</v>
      </c>
    </row>
    <row r="5395" spans="1:5" x14ac:dyDescent="0.25">
      <c r="A5395">
        <v>6</v>
      </c>
      <c r="B5395">
        <v>2</v>
      </c>
      <c r="C5395">
        <v>40</v>
      </c>
      <c r="D5395">
        <v>0</v>
      </c>
      <c r="E5395">
        <f t="shared" si="84"/>
        <v>4.3564251084749359E-36</v>
      </c>
    </row>
    <row r="5396" spans="1:5" x14ac:dyDescent="0.25">
      <c r="A5396">
        <v>6</v>
      </c>
      <c r="B5396">
        <v>3</v>
      </c>
      <c r="C5396">
        <v>14</v>
      </c>
      <c r="D5396">
        <v>25</v>
      </c>
      <c r="E5396">
        <f t="shared" si="84"/>
        <v>3.9005714785713709E-38</v>
      </c>
    </row>
    <row r="5397" spans="1:5" x14ac:dyDescent="0.25">
      <c r="A5397">
        <v>6</v>
      </c>
      <c r="B5397">
        <v>3</v>
      </c>
      <c r="C5397">
        <v>15</v>
      </c>
      <c r="D5397">
        <v>24</v>
      </c>
      <c r="E5397">
        <f t="shared" si="84"/>
        <v>3.3154857567856643E-36</v>
      </c>
    </row>
    <row r="5398" spans="1:5" x14ac:dyDescent="0.25">
      <c r="A5398">
        <v>6</v>
      </c>
      <c r="B5398">
        <v>3</v>
      </c>
      <c r="C5398">
        <v>16</v>
      </c>
      <c r="D5398">
        <v>23</v>
      </c>
      <c r="E5398">
        <f t="shared" si="84"/>
        <v>1.2433071587946242E-34</v>
      </c>
    </row>
    <row r="5399" spans="1:5" x14ac:dyDescent="0.25">
      <c r="A5399">
        <v>6</v>
      </c>
      <c r="B5399">
        <v>3</v>
      </c>
      <c r="C5399">
        <v>17</v>
      </c>
      <c r="D5399">
        <v>22</v>
      </c>
      <c r="E5399">
        <f t="shared" si="84"/>
        <v>2.7474650352187103E-33</v>
      </c>
    </row>
    <row r="5400" spans="1:5" x14ac:dyDescent="0.25">
      <c r="A5400">
        <v>6</v>
      </c>
      <c r="B5400">
        <v>3</v>
      </c>
      <c r="C5400">
        <v>18</v>
      </c>
      <c r="D5400">
        <v>21</v>
      </c>
      <c r="E5400">
        <f t="shared" si="84"/>
        <v>4.0296153849874387E-32</v>
      </c>
    </row>
    <row r="5401" spans="1:5" x14ac:dyDescent="0.25">
      <c r="A5401">
        <v>6</v>
      </c>
      <c r="B5401">
        <v>3</v>
      </c>
      <c r="C5401">
        <v>19</v>
      </c>
      <c r="D5401">
        <v>20</v>
      </c>
      <c r="E5401">
        <f t="shared" si="84"/>
        <v>4.1865582999816862E-31</v>
      </c>
    </row>
    <row r="5402" spans="1:5" x14ac:dyDescent="0.25">
      <c r="A5402">
        <v>6</v>
      </c>
      <c r="B5402">
        <v>3</v>
      </c>
      <c r="C5402">
        <v>20</v>
      </c>
      <c r="D5402">
        <v>19</v>
      </c>
      <c r="E5402">
        <f t="shared" si="84"/>
        <v>3.2096946966526293E-30</v>
      </c>
    </row>
    <row r="5403" spans="1:5" x14ac:dyDescent="0.25">
      <c r="A5403">
        <v>6</v>
      </c>
      <c r="B5403">
        <v>3</v>
      </c>
      <c r="C5403">
        <v>21</v>
      </c>
      <c r="D5403">
        <v>18</v>
      </c>
      <c r="E5403">
        <f t="shared" si="84"/>
        <v>1.8668632419306088E-29</v>
      </c>
    </row>
    <row r="5404" spans="1:5" x14ac:dyDescent="0.25">
      <c r="A5404">
        <v>6</v>
      </c>
      <c r="B5404">
        <v>3</v>
      </c>
      <c r="C5404">
        <v>22</v>
      </c>
      <c r="D5404">
        <v>17</v>
      </c>
      <c r="E5404">
        <f t="shared" si="84"/>
        <v>8.4008845886877433E-29</v>
      </c>
    </row>
    <row r="5405" spans="1:5" x14ac:dyDescent="0.25">
      <c r="A5405">
        <v>6</v>
      </c>
      <c r="B5405">
        <v>3</v>
      </c>
      <c r="C5405">
        <v>23</v>
      </c>
      <c r="D5405">
        <v>16</v>
      </c>
      <c r="E5405">
        <f t="shared" si="84"/>
        <v>2.9666891953288594E-28</v>
      </c>
    </row>
    <row r="5406" spans="1:5" x14ac:dyDescent="0.25">
      <c r="A5406">
        <v>6</v>
      </c>
      <c r="B5406">
        <v>3</v>
      </c>
      <c r="C5406">
        <v>24</v>
      </c>
      <c r="D5406">
        <v>15</v>
      </c>
      <c r="E5406">
        <f t="shared" si="84"/>
        <v>8.3067297469208068E-28</v>
      </c>
    </row>
    <row r="5407" spans="1:5" x14ac:dyDescent="0.25">
      <c r="A5407">
        <v>6</v>
      </c>
      <c r="B5407">
        <v>3</v>
      </c>
      <c r="C5407">
        <v>25</v>
      </c>
      <c r="D5407">
        <v>14</v>
      </c>
      <c r="E5407">
        <f t="shared" si="84"/>
        <v>1.8576868343113812E-27</v>
      </c>
    </row>
    <row r="5408" spans="1:5" x14ac:dyDescent="0.25">
      <c r="A5408">
        <v>6</v>
      </c>
      <c r="B5408">
        <v>3</v>
      </c>
      <c r="C5408">
        <v>26</v>
      </c>
      <c r="D5408">
        <v>13</v>
      </c>
      <c r="E5408">
        <f t="shared" si="84"/>
        <v>3.3343097026101702E-27</v>
      </c>
    </row>
    <row r="5409" spans="1:5" x14ac:dyDescent="0.25">
      <c r="A5409">
        <v>6</v>
      </c>
      <c r="B5409">
        <v>3</v>
      </c>
      <c r="C5409">
        <v>27</v>
      </c>
      <c r="D5409">
        <v>12</v>
      </c>
      <c r="E5409">
        <f t="shared" si="84"/>
        <v>4.8162251259924678E-27</v>
      </c>
    </row>
    <row r="5410" spans="1:5" x14ac:dyDescent="0.25">
      <c r="A5410">
        <v>6</v>
      </c>
      <c r="B5410">
        <v>3</v>
      </c>
      <c r="C5410">
        <v>28</v>
      </c>
      <c r="D5410">
        <v>11</v>
      </c>
      <c r="E5410">
        <f t="shared" si="84"/>
        <v>5.6025475955422583E-27</v>
      </c>
    </row>
    <row r="5411" spans="1:5" x14ac:dyDescent="0.25">
      <c r="A5411">
        <v>6</v>
      </c>
      <c r="B5411">
        <v>3</v>
      </c>
      <c r="C5411">
        <v>29</v>
      </c>
      <c r="D5411">
        <v>10</v>
      </c>
      <c r="E5411">
        <f t="shared" si="84"/>
        <v>5.2419238422659746E-27</v>
      </c>
    </row>
    <row r="5412" spans="1:5" x14ac:dyDescent="0.25">
      <c r="A5412">
        <v>6</v>
      </c>
      <c r="B5412">
        <v>3</v>
      </c>
      <c r="C5412">
        <v>30</v>
      </c>
      <c r="D5412">
        <v>9</v>
      </c>
      <c r="E5412">
        <f t="shared" si="84"/>
        <v>3.9314428816994806E-27</v>
      </c>
    </row>
    <row r="5413" spans="1:5" x14ac:dyDescent="0.25">
      <c r="A5413">
        <v>6</v>
      </c>
      <c r="B5413">
        <v>3</v>
      </c>
      <c r="C5413">
        <v>31</v>
      </c>
      <c r="D5413">
        <v>8</v>
      </c>
      <c r="E5413">
        <f t="shared" si="84"/>
        <v>2.3499136769171472E-27</v>
      </c>
    </row>
    <row r="5414" spans="1:5" x14ac:dyDescent="0.25">
      <c r="A5414">
        <v>6</v>
      </c>
      <c r="B5414">
        <v>3</v>
      </c>
      <c r="C5414">
        <v>32</v>
      </c>
      <c r="D5414">
        <v>7</v>
      </c>
      <c r="E5414">
        <f t="shared" si="84"/>
        <v>1.1096814585442085E-27</v>
      </c>
    </row>
    <row r="5415" spans="1:5" x14ac:dyDescent="0.25">
      <c r="A5415">
        <v>6</v>
      </c>
      <c r="B5415">
        <v>3</v>
      </c>
      <c r="C5415">
        <v>33</v>
      </c>
      <c r="D5415">
        <v>6</v>
      </c>
      <c r="E5415">
        <f t="shared" si="84"/>
        <v>4.0883001104260298E-28</v>
      </c>
    </row>
    <row r="5416" spans="1:5" x14ac:dyDescent="0.25">
      <c r="A5416">
        <v>6</v>
      </c>
      <c r="B5416">
        <v>3</v>
      </c>
      <c r="C5416">
        <v>34</v>
      </c>
      <c r="D5416">
        <v>5</v>
      </c>
      <c r="E5416">
        <f t="shared" si="84"/>
        <v>1.1543435605908791E-28</v>
      </c>
    </row>
    <row r="5417" spans="1:5" x14ac:dyDescent="0.25">
      <c r="A5417">
        <v>6</v>
      </c>
      <c r="B5417">
        <v>3</v>
      </c>
      <c r="C5417">
        <v>35</v>
      </c>
      <c r="D5417">
        <v>4</v>
      </c>
      <c r="E5417">
        <f t="shared" si="84"/>
        <v>2.4343299577086573E-29</v>
      </c>
    </row>
    <row r="5418" spans="1:5" x14ac:dyDescent="0.25">
      <c r="A5418">
        <v>6</v>
      </c>
      <c r="B5418">
        <v>3</v>
      </c>
      <c r="C5418">
        <v>36</v>
      </c>
      <c r="D5418">
        <v>3</v>
      </c>
      <c r="E5418">
        <f t="shared" si="84"/>
        <v>3.6883787238009964E-30</v>
      </c>
    </row>
    <row r="5419" spans="1:5" x14ac:dyDescent="0.25">
      <c r="A5419">
        <v>6</v>
      </c>
      <c r="B5419">
        <v>3</v>
      </c>
      <c r="C5419">
        <v>37</v>
      </c>
      <c r="D5419">
        <v>2</v>
      </c>
      <c r="E5419">
        <f t="shared" si="84"/>
        <v>3.770727955002193E-31</v>
      </c>
    </row>
    <row r="5420" spans="1:5" x14ac:dyDescent="0.25">
      <c r="A5420">
        <v>6</v>
      </c>
      <c r="B5420">
        <v>3</v>
      </c>
      <c r="C5420">
        <v>38</v>
      </c>
      <c r="D5420">
        <v>1</v>
      </c>
      <c r="E5420">
        <f t="shared" si="84"/>
        <v>2.3153592706153812E-32</v>
      </c>
    </row>
    <row r="5421" spans="1:5" x14ac:dyDescent="0.25">
      <c r="A5421">
        <v>6</v>
      </c>
      <c r="B5421">
        <v>3</v>
      </c>
      <c r="C5421">
        <v>39</v>
      </c>
      <c r="D5421">
        <v>0</v>
      </c>
      <c r="E5421">
        <f t="shared" si="84"/>
        <v>6.4117641340118251E-34</v>
      </c>
    </row>
    <row r="5422" spans="1:5" x14ac:dyDescent="0.25">
      <c r="A5422">
        <v>6</v>
      </c>
      <c r="B5422">
        <v>4</v>
      </c>
      <c r="C5422">
        <v>13</v>
      </c>
      <c r="D5422">
        <v>25</v>
      </c>
      <c r="E5422">
        <f t="shared" si="84"/>
        <v>7.5086000962498878E-37</v>
      </c>
    </row>
    <row r="5423" spans="1:5" x14ac:dyDescent="0.25">
      <c r="A5423">
        <v>6</v>
      </c>
      <c r="B5423">
        <v>4</v>
      </c>
      <c r="C5423">
        <v>14</v>
      </c>
      <c r="D5423">
        <v>24</v>
      </c>
      <c r="E5423">
        <f t="shared" si="84"/>
        <v>6.9722715179463258E-35</v>
      </c>
    </row>
    <row r="5424" spans="1:5" x14ac:dyDescent="0.25">
      <c r="A5424">
        <v>6</v>
      </c>
      <c r="B5424">
        <v>4</v>
      </c>
      <c r="C5424">
        <v>15</v>
      </c>
      <c r="D5424">
        <v>23</v>
      </c>
      <c r="E5424">
        <f t="shared" si="84"/>
        <v>2.8446867793220996E-33</v>
      </c>
    </row>
    <row r="5425" spans="1:5" x14ac:dyDescent="0.25">
      <c r="A5425">
        <v>6</v>
      </c>
      <c r="B5425">
        <v>4</v>
      </c>
      <c r="C5425">
        <v>16</v>
      </c>
      <c r="D5425">
        <v>22</v>
      </c>
      <c r="E5425">
        <f t="shared" si="84"/>
        <v>6.8153954087925315E-32</v>
      </c>
    </row>
    <row r="5426" spans="1:5" x14ac:dyDescent="0.25">
      <c r="A5426">
        <v>6</v>
      </c>
      <c r="B5426">
        <v>4</v>
      </c>
      <c r="C5426">
        <v>17</v>
      </c>
      <c r="D5426">
        <v>21</v>
      </c>
      <c r="E5426">
        <f t="shared" si="84"/>
        <v>1.0804406250997577E-30</v>
      </c>
    </row>
    <row r="5427" spans="1:5" x14ac:dyDescent="0.25">
      <c r="A5427">
        <v>6</v>
      </c>
      <c r="B5427">
        <v>4</v>
      </c>
      <c r="C5427">
        <v>18</v>
      </c>
      <c r="D5427">
        <v>20</v>
      </c>
      <c r="E5427">
        <f t="shared" si="84"/>
        <v>1.2100935001117273E-29</v>
      </c>
    </row>
    <row r="5428" spans="1:5" x14ac:dyDescent="0.25">
      <c r="A5428">
        <v>6</v>
      </c>
      <c r="B5428">
        <v>4</v>
      </c>
      <c r="C5428">
        <v>19</v>
      </c>
      <c r="D5428">
        <v>19</v>
      </c>
      <c r="E5428">
        <f t="shared" si="84"/>
        <v>9.977963948289686E-29</v>
      </c>
    </row>
    <row r="5429" spans="1:5" x14ac:dyDescent="0.25">
      <c r="A5429">
        <v>6</v>
      </c>
      <c r="B5429">
        <v>4</v>
      </c>
      <c r="C5429">
        <v>20</v>
      </c>
      <c r="D5429">
        <v>18</v>
      </c>
      <c r="E5429">
        <f t="shared" si="84"/>
        <v>6.2291003505751402E-28</v>
      </c>
    </row>
    <row r="5430" spans="1:5" x14ac:dyDescent="0.25">
      <c r="A5430">
        <v>6</v>
      </c>
      <c r="B5430">
        <v>4</v>
      </c>
      <c r="C5430">
        <v>21</v>
      </c>
      <c r="D5430">
        <v>17</v>
      </c>
      <c r="E5430">
        <f t="shared" si="84"/>
        <v>3.0033162404558665E-27</v>
      </c>
    </row>
    <row r="5431" spans="1:5" x14ac:dyDescent="0.25">
      <c r="A5431">
        <v>6</v>
      </c>
      <c r="B5431">
        <v>4</v>
      </c>
      <c r="C5431">
        <v>22</v>
      </c>
      <c r="D5431">
        <v>16</v>
      </c>
      <c r="E5431">
        <f t="shared" si="84"/>
        <v>1.1345861352833282E-26</v>
      </c>
    </row>
    <row r="5432" spans="1:5" x14ac:dyDescent="0.25">
      <c r="A5432">
        <v>6</v>
      </c>
      <c r="B5432">
        <v>4</v>
      </c>
      <c r="C5432">
        <v>23</v>
      </c>
      <c r="D5432">
        <v>15</v>
      </c>
      <c r="E5432">
        <f t="shared" si="84"/>
        <v>3.393892439456215E-26</v>
      </c>
    </row>
    <row r="5433" spans="1:5" x14ac:dyDescent="0.25">
      <c r="A5433">
        <v>6</v>
      </c>
      <c r="B5433">
        <v>4</v>
      </c>
      <c r="C5433">
        <v>24</v>
      </c>
      <c r="D5433">
        <v>14</v>
      </c>
      <c r="E5433">
        <f t="shared" si="84"/>
        <v>8.0990615032477871E-26</v>
      </c>
    </row>
    <row r="5434" spans="1:5" x14ac:dyDescent="0.25">
      <c r="A5434">
        <v>6</v>
      </c>
      <c r="B5434">
        <v>4</v>
      </c>
      <c r="C5434">
        <v>25</v>
      </c>
      <c r="D5434">
        <v>13</v>
      </c>
      <c r="E5434">
        <f t="shared" si="84"/>
        <v>1.5496204342880775E-25</v>
      </c>
    </row>
    <row r="5435" spans="1:5" x14ac:dyDescent="0.25">
      <c r="A5435">
        <v>6</v>
      </c>
      <c r="B5435">
        <v>4</v>
      </c>
      <c r="C5435">
        <v>26</v>
      </c>
      <c r="D5435">
        <v>12</v>
      </c>
      <c r="E5435">
        <f t="shared" si="84"/>
        <v>2.3840314373662714E-25</v>
      </c>
    </row>
    <row r="5436" spans="1:5" x14ac:dyDescent="0.25">
      <c r="A5436">
        <v>6</v>
      </c>
      <c r="B5436">
        <v>4</v>
      </c>
      <c r="C5436">
        <v>27</v>
      </c>
      <c r="D5436">
        <v>11</v>
      </c>
      <c r="E5436">
        <f t="shared" si="84"/>
        <v>2.9516579700725261E-25</v>
      </c>
    </row>
    <row r="5437" spans="1:5" x14ac:dyDescent="0.25">
      <c r="A5437">
        <v>6</v>
      </c>
      <c r="B5437">
        <v>4</v>
      </c>
      <c r="C5437">
        <v>28</v>
      </c>
      <c r="D5437">
        <v>10</v>
      </c>
      <c r="E5437">
        <f t="shared" si="84"/>
        <v>2.9376024559293235E-25</v>
      </c>
    </row>
    <row r="5438" spans="1:5" x14ac:dyDescent="0.25">
      <c r="A5438">
        <v>6</v>
      </c>
      <c r="B5438">
        <v>4</v>
      </c>
      <c r="C5438">
        <v>29</v>
      </c>
      <c r="D5438">
        <v>9</v>
      </c>
      <c r="E5438">
        <f t="shared" si="84"/>
        <v>2.3424847170126081E-25</v>
      </c>
    </row>
    <row r="5439" spans="1:5" x14ac:dyDescent="0.25">
      <c r="A5439">
        <v>6</v>
      </c>
      <c r="B5439">
        <v>4</v>
      </c>
      <c r="C5439">
        <v>30</v>
      </c>
      <c r="D5439">
        <v>8</v>
      </c>
      <c r="E5439">
        <f t="shared" si="84"/>
        <v>1.4881667613962448E-25</v>
      </c>
    </row>
    <row r="5440" spans="1:5" x14ac:dyDescent="0.25">
      <c r="A5440">
        <v>6</v>
      </c>
      <c r="B5440">
        <v>4</v>
      </c>
      <c r="C5440">
        <v>31</v>
      </c>
      <c r="D5440">
        <v>7</v>
      </c>
      <c r="E5440">
        <f t="shared" si="84"/>
        <v>7.4675034622033819E-26</v>
      </c>
    </row>
    <row r="5441" spans="1:5" x14ac:dyDescent="0.25">
      <c r="A5441">
        <v>6</v>
      </c>
      <c r="B5441">
        <v>4</v>
      </c>
      <c r="C5441">
        <v>32</v>
      </c>
      <c r="D5441">
        <v>6</v>
      </c>
      <c r="E5441">
        <f t="shared" si="84"/>
        <v>2.9231345789546113E-26</v>
      </c>
    </row>
    <row r="5442" spans="1:5" x14ac:dyDescent="0.25">
      <c r="A5442">
        <v>6</v>
      </c>
      <c r="B5442">
        <v>4</v>
      </c>
      <c r="C5442">
        <v>33</v>
      </c>
      <c r="D5442">
        <v>5</v>
      </c>
      <c r="E5442">
        <f t="shared" si="84"/>
        <v>8.7694037368638328E-27</v>
      </c>
    </row>
    <row r="5443" spans="1:5" x14ac:dyDescent="0.25">
      <c r="A5443">
        <v>6</v>
      </c>
      <c r="B5443">
        <v>4</v>
      </c>
      <c r="C5443">
        <v>34</v>
      </c>
      <c r="D5443">
        <v>4</v>
      </c>
      <c r="E5443">
        <f t="shared" si="84"/>
        <v>1.9651324900535209E-27</v>
      </c>
    </row>
    <row r="5444" spans="1:5" x14ac:dyDescent="0.25">
      <c r="A5444">
        <v>6</v>
      </c>
      <c r="B5444">
        <v>4</v>
      </c>
      <c r="C5444">
        <v>35</v>
      </c>
      <c r="D5444">
        <v>3</v>
      </c>
      <c r="E5444">
        <f t="shared" si="84"/>
        <v>3.1646289450212539E-28</v>
      </c>
    </row>
    <row r="5445" spans="1:5" x14ac:dyDescent="0.25">
      <c r="A5445">
        <v>6</v>
      </c>
      <c r="B5445">
        <v>4</v>
      </c>
      <c r="C5445">
        <v>36</v>
      </c>
      <c r="D5445">
        <v>2</v>
      </c>
      <c r="E5445">
        <f t="shared" si="84"/>
        <v>3.4398140706752771E-29</v>
      </c>
    </row>
    <row r="5446" spans="1:5" x14ac:dyDescent="0.25">
      <c r="A5446">
        <v>6</v>
      </c>
      <c r="B5446">
        <v>4</v>
      </c>
      <c r="C5446">
        <v>37</v>
      </c>
      <c r="D5446">
        <v>1</v>
      </c>
      <c r="E5446">
        <f t="shared" si="84"/>
        <v>2.24672540652214E-30</v>
      </c>
    </row>
    <row r="5447" spans="1:5" x14ac:dyDescent="0.25">
      <c r="A5447">
        <v>6</v>
      </c>
      <c r="B5447">
        <v>4</v>
      </c>
      <c r="C5447">
        <v>38</v>
      </c>
      <c r="D5447">
        <v>0</v>
      </c>
      <c r="E5447">
        <f t="shared" si="84"/>
        <v>6.6219275139599905E-32</v>
      </c>
    </row>
    <row r="5448" spans="1:5" x14ac:dyDescent="0.25">
      <c r="A5448">
        <v>6</v>
      </c>
      <c r="B5448">
        <v>5</v>
      </c>
      <c r="C5448">
        <v>12</v>
      </c>
      <c r="D5448">
        <v>25</v>
      </c>
      <c r="E5448">
        <f t="shared" si="84"/>
        <v>1.0497872964756913E-35</v>
      </c>
    </row>
    <row r="5449" spans="1:5" x14ac:dyDescent="0.25">
      <c r="A5449">
        <v>6</v>
      </c>
      <c r="B5449">
        <v>5</v>
      </c>
      <c r="C5449">
        <v>13</v>
      </c>
      <c r="D5449">
        <v>24</v>
      </c>
      <c r="E5449">
        <f t="shared" si="84"/>
        <v>1.0699755137156092E-33</v>
      </c>
    </row>
    <row r="5450" spans="1:5" x14ac:dyDescent="0.25">
      <c r="A5450">
        <v>6</v>
      </c>
      <c r="B5450">
        <v>5</v>
      </c>
      <c r="C5450">
        <v>14</v>
      </c>
      <c r="D5450">
        <v>23</v>
      </c>
      <c r="E5450">
        <f t="shared" si="84"/>
        <v>4.7690337182752859E-32</v>
      </c>
    </row>
    <row r="5451" spans="1:5" x14ac:dyDescent="0.25">
      <c r="A5451">
        <v>6</v>
      </c>
      <c r="B5451">
        <v>5</v>
      </c>
      <c r="C5451">
        <v>15</v>
      </c>
      <c r="D5451">
        <v>22</v>
      </c>
      <c r="E5451">
        <f t="shared" si="84"/>
        <v>1.2431281225637576E-30</v>
      </c>
    </row>
    <row r="5452" spans="1:5" x14ac:dyDescent="0.25">
      <c r="A5452">
        <v>6</v>
      </c>
      <c r="B5452">
        <v>5</v>
      </c>
      <c r="C5452">
        <v>16</v>
      </c>
      <c r="D5452">
        <v>21</v>
      </c>
      <c r="E5452">
        <f t="shared" si="84"/>
        <v>2.1366264606564592E-29</v>
      </c>
    </row>
    <row r="5453" spans="1:5" x14ac:dyDescent="0.25">
      <c r="A5453">
        <v>6</v>
      </c>
      <c r="B5453">
        <v>5</v>
      </c>
      <c r="C5453">
        <v>17</v>
      </c>
      <c r="D5453">
        <v>20</v>
      </c>
      <c r="E5453">
        <f t="shared" si="84"/>
        <v>2.5865748564888196E-28</v>
      </c>
    </row>
    <row r="5454" spans="1:5" x14ac:dyDescent="0.25">
      <c r="A5454">
        <v>6</v>
      </c>
      <c r="B5454">
        <v>5</v>
      </c>
      <c r="C5454">
        <v>18</v>
      </c>
      <c r="D5454">
        <v>19</v>
      </c>
      <c r="E5454">
        <f t="shared" ref="E5454:E5517" si="85">COMBIN(A$4,A5454)*COMBIN(B$4,B5454)*COMBIN(C$4,C5454)*COMBIN(D$4,D5454)/COMBIN($G$4,$F$4)</f>
        <v>2.2991776502122818E-27</v>
      </c>
    </row>
    <row r="5455" spans="1:5" x14ac:dyDescent="0.25">
      <c r="A5455">
        <v>6</v>
      </c>
      <c r="B5455">
        <v>5</v>
      </c>
      <c r="C5455">
        <v>19</v>
      </c>
      <c r="D5455">
        <v>18</v>
      </c>
      <c r="E5455">
        <f t="shared" si="85"/>
        <v>1.5437335651425334E-26</v>
      </c>
    </row>
    <row r="5456" spans="1:5" x14ac:dyDescent="0.25">
      <c r="A5456">
        <v>6</v>
      </c>
      <c r="B5456">
        <v>5</v>
      </c>
      <c r="C5456">
        <v>20</v>
      </c>
      <c r="D5456">
        <v>17</v>
      </c>
      <c r="E5456">
        <f t="shared" si="85"/>
        <v>7.9888211996126159E-26</v>
      </c>
    </row>
    <row r="5457" spans="1:5" x14ac:dyDescent="0.25">
      <c r="A5457">
        <v>6</v>
      </c>
      <c r="B5457">
        <v>5</v>
      </c>
      <c r="C5457">
        <v>21</v>
      </c>
      <c r="D5457">
        <v>16</v>
      </c>
      <c r="E5457">
        <f t="shared" si="85"/>
        <v>3.233570485557483E-25</v>
      </c>
    </row>
    <row r="5458" spans="1:5" x14ac:dyDescent="0.25">
      <c r="A5458">
        <v>6</v>
      </c>
      <c r="B5458">
        <v>5</v>
      </c>
      <c r="C5458">
        <v>22</v>
      </c>
      <c r="D5458">
        <v>15</v>
      </c>
      <c r="E5458">
        <f t="shared" si="85"/>
        <v>1.034742555378395E-24</v>
      </c>
    </row>
    <row r="5459" spans="1:5" x14ac:dyDescent="0.25">
      <c r="A5459">
        <v>6</v>
      </c>
      <c r="B5459">
        <v>5</v>
      </c>
      <c r="C5459">
        <v>23</v>
      </c>
      <c r="D5459">
        <v>14</v>
      </c>
      <c r="E5459">
        <f t="shared" si="85"/>
        <v>2.6379800324864222E-24</v>
      </c>
    </row>
    <row r="5460" spans="1:5" x14ac:dyDescent="0.25">
      <c r="A5460">
        <v>6</v>
      </c>
      <c r="B5460">
        <v>5</v>
      </c>
      <c r="C5460">
        <v>24</v>
      </c>
      <c r="D5460">
        <v>13</v>
      </c>
      <c r="E5460">
        <f t="shared" si="85"/>
        <v>5.3858758996597798E-24</v>
      </c>
    </row>
    <row r="5461" spans="1:5" x14ac:dyDescent="0.25">
      <c r="A5461">
        <v>6</v>
      </c>
      <c r="B5461">
        <v>5</v>
      </c>
      <c r="C5461">
        <v>25</v>
      </c>
      <c r="D5461">
        <v>12</v>
      </c>
      <c r="E5461">
        <f t="shared" si="85"/>
        <v>8.8328364754420411E-24</v>
      </c>
    </row>
    <row r="5462" spans="1:5" x14ac:dyDescent="0.25">
      <c r="A5462">
        <v>6</v>
      </c>
      <c r="B5462">
        <v>5</v>
      </c>
      <c r="C5462">
        <v>26</v>
      </c>
      <c r="D5462">
        <v>11</v>
      </c>
      <c r="E5462">
        <f t="shared" si="85"/>
        <v>1.1647696451132353E-23</v>
      </c>
    </row>
    <row r="5463" spans="1:5" x14ac:dyDescent="0.25">
      <c r="A5463">
        <v>6</v>
      </c>
      <c r="B5463">
        <v>5</v>
      </c>
      <c r="C5463">
        <v>27</v>
      </c>
      <c r="D5463">
        <v>10</v>
      </c>
      <c r="E5463">
        <f t="shared" si="85"/>
        <v>1.2337930314903157E-23</v>
      </c>
    </row>
    <row r="5464" spans="1:5" x14ac:dyDescent="0.25">
      <c r="A5464">
        <v>6</v>
      </c>
      <c r="B5464">
        <v>5</v>
      </c>
      <c r="C5464">
        <v>28</v>
      </c>
      <c r="D5464">
        <v>9</v>
      </c>
      <c r="E5464">
        <f t="shared" si="85"/>
        <v>1.0465208749248216E-23</v>
      </c>
    </row>
    <row r="5465" spans="1:5" x14ac:dyDescent="0.25">
      <c r="A5465">
        <v>6</v>
      </c>
      <c r="B5465">
        <v>5</v>
      </c>
      <c r="C5465">
        <v>29</v>
      </c>
      <c r="D5465">
        <v>8</v>
      </c>
      <c r="E5465">
        <f t="shared" si="85"/>
        <v>7.0687921166321632E-24</v>
      </c>
    </row>
    <row r="5466" spans="1:5" x14ac:dyDescent="0.25">
      <c r="A5466">
        <v>6</v>
      </c>
      <c r="B5466">
        <v>5</v>
      </c>
      <c r="C5466">
        <v>30</v>
      </c>
      <c r="D5466">
        <v>7</v>
      </c>
      <c r="E5466">
        <f t="shared" si="85"/>
        <v>3.7700224622038211E-24</v>
      </c>
    </row>
    <row r="5467" spans="1:5" x14ac:dyDescent="0.25">
      <c r="A5467">
        <v>6</v>
      </c>
      <c r="B5467">
        <v>5</v>
      </c>
      <c r="C5467">
        <v>31</v>
      </c>
      <c r="D5467">
        <v>6</v>
      </c>
      <c r="E5467">
        <f t="shared" si="85"/>
        <v>1.5681757270627095E-24</v>
      </c>
    </row>
    <row r="5468" spans="1:5" x14ac:dyDescent="0.25">
      <c r="A5468">
        <v>6</v>
      </c>
      <c r="B5468">
        <v>5</v>
      </c>
      <c r="C5468">
        <v>32</v>
      </c>
      <c r="D5468">
        <v>5</v>
      </c>
      <c r="E5468">
        <f t="shared" si="85"/>
        <v>4.9985601300123855E-25</v>
      </c>
    </row>
    <row r="5469" spans="1:5" x14ac:dyDescent="0.25">
      <c r="A5469">
        <v>6</v>
      </c>
      <c r="B5469">
        <v>5</v>
      </c>
      <c r="C5469">
        <v>33</v>
      </c>
      <c r="D5469">
        <v>4</v>
      </c>
      <c r="E5469">
        <f t="shared" si="85"/>
        <v>1.1901333642886636E-25</v>
      </c>
    </row>
    <row r="5470" spans="1:5" x14ac:dyDescent="0.25">
      <c r="A5470">
        <v>6</v>
      </c>
      <c r="B5470">
        <v>5</v>
      </c>
      <c r="C5470">
        <v>34</v>
      </c>
      <c r="D5470">
        <v>3</v>
      </c>
      <c r="E5470">
        <f t="shared" si="85"/>
        <v>2.0365918533281942E-26</v>
      </c>
    </row>
    <row r="5471" spans="1:5" x14ac:dyDescent="0.25">
      <c r="A5471">
        <v>6</v>
      </c>
      <c r="B5471">
        <v>5</v>
      </c>
      <c r="C5471">
        <v>35</v>
      </c>
      <c r="D5471">
        <v>2</v>
      </c>
      <c r="E5471">
        <f t="shared" si="85"/>
        <v>2.3528328243418889E-27</v>
      </c>
    </row>
    <row r="5472" spans="1:5" x14ac:dyDescent="0.25">
      <c r="A5472">
        <v>6</v>
      </c>
      <c r="B5472">
        <v>5</v>
      </c>
      <c r="C5472">
        <v>36</v>
      </c>
      <c r="D5472">
        <v>1</v>
      </c>
      <c r="E5472">
        <f t="shared" si="85"/>
        <v>1.6339116835707565E-28</v>
      </c>
    </row>
    <row r="5473" spans="1:5" x14ac:dyDescent="0.25">
      <c r="A5473">
        <v>6</v>
      </c>
      <c r="B5473">
        <v>5</v>
      </c>
      <c r="C5473">
        <v>37</v>
      </c>
      <c r="D5473">
        <v>0</v>
      </c>
      <c r="E5473">
        <f t="shared" si="85"/>
        <v>5.1225339268704787E-30</v>
      </c>
    </row>
    <row r="5474" spans="1:5" x14ac:dyDescent="0.25">
      <c r="A5474">
        <v>6</v>
      </c>
      <c r="B5474">
        <v>6</v>
      </c>
      <c r="C5474">
        <v>11</v>
      </c>
      <c r="D5474">
        <v>25</v>
      </c>
      <c r="E5474">
        <f t="shared" si="85"/>
        <v>1.1042207118485057E-34</v>
      </c>
    </row>
    <row r="5475" spans="1:5" x14ac:dyDescent="0.25">
      <c r="A5475">
        <v>6</v>
      </c>
      <c r="B5475">
        <v>6</v>
      </c>
      <c r="C5475">
        <v>12</v>
      </c>
      <c r="D5475">
        <v>24</v>
      </c>
      <c r="E5475">
        <f t="shared" si="85"/>
        <v>1.2422483008295679E-32</v>
      </c>
    </row>
    <row r="5476" spans="1:5" x14ac:dyDescent="0.25">
      <c r="A5476">
        <v>6</v>
      </c>
      <c r="B5476">
        <v>6</v>
      </c>
      <c r="C5476">
        <v>13</v>
      </c>
      <c r="D5476">
        <v>23</v>
      </c>
      <c r="E5476">
        <f t="shared" si="85"/>
        <v>6.0774609179046593E-31</v>
      </c>
    </row>
    <row r="5477" spans="1:5" x14ac:dyDescent="0.25">
      <c r="A5477">
        <v>6</v>
      </c>
      <c r="B5477">
        <v>6</v>
      </c>
      <c r="C5477">
        <v>14</v>
      </c>
      <c r="D5477">
        <v>22</v>
      </c>
      <c r="E5477">
        <f t="shared" si="85"/>
        <v>1.7306293470985651E-29</v>
      </c>
    </row>
    <row r="5478" spans="1:5" x14ac:dyDescent="0.25">
      <c r="A5478">
        <v>6</v>
      </c>
      <c r="B5478">
        <v>6</v>
      </c>
      <c r="C5478">
        <v>15</v>
      </c>
      <c r="D5478">
        <v>21</v>
      </c>
      <c r="E5478">
        <f t="shared" si="85"/>
        <v>3.2362768790743163E-28</v>
      </c>
    </row>
    <row r="5479" spans="1:5" x14ac:dyDescent="0.25">
      <c r="A5479">
        <v>6</v>
      </c>
      <c r="B5479">
        <v>6</v>
      </c>
      <c r="C5479">
        <v>16</v>
      </c>
      <c r="D5479">
        <v>20</v>
      </c>
      <c r="E5479">
        <f t="shared" si="85"/>
        <v>4.2476134037850388E-27</v>
      </c>
    </row>
    <row r="5480" spans="1:5" x14ac:dyDescent="0.25">
      <c r="A5480">
        <v>6</v>
      </c>
      <c r="B5480">
        <v>6</v>
      </c>
      <c r="C5480">
        <v>17</v>
      </c>
      <c r="D5480">
        <v>19</v>
      </c>
      <c r="E5480">
        <f t="shared" si="85"/>
        <v>4.0810403291268046E-26</v>
      </c>
    </row>
    <row r="5481" spans="1:5" x14ac:dyDescent="0.25">
      <c r="A5481">
        <v>6</v>
      </c>
      <c r="B5481">
        <v>6</v>
      </c>
      <c r="C5481">
        <v>18</v>
      </c>
      <c r="D5481">
        <v>18</v>
      </c>
      <c r="E5481">
        <f t="shared" si="85"/>
        <v>2.9538958572727329E-25</v>
      </c>
    </row>
    <row r="5482" spans="1:5" x14ac:dyDescent="0.25">
      <c r="A5482">
        <v>6</v>
      </c>
      <c r="B5482">
        <v>6</v>
      </c>
      <c r="C5482">
        <v>19</v>
      </c>
      <c r="D5482">
        <v>17</v>
      </c>
      <c r="E5482">
        <f t="shared" si="85"/>
        <v>1.6440762468767977E-24</v>
      </c>
    </row>
    <row r="5483" spans="1:5" x14ac:dyDescent="0.25">
      <c r="A5483">
        <v>6</v>
      </c>
      <c r="B5483">
        <v>6</v>
      </c>
      <c r="C5483">
        <v>20</v>
      </c>
      <c r="D5483">
        <v>16</v>
      </c>
      <c r="E5483">
        <f t="shared" si="85"/>
        <v>7.1425979169869821E-24</v>
      </c>
    </row>
    <row r="5484" spans="1:5" x14ac:dyDescent="0.25">
      <c r="A5484">
        <v>6</v>
      </c>
      <c r="B5484">
        <v>6</v>
      </c>
      <c r="C5484">
        <v>21</v>
      </c>
      <c r="D5484">
        <v>15</v>
      </c>
      <c r="E5484">
        <f t="shared" si="85"/>
        <v>2.4488907143955334E-23</v>
      </c>
    </row>
    <row r="5485" spans="1:5" x14ac:dyDescent="0.25">
      <c r="A5485">
        <v>6</v>
      </c>
      <c r="B5485">
        <v>6</v>
      </c>
      <c r="C5485">
        <v>22</v>
      </c>
      <c r="D5485">
        <v>14</v>
      </c>
      <c r="E5485">
        <f t="shared" si="85"/>
        <v>6.67879285744237E-23</v>
      </c>
    </row>
    <row r="5486" spans="1:5" x14ac:dyDescent="0.25">
      <c r="A5486">
        <v>6</v>
      </c>
      <c r="B5486">
        <v>6</v>
      </c>
      <c r="C5486">
        <v>23</v>
      </c>
      <c r="D5486">
        <v>13</v>
      </c>
      <c r="E5486">
        <f t="shared" si="85"/>
        <v>1.4567511957175021E-22</v>
      </c>
    </row>
    <row r="5487" spans="1:5" x14ac:dyDescent="0.25">
      <c r="A5487">
        <v>6</v>
      </c>
      <c r="B5487">
        <v>6</v>
      </c>
      <c r="C5487">
        <v>24</v>
      </c>
      <c r="D5487">
        <v>12</v>
      </c>
      <c r="E5487">
        <f t="shared" si="85"/>
        <v>2.5493145925056286E-22</v>
      </c>
    </row>
    <row r="5488" spans="1:5" x14ac:dyDescent="0.25">
      <c r="A5488">
        <v>6</v>
      </c>
      <c r="B5488">
        <v>6</v>
      </c>
      <c r="C5488">
        <v>25</v>
      </c>
      <c r="D5488">
        <v>11</v>
      </c>
      <c r="E5488">
        <f t="shared" si="85"/>
        <v>3.5836079414650564E-22</v>
      </c>
    </row>
    <row r="5489" spans="1:5" x14ac:dyDescent="0.25">
      <c r="A5489">
        <v>6</v>
      </c>
      <c r="B5489">
        <v>6</v>
      </c>
      <c r="C5489">
        <v>26</v>
      </c>
      <c r="D5489">
        <v>10</v>
      </c>
      <c r="E5489">
        <f t="shared" si="85"/>
        <v>4.0430448570374955E-22</v>
      </c>
    </row>
    <row r="5490" spans="1:5" x14ac:dyDescent="0.25">
      <c r="A5490">
        <v>6</v>
      </c>
      <c r="B5490">
        <v>6</v>
      </c>
      <c r="C5490">
        <v>27</v>
      </c>
      <c r="D5490">
        <v>9</v>
      </c>
      <c r="E5490">
        <f t="shared" si="85"/>
        <v>3.6499710514921848E-22</v>
      </c>
    </row>
    <row r="5491" spans="1:5" x14ac:dyDescent="0.25">
      <c r="A5491">
        <v>6</v>
      </c>
      <c r="B5491">
        <v>6</v>
      </c>
      <c r="C5491">
        <v>28</v>
      </c>
      <c r="D5491">
        <v>8</v>
      </c>
      <c r="E5491">
        <f t="shared" si="85"/>
        <v>2.622458192458671E-22</v>
      </c>
    </row>
    <row r="5492" spans="1:5" x14ac:dyDescent="0.25">
      <c r="A5492">
        <v>6</v>
      </c>
      <c r="B5492">
        <v>6</v>
      </c>
      <c r="C5492">
        <v>29</v>
      </c>
      <c r="D5492">
        <v>7</v>
      </c>
      <c r="E5492">
        <f t="shared" si="85"/>
        <v>1.4870644156470629E-22</v>
      </c>
    </row>
    <row r="5493" spans="1:5" x14ac:dyDescent="0.25">
      <c r="A5493">
        <v>6</v>
      </c>
      <c r="B5493">
        <v>6</v>
      </c>
      <c r="C5493">
        <v>30</v>
      </c>
      <c r="D5493">
        <v>6</v>
      </c>
      <c r="E5493">
        <f t="shared" si="85"/>
        <v>6.5743900481238541E-23</v>
      </c>
    </row>
    <row r="5494" spans="1:5" x14ac:dyDescent="0.25">
      <c r="A5494">
        <v>6</v>
      </c>
      <c r="B5494">
        <v>6</v>
      </c>
      <c r="C5494">
        <v>31</v>
      </c>
      <c r="D5494">
        <v>5</v>
      </c>
      <c r="E5494">
        <f t="shared" si="85"/>
        <v>2.2268095324290473E-23</v>
      </c>
    </row>
    <row r="5495" spans="1:5" x14ac:dyDescent="0.25">
      <c r="A5495">
        <v>6</v>
      </c>
      <c r="B5495">
        <v>6</v>
      </c>
      <c r="C5495">
        <v>32</v>
      </c>
      <c r="D5495">
        <v>4</v>
      </c>
      <c r="E5495">
        <f t="shared" si="85"/>
        <v>5.6332979242996742E-24</v>
      </c>
    </row>
    <row r="5496" spans="1:5" x14ac:dyDescent="0.25">
      <c r="A5496">
        <v>6</v>
      </c>
      <c r="B5496">
        <v>6</v>
      </c>
      <c r="C5496">
        <v>33</v>
      </c>
      <c r="D5496">
        <v>3</v>
      </c>
      <c r="E5496">
        <f t="shared" si="85"/>
        <v>1.0242359862363043E-24</v>
      </c>
    </row>
    <row r="5497" spans="1:5" x14ac:dyDescent="0.25">
      <c r="A5497">
        <v>6</v>
      </c>
      <c r="B5497">
        <v>6</v>
      </c>
      <c r="C5497">
        <v>34</v>
      </c>
      <c r="D5497">
        <v>2</v>
      </c>
      <c r="E5497">
        <f t="shared" si="85"/>
        <v>1.2573741007504505E-25</v>
      </c>
    </row>
    <row r="5498" spans="1:5" x14ac:dyDescent="0.25">
      <c r="A5498">
        <v>6</v>
      </c>
      <c r="B5498">
        <v>6</v>
      </c>
      <c r="C5498">
        <v>35</v>
      </c>
      <c r="D5498">
        <v>1</v>
      </c>
      <c r="E5498">
        <f t="shared" si="85"/>
        <v>9.2806183626818938E-27</v>
      </c>
    </row>
    <row r="5499" spans="1:5" x14ac:dyDescent="0.25">
      <c r="A5499">
        <v>6</v>
      </c>
      <c r="B5499">
        <v>6</v>
      </c>
      <c r="C5499">
        <v>36</v>
      </c>
      <c r="D5499">
        <v>0</v>
      </c>
      <c r="E5499">
        <f t="shared" si="85"/>
        <v>3.0935394542272989E-28</v>
      </c>
    </row>
    <row r="5500" spans="1:5" x14ac:dyDescent="0.25">
      <c r="A5500">
        <v>6</v>
      </c>
      <c r="B5500">
        <v>7</v>
      </c>
      <c r="C5500">
        <v>10</v>
      </c>
      <c r="D5500">
        <v>25</v>
      </c>
      <c r="E5500">
        <f t="shared" si="85"/>
        <v>8.9284131843750593E-34</v>
      </c>
    </row>
    <row r="5501" spans="1:5" x14ac:dyDescent="0.25">
      <c r="A5501">
        <v>6</v>
      </c>
      <c r="B5501">
        <v>7</v>
      </c>
      <c r="C5501">
        <v>11</v>
      </c>
      <c r="D5501">
        <v>24</v>
      </c>
      <c r="E5501">
        <f t="shared" si="85"/>
        <v>1.1160516480468826E-31</v>
      </c>
    </row>
    <row r="5502" spans="1:5" x14ac:dyDescent="0.25">
      <c r="A5502">
        <v>6</v>
      </c>
      <c r="B5502">
        <v>7</v>
      </c>
      <c r="C5502">
        <v>12</v>
      </c>
      <c r="D5502">
        <v>23</v>
      </c>
      <c r="E5502">
        <f t="shared" si="85"/>
        <v>6.0266788994531627E-30</v>
      </c>
    </row>
    <row r="5503" spans="1:5" x14ac:dyDescent="0.25">
      <c r="A5503">
        <v>6</v>
      </c>
      <c r="B5503">
        <v>7</v>
      </c>
      <c r="C5503">
        <v>13</v>
      </c>
      <c r="D5503">
        <v>22</v>
      </c>
      <c r="E5503">
        <f t="shared" si="85"/>
        <v>1.8837234816495921E-28</v>
      </c>
    </row>
    <row r="5504" spans="1:5" x14ac:dyDescent="0.25">
      <c r="A5504">
        <v>6</v>
      </c>
      <c r="B5504">
        <v>7</v>
      </c>
      <c r="C5504">
        <v>14</v>
      </c>
      <c r="D5504">
        <v>21</v>
      </c>
      <c r="E5504">
        <f t="shared" si="85"/>
        <v>3.8481779696555966E-27</v>
      </c>
    </row>
    <row r="5505" spans="1:5" x14ac:dyDescent="0.25">
      <c r="A5505">
        <v>6</v>
      </c>
      <c r="B5505">
        <v>7</v>
      </c>
      <c r="C5505">
        <v>15</v>
      </c>
      <c r="D5505">
        <v>20</v>
      </c>
      <c r="E5505">
        <f t="shared" si="85"/>
        <v>5.4951981406681873E-26</v>
      </c>
    </row>
    <row r="5506" spans="1:5" x14ac:dyDescent="0.25">
      <c r="A5506">
        <v>6</v>
      </c>
      <c r="B5506">
        <v>7</v>
      </c>
      <c r="C5506">
        <v>16</v>
      </c>
      <c r="D5506">
        <v>19</v>
      </c>
      <c r="E5506">
        <f t="shared" si="85"/>
        <v>5.7241647298626959E-25</v>
      </c>
    </row>
    <row r="5507" spans="1:5" x14ac:dyDescent="0.25">
      <c r="A5507">
        <v>6</v>
      </c>
      <c r="B5507">
        <v>7</v>
      </c>
      <c r="C5507">
        <v>17</v>
      </c>
      <c r="D5507">
        <v>18</v>
      </c>
      <c r="E5507">
        <f t="shared" si="85"/>
        <v>4.4783171121867016E-24</v>
      </c>
    </row>
    <row r="5508" spans="1:5" x14ac:dyDescent="0.25">
      <c r="A5508">
        <v>6</v>
      </c>
      <c r="B5508">
        <v>7</v>
      </c>
      <c r="C5508">
        <v>18</v>
      </c>
      <c r="D5508">
        <v>17</v>
      </c>
      <c r="E5508">
        <f t="shared" si="85"/>
        <v>2.6869902673120179E-23</v>
      </c>
    </row>
    <row r="5509" spans="1:5" x14ac:dyDescent="0.25">
      <c r="A5509">
        <v>6</v>
      </c>
      <c r="B5509">
        <v>7</v>
      </c>
      <c r="C5509">
        <v>19</v>
      </c>
      <c r="D5509">
        <v>16</v>
      </c>
      <c r="E5509">
        <f t="shared" si="85"/>
        <v>1.2555001307498849E-22</v>
      </c>
    </row>
    <row r="5510" spans="1:5" x14ac:dyDescent="0.25">
      <c r="A5510">
        <v>6</v>
      </c>
      <c r="B5510">
        <v>7</v>
      </c>
      <c r="C5510">
        <v>20</v>
      </c>
      <c r="D5510">
        <v>15</v>
      </c>
      <c r="E5510">
        <f t="shared" si="85"/>
        <v>4.6202404811595799E-22</v>
      </c>
    </row>
    <row r="5511" spans="1:5" x14ac:dyDescent="0.25">
      <c r="A5511">
        <v>6</v>
      </c>
      <c r="B5511">
        <v>7</v>
      </c>
      <c r="C5511">
        <v>21</v>
      </c>
      <c r="D5511">
        <v>14</v>
      </c>
      <c r="E5511">
        <f t="shared" si="85"/>
        <v>1.3500702704687068E-21</v>
      </c>
    </row>
    <row r="5512" spans="1:5" x14ac:dyDescent="0.25">
      <c r="A5512">
        <v>6</v>
      </c>
      <c r="B5512">
        <v>7</v>
      </c>
      <c r="C5512">
        <v>22</v>
      </c>
      <c r="D5512">
        <v>13</v>
      </c>
      <c r="E5512">
        <f t="shared" si="85"/>
        <v>3.1501639644269848E-21</v>
      </c>
    </row>
    <row r="5513" spans="1:5" x14ac:dyDescent="0.25">
      <c r="A5513">
        <v>6</v>
      </c>
      <c r="B5513">
        <v>7</v>
      </c>
      <c r="C5513">
        <v>23</v>
      </c>
      <c r="D5513">
        <v>12</v>
      </c>
      <c r="E5513">
        <f t="shared" si="85"/>
        <v>5.8894369769721886E-21</v>
      </c>
    </row>
    <row r="5514" spans="1:5" x14ac:dyDescent="0.25">
      <c r="A5514">
        <v>6</v>
      </c>
      <c r="B5514">
        <v>7</v>
      </c>
      <c r="C5514">
        <v>24</v>
      </c>
      <c r="D5514">
        <v>11</v>
      </c>
      <c r="E5514">
        <f t="shared" si="85"/>
        <v>8.8341554654582784E-21</v>
      </c>
    </row>
    <row r="5515" spans="1:5" x14ac:dyDescent="0.25">
      <c r="A5515">
        <v>6</v>
      </c>
      <c r="B5515">
        <v>7</v>
      </c>
      <c r="C5515">
        <v>25</v>
      </c>
      <c r="D5515">
        <v>10</v>
      </c>
      <c r="E5515">
        <f t="shared" si="85"/>
        <v>1.0624544306457828E-20</v>
      </c>
    </row>
    <row r="5516" spans="1:5" x14ac:dyDescent="0.25">
      <c r="A5516">
        <v>6</v>
      </c>
      <c r="B5516">
        <v>7</v>
      </c>
      <c r="C5516">
        <v>26</v>
      </c>
      <c r="D5516">
        <v>9</v>
      </c>
      <c r="E5516">
        <f t="shared" si="85"/>
        <v>1.0215907986978675E-20</v>
      </c>
    </row>
    <row r="5517" spans="1:5" x14ac:dyDescent="0.25">
      <c r="A5517">
        <v>6</v>
      </c>
      <c r="B5517">
        <v>7</v>
      </c>
      <c r="C5517">
        <v>27</v>
      </c>
      <c r="D5517">
        <v>8</v>
      </c>
      <c r="E5517">
        <f t="shared" si="85"/>
        <v>7.8121649312189876E-21</v>
      </c>
    </row>
    <row r="5518" spans="1:5" x14ac:dyDescent="0.25">
      <c r="A5518">
        <v>6</v>
      </c>
      <c r="B5518">
        <v>7</v>
      </c>
      <c r="C5518">
        <v>28</v>
      </c>
      <c r="D5518">
        <v>7</v>
      </c>
      <c r="E5518">
        <f t="shared" ref="E5518:E5581" si="86">COMBIN(A$4,A5518)*COMBIN(B$4,B5518)*COMBIN(C$4,C5518)*COMBIN(D$4,D5518)/COMBIN($G$4,$F$4)</f>
        <v>4.7120994823225652E-21</v>
      </c>
    </row>
    <row r="5519" spans="1:5" x14ac:dyDescent="0.25">
      <c r="A5519">
        <v>6</v>
      </c>
      <c r="B5519">
        <v>7</v>
      </c>
      <c r="C5519">
        <v>29</v>
      </c>
      <c r="D5519">
        <v>6</v>
      </c>
      <c r="E5519">
        <f t="shared" si="86"/>
        <v>2.2149433138322037E-21</v>
      </c>
    </row>
    <row r="5520" spans="1:5" x14ac:dyDescent="0.25">
      <c r="A5520">
        <v>6</v>
      </c>
      <c r="B5520">
        <v>7</v>
      </c>
      <c r="C5520">
        <v>30</v>
      </c>
      <c r="D5520">
        <v>5</v>
      </c>
      <c r="E5520">
        <f t="shared" si="86"/>
        <v>7.9737959297959309E-22</v>
      </c>
    </row>
    <row r="5521" spans="1:5" x14ac:dyDescent="0.25">
      <c r="A5521">
        <v>6</v>
      </c>
      <c r="B5521">
        <v>7</v>
      </c>
      <c r="C5521">
        <v>31</v>
      </c>
      <c r="D5521">
        <v>4</v>
      </c>
      <c r="E5521">
        <f t="shared" si="86"/>
        <v>2.1434935295150361E-22</v>
      </c>
    </row>
    <row r="5522" spans="1:5" x14ac:dyDescent="0.25">
      <c r="A5522">
        <v>6</v>
      </c>
      <c r="B5522">
        <v>7</v>
      </c>
      <c r="C5522">
        <v>32</v>
      </c>
      <c r="D5522">
        <v>3</v>
      </c>
      <c r="E5522">
        <f t="shared" si="86"/>
        <v>4.1408397729267734E-23</v>
      </c>
    </row>
    <row r="5523" spans="1:5" x14ac:dyDescent="0.25">
      <c r="A5523">
        <v>6</v>
      </c>
      <c r="B5523">
        <v>7</v>
      </c>
      <c r="C5523">
        <v>33</v>
      </c>
      <c r="D5523">
        <v>2</v>
      </c>
      <c r="E5523">
        <f t="shared" si="86"/>
        <v>5.4010953559914431E-24</v>
      </c>
    </row>
    <row r="5524" spans="1:5" x14ac:dyDescent="0.25">
      <c r="A5524">
        <v>6</v>
      </c>
      <c r="B5524">
        <v>7</v>
      </c>
      <c r="C5524">
        <v>34</v>
      </c>
      <c r="D5524">
        <v>1</v>
      </c>
      <c r="E5524">
        <f t="shared" si="86"/>
        <v>4.2361532203854466E-25</v>
      </c>
    </row>
    <row r="5525" spans="1:5" x14ac:dyDescent="0.25">
      <c r="A5525">
        <v>6</v>
      </c>
      <c r="B5525">
        <v>7</v>
      </c>
      <c r="C5525">
        <v>35</v>
      </c>
      <c r="D5525">
        <v>0</v>
      </c>
      <c r="E5525">
        <f t="shared" si="86"/>
        <v>1.5008085695079866E-26</v>
      </c>
    </row>
    <row r="5526" spans="1:5" x14ac:dyDescent="0.25">
      <c r="A5526">
        <v>6</v>
      </c>
      <c r="B5526">
        <v>8</v>
      </c>
      <c r="C5526">
        <v>9</v>
      </c>
      <c r="D5526">
        <v>25</v>
      </c>
      <c r="E5526">
        <f t="shared" si="86"/>
        <v>5.6201172276646569E-33</v>
      </c>
    </row>
    <row r="5527" spans="1:5" x14ac:dyDescent="0.25">
      <c r="A5527">
        <v>6</v>
      </c>
      <c r="B5527">
        <v>8</v>
      </c>
      <c r="C5527">
        <v>10</v>
      </c>
      <c r="D5527">
        <v>24</v>
      </c>
      <c r="E5527">
        <f t="shared" si="86"/>
        <v>7.8681641187305213E-31</v>
      </c>
    </row>
    <row r="5528" spans="1:5" x14ac:dyDescent="0.25">
      <c r="A5528">
        <v>6</v>
      </c>
      <c r="B5528">
        <v>8</v>
      </c>
      <c r="C5528">
        <v>11</v>
      </c>
      <c r="D5528">
        <v>23</v>
      </c>
      <c r="E5528">
        <f t="shared" si="86"/>
        <v>4.7208984712383133E-29</v>
      </c>
    </row>
    <row r="5529" spans="1:5" x14ac:dyDescent="0.25">
      <c r="A5529">
        <v>6</v>
      </c>
      <c r="B5529">
        <v>8</v>
      </c>
      <c r="C5529">
        <v>12</v>
      </c>
      <c r="D5529">
        <v>22</v>
      </c>
      <c r="E5529">
        <f t="shared" si="86"/>
        <v>1.6287099725772172E-27</v>
      </c>
    </row>
    <row r="5530" spans="1:5" x14ac:dyDescent="0.25">
      <c r="A5530">
        <v>6</v>
      </c>
      <c r="B5530">
        <v>8</v>
      </c>
      <c r="C5530">
        <v>13</v>
      </c>
      <c r="D5530">
        <v>21</v>
      </c>
      <c r="E5530">
        <f t="shared" si="86"/>
        <v>3.6520689000481463E-26</v>
      </c>
    </row>
    <row r="5531" spans="1:5" x14ac:dyDescent="0.25">
      <c r="A5531">
        <v>6</v>
      </c>
      <c r="B5531">
        <v>8</v>
      </c>
      <c r="C5531">
        <v>14</v>
      </c>
      <c r="D5531">
        <v>20</v>
      </c>
      <c r="E5531">
        <f t="shared" si="86"/>
        <v>5.6972274840751078E-25</v>
      </c>
    </row>
    <row r="5532" spans="1:5" x14ac:dyDescent="0.25">
      <c r="A5532">
        <v>6</v>
      </c>
      <c r="B5532">
        <v>8</v>
      </c>
      <c r="C5532">
        <v>15</v>
      </c>
      <c r="D5532">
        <v>19</v>
      </c>
      <c r="E5532">
        <f t="shared" si="86"/>
        <v>6.4568578152851191E-24</v>
      </c>
    </row>
    <row r="5533" spans="1:5" x14ac:dyDescent="0.25">
      <c r="A5533">
        <v>6</v>
      </c>
      <c r="B5533">
        <v>8</v>
      </c>
      <c r="C5533">
        <v>16</v>
      </c>
      <c r="D5533">
        <v>18</v>
      </c>
      <c r="E5533">
        <f t="shared" si="86"/>
        <v>5.4767990397507742E-23</v>
      </c>
    </row>
    <row r="5534" spans="1:5" x14ac:dyDescent="0.25">
      <c r="A5534">
        <v>6</v>
      </c>
      <c r="B5534">
        <v>8</v>
      </c>
      <c r="C5534">
        <v>17</v>
      </c>
      <c r="D5534">
        <v>17</v>
      </c>
      <c r="E5534">
        <f t="shared" si="86"/>
        <v>3.5518652596030767E-22</v>
      </c>
    </row>
    <row r="5535" spans="1:5" x14ac:dyDescent="0.25">
      <c r="A5535">
        <v>6</v>
      </c>
      <c r="B5535">
        <v>8</v>
      </c>
      <c r="C5535">
        <v>18</v>
      </c>
      <c r="D5535">
        <v>16</v>
      </c>
      <c r="E5535">
        <f t="shared" si="86"/>
        <v>1.789087686318585E-21</v>
      </c>
    </row>
    <row r="5536" spans="1:5" x14ac:dyDescent="0.25">
      <c r="A5536">
        <v>6</v>
      </c>
      <c r="B5536">
        <v>8</v>
      </c>
      <c r="C5536">
        <v>19</v>
      </c>
      <c r="D5536">
        <v>15</v>
      </c>
      <c r="E5536">
        <f t="shared" si="86"/>
        <v>7.0810207374293501E-21</v>
      </c>
    </row>
    <row r="5537" spans="1:5" x14ac:dyDescent="0.25">
      <c r="A5537">
        <v>6</v>
      </c>
      <c r="B5537">
        <v>8</v>
      </c>
      <c r="C5537">
        <v>20</v>
      </c>
      <c r="D5537">
        <v>14</v>
      </c>
      <c r="E5537">
        <f t="shared" si="86"/>
        <v>2.2208655949210255E-20</v>
      </c>
    </row>
    <row r="5538" spans="1:5" x14ac:dyDescent="0.25">
      <c r="A5538">
        <v>6</v>
      </c>
      <c r="B5538">
        <v>8</v>
      </c>
      <c r="C5538">
        <v>21</v>
      </c>
      <c r="D5538">
        <v>13</v>
      </c>
      <c r="E5538">
        <f t="shared" si="86"/>
        <v>5.5521639873025569E-20</v>
      </c>
    </row>
    <row r="5539" spans="1:5" x14ac:dyDescent="0.25">
      <c r="A5539">
        <v>6</v>
      </c>
      <c r="B5539">
        <v>8</v>
      </c>
      <c r="C5539">
        <v>22</v>
      </c>
      <c r="D5539">
        <v>12</v>
      </c>
      <c r="E5539">
        <f t="shared" si="86"/>
        <v>1.1104327974605121E-19</v>
      </c>
    </row>
    <row r="5540" spans="1:5" x14ac:dyDescent="0.25">
      <c r="A5540">
        <v>6</v>
      </c>
      <c r="B5540">
        <v>8</v>
      </c>
      <c r="C5540">
        <v>23</v>
      </c>
      <c r="D5540">
        <v>11</v>
      </c>
      <c r="E5540">
        <f t="shared" si="86"/>
        <v>1.7794513151851677E-19</v>
      </c>
    </row>
    <row r="5541" spans="1:5" x14ac:dyDescent="0.25">
      <c r="A5541">
        <v>6</v>
      </c>
      <c r="B5541">
        <v>8</v>
      </c>
      <c r="C5541">
        <v>24</v>
      </c>
      <c r="D5541">
        <v>10</v>
      </c>
      <c r="E5541">
        <f t="shared" si="86"/>
        <v>2.2836291878209652E-19</v>
      </c>
    </row>
    <row r="5542" spans="1:5" x14ac:dyDescent="0.25">
      <c r="A5542">
        <v>6</v>
      </c>
      <c r="B5542">
        <v>8</v>
      </c>
      <c r="C5542">
        <v>25</v>
      </c>
      <c r="D5542">
        <v>9</v>
      </c>
      <c r="E5542">
        <f t="shared" si="86"/>
        <v>2.3407199175164901E-19</v>
      </c>
    </row>
    <row r="5543" spans="1:5" x14ac:dyDescent="0.25">
      <c r="A5543">
        <v>6</v>
      </c>
      <c r="B5543">
        <v>8</v>
      </c>
      <c r="C5543">
        <v>26</v>
      </c>
      <c r="D5543">
        <v>8</v>
      </c>
      <c r="E5543">
        <f t="shared" si="86"/>
        <v>1.9064687110994028E-19</v>
      </c>
    </row>
    <row r="5544" spans="1:5" x14ac:dyDescent="0.25">
      <c r="A5544">
        <v>6</v>
      </c>
      <c r="B5544">
        <v>8</v>
      </c>
      <c r="C5544">
        <v>27</v>
      </c>
      <c r="D5544">
        <v>7</v>
      </c>
      <c r="E5544">
        <f t="shared" si="86"/>
        <v>1.2239058392243082E-19</v>
      </c>
    </row>
    <row r="5545" spans="1:5" x14ac:dyDescent="0.25">
      <c r="A5545">
        <v>6</v>
      </c>
      <c r="B5545">
        <v>8</v>
      </c>
      <c r="C5545">
        <v>28</v>
      </c>
      <c r="D5545">
        <v>6</v>
      </c>
      <c r="E5545">
        <f t="shared" si="86"/>
        <v>6.1195291961215388E-20</v>
      </c>
    </row>
    <row r="5546" spans="1:5" x14ac:dyDescent="0.25">
      <c r="A5546">
        <v>6</v>
      </c>
      <c r="B5546">
        <v>8</v>
      </c>
      <c r="C5546">
        <v>29</v>
      </c>
      <c r="D5546">
        <v>5</v>
      </c>
      <c r="E5546">
        <f t="shared" si="86"/>
        <v>2.342302554377555E-20</v>
      </c>
    </row>
    <row r="5547" spans="1:5" x14ac:dyDescent="0.25">
      <c r="A5547">
        <v>6</v>
      </c>
      <c r="B5547">
        <v>8</v>
      </c>
      <c r="C5547">
        <v>30</v>
      </c>
      <c r="D5547">
        <v>4</v>
      </c>
      <c r="E5547">
        <f t="shared" si="86"/>
        <v>6.6922930125073013E-21</v>
      </c>
    </row>
    <row r="5548" spans="1:5" x14ac:dyDescent="0.25">
      <c r="A5548">
        <v>6</v>
      </c>
      <c r="B5548">
        <v>8</v>
      </c>
      <c r="C5548">
        <v>31</v>
      </c>
      <c r="D5548">
        <v>3</v>
      </c>
      <c r="E5548">
        <f t="shared" si="86"/>
        <v>1.3737844893710005E-21</v>
      </c>
    </row>
    <row r="5549" spans="1:5" x14ac:dyDescent="0.25">
      <c r="A5549">
        <v>6</v>
      </c>
      <c r="B5549">
        <v>8</v>
      </c>
      <c r="C5549">
        <v>32</v>
      </c>
      <c r="D5549">
        <v>2</v>
      </c>
      <c r="E5549">
        <f t="shared" si="86"/>
        <v>1.9038861129869839E-22</v>
      </c>
    </row>
    <row r="5550" spans="1:5" x14ac:dyDescent="0.25">
      <c r="A5550">
        <v>6</v>
      </c>
      <c r="B5550">
        <v>8</v>
      </c>
      <c r="C5550">
        <v>33</v>
      </c>
      <c r="D5550">
        <v>1</v>
      </c>
      <c r="E5550">
        <f t="shared" si="86"/>
        <v>1.5865717608224863E-23</v>
      </c>
    </row>
    <row r="5551" spans="1:5" x14ac:dyDescent="0.25">
      <c r="A5551">
        <v>6</v>
      </c>
      <c r="B5551">
        <v>8</v>
      </c>
      <c r="C5551">
        <v>34</v>
      </c>
      <c r="D5551">
        <v>0</v>
      </c>
      <c r="E5551">
        <f t="shared" si="86"/>
        <v>5.9729760407434792E-25</v>
      </c>
    </row>
    <row r="5552" spans="1:5" x14ac:dyDescent="0.25">
      <c r="A5552">
        <v>6</v>
      </c>
      <c r="B5552">
        <v>9</v>
      </c>
      <c r="C5552">
        <v>8</v>
      </c>
      <c r="D5552">
        <v>25</v>
      </c>
      <c r="E5552">
        <f t="shared" si="86"/>
        <v>2.7706191946908225E-32</v>
      </c>
    </row>
    <row r="5553" spans="1:5" x14ac:dyDescent="0.25">
      <c r="A5553">
        <v>6</v>
      </c>
      <c r="B5553">
        <v>9</v>
      </c>
      <c r="C5553">
        <v>9</v>
      </c>
      <c r="D5553">
        <v>24</v>
      </c>
      <c r="E5553">
        <f t="shared" si="86"/>
        <v>4.3868137249271344E-30</v>
      </c>
    </row>
    <row r="5554" spans="1:5" x14ac:dyDescent="0.25">
      <c r="A5554">
        <v>6</v>
      </c>
      <c r="B5554">
        <v>9</v>
      </c>
      <c r="C5554">
        <v>10</v>
      </c>
      <c r="D5554">
        <v>23</v>
      </c>
      <c r="E5554">
        <f t="shared" si="86"/>
        <v>2.947938823151035E-28</v>
      </c>
    </row>
    <row r="5555" spans="1:5" x14ac:dyDescent="0.25">
      <c r="A5555">
        <v>6</v>
      </c>
      <c r="B5555">
        <v>9</v>
      </c>
      <c r="C5555">
        <v>11</v>
      </c>
      <c r="D5555">
        <v>22</v>
      </c>
      <c r="E5555">
        <f t="shared" si="86"/>
        <v>1.1300432155412301E-26</v>
      </c>
    </row>
    <row r="5556" spans="1:5" x14ac:dyDescent="0.25">
      <c r="A5556">
        <v>6</v>
      </c>
      <c r="B5556">
        <v>9</v>
      </c>
      <c r="C5556">
        <v>12</v>
      </c>
      <c r="D5556">
        <v>21</v>
      </c>
      <c r="E5556">
        <f t="shared" si="86"/>
        <v>2.7968569584645434E-25</v>
      </c>
    </row>
    <row r="5557" spans="1:5" x14ac:dyDescent="0.25">
      <c r="A5557">
        <v>6</v>
      </c>
      <c r="B5557">
        <v>9</v>
      </c>
      <c r="C5557">
        <v>13</v>
      </c>
      <c r="D5557">
        <v>20</v>
      </c>
      <c r="E5557">
        <f t="shared" si="86"/>
        <v>4.7890796842631343E-24</v>
      </c>
    </row>
    <row r="5558" spans="1:5" x14ac:dyDescent="0.25">
      <c r="A5558">
        <v>6</v>
      </c>
      <c r="B5558">
        <v>9</v>
      </c>
      <c r="C5558">
        <v>14</v>
      </c>
      <c r="D5558">
        <v>19</v>
      </c>
      <c r="E5558">
        <f t="shared" si="86"/>
        <v>5.9293367519448343E-23</v>
      </c>
    </row>
    <row r="5559" spans="1:5" x14ac:dyDescent="0.25">
      <c r="A5559">
        <v>6</v>
      </c>
      <c r="B5559">
        <v>9</v>
      </c>
      <c r="C5559">
        <v>15</v>
      </c>
      <c r="D5559">
        <v>18</v>
      </c>
      <c r="E5559">
        <f t="shared" si="86"/>
        <v>5.4719307739376614E-22</v>
      </c>
    </row>
    <row r="5560" spans="1:5" x14ac:dyDescent="0.25">
      <c r="A5560">
        <v>6</v>
      </c>
      <c r="B5560">
        <v>9</v>
      </c>
      <c r="C5560">
        <v>16</v>
      </c>
      <c r="D5560">
        <v>17</v>
      </c>
      <c r="E5560">
        <f t="shared" si="86"/>
        <v>3.8474513254249173E-21</v>
      </c>
    </row>
    <row r="5561" spans="1:5" x14ac:dyDescent="0.25">
      <c r="A5561">
        <v>6</v>
      </c>
      <c r="B5561">
        <v>9</v>
      </c>
      <c r="C5561">
        <v>17</v>
      </c>
      <c r="D5561">
        <v>16</v>
      </c>
      <c r="E5561">
        <f t="shared" si="86"/>
        <v>2.0947234993980116E-20</v>
      </c>
    </row>
    <row r="5562" spans="1:5" x14ac:dyDescent="0.25">
      <c r="A5562">
        <v>6</v>
      </c>
      <c r="B5562">
        <v>9</v>
      </c>
      <c r="C5562">
        <v>18</v>
      </c>
      <c r="D5562">
        <v>15</v>
      </c>
      <c r="E5562">
        <f t="shared" si="86"/>
        <v>8.9374869307648398E-20</v>
      </c>
    </row>
    <row r="5563" spans="1:5" x14ac:dyDescent="0.25">
      <c r="A5563">
        <v>6</v>
      </c>
      <c r="B5563">
        <v>9</v>
      </c>
      <c r="C5563">
        <v>19</v>
      </c>
      <c r="D5563">
        <v>14</v>
      </c>
      <c r="E5563">
        <f t="shared" si="86"/>
        <v>3.0147982230570411E-19</v>
      </c>
    </row>
    <row r="5564" spans="1:5" x14ac:dyDescent="0.25">
      <c r="A5564">
        <v>6</v>
      </c>
      <c r="B5564">
        <v>9</v>
      </c>
      <c r="C5564">
        <v>20</v>
      </c>
      <c r="D5564">
        <v>13</v>
      </c>
      <c r="E5564">
        <f t="shared" si="86"/>
        <v>8.0897085652030694E-19</v>
      </c>
    </row>
    <row r="5565" spans="1:5" x14ac:dyDescent="0.25">
      <c r="A5565">
        <v>6</v>
      </c>
      <c r="B5565">
        <v>9</v>
      </c>
      <c r="C5565">
        <v>21</v>
      </c>
      <c r="D5565">
        <v>12</v>
      </c>
      <c r="E5565">
        <f t="shared" si="86"/>
        <v>1.7335089782577983E-18</v>
      </c>
    </row>
    <row r="5566" spans="1:5" x14ac:dyDescent="0.25">
      <c r="A5566">
        <v>6</v>
      </c>
      <c r="B5566">
        <v>9</v>
      </c>
      <c r="C5566">
        <v>22</v>
      </c>
      <c r="D5566">
        <v>11</v>
      </c>
      <c r="E5566">
        <f t="shared" si="86"/>
        <v>2.9717296770133698E-18</v>
      </c>
    </row>
    <row r="5567" spans="1:5" x14ac:dyDescent="0.25">
      <c r="A5567">
        <v>6</v>
      </c>
      <c r="B5567">
        <v>9</v>
      </c>
      <c r="C5567">
        <v>23</v>
      </c>
      <c r="D5567">
        <v>10</v>
      </c>
      <c r="E5567">
        <f t="shared" si="86"/>
        <v>4.0742844557313722E-18</v>
      </c>
    </row>
    <row r="5568" spans="1:5" x14ac:dyDescent="0.25">
      <c r="A5568">
        <v>6</v>
      </c>
      <c r="B5568">
        <v>9</v>
      </c>
      <c r="C5568">
        <v>24</v>
      </c>
      <c r="D5568">
        <v>9</v>
      </c>
      <c r="E5568">
        <f t="shared" si="86"/>
        <v>4.456248623456189E-18</v>
      </c>
    </row>
    <row r="5569" spans="1:5" x14ac:dyDescent="0.25">
      <c r="A5569">
        <v>6</v>
      </c>
      <c r="B5569">
        <v>9</v>
      </c>
      <c r="C5569">
        <v>25</v>
      </c>
      <c r="D5569">
        <v>8</v>
      </c>
      <c r="E5569">
        <f t="shared" si="86"/>
        <v>3.8690723342478454E-18</v>
      </c>
    </row>
    <row r="5570" spans="1:5" x14ac:dyDescent="0.25">
      <c r="A5570">
        <v>6</v>
      </c>
      <c r="B5570">
        <v>9</v>
      </c>
      <c r="C5570">
        <v>26</v>
      </c>
      <c r="D5570">
        <v>7</v>
      </c>
      <c r="E5570">
        <f t="shared" si="86"/>
        <v>2.6455195447848504E-18</v>
      </c>
    </row>
    <row r="5571" spans="1:5" x14ac:dyDescent="0.25">
      <c r="A5571">
        <v>6</v>
      </c>
      <c r="B5571">
        <v>9</v>
      </c>
      <c r="C5571">
        <v>27</v>
      </c>
      <c r="D5571">
        <v>6</v>
      </c>
      <c r="E5571">
        <f t="shared" si="86"/>
        <v>1.4078495823124054E-18</v>
      </c>
    </row>
    <row r="5572" spans="1:5" x14ac:dyDescent="0.25">
      <c r="A5572">
        <v>6</v>
      </c>
      <c r="B5572">
        <v>9</v>
      </c>
      <c r="C5572">
        <v>28</v>
      </c>
      <c r="D5572">
        <v>5</v>
      </c>
      <c r="E5572">
        <f t="shared" si="86"/>
        <v>5.7319590137005077E-19</v>
      </c>
    </row>
    <row r="5573" spans="1:5" x14ac:dyDescent="0.25">
      <c r="A5573">
        <v>6</v>
      </c>
      <c r="B5573">
        <v>9</v>
      </c>
      <c r="C5573">
        <v>29</v>
      </c>
      <c r="D5573">
        <v>4</v>
      </c>
      <c r="E5573">
        <f t="shared" si="86"/>
        <v>1.7412354967727332E-19</v>
      </c>
    </row>
    <row r="5574" spans="1:5" x14ac:dyDescent="0.25">
      <c r="A5574">
        <v>6</v>
      </c>
      <c r="B5574">
        <v>9</v>
      </c>
      <c r="C5574">
        <v>30</v>
      </c>
      <c r="D5574">
        <v>3</v>
      </c>
      <c r="E5574">
        <f t="shared" si="86"/>
        <v>3.7990592656859615E-20</v>
      </c>
    </row>
    <row r="5575" spans="1:5" x14ac:dyDescent="0.25">
      <c r="A5575">
        <v>6</v>
      </c>
      <c r="B5575">
        <v>9</v>
      </c>
      <c r="C5575">
        <v>31</v>
      </c>
      <c r="D5575">
        <v>2</v>
      </c>
      <c r="E5575">
        <f t="shared" si="86"/>
        <v>5.5946875581630583E-21</v>
      </c>
    </row>
    <row r="5576" spans="1:5" x14ac:dyDescent="0.25">
      <c r="A5576">
        <v>6</v>
      </c>
      <c r="B5576">
        <v>9</v>
      </c>
      <c r="C5576">
        <v>32</v>
      </c>
      <c r="D5576">
        <v>1</v>
      </c>
      <c r="E5576">
        <f t="shared" si="86"/>
        <v>4.953629608790207E-22</v>
      </c>
    </row>
    <row r="5577" spans="1:5" x14ac:dyDescent="0.25">
      <c r="A5577">
        <v>6</v>
      </c>
      <c r="B5577">
        <v>9</v>
      </c>
      <c r="C5577">
        <v>33</v>
      </c>
      <c r="D5577">
        <v>0</v>
      </c>
      <c r="E5577">
        <f t="shared" si="86"/>
        <v>1.9814518435160827E-23</v>
      </c>
    </row>
    <row r="5578" spans="1:5" x14ac:dyDescent="0.25">
      <c r="A5578">
        <v>6</v>
      </c>
      <c r="B5578">
        <v>10</v>
      </c>
      <c r="C5578">
        <v>7</v>
      </c>
      <c r="D5578">
        <v>25</v>
      </c>
      <c r="E5578">
        <f t="shared" si="86"/>
        <v>1.0700322407081797E-31</v>
      </c>
    </row>
    <row r="5579" spans="1:5" x14ac:dyDescent="0.25">
      <c r="A5579">
        <v>6</v>
      </c>
      <c r="B5579">
        <v>10</v>
      </c>
      <c r="C5579">
        <v>8</v>
      </c>
      <c r="D5579">
        <v>24</v>
      </c>
      <c r="E5579">
        <f t="shared" si="86"/>
        <v>1.9394334362835761E-29</v>
      </c>
    </row>
    <row r="5580" spans="1:5" x14ac:dyDescent="0.25">
      <c r="A5580">
        <v>6</v>
      </c>
      <c r="B5580">
        <v>10</v>
      </c>
      <c r="C5580">
        <v>9</v>
      </c>
      <c r="D5580">
        <v>23</v>
      </c>
      <c r="E5580">
        <f t="shared" si="86"/>
        <v>1.4739694115755176E-27</v>
      </c>
    </row>
    <row r="5581" spans="1:5" x14ac:dyDescent="0.25">
      <c r="A5581">
        <v>6</v>
      </c>
      <c r="B5581">
        <v>10</v>
      </c>
      <c r="C5581">
        <v>10</v>
      </c>
      <c r="D5581">
        <v>22</v>
      </c>
      <c r="E5581">
        <f t="shared" si="86"/>
        <v>6.3282420070308897E-26</v>
      </c>
    </row>
    <row r="5582" spans="1:5" x14ac:dyDescent="0.25">
      <c r="A5582">
        <v>6</v>
      </c>
      <c r="B5582">
        <v>10</v>
      </c>
      <c r="C5582">
        <v>11</v>
      </c>
      <c r="D5582">
        <v>21</v>
      </c>
      <c r="E5582">
        <f t="shared" ref="E5582:E5645" si="87">COMBIN(A$4,A5582)*COMBIN(B$4,B5582)*COMBIN(C$4,C5582)*COMBIN(D$4,D5582)/COMBIN($G$4,$F$4)</f>
        <v>1.7402665519334951E-24</v>
      </c>
    </row>
    <row r="5583" spans="1:5" x14ac:dyDescent="0.25">
      <c r="A5583">
        <v>6</v>
      </c>
      <c r="B5583">
        <v>10</v>
      </c>
      <c r="C5583">
        <v>12</v>
      </c>
      <c r="D5583">
        <v>20</v>
      </c>
      <c r="E5583">
        <f t="shared" si="87"/>
        <v>3.2891037831543031E-23</v>
      </c>
    </row>
    <row r="5584" spans="1:5" x14ac:dyDescent="0.25">
      <c r="A5584">
        <v>6</v>
      </c>
      <c r="B5584">
        <v>10</v>
      </c>
      <c r="C5584">
        <v>13</v>
      </c>
      <c r="D5584">
        <v>19</v>
      </c>
      <c r="E5584">
        <f t="shared" si="87"/>
        <v>4.4698077053122596E-22</v>
      </c>
    </row>
    <row r="5585" spans="1:5" x14ac:dyDescent="0.25">
      <c r="A5585">
        <v>6</v>
      </c>
      <c r="B5585">
        <v>10</v>
      </c>
      <c r="C5585">
        <v>14</v>
      </c>
      <c r="D5585">
        <v>18</v>
      </c>
      <c r="E5585">
        <f t="shared" si="87"/>
        <v>4.5062959314780763E-21</v>
      </c>
    </row>
    <row r="5586" spans="1:5" x14ac:dyDescent="0.25">
      <c r="A5586">
        <v>6</v>
      </c>
      <c r="B5586">
        <v>10</v>
      </c>
      <c r="C5586">
        <v>15</v>
      </c>
      <c r="D5586">
        <v>17</v>
      </c>
      <c r="E5586">
        <f t="shared" si="87"/>
        <v>3.4473163875807267E-20</v>
      </c>
    </row>
    <row r="5587" spans="1:5" x14ac:dyDescent="0.25">
      <c r="A5587">
        <v>6</v>
      </c>
      <c r="B5587">
        <v>10</v>
      </c>
      <c r="C5587">
        <v>16</v>
      </c>
      <c r="D5587">
        <v>16</v>
      </c>
      <c r="E5587">
        <f t="shared" si="87"/>
        <v>2.0348742565580679E-19</v>
      </c>
    </row>
    <row r="5588" spans="1:5" x14ac:dyDescent="0.25">
      <c r="A5588">
        <v>6</v>
      </c>
      <c r="B5588">
        <v>10</v>
      </c>
      <c r="C5588">
        <v>17</v>
      </c>
      <c r="D5588">
        <v>15</v>
      </c>
      <c r="E5588">
        <f t="shared" si="87"/>
        <v>9.3843612773030945E-19</v>
      </c>
    </row>
    <row r="5589" spans="1:5" x14ac:dyDescent="0.25">
      <c r="A5589">
        <v>6</v>
      </c>
      <c r="B5589">
        <v>10</v>
      </c>
      <c r="C5589">
        <v>18</v>
      </c>
      <c r="D5589">
        <v>14</v>
      </c>
      <c r="E5589">
        <f t="shared" si="87"/>
        <v>3.4124950099283952E-18</v>
      </c>
    </row>
    <row r="5590" spans="1:5" x14ac:dyDescent="0.25">
      <c r="A5590">
        <v>6</v>
      </c>
      <c r="B5590">
        <v>10</v>
      </c>
      <c r="C5590">
        <v>19</v>
      </c>
      <c r="D5590">
        <v>13</v>
      </c>
      <c r="E5590">
        <f t="shared" si="87"/>
        <v>9.8483408619863397E-18</v>
      </c>
    </row>
    <row r="5591" spans="1:5" x14ac:dyDescent="0.25">
      <c r="A5591">
        <v>6</v>
      </c>
      <c r="B5591">
        <v>10</v>
      </c>
      <c r="C5591">
        <v>20</v>
      </c>
      <c r="D5591">
        <v>12</v>
      </c>
      <c r="E5591">
        <f t="shared" si="87"/>
        <v>2.2651183982568599E-17</v>
      </c>
    </row>
    <row r="5592" spans="1:5" x14ac:dyDescent="0.25">
      <c r="A5592">
        <v>6</v>
      </c>
      <c r="B5592">
        <v>10</v>
      </c>
      <c r="C5592">
        <v>21</v>
      </c>
      <c r="D5592">
        <v>11</v>
      </c>
      <c r="E5592">
        <f t="shared" si="87"/>
        <v>4.1604215478187161E-17</v>
      </c>
    </row>
    <row r="5593" spans="1:5" x14ac:dyDescent="0.25">
      <c r="A5593">
        <v>6</v>
      </c>
      <c r="B5593">
        <v>10</v>
      </c>
      <c r="C5593">
        <v>22</v>
      </c>
      <c r="D5593">
        <v>10</v>
      </c>
      <c r="E5593">
        <f t="shared" si="87"/>
        <v>6.1019516034674528E-17</v>
      </c>
    </row>
    <row r="5594" spans="1:5" x14ac:dyDescent="0.25">
      <c r="A5594">
        <v>6</v>
      </c>
      <c r="B5594">
        <v>10</v>
      </c>
      <c r="C5594">
        <v>23</v>
      </c>
      <c r="D5594">
        <v>9</v>
      </c>
      <c r="E5594">
        <f t="shared" si="87"/>
        <v>7.1299977975299036E-17</v>
      </c>
    </row>
    <row r="5595" spans="1:5" x14ac:dyDescent="0.25">
      <c r="A5595">
        <v>6</v>
      </c>
      <c r="B5595">
        <v>10</v>
      </c>
      <c r="C5595">
        <v>24</v>
      </c>
      <c r="D5595">
        <v>8</v>
      </c>
      <c r="E5595">
        <f t="shared" si="87"/>
        <v>6.6057332535938809E-17</v>
      </c>
    </row>
    <row r="5596" spans="1:5" x14ac:dyDescent="0.25">
      <c r="A5596">
        <v>6</v>
      </c>
      <c r="B5596">
        <v>10</v>
      </c>
      <c r="C5596">
        <v>25</v>
      </c>
      <c r="D5596">
        <v>7</v>
      </c>
      <c r="E5596">
        <f t="shared" si="87"/>
        <v>4.814845571508432E-17</v>
      </c>
    </row>
    <row r="5597" spans="1:5" x14ac:dyDescent="0.25">
      <c r="A5597">
        <v>6</v>
      </c>
      <c r="B5597">
        <v>10</v>
      </c>
      <c r="C5597">
        <v>26</v>
      </c>
      <c r="D5597">
        <v>6</v>
      </c>
      <c r="E5597">
        <f t="shared" si="87"/>
        <v>2.7290622672517403E-17</v>
      </c>
    </row>
    <row r="5598" spans="1:5" x14ac:dyDescent="0.25">
      <c r="A5598">
        <v>6</v>
      </c>
      <c r="B5598">
        <v>10</v>
      </c>
      <c r="C5598">
        <v>27</v>
      </c>
      <c r="D5598">
        <v>5</v>
      </c>
      <c r="E5598">
        <f t="shared" si="87"/>
        <v>1.1825936491424208E-17</v>
      </c>
    </row>
    <row r="5599" spans="1:5" x14ac:dyDescent="0.25">
      <c r="A5599">
        <v>6</v>
      </c>
      <c r="B5599">
        <v>10</v>
      </c>
      <c r="C5599">
        <v>28</v>
      </c>
      <c r="D5599">
        <v>4</v>
      </c>
      <c r="E5599">
        <f t="shared" si="87"/>
        <v>3.8213060091336742E-18</v>
      </c>
    </row>
    <row r="5600" spans="1:5" x14ac:dyDescent="0.25">
      <c r="A5600">
        <v>6</v>
      </c>
      <c r="B5600">
        <v>10</v>
      </c>
      <c r="C5600">
        <v>29</v>
      </c>
      <c r="D5600">
        <v>3</v>
      </c>
      <c r="E5600">
        <f t="shared" si="87"/>
        <v>8.8644716199339147E-19</v>
      </c>
    </row>
    <row r="5601" spans="1:5" x14ac:dyDescent="0.25">
      <c r="A5601">
        <v>6</v>
      </c>
      <c r="B5601">
        <v>10</v>
      </c>
      <c r="C5601">
        <v>30</v>
      </c>
      <c r="D5601">
        <v>2</v>
      </c>
      <c r="E5601">
        <f t="shared" si="87"/>
        <v>1.3874825144244384E-19</v>
      </c>
    </row>
    <row r="5602" spans="1:5" x14ac:dyDescent="0.25">
      <c r="A5602">
        <v>6</v>
      </c>
      <c r="B5602">
        <v>10</v>
      </c>
      <c r="C5602">
        <v>31</v>
      </c>
      <c r="D5602">
        <v>1</v>
      </c>
      <c r="E5602">
        <f t="shared" si="87"/>
        <v>1.3054270969047139E-20</v>
      </c>
    </row>
    <row r="5603" spans="1:5" x14ac:dyDescent="0.25">
      <c r="A5603">
        <v>6</v>
      </c>
      <c r="B5603">
        <v>10</v>
      </c>
      <c r="C5603">
        <v>32</v>
      </c>
      <c r="D5603">
        <v>0</v>
      </c>
      <c r="E5603">
        <f t="shared" si="87"/>
        <v>5.5480651618450325E-22</v>
      </c>
    </row>
    <row r="5604" spans="1:5" x14ac:dyDescent="0.25">
      <c r="A5604">
        <v>6</v>
      </c>
      <c r="B5604">
        <v>11</v>
      </c>
      <c r="C5604">
        <v>6</v>
      </c>
      <c r="D5604">
        <v>25</v>
      </c>
      <c r="E5604">
        <f t="shared" si="87"/>
        <v>3.2199891619461864E-31</v>
      </c>
    </row>
    <row r="5605" spans="1:5" x14ac:dyDescent="0.25">
      <c r="A5605">
        <v>6</v>
      </c>
      <c r="B5605">
        <v>11</v>
      </c>
      <c r="C5605">
        <v>7</v>
      </c>
      <c r="D5605">
        <v>24</v>
      </c>
      <c r="E5605">
        <f t="shared" si="87"/>
        <v>6.7849771626723202E-29</v>
      </c>
    </row>
    <row r="5606" spans="1:5" x14ac:dyDescent="0.25">
      <c r="A5606">
        <v>6</v>
      </c>
      <c r="B5606">
        <v>11</v>
      </c>
      <c r="C5606">
        <v>8</v>
      </c>
      <c r="D5606">
        <v>23</v>
      </c>
      <c r="E5606">
        <f t="shared" si="87"/>
        <v>5.9029301315249198E-27</v>
      </c>
    </row>
    <row r="5607" spans="1:5" x14ac:dyDescent="0.25">
      <c r="A5607">
        <v>6</v>
      </c>
      <c r="B5607">
        <v>11</v>
      </c>
      <c r="C5607">
        <v>9</v>
      </c>
      <c r="D5607">
        <v>22</v>
      </c>
      <c r="E5607">
        <f t="shared" si="87"/>
        <v>2.8662005194182108E-25</v>
      </c>
    </row>
    <row r="5608" spans="1:5" x14ac:dyDescent="0.25">
      <c r="A5608">
        <v>6</v>
      </c>
      <c r="B5608">
        <v>11</v>
      </c>
      <c r="C5608">
        <v>10</v>
      </c>
      <c r="D5608">
        <v>21</v>
      </c>
      <c r="E5608">
        <f t="shared" si="87"/>
        <v>8.8278975998080916E-24</v>
      </c>
    </row>
    <row r="5609" spans="1:5" x14ac:dyDescent="0.25">
      <c r="A5609">
        <v>6</v>
      </c>
      <c r="B5609">
        <v>11</v>
      </c>
      <c r="C5609">
        <v>11</v>
      </c>
      <c r="D5609">
        <v>20</v>
      </c>
      <c r="E5609">
        <f t="shared" si="87"/>
        <v>1.8538584959596988E-22</v>
      </c>
    </row>
    <row r="5610" spans="1:5" x14ac:dyDescent="0.25">
      <c r="A5610">
        <v>6</v>
      </c>
      <c r="B5610">
        <v>11</v>
      </c>
      <c r="C5610">
        <v>12</v>
      </c>
      <c r="D5610">
        <v>19</v>
      </c>
      <c r="E5610">
        <f t="shared" si="87"/>
        <v>2.7807877439395463E-21</v>
      </c>
    </row>
    <row r="5611" spans="1:5" x14ac:dyDescent="0.25">
      <c r="A5611">
        <v>6</v>
      </c>
      <c r="B5611">
        <v>11</v>
      </c>
      <c r="C5611">
        <v>13</v>
      </c>
      <c r="D5611">
        <v>18</v>
      </c>
      <c r="E5611">
        <f t="shared" si="87"/>
        <v>3.0772013825792592E-20</v>
      </c>
    </row>
    <row r="5612" spans="1:5" x14ac:dyDescent="0.25">
      <c r="A5612">
        <v>6</v>
      </c>
      <c r="B5612">
        <v>11</v>
      </c>
      <c r="C5612">
        <v>14</v>
      </c>
      <c r="D5612">
        <v>17</v>
      </c>
      <c r="E5612">
        <f t="shared" si="87"/>
        <v>2.5716611554412375E-19</v>
      </c>
    </row>
    <row r="5613" spans="1:5" x14ac:dyDescent="0.25">
      <c r="A5613">
        <v>6</v>
      </c>
      <c r="B5613">
        <v>11</v>
      </c>
      <c r="C5613">
        <v>15</v>
      </c>
      <c r="D5613">
        <v>16</v>
      </c>
      <c r="E5613">
        <f t="shared" si="87"/>
        <v>1.6515779420500386E-18</v>
      </c>
    </row>
    <row r="5614" spans="1:5" x14ac:dyDescent="0.25">
      <c r="A5614">
        <v>6</v>
      </c>
      <c r="B5614">
        <v>11</v>
      </c>
      <c r="C5614">
        <v>16</v>
      </c>
      <c r="D5614">
        <v>15</v>
      </c>
      <c r="E5614">
        <f t="shared" si="87"/>
        <v>8.2578897102501939E-18</v>
      </c>
    </row>
    <row r="5615" spans="1:5" x14ac:dyDescent="0.25">
      <c r="A5615">
        <v>6</v>
      </c>
      <c r="B5615">
        <v>11</v>
      </c>
      <c r="C5615">
        <v>17</v>
      </c>
      <c r="D5615">
        <v>14</v>
      </c>
      <c r="E5615">
        <f t="shared" si="87"/>
        <v>3.2457480946705328E-17</v>
      </c>
    </row>
    <row r="5616" spans="1:5" x14ac:dyDescent="0.25">
      <c r="A5616">
        <v>6</v>
      </c>
      <c r="B5616">
        <v>11</v>
      </c>
      <c r="C5616">
        <v>18</v>
      </c>
      <c r="D5616">
        <v>13</v>
      </c>
      <c r="E5616">
        <f t="shared" si="87"/>
        <v>1.0097882961197205E-16</v>
      </c>
    </row>
    <row r="5617" spans="1:5" x14ac:dyDescent="0.25">
      <c r="A5617">
        <v>6</v>
      </c>
      <c r="B5617">
        <v>11</v>
      </c>
      <c r="C5617">
        <v>19</v>
      </c>
      <c r="D5617">
        <v>12</v>
      </c>
      <c r="E5617">
        <f t="shared" si="87"/>
        <v>2.4978973640856258E-16</v>
      </c>
    </row>
    <row r="5618" spans="1:5" x14ac:dyDescent="0.25">
      <c r="A5618">
        <v>6</v>
      </c>
      <c r="B5618">
        <v>11</v>
      </c>
      <c r="C5618">
        <v>20</v>
      </c>
      <c r="D5618">
        <v>11</v>
      </c>
      <c r="E5618">
        <f t="shared" si="87"/>
        <v>4.9244262320545217E-16</v>
      </c>
    </row>
    <row r="5619" spans="1:5" x14ac:dyDescent="0.25">
      <c r="A5619">
        <v>6</v>
      </c>
      <c r="B5619">
        <v>11</v>
      </c>
      <c r="C5619">
        <v>21</v>
      </c>
      <c r="D5619">
        <v>10</v>
      </c>
      <c r="E5619">
        <f t="shared" si="87"/>
        <v>7.7383840789428102E-16</v>
      </c>
    </row>
    <row r="5620" spans="1:5" x14ac:dyDescent="0.25">
      <c r="A5620">
        <v>6</v>
      </c>
      <c r="B5620">
        <v>11</v>
      </c>
      <c r="C5620">
        <v>22</v>
      </c>
      <c r="D5620">
        <v>9</v>
      </c>
      <c r="E5620">
        <f t="shared" si="87"/>
        <v>9.6729800986785192E-16</v>
      </c>
    </row>
    <row r="5621" spans="1:5" x14ac:dyDescent="0.25">
      <c r="A5621">
        <v>6</v>
      </c>
      <c r="B5621">
        <v>11</v>
      </c>
      <c r="C5621">
        <v>23</v>
      </c>
      <c r="D5621">
        <v>8</v>
      </c>
      <c r="E5621">
        <f t="shared" si="87"/>
        <v>9.5740237805334678E-16</v>
      </c>
    </row>
    <row r="5622" spans="1:5" x14ac:dyDescent="0.25">
      <c r="A5622">
        <v>6</v>
      </c>
      <c r="B5622">
        <v>11</v>
      </c>
      <c r="C5622">
        <v>24</v>
      </c>
      <c r="D5622">
        <v>7</v>
      </c>
      <c r="E5622">
        <f t="shared" si="87"/>
        <v>7.4464629404149215E-16</v>
      </c>
    </row>
    <row r="5623" spans="1:5" x14ac:dyDescent="0.25">
      <c r="A5623">
        <v>6</v>
      </c>
      <c r="B5623">
        <v>11</v>
      </c>
      <c r="C5623">
        <v>25</v>
      </c>
      <c r="D5623">
        <v>6</v>
      </c>
      <c r="E5623">
        <f t="shared" si="87"/>
        <v>4.4992312924191212E-16</v>
      </c>
    </row>
    <row r="5624" spans="1:5" x14ac:dyDescent="0.25">
      <c r="A5624">
        <v>6</v>
      </c>
      <c r="B5624">
        <v>11</v>
      </c>
      <c r="C5624">
        <v>26</v>
      </c>
      <c r="D5624">
        <v>5</v>
      </c>
      <c r="E5624">
        <f t="shared" si="87"/>
        <v>2.0765682888088236E-16</v>
      </c>
    </row>
    <row r="5625" spans="1:5" x14ac:dyDescent="0.25">
      <c r="A5625">
        <v>6</v>
      </c>
      <c r="B5625">
        <v>11</v>
      </c>
      <c r="C5625">
        <v>27</v>
      </c>
      <c r="D5625">
        <v>4</v>
      </c>
      <c r="E5625">
        <f t="shared" si="87"/>
        <v>7.1416369720938394E-17</v>
      </c>
    </row>
    <row r="5626" spans="1:5" x14ac:dyDescent="0.25">
      <c r="A5626">
        <v>6</v>
      </c>
      <c r="B5626">
        <v>11</v>
      </c>
      <c r="C5626">
        <v>28</v>
      </c>
      <c r="D5626">
        <v>3</v>
      </c>
      <c r="E5626">
        <f t="shared" si="87"/>
        <v>1.7622221099971812E-17</v>
      </c>
    </row>
    <row r="5627" spans="1:5" x14ac:dyDescent="0.25">
      <c r="A5627">
        <v>6</v>
      </c>
      <c r="B5627">
        <v>11</v>
      </c>
      <c r="C5627">
        <v>29</v>
      </c>
      <c r="D5627">
        <v>2</v>
      </c>
      <c r="E5627">
        <f t="shared" si="87"/>
        <v>2.9326334963971085E-18</v>
      </c>
    </row>
    <row r="5628" spans="1:5" x14ac:dyDescent="0.25">
      <c r="A5628">
        <v>6</v>
      </c>
      <c r="B5628">
        <v>11</v>
      </c>
      <c r="C5628">
        <v>30</v>
      </c>
      <c r="D5628">
        <v>1</v>
      </c>
      <c r="E5628">
        <f t="shared" si="87"/>
        <v>2.9326334963971087E-19</v>
      </c>
    </row>
    <row r="5629" spans="1:5" x14ac:dyDescent="0.25">
      <c r="A5629">
        <v>6</v>
      </c>
      <c r="B5629">
        <v>11</v>
      </c>
      <c r="C5629">
        <v>31</v>
      </c>
      <c r="D5629">
        <v>0</v>
      </c>
      <c r="E5629">
        <f t="shared" si="87"/>
        <v>1.324415127405146E-20</v>
      </c>
    </row>
    <row r="5630" spans="1:5" x14ac:dyDescent="0.25">
      <c r="A5630">
        <v>6</v>
      </c>
      <c r="B5630">
        <v>12</v>
      </c>
      <c r="C5630">
        <v>5</v>
      </c>
      <c r="D5630">
        <v>25</v>
      </c>
      <c r="E5630">
        <f t="shared" si="87"/>
        <v>7.4596415585086639E-31</v>
      </c>
    </row>
    <row r="5631" spans="1:5" x14ac:dyDescent="0.25">
      <c r="A5631">
        <v>6</v>
      </c>
      <c r="B5631">
        <v>12</v>
      </c>
      <c r="C5631">
        <v>6</v>
      </c>
      <c r="D5631">
        <v>24</v>
      </c>
      <c r="E5631">
        <f t="shared" si="87"/>
        <v>1.8649103896271657E-28</v>
      </c>
    </row>
    <row r="5632" spans="1:5" x14ac:dyDescent="0.25">
      <c r="A5632">
        <v>6</v>
      </c>
      <c r="B5632">
        <v>12</v>
      </c>
      <c r="C5632">
        <v>7</v>
      </c>
      <c r="D5632">
        <v>23</v>
      </c>
      <c r="E5632">
        <f t="shared" si="87"/>
        <v>1.8862236512229048E-26</v>
      </c>
    </row>
    <row r="5633" spans="1:5" x14ac:dyDescent="0.25">
      <c r="A5633">
        <v>6</v>
      </c>
      <c r="B5633">
        <v>12</v>
      </c>
      <c r="C5633">
        <v>8</v>
      </c>
      <c r="D5633">
        <v>22</v>
      </c>
      <c r="E5633">
        <f t="shared" si="87"/>
        <v>1.048425979471398E-24</v>
      </c>
    </row>
    <row r="5634" spans="1:5" x14ac:dyDescent="0.25">
      <c r="A5634">
        <v>6</v>
      </c>
      <c r="B5634">
        <v>12</v>
      </c>
      <c r="C5634">
        <v>9</v>
      </c>
      <c r="D5634">
        <v>21</v>
      </c>
      <c r="E5634">
        <f t="shared" si="87"/>
        <v>3.6520171618253704E-23</v>
      </c>
    </row>
    <row r="5635" spans="1:5" x14ac:dyDescent="0.25">
      <c r="A5635">
        <v>6</v>
      </c>
      <c r="B5635">
        <v>12</v>
      </c>
      <c r="C5635">
        <v>10</v>
      </c>
      <c r="D5635">
        <v>20</v>
      </c>
      <c r="E5635">
        <f t="shared" si="87"/>
        <v>8.5895443646132677E-22</v>
      </c>
    </row>
    <row r="5636" spans="1:5" x14ac:dyDescent="0.25">
      <c r="A5636">
        <v>6</v>
      </c>
      <c r="B5636">
        <v>12</v>
      </c>
      <c r="C5636">
        <v>11</v>
      </c>
      <c r="D5636">
        <v>19</v>
      </c>
      <c r="E5636">
        <f t="shared" si="87"/>
        <v>1.4315907274355447E-20</v>
      </c>
    </row>
    <row r="5637" spans="1:5" x14ac:dyDescent="0.25">
      <c r="A5637">
        <v>6</v>
      </c>
      <c r="B5637">
        <v>12</v>
      </c>
      <c r="C5637">
        <v>12</v>
      </c>
      <c r="D5637">
        <v>18</v>
      </c>
      <c r="E5637">
        <f t="shared" si="87"/>
        <v>1.7485858170819868E-19</v>
      </c>
    </row>
    <row r="5638" spans="1:5" x14ac:dyDescent="0.25">
      <c r="A5638">
        <v>6</v>
      </c>
      <c r="B5638">
        <v>12</v>
      </c>
      <c r="C5638">
        <v>13</v>
      </c>
      <c r="D5638">
        <v>17</v>
      </c>
      <c r="E5638">
        <f t="shared" si="87"/>
        <v>1.6039912206694381E-18</v>
      </c>
    </row>
    <row r="5639" spans="1:5" x14ac:dyDescent="0.25">
      <c r="A5639">
        <v>6</v>
      </c>
      <c r="B5639">
        <v>12</v>
      </c>
      <c r="C5639">
        <v>14</v>
      </c>
      <c r="D5639">
        <v>16</v>
      </c>
      <c r="E5639">
        <f t="shared" si="87"/>
        <v>1.1253398722791934E-17</v>
      </c>
    </row>
    <row r="5640" spans="1:5" x14ac:dyDescent="0.25">
      <c r="A5640">
        <v>6</v>
      </c>
      <c r="B5640">
        <v>12</v>
      </c>
      <c r="C5640">
        <v>15</v>
      </c>
      <c r="D5640">
        <v>15</v>
      </c>
      <c r="E5640">
        <f t="shared" si="87"/>
        <v>6.1218489051988071E-17</v>
      </c>
    </row>
    <row r="5641" spans="1:5" x14ac:dyDescent="0.25">
      <c r="A5641">
        <v>6</v>
      </c>
      <c r="B5641">
        <v>12</v>
      </c>
      <c r="C5641">
        <v>16</v>
      </c>
      <c r="D5641">
        <v>14</v>
      </c>
      <c r="E5641">
        <f t="shared" si="87"/>
        <v>2.6087424311926746E-16</v>
      </c>
    </row>
    <row r="5642" spans="1:5" x14ac:dyDescent="0.25">
      <c r="A5642">
        <v>6</v>
      </c>
      <c r="B5642">
        <v>12</v>
      </c>
      <c r="C5642">
        <v>17</v>
      </c>
      <c r="D5642">
        <v>13</v>
      </c>
      <c r="E5642">
        <f t="shared" si="87"/>
        <v>8.7725358225400788E-16</v>
      </c>
    </row>
    <row r="5643" spans="1:5" x14ac:dyDescent="0.25">
      <c r="A5643">
        <v>6</v>
      </c>
      <c r="B5643">
        <v>12</v>
      </c>
      <c r="C5643">
        <v>18</v>
      </c>
      <c r="D5643">
        <v>12</v>
      </c>
      <c r="E5643">
        <f t="shared" si="87"/>
        <v>2.3393428860106856E-15</v>
      </c>
    </row>
    <row r="5644" spans="1:5" x14ac:dyDescent="0.25">
      <c r="A5644">
        <v>6</v>
      </c>
      <c r="B5644">
        <v>12</v>
      </c>
      <c r="C5644">
        <v>19</v>
      </c>
      <c r="D5644">
        <v>11</v>
      </c>
      <c r="E5644">
        <f t="shared" si="87"/>
        <v>4.9601104801128828E-15</v>
      </c>
    </row>
    <row r="5645" spans="1:5" x14ac:dyDescent="0.25">
      <c r="A5645">
        <v>6</v>
      </c>
      <c r="B5645">
        <v>12</v>
      </c>
      <c r="C5645">
        <v>20</v>
      </c>
      <c r="D5645">
        <v>10</v>
      </c>
      <c r="E5645">
        <f t="shared" si="87"/>
        <v>8.3660530097904018E-15</v>
      </c>
    </row>
    <row r="5646" spans="1:5" x14ac:dyDescent="0.25">
      <c r="A5646">
        <v>6</v>
      </c>
      <c r="B5646">
        <v>12</v>
      </c>
      <c r="C5646">
        <v>21</v>
      </c>
      <c r="D5646">
        <v>9</v>
      </c>
      <c r="E5646">
        <f t="shared" ref="E5646:E5709" si="88">COMBIN(A$4,A5646)*COMBIN(B$4,B5646)*COMBIN(C$4,C5646)*COMBIN(D$4,D5646)/COMBIN($G$4,$F$4)</f>
        <v>1.1204535280969276E-14</v>
      </c>
    </row>
    <row r="5647" spans="1:5" x14ac:dyDescent="0.25">
      <c r="A5647">
        <v>6</v>
      </c>
      <c r="B5647">
        <v>12</v>
      </c>
      <c r="C5647">
        <v>22</v>
      </c>
      <c r="D5647">
        <v>8</v>
      </c>
      <c r="E5647">
        <f t="shared" si="88"/>
        <v>1.1863625591614536E-14</v>
      </c>
    </row>
    <row r="5648" spans="1:5" x14ac:dyDescent="0.25">
      <c r="A5648">
        <v>6</v>
      </c>
      <c r="B5648">
        <v>12</v>
      </c>
      <c r="C5648">
        <v>23</v>
      </c>
      <c r="D5648">
        <v>7</v>
      </c>
      <c r="E5648">
        <f t="shared" si="88"/>
        <v>9.8576985592159443E-15</v>
      </c>
    </row>
    <row r="5649" spans="1:5" x14ac:dyDescent="0.25">
      <c r="A5649">
        <v>6</v>
      </c>
      <c r="B5649">
        <v>12</v>
      </c>
      <c r="C5649">
        <v>24</v>
      </c>
      <c r="D5649">
        <v>6</v>
      </c>
      <c r="E5649">
        <f t="shared" si="88"/>
        <v>6.3556214394944864E-15</v>
      </c>
    </row>
    <row r="5650" spans="1:5" x14ac:dyDescent="0.25">
      <c r="A5650">
        <v>6</v>
      </c>
      <c r="B5650">
        <v>12</v>
      </c>
      <c r="C5650">
        <v>25</v>
      </c>
      <c r="D5650">
        <v>5</v>
      </c>
      <c r="E5650">
        <f t="shared" si="88"/>
        <v>3.1269657482312886E-15</v>
      </c>
    </row>
    <row r="5651" spans="1:5" x14ac:dyDescent="0.25">
      <c r="A5651">
        <v>6</v>
      </c>
      <c r="B5651">
        <v>12</v>
      </c>
      <c r="C5651">
        <v>26</v>
      </c>
      <c r="D5651">
        <v>4</v>
      </c>
      <c r="E5651">
        <f t="shared" si="88"/>
        <v>1.1454086989858196E-15</v>
      </c>
    </row>
    <row r="5652" spans="1:5" x14ac:dyDescent="0.25">
      <c r="A5652">
        <v>6</v>
      </c>
      <c r="B5652">
        <v>12</v>
      </c>
      <c r="C5652">
        <v>27</v>
      </c>
      <c r="D5652">
        <v>3</v>
      </c>
      <c r="E5652">
        <f t="shared" si="88"/>
        <v>3.0081440579425558E-16</v>
      </c>
    </row>
    <row r="5653" spans="1:5" x14ac:dyDescent="0.25">
      <c r="A5653">
        <v>6</v>
      </c>
      <c r="B5653">
        <v>12</v>
      </c>
      <c r="C5653">
        <v>28</v>
      </c>
      <c r="D5653">
        <v>2</v>
      </c>
      <c r="E5653">
        <f t="shared" si="88"/>
        <v>5.3249755062958296E-17</v>
      </c>
    </row>
    <row r="5654" spans="1:5" x14ac:dyDescent="0.25">
      <c r="A5654">
        <v>6</v>
      </c>
      <c r="B5654">
        <v>12</v>
      </c>
      <c r="C5654">
        <v>29</v>
      </c>
      <c r="D5654">
        <v>1</v>
      </c>
      <c r="E5654">
        <f t="shared" si="88"/>
        <v>5.6616118888777514E-18</v>
      </c>
    </row>
    <row r="5655" spans="1:5" x14ac:dyDescent="0.25">
      <c r="A5655">
        <v>6</v>
      </c>
      <c r="B5655">
        <v>12</v>
      </c>
      <c r="C5655">
        <v>30</v>
      </c>
      <c r="D5655">
        <v>0</v>
      </c>
      <c r="E5655">
        <f t="shared" si="88"/>
        <v>2.7175737066613197E-19</v>
      </c>
    </row>
    <row r="5656" spans="1:5" x14ac:dyDescent="0.25">
      <c r="A5656">
        <v>6</v>
      </c>
      <c r="B5656">
        <v>13</v>
      </c>
      <c r="C5656">
        <v>4</v>
      </c>
      <c r="D5656">
        <v>25</v>
      </c>
      <c r="E5656">
        <f t="shared" si="88"/>
        <v>1.3028503856916142E-30</v>
      </c>
    </row>
    <row r="5657" spans="1:5" x14ac:dyDescent="0.25">
      <c r="A5657">
        <v>6</v>
      </c>
      <c r="B5657">
        <v>13</v>
      </c>
      <c r="C5657">
        <v>5</v>
      </c>
      <c r="D5657">
        <v>24</v>
      </c>
      <c r="E5657">
        <f t="shared" si="88"/>
        <v>3.9736936763594238E-28</v>
      </c>
    </row>
    <row r="5658" spans="1:5" x14ac:dyDescent="0.25">
      <c r="A5658">
        <v>6</v>
      </c>
      <c r="B5658">
        <v>13</v>
      </c>
      <c r="C5658">
        <v>6</v>
      </c>
      <c r="D5658">
        <v>23</v>
      </c>
      <c r="E5658">
        <f t="shared" si="88"/>
        <v>4.7684324116313083E-26</v>
      </c>
    </row>
    <row r="5659" spans="1:5" x14ac:dyDescent="0.25">
      <c r="A5659">
        <v>6</v>
      </c>
      <c r="B5659">
        <v>13</v>
      </c>
      <c r="C5659">
        <v>7</v>
      </c>
      <c r="D5659">
        <v>22</v>
      </c>
      <c r="E5659">
        <f t="shared" si="88"/>
        <v>3.0813156107541356E-24</v>
      </c>
    </row>
    <row r="5660" spans="1:5" x14ac:dyDescent="0.25">
      <c r="A5660">
        <v>6</v>
      </c>
      <c r="B5660">
        <v>13</v>
      </c>
      <c r="C5660">
        <v>8</v>
      </c>
      <c r="D5660">
        <v>21</v>
      </c>
      <c r="E5660">
        <f t="shared" si="88"/>
        <v>1.2286745997882118E-22</v>
      </c>
    </row>
    <row r="5661" spans="1:5" x14ac:dyDescent="0.25">
      <c r="A5661">
        <v>6</v>
      </c>
      <c r="B5661">
        <v>13</v>
      </c>
      <c r="C5661">
        <v>9</v>
      </c>
      <c r="D5661">
        <v>20</v>
      </c>
      <c r="E5661">
        <f t="shared" si="88"/>
        <v>3.2682744354366423E-21</v>
      </c>
    </row>
    <row r="5662" spans="1:5" x14ac:dyDescent="0.25">
      <c r="A5662">
        <v>6</v>
      </c>
      <c r="B5662">
        <v>13</v>
      </c>
      <c r="C5662">
        <v>10</v>
      </c>
      <c r="D5662">
        <v>19</v>
      </c>
      <c r="E5662">
        <f t="shared" si="88"/>
        <v>6.1007789461484005E-20</v>
      </c>
    </row>
    <row r="5663" spans="1:5" x14ac:dyDescent="0.25">
      <c r="A5663">
        <v>6</v>
      </c>
      <c r="B5663">
        <v>13</v>
      </c>
      <c r="C5663">
        <v>11</v>
      </c>
      <c r="D5663">
        <v>18</v>
      </c>
      <c r="E5663">
        <f t="shared" si="88"/>
        <v>8.2796285697728333E-19</v>
      </c>
    </row>
    <row r="5664" spans="1:5" x14ac:dyDescent="0.25">
      <c r="A5664">
        <v>6</v>
      </c>
      <c r="B5664">
        <v>13</v>
      </c>
      <c r="C5664">
        <v>12</v>
      </c>
      <c r="D5664">
        <v>17</v>
      </c>
      <c r="E5664">
        <f t="shared" si="88"/>
        <v>8.383123926894986E-18</v>
      </c>
    </row>
    <row r="5665" spans="1:5" x14ac:dyDescent="0.25">
      <c r="A5665">
        <v>6</v>
      </c>
      <c r="B5665">
        <v>13</v>
      </c>
      <c r="C5665">
        <v>13</v>
      </c>
      <c r="D5665">
        <v>16</v>
      </c>
      <c r="E5665">
        <f t="shared" si="88"/>
        <v>6.4557219300276805E-17</v>
      </c>
    </row>
    <row r="5666" spans="1:5" x14ac:dyDescent="0.25">
      <c r="A5666">
        <v>6</v>
      </c>
      <c r="B5666">
        <v>13</v>
      </c>
      <c r="C5666">
        <v>14</v>
      </c>
      <c r="D5666">
        <v>15</v>
      </c>
      <c r="E5666">
        <f t="shared" si="88"/>
        <v>3.8365433184164498E-16</v>
      </c>
    </row>
    <row r="5667" spans="1:5" x14ac:dyDescent="0.25">
      <c r="A5667">
        <v>6</v>
      </c>
      <c r="B5667">
        <v>13</v>
      </c>
      <c r="C5667">
        <v>15</v>
      </c>
      <c r="D5667">
        <v>14</v>
      </c>
      <c r="E5667">
        <f t="shared" si="88"/>
        <v>1.7787609930839901E-15</v>
      </c>
    </row>
    <row r="5668" spans="1:5" x14ac:dyDescent="0.25">
      <c r="A5668">
        <v>6</v>
      </c>
      <c r="B5668">
        <v>13</v>
      </c>
      <c r="C5668">
        <v>16</v>
      </c>
      <c r="D5668">
        <v>13</v>
      </c>
      <c r="E5668">
        <f t="shared" si="88"/>
        <v>6.4850661206187156E-15</v>
      </c>
    </row>
    <row r="5669" spans="1:5" x14ac:dyDescent="0.25">
      <c r="A5669">
        <v>6</v>
      </c>
      <c r="B5669">
        <v>13</v>
      </c>
      <c r="C5669">
        <v>17</v>
      </c>
      <c r="D5669">
        <v>12</v>
      </c>
      <c r="E5669">
        <f t="shared" si="88"/>
        <v>1.8692249406489248E-14</v>
      </c>
    </row>
    <row r="5670" spans="1:5" x14ac:dyDescent="0.25">
      <c r="A5670">
        <v>6</v>
      </c>
      <c r="B5670">
        <v>13</v>
      </c>
      <c r="C5670">
        <v>18</v>
      </c>
      <c r="D5670">
        <v>11</v>
      </c>
      <c r="E5670">
        <f t="shared" si="88"/>
        <v>4.2725141500546812E-14</v>
      </c>
    </row>
    <row r="5671" spans="1:5" x14ac:dyDescent="0.25">
      <c r="A5671">
        <v>6</v>
      </c>
      <c r="B5671">
        <v>13</v>
      </c>
      <c r="C5671">
        <v>19</v>
      </c>
      <c r="D5671">
        <v>10</v>
      </c>
      <c r="E5671">
        <f t="shared" si="88"/>
        <v>7.7504905809763868E-14</v>
      </c>
    </row>
    <row r="5672" spans="1:5" x14ac:dyDescent="0.25">
      <c r="A5672">
        <v>6</v>
      </c>
      <c r="B5672">
        <v>13</v>
      </c>
      <c r="C5672">
        <v>20</v>
      </c>
      <c r="D5672">
        <v>9</v>
      </c>
      <c r="E5672">
        <f t="shared" si="88"/>
        <v>1.1141330210153568E-13</v>
      </c>
    </row>
    <row r="5673" spans="1:5" x14ac:dyDescent="0.25">
      <c r="A5673">
        <v>6</v>
      </c>
      <c r="B5673">
        <v>13</v>
      </c>
      <c r="C5673">
        <v>21</v>
      </c>
      <c r="D5673">
        <v>8</v>
      </c>
      <c r="E5673">
        <f t="shared" si="88"/>
        <v>1.2639324187989328E-13</v>
      </c>
    </row>
    <row r="5674" spans="1:5" x14ac:dyDescent="0.25">
      <c r="A5674">
        <v>6</v>
      </c>
      <c r="B5674">
        <v>13</v>
      </c>
      <c r="C5674">
        <v>22</v>
      </c>
      <c r="D5674">
        <v>7</v>
      </c>
      <c r="E5674">
        <f t="shared" si="88"/>
        <v>1.1234954833768299E-13</v>
      </c>
    </row>
    <row r="5675" spans="1:5" x14ac:dyDescent="0.25">
      <c r="A5675">
        <v>6</v>
      </c>
      <c r="B5675">
        <v>13</v>
      </c>
      <c r="C5675">
        <v>23</v>
      </c>
      <c r="D5675">
        <v>6</v>
      </c>
      <c r="E5675">
        <f t="shared" si="88"/>
        <v>7.7384929175383428E-14</v>
      </c>
    </row>
    <row r="5676" spans="1:5" x14ac:dyDescent="0.25">
      <c r="A5676">
        <v>6</v>
      </c>
      <c r="B5676">
        <v>13</v>
      </c>
      <c r="C5676">
        <v>24</v>
      </c>
      <c r="D5676">
        <v>5</v>
      </c>
      <c r="E5676">
        <f t="shared" si="88"/>
        <v>4.0627087817076302E-14</v>
      </c>
    </row>
    <row r="5677" spans="1:5" x14ac:dyDescent="0.25">
      <c r="A5677">
        <v>6</v>
      </c>
      <c r="B5677">
        <v>13</v>
      </c>
      <c r="C5677">
        <v>25</v>
      </c>
      <c r="D5677">
        <v>4</v>
      </c>
      <c r="E5677">
        <f t="shared" si="88"/>
        <v>1.5863910480953614E-14</v>
      </c>
    </row>
    <row r="5678" spans="1:5" x14ac:dyDescent="0.25">
      <c r="A5678">
        <v>6</v>
      </c>
      <c r="B5678">
        <v>13</v>
      </c>
      <c r="C5678">
        <v>26</v>
      </c>
      <c r="D5678">
        <v>3</v>
      </c>
      <c r="E5678">
        <f t="shared" si="88"/>
        <v>4.4374574771898193E-15</v>
      </c>
    </row>
    <row r="5679" spans="1:5" x14ac:dyDescent="0.25">
      <c r="A5679">
        <v>6</v>
      </c>
      <c r="B5679">
        <v>13</v>
      </c>
      <c r="C5679">
        <v>27</v>
      </c>
      <c r="D5679">
        <v>2</v>
      </c>
      <c r="E5679">
        <f t="shared" si="88"/>
        <v>8.3604271309373407E-16</v>
      </c>
    </row>
    <row r="5680" spans="1:5" x14ac:dyDescent="0.25">
      <c r="A5680">
        <v>6</v>
      </c>
      <c r="B5680">
        <v>13</v>
      </c>
      <c r="C5680">
        <v>28</v>
      </c>
      <c r="D5680">
        <v>1</v>
      </c>
      <c r="E5680">
        <f t="shared" si="88"/>
        <v>9.4552449695124679E-17</v>
      </c>
    </row>
    <row r="5681" spans="1:5" x14ac:dyDescent="0.25">
      <c r="A5681">
        <v>6</v>
      </c>
      <c r="B5681">
        <v>13</v>
      </c>
      <c r="C5681">
        <v>29</v>
      </c>
      <c r="D5681">
        <v>0</v>
      </c>
      <c r="E5681">
        <f t="shared" si="88"/>
        <v>4.8254353637511925E-18</v>
      </c>
    </row>
    <row r="5682" spans="1:5" x14ac:dyDescent="0.25">
      <c r="A5682">
        <v>6</v>
      </c>
      <c r="B5682">
        <v>14</v>
      </c>
      <c r="C5682">
        <v>3</v>
      </c>
      <c r="D5682">
        <v>25</v>
      </c>
      <c r="E5682">
        <f t="shared" si="88"/>
        <v>1.6570815965478593E-30</v>
      </c>
    </row>
    <row r="5683" spans="1:5" x14ac:dyDescent="0.25">
      <c r="A5683">
        <v>6</v>
      </c>
      <c r="B5683">
        <v>14</v>
      </c>
      <c r="C5683">
        <v>4</v>
      </c>
      <c r="D5683">
        <v>24</v>
      </c>
      <c r="E5683">
        <f t="shared" si="88"/>
        <v>6.4211911866229542E-28</v>
      </c>
    </row>
    <row r="5684" spans="1:5" x14ac:dyDescent="0.25">
      <c r="A5684">
        <v>6</v>
      </c>
      <c r="B5684">
        <v>14</v>
      </c>
      <c r="C5684">
        <v>5</v>
      </c>
      <c r="D5684">
        <v>23</v>
      </c>
      <c r="E5684">
        <f t="shared" si="88"/>
        <v>9.4006238972160076E-26</v>
      </c>
    </row>
    <row r="5685" spans="1:5" x14ac:dyDescent="0.25">
      <c r="A5685">
        <v>6</v>
      </c>
      <c r="B5685">
        <v>14</v>
      </c>
      <c r="C5685">
        <v>6</v>
      </c>
      <c r="D5685">
        <v>22</v>
      </c>
      <c r="E5685">
        <f t="shared" si="88"/>
        <v>7.2071449878656039E-24</v>
      </c>
    </row>
    <row r="5686" spans="1:5" x14ac:dyDescent="0.25">
      <c r="A5686">
        <v>6</v>
      </c>
      <c r="B5686">
        <v>14</v>
      </c>
      <c r="C5686">
        <v>7</v>
      </c>
      <c r="D5686">
        <v>21</v>
      </c>
      <c r="E5686">
        <f t="shared" si="88"/>
        <v>3.34102649794627E-22</v>
      </c>
    </row>
    <row r="5687" spans="1:5" x14ac:dyDescent="0.25">
      <c r="A5687">
        <v>6</v>
      </c>
      <c r="B5687">
        <v>14</v>
      </c>
      <c r="C5687">
        <v>8</v>
      </c>
      <c r="D5687">
        <v>20</v>
      </c>
      <c r="E5687">
        <f t="shared" si="88"/>
        <v>1.0173425686246392E-20</v>
      </c>
    </row>
    <row r="5688" spans="1:5" x14ac:dyDescent="0.25">
      <c r="A5688">
        <v>6</v>
      </c>
      <c r="B5688">
        <v>14</v>
      </c>
      <c r="C5688">
        <v>9</v>
      </c>
      <c r="D5688">
        <v>19</v>
      </c>
      <c r="E5688">
        <f t="shared" si="88"/>
        <v>2.1477232004297932E-19</v>
      </c>
    </row>
    <row r="5689" spans="1:5" x14ac:dyDescent="0.25">
      <c r="A5689">
        <v>6</v>
      </c>
      <c r="B5689">
        <v>14</v>
      </c>
      <c r="C5689">
        <v>10</v>
      </c>
      <c r="D5689">
        <v>18</v>
      </c>
      <c r="E5689">
        <f t="shared" si="88"/>
        <v>3.2645392646532877E-18</v>
      </c>
    </row>
    <row r="5690" spans="1:5" x14ac:dyDescent="0.25">
      <c r="A5690">
        <v>6</v>
      </c>
      <c r="B5690">
        <v>14</v>
      </c>
      <c r="C5690">
        <v>11</v>
      </c>
      <c r="D5690">
        <v>17</v>
      </c>
      <c r="E5690">
        <f t="shared" si="88"/>
        <v>3.6726066727349478E-17</v>
      </c>
    </row>
    <row r="5691" spans="1:5" x14ac:dyDescent="0.25">
      <c r="A5691">
        <v>6</v>
      </c>
      <c r="B5691">
        <v>14</v>
      </c>
      <c r="C5691">
        <v>12</v>
      </c>
      <c r="D5691">
        <v>16</v>
      </c>
      <c r="E5691">
        <f t="shared" si="88"/>
        <v>3.1217156718247034E-16</v>
      </c>
    </row>
    <row r="5692" spans="1:5" x14ac:dyDescent="0.25">
      <c r="A5692">
        <v>6</v>
      </c>
      <c r="B5692">
        <v>14</v>
      </c>
      <c r="C5692">
        <v>13</v>
      </c>
      <c r="D5692">
        <v>15</v>
      </c>
      <c r="E5692">
        <f t="shared" si="88"/>
        <v>2.0363191459287308E-15</v>
      </c>
    </row>
    <row r="5693" spans="1:5" x14ac:dyDescent="0.25">
      <c r="A5693">
        <v>6</v>
      </c>
      <c r="B5693">
        <v>14</v>
      </c>
      <c r="C5693">
        <v>14</v>
      </c>
      <c r="D5693">
        <v>14</v>
      </c>
      <c r="E5693">
        <f t="shared" si="88"/>
        <v>1.0313824245613053E-14</v>
      </c>
    </row>
    <row r="5694" spans="1:5" x14ac:dyDescent="0.25">
      <c r="A5694">
        <v>6</v>
      </c>
      <c r="B5694">
        <v>14</v>
      </c>
      <c r="C5694">
        <v>15</v>
      </c>
      <c r="D5694">
        <v>13</v>
      </c>
      <c r="E5694">
        <f t="shared" si="88"/>
        <v>4.0911502840931765E-14</v>
      </c>
    </row>
    <row r="5695" spans="1:5" x14ac:dyDescent="0.25">
      <c r="A5695">
        <v>6</v>
      </c>
      <c r="B5695">
        <v>14</v>
      </c>
      <c r="C5695">
        <v>16</v>
      </c>
      <c r="D5695">
        <v>12</v>
      </c>
      <c r="E5695">
        <f t="shared" si="88"/>
        <v>1.278484463779118E-13</v>
      </c>
    </row>
    <row r="5696" spans="1:5" x14ac:dyDescent="0.25">
      <c r="A5696">
        <v>6</v>
      </c>
      <c r="B5696">
        <v>14</v>
      </c>
      <c r="C5696">
        <v>17</v>
      </c>
      <c r="D5696">
        <v>11</v>
      </c>
      <c r="E5696">
        <f t="shared" si="88"/>
        <v>3.158608675218998E-13</v>
      </c>
    </row>
    <row r="5697" spans="1:5" x14ac:dyDescent="0.25">
      <c r="A5697">
        <v>6</v>
      </c>
      <c r="B5697">
        <v>14</v>
      </c>
      <c r="C5697">
        <v>18</v>
      </c>
      <c r="D5697">
        <v>10</v>
      </c>
      <c r="E5697">
        <f t="shared" si="88"/>
        <v>6.1768347426504794E-13</v>
      </c>
    </row>
    <row r="5698" spans="1:5" x14ac:dyDescent="0.25">
      <c r="A5698">
        <v>6</v>
      </c>
      <c r="B5698">
        <v>14</v>
      </c>
      <c r="C5698">
        <v>19</v>
      </c>
      <c r="D5698">
        <v>9</v>
      </c>
      <c r="E5698">
        <f t="shared" si="88"/>
        <v>9.5497116087030494E-13</v>
      </c>
    </row>
    <row r="5699" spans="1:5" x14ac:dyDescent="0.25">
      <c r="A5699">
        <v>6</v>
      </c>
      <c r="B5699">
        <v>14</v>
      </c>
      <c r="C5699">
        <v>20</v>
      </c>
      <c r="D5699">
        <v>8</v>
      </c>
      <c r="E5699">
        <f t="shared" si="88"/>
        <v>1.1628178252950194E-12</v>
      </c>
    </row>
    <row r="5700" spans="1:5" x14ac:dyDescent="0.25">
      <c r="A5700">
        <v>6</v>
      </c>
      <c r="B5700">
        <v>14</v>
      </c>
      <c r="C5700">
        <v>21</v>
      </c>
      <c r="D5700">
        <v>7</v>
      </c>
      <c r="E5700">
        <f t="shared" si="88"/>
        <v>1.1074455479000174E-12</v>
      </c>
    </row>
    <row r="5701" spans="1:5" x14ac:dyDescent="0.25">
      <c r="A5701">
        <v>6</v>
      </c>
      <c r="B5701">
        <v>14</v>
      </c>
      <c r="C5701">
        <v>22</v>
      </c>
      <c r="D5701">
        <v>6</v>
      </c>
      <c r="E5701">
        <f t="shared" si="88"/>
        <v>8.1601250897896033E-13</v>
      </c>
    </row>
    <row r="5702" spans="1:5" x14ac:dyDescent="0.25">
      <c r="A5702">
        <v>6</v>
      </c>
      <c r="B5702">
        <v>14</v>
      </c>
      <c r="C5702">
        <v>23</v>
      </c>
      <c r="D5702">
        <v>5</v>
      </c>
      <c r="E5702">
        <f t="shared" si="88"/>
        <v>4.576765811229819E-13</v>
      </c>
    </row>
    <row r="5703" spans="1:5" x14ac:dyDescent="0.25">
      <c r="A5703">
        <v>6</v>
      </c>
      <c r="B5703">
        <v>14</v>
      </c>
      <c r="C5703">
        <v>24</v>
      </c>
      <c r="D5703">
        <v>4</v>
      </c>
      <c r="E5703">
        <f t="shared" si="88"/>
        <v>1.9069857546790919E-13</v>
      </c>
    </row>
    <row r="5704" spans="1:5" x14ac:dyDescent="0.25">
      <c r="A5704">
        <v>6</v>
      </c>
      <c r="B5704">
        <v>14</v>
      </c>
      <c r="C5704">
        <v>25</v>
      </c>
      <c r="D5704">
        <v>3</v>
      </c>
      <c r="E5704">
        <f t="shared" si="88"/>
        <v>5.6862847957703842E-14</v>
      </c>
    </row>
    <row r="5705" spans="1:5" x14ac:dyDescent="0.25">
      <c r="A5705">
        <v>6</v>
      </c>
      <c r="B5705">
        <v>14</v>
      </c>
      <c r="C5705">
        <v>26</v>
      </c>
      <c r="D5705">
        <v>2</v>
      </c>
      <c r="E5705">
        <f t="shared" si="88"/>
        <v>1.1410604941345246E-14</v>
      </c>
    </row>
    <row r="5706" spans="1:5" x14ac:dyDescent="0.25">
      <c r="A5706">
        <v>6</v>
      </c>
      <c r="B5706">
        <v>14</v>
      </c>
      <c r="C5706">
        <v>27</v>
      </c>
      <c r="D5706">
        <v>1</v>
      </c>
      <c r="E5706">
        <f t="shared" si="88"/>
        <v>1.3734987429397055E-15</v>
      </c>
    </row>
    <row r="5707" spans="1:5" x14ac:dyDescent="0.25">
      <c r="A5707">
        <v>6</v>
      </c>
      <c r="B5707">
        <v>14</v>
      </c>
      <c r="C5707">
        <v>28</v>
      </c>
      <c r="D5707">
        <v>0</v>
      </c>
      <c r="E5707">
        <f t="shared" si="88"/>
        <v>7.4561360331012605E-17</v>
      </c>
    </row>
    <row r="5708" spans="1:5" x14ac:dyDescent="0.25">
      <c r="A5708">
        <v>6</v>
      </c>
      <c r="B5708">
        <v>15</v>
      </c>
      <c r="C5708">
        <v>2</v>
      </c>
      <c r="D5708">
        <v>25</v>
      </c>
      <c r="E5708">
        <f t="shared" si="88"/>
        <v>1.446658536668766E-30</v>
      </c>
    </row>
    <row r="5709" spans="1:5" x14ac:dyDescent="0.25">
      <c r="A5709">
        <v>6</v>
      </c>
      <c r="B5709">
        <v>15</v>
      </c>
      <c r="C5709">
        <v>3</v>
      </c>
      <c r="D5709">
        <v>24</v>
      </c>
      <c r="E5709">
        <f t="shared" si="88"/>
        <v>7.5949573175110209E-28</v>
      </c>
    </row>
    <row r="5710" spans="1:5" x14ac:dyDescent="0.25">
      <c r="A5710">
        <v>6</v>
      </c>
      <c r="B5710">
        <v>15</v>
      </c>
      <c r="C5710">
        <v>4</v>
      </c>
      <c r="D5710">
        <v>23</v>
      </c>
      <c r="E5710">
        <f t="shared" ref="E5710:E5773" si="89">COMBIN(A$4,A5710)*COMBIN(B$4,B5710)*COMBIN(C$4,C5710)*COMBIN(D$4,D5710)/COMBIN($G$4,$F$4)</f>
        <v>1.4126620610570496E-25</v>
      </c>
    </row>
    <row r="5711" spans="1:5" x14ac:dyDescent="0.25">
      <c r="A5711">
        <v>6</v>
      </c>
      <c r="B5711">
        <v>15</v>
      </c>
      <c r="C5711">
        <v>5</v>
      </c>
      <c r="D5711">
        <v>22</v>
      </c>
      <c r="E5711">
        <f t="shared" si="89"/>
        <v>1.3213099144420276E-23</v>
      </c>
    </row>
    <row r="5712" spans="1:5" x14ac:dyDescent="0.25">
      <c r="A5712">
        <v>6</v>
      </c>
      <c r="B5712">
        <v>15</v>
      </c>
      <c r="C5712">
        <v>6</v>
      </c>
      <c r="D5712">
        <v>21</v>
      </c>
      <c r="E5712">
        <f t="shared" si="89"/>
        <v>7.2672045294311508E-22</v>
      </c>
    </row>
    <row r="5713" spans="1:5" x14ac:dyDescent="0.25">
      <c r="A5713">
        <v>6</v>
      </c>
      <c r="B5713">
        <v>15</v>
      </c>
      <c r="C5713">
        <v>7</v>
      </c>
      <c r="D5713">
        <v>20</v>
      </c>
      <c r="E5713">
        <f t="shared" si="89"/>
        <v>2.5725904034186269E-20</v>
      </c>
    </row>
    <row r="5714" spans="1:5" x14ac:dyDescent="0.25">
      <c r="A5714">
        <v>6</v>
      </c>
      <c r="B5714">
        <v>15</v>
      </c>
      <c r="C5714">
        <v>8</v>
      </c>
      <c r="D5714">
        <v>19</v>
      </c>
      <c r="E5714">
        <f t="shared" si="89"/>
        <v>6.2170934749283487E-19</v>
      </c>
    </row>
    <row r="5715" spans="1:5" x14ac:dyDescent="0.25">
      <c r="A5715">
        <v>6</v>
      </c>
      <c r="B5715">
        <v>15</v>
      </c>
      <c r="C5715">
        <v>9</v>
      </c>
      <c r="D5715">
        <v>18</v>
      </c>
      <c r="E5715">
        <f t="shared" si="89"/>
        <v>1.0687479735472069E-17</v>
      </c>
    </row>
    <row r="5716" spans="1:5" x14ac:dyDescent="0.25">
      <c r="A5716">
        <v>6</v>
      </c>
      <c r="B5716">
        <v>15</v>
      </c>
      <c r="C5716">
        <v>10</v>
      </c>
      <c r="D5716">
        <v>17</v>
      </c>
      <c r="E5716">
        <f t="shared" si="89"/>
        <v>1.3466224466694807E-16</v>
      </c>
    </row>
    <row r="5717" spans="1:5" x14ac:dyDescent="0.25">
      <c r="A5717">
        <v>6</v>
      </c>
      <c r="B5717">
        <v>15</v>
      </c>
      <c r="C5717">
        <v>11</v>
      </c>
      <c r="D5717">
        <v>16</v>
      </c>
      <c r="E5717">
        <f t="shared" si="89"/>
        <v>1.2718100885211763E-15</v>
      </c>
    </row>
    <row r="5718" spans="1:5" x14ac:dyDescent="0.25">
      <c r="A5718">
        <v>6</v>
      </c>
      <c r="B5718">
        <v>15</v>
      </c>
      <c r="C5718">
        <v>12</v>
      </c>
      <c r="D5718">
        <v>15</v>
      </c>
      <c r="E5718">
        <f t="shared" si="89"/>
        <v>9.1570326373524613E-15</v>
      </c>
    </row>
    <row r="5719" spans="1:5" x14ac:dyDescent="0.25">
      <c r="A5719">
        <v>6</v>
      </c>
      <c r="B5719">
        <v>15</v>
      </c>
      <c r="C5719">
        <v>13</v>
      </c>
      <c r="D5719">
        <v>14</v>
      </c>
      <c r="E5719">
        <f t="shared" si="89"/>
        <v>5.0907978648218263E-14</v>
      </c>
    </row>
    <row r="5720" spans="1:5" x14ac:dyDescent="0.25">
      <c r="A5720">
        <v>6</v>
      </c>
      <c r="B5720">
        <v>15</v>
      </c>
      <c r="C5720">
        <v>14</v>
      </c>
      <c r="D5720">
        <v>13</v>
      </c>
      <c r="E5720">
        <f t="shared" si="89"/>
        <v>2.2060124080894585E-13</v>
      </c>
    </row>
    <row r="5721" spans="1:5" x14ac:dyDescent="0.25">
      <c r="A5721">
        <v>6</v>
      </c>
      <c r="B5721">
        <v>15</v>
      </c>
      <c r="C5721">
        <v>15</v>
      </c>
      <c r="D5721">
        <v>12</v>
      </c>
      <c r="E5721">
        <f t="shared" si="89"/>
        <v>7.5004421875041562E-13</v>
      </c>
    </row>
    <row r="5722" spans="1:5" x14ac:dyDescent="0.25">
      <c r="A5722">
        <v>6</v>
      </c>
      <c r="B5722">
        <v>15</v>
      </c>
      <c r="C5722">
        <v>16</v>
      </c>
      <c r="D5722">
        <v>11</v>
      </c>
      <c r="E5722">
        <f t="shared" si="89"/>
        <v>2.0090470145100417E-12</v>
      </c>
    </row>
    <row r="5723" spans="1:5" x14ac:dyDescent="0.25">
      <c r="A5723">
        <v>6</v>
      </c>
      <c r="B5723">
        <v>15</v>
      </c>
      <c r="C5723">
        <v>17</v>
      </c>
      <c r="D5723">
        <v>10</v>
      </c>
      <c r="E5723">
        <f t="shared" si="89"/>
        <v>4.2465738855722079E-12</v>
      </c>
    </row>
    <row r="5724" spans="1:5" x14ac:dyDescent="0.25">
      <c r="A5724">
        <v>6</v>
      </c>
      <c r="B5724">
        <v>15</v>
      </c>
      <c r="C5724">
        <v>18</v>
      </c>
      <c r="D5724">
        <v>9</v>
      </c>
      <c r="E5724">
        <f t="shared" si="89"/>
        <v>7.0776231426203414E-12</v>
      </c>
    </row>
    <row r="5725" spans="1:5" x14ac:dyDescent="0.25">
      <c r="A5725">
        <v>6</v>
      </c>
      <c r="B5725">
        <v>15</v>
      </c>
      <c r="C5725">
        <v>19</v>
      </c>
      <c r="D5725">
        <v>8</v>
      </c>
      <c r="E5725">
        <f t="shared" si="89"/>
        <v>9.2688377378588419E-12</v>
      </c>
    </row>
    <row r="5726" spans="1:5" x14ac:dyDescent="0.25">
      <c r="A5726">
        <v>6</v>
      </c>
      <c r="B5726">
        <v>15</v>
      </c>
      <c r="C5726">
        <v>20</v>
      </c>
      <c r="D5726">
        <v>7</v>
      </c>
      <c r="E5726">
        <f t="shared" si="89"/>
        <v>9.4748119098112696E-12</v>
      </c>
    </row>
    <row r="5727" spans="1:5" x14ac:dyDescent="0.25">
      <c r="A5727">
        <v>6</v>
      </c>
      <c r="B5727">
        <v>15</v>
      </c>
      <c r="C5727">
        <v>21</v>
      </c>
      <c r="D5727">
        <v>6</v>
      </c>
      <c r="E5727">
        <f t="shared" si="89"/>
        <v>7.4801146656404631E-12</v>
      </c>
    </row>
    <row r="5728" spans="1:5" x14ac:dyDescent="0.25">
      <c r="A5728">
        <v>6</v>
      </c>
      <c r="B5728">
        <v>15</v>
      </c>
      <c r="C5728">
        <v>22</v>
      </c>
      <c r="D5728">
        <v>5</v>
      </c>
      <c r="E5728">
        <f t="shared" si="89"/>
        <v>4.4880687993842816E-12</v>
      </c>
    </row>
    <row r="5729" spans="1:5" x14ac:dyDescent="0.25">
      <c r="A5729">
        <v>6</v>
      </c>
      <c r="B5729">
        <v>15</v>
      </c>
      <c r="C5729">
        <v>23</v>
      </c>
      <c r="D5729">
        <v>4</v>
      </c>
      <c r="E5729">
        <f t="shared" si="89"/>
        <v>1.9977946001400011E-12</v>
      </c>
    </row>
    <row r="5730" spans="1:5" x14ac:dyDescent="0.25">
      <c r="A5730">
        <v>6</v>
      </c>
      <c r="B5730">
        <v>15</v>
      </c>
      <c r="C5730">
        <v>24</v>
      </c>
      <c r="D5730">
        <v>3</v>
      </c>
      <c r="E5730">
        <f t="shared" si="89"/>
        <v>6.3566191822636381E-13</v>
      </c>
    </row>
    <row r="5731" spans="1:5" x14ac:dyDescent="0.25">
      <c r="A5731">
        <v>6</v>
      </c>
      <c r="B5731">
        <v>15</v>
      </c>
      <c r="C5731">
        <v>25</v>
      </c>
      <c r="D5731">
        <v>2</v>
      </c>
      <c r="E5731">
        <f t="shared" si="89"/>
        <v>1.3597637555103092E-13</v>
      </c>
    </row>
    <row r="5732" spans="1:5" x14ac:dyDescent="0.25">
      <c r="A5732">
        <v>6</v>
      </c>
      <c r="B5732">
        <v>15</v>
      </c>
      <c r="C5732">
        <v>26</v>
      </c>
      <c r="D5732">
        <v>1</v>
      </c>
      <c r="E5732">
        <f t="shared" si="89"/>
        <v>1.743286866038857E-14</v>
      </c>
    </row>
    <row r="5733" spans="1:5" x14ac:dyDescent="0.25">
      <c r="A5733">
        <v>6</v>
      </c>
      <c r="B5733">
        <v>15</v>
      </c>
      <c r="C5733">
        <v>27</v>
      </c>
      <c r="D5733">
        <v>0</v>
      </c>
      <c r="E5733">
        <f t="shared" si="89"/>
        <v>1.0072324114891173E-15</v>
      </c>
    </row>
    <row r="5734" spans="1:5" x14ac:dyDescent="0.25">
      <c r="A5734">
        <v>6</v>
      </c>
      <c r="B5734">
        <v>16</v>
      </c>
      <c r="C5734">
        <v>1</v>
      </c>
      <c r="D5734">
        <v>25</v>
      </c>
      <c r="E5734">
        <f t="shared" si="89"/>
        <v>7.7418835751414423E-31</v>
      </c>
    </row>
    <row r="5735" spans="1:5" x14ac:dyDescent="0.25">
      <c r="A5735">
        <v>6</v>
      </c>
      <c r="B5735">
        <v>16</v>
      </c>
      <c r="C5735">
        <v>2</v>
      </c>
      <c r="D5735">
        <v>24</v>
      </c>
      <c r="E5735">
        <f t="shared" si="89"/>
        <v>6.1935068601131542E-28</v>
      </c>
    </row>
    <row r="5736" spans="1:5" x14ac:dyDescent="0.25">
      <c r="A5736">
        <v>6</v>
      </c>
      <c r="B5736">
        <v>16</v>
      </c>
      <c r="C5736">
        <v>3</v>
      </c>
      <c r="D5736">
        <v>23</v>
      </c>
      <c r="E5736">
        <f t="shared" si="89"/>
        <v>1.5607637287485147E-25</v>
      </c>
    </row>
    <row r="5737" spans="1:5" x14ac:dyDescent="0.25">
      <c r="A5737">
        <v>6</v>
      </c>
      <c r="B5737">
        <v>16</v>
      </c>
      <c r="C5737">
        <v>4</v>
      </c>
      <c r="D5737">
        <v>22</v>
      </c>
      <c r="E5737">
        <f t="shared" si="89"/>
        <v>1.8547075643294853E-23</v>
      </c>
    </row>
    <row r="5738" spans="1:5" x14ac:dyDescent="0.25">
      <c r="A5738">
        <v>6</v>
      </c>
      <c r="B5738">
        <v>16</v>
      </c>
      <c r="C5738">
        <v>5</v>
      </c>
      <c r="D5738">
        <v>21</v>
      </c>
      <c r="E5738">
        <f t="shared" si="89"/>
        <v>1.2445087756650849E-21</v>
      </c>
    </row>
    <row r="5739" spans="1:5" x14ac:dyDescent="0.25">
      <c r="A5739">
        <v>6</v>
      </c>
      <c r="B5739">
        <v>16</v>
      </c>
      <c r="C5739">
        <v>6</v>
      </c>
      <c r="D5739">
        <v>20</v>
      </c>
      <c r="E5739">
        <f t="shared" si="89"/>
        <v>5.2269368577933545E-20</v>
      </c>
    </row>
    <row r="5740" spans="1:5" x14ac:dyDescent="0.25">
      <c r="A5740">
        <v>6</v>
      </c>
      <c r="B5740">
        <v>16</v>
      </c>
      <c r="C5740">
        <v>7</v>
      </c>
      <c r="D5740">
        <v>19</v>
      </c>
      <c r="E5740">
        <f t="shared" si="89"/>
        <v>1.4685203552847992E-18</v>
      </c>
    </row>
    <row r="5741" spans="1:5" x14ac:dyDescent="0.25">
      <c r="A5741">
        <v>6</v>
      </c>
      <c r="B5741">
        <v>16</v>
      </c>
      <c r="C5741">
        <v>8</v>
      </c>
      <c r="D5741">
        <v>18</v>
      </c>
      <c r="E5741">
        <f t="shared" si="89"/>
        <v>2.8898382705783039E-17</v>
      </c>
    </row>
    <row r="5742" spans="1:5" x14ac:dyDescent="0.25">
      <c r="A5742">
        <v>6</v>
      </c>
      <c r="B5742">
        <v>16</v>
      </c>
      <c r="C5742">
        <v>9</v>
      </c>
      <c r="D5742">
        <v>17</v>
      </c>
      <c r="E5742">
        <f t="shared" si="89"/>
        <v>4.1180195355740809E-16</v>
      </c>
    </row>
    <row r="5743" spans="1:5" x14ac:dyDescent="0.25">
      <c r="A5743">
        <v>6</v>
      </c>
      <c r="B5743">
        <v>16</v>
      </c>
      <c r="C5743">
        <v>10</v>
      </c>
      <c r="D5743">
        <v>16</v>
      </c>
      <c r="E5743">
        <f t="shared" si="89"/>
        <v>4.3559495531850277E-15</v>
      </c>
    </row>
    <row r="5744" spans="1:5" x14ac:dyDescent="0.25">
      <c r="A5744">
        <v>6</v>
      </c>
      <c r="B5744">
        <v>16</v>
      </c>
      <c r="C5744">
        <v>11</v>
      </c>
      <c r="D5744">
        <v>15</v>
      </c>
      <c r="E5744">
        <f t="shared" si="89"/>
        <v>3.4847596425480221E-14</v>
      </c>
    </row>
    <row r="5745" spans="1:5" x14ac:dyDescent="0.25">
      <c r="A5745">
        <v>6</v>
      </c>
      <c r="B5745">
        <v>16</v>
      </c>
      <c r="C5745">
        <v>12</v>
      </c>
      <c r="D5745">
        <v>14</v>
      </c>
      <c r="E5745">
        <f t="shared" si="89"/>
        <v>2.1383752351999219E-13</v>
      </c>
    </row>
    <row r="5746" spans="1:5" x14ac:dyDescent="0.25">
      <c r="A5746">
        <v>6</v>
      </c>
      <c r="B5746">
        <v>16</v>
      </c>
      <c r="C5746">
        <v>13</v>
      </c>
      <c r="D5746">
        <v>13</v>
      </c>
      <c r="E5746">
        <f t="shared" si="89"/>
        <v>1.017098990075861E-12</v>
      </c>
    </row>
    <row r="5747" spans="1:5" x14ac:dyDescent="0.25">
      <c r="A5747">
        <v>6</v>
      </c>
      <c r="B5747">
        <v>16</v>
      </c>
      <c r="C5747">
        <v>14</v>
      </c>
      <c r="D5747">
        <v>12</v>
      </c>
      <c r="E5747">
        <f t="shared" si="89"/>
        <v>3.7777962488531979E-12</v>
      </c>
    </row>
    <row r="5748" spans="1:5" x14ac:dyDescent="0.25">
      <c r="A5748">
        <v>6</v>
      </c>
      <c r="B5748">
        <v>16</v>
      </c>
      <c r="C5748">
        <v>15</v>
      </c>
      <c r="D5748">
        <v>11</v>
      </c>
      <c r="E5748">
        <f t="shared" si="89"/>
        <v>1.1009577639515028E-11</v>
      </c>
    </row>
    <row r="5749" spans="1:5" x14ac:dyDescent="0.25">
      <c r="A5749">
        <v>6</v>
      </c>
      <c r="B5749">
        <v>16</v>
      </c>
      <c r="C5749">
        <v>16</v>
      </c>
      <c r="D5749">
        <v>10</v>
      </c>
      <c r="E5749">
        <f t="shared" si="89"/>
        <v>2.5230282090555272E-11</v>
      </c>
    </row>
    <row r="5750" spans="1:5" x14ac:dyDescent="0.25">
      <c r="A5750">
        <v>6</v>
      </c>
      <c r="B5750">
        <v>16</v>
      </c>
      <c r="C5750">
        <v>17</v>
      </c>
      <c r="D5750">
        <v>9</v>
      </c>
      <c r="E5750">
        <f t="shared" si="89"/>
        <v>4.5451611119015045E-11</v>
      </c>
    </row>
    <row r="5751" spans="1:5" x14ac:dyDescent="0.25">
      <c r="A5751">
        <v>6</v>
      </c>
      <c r="B5751">
        <v>16</v>
      </c>
      <c r="C5751">
        <v>18</v>
      </c>
      <c r="D5751">
        <v>8</v>
      </c>
      <c r="E5751">
        <f t="shared" si="89"/>
        <v>6.4166980403315299E-11</v>
      </c>
    </row>
    <row r="5752" spans="1:5" x14ac:dyDescent="0.25">
      <c r="A5752">
        <v>6</v>
      </c>
      <c r="B5752">
        <v>16</v>
      </c>
      <c r="C5752">
        <v>19</v>
      </c>
      <c r="D5752">
        <v>7</v>
      </c>
      <c r="E5752">
        <f t="shared" si="89"/>
        <v>7.0546153893703421E-11</v>
      </c>
    </row>
    <row r="5753" spans="1:5" x14ac:dyDescent="0.25">
      <c r="A5753">
        <v>6</v>
      </c>
      <c r="B5753">
        <v>16</v>
      </c>
      <c r="C5753">
        <v>20</v>
      </c>
      <c r="D5753">
        <v>6</v>
      </c>
      <c r="E5753">
        <f t="shared" si="89"/>
        <v>5.9778583036243451E-11</v>
      </c>
    </row>
    <row r="5754" spans="1:5" x14ac:dyDescent="0.25">
      <c r="A5754">
        <v>6</v>
      </c>
      <c r="B5754">
        <v>16</v>
      </c>
      <c r="C5754">
        <v>21</v>
      </c>
      <c r="D5754">
        <v>5</v>
      </c>
      <c r="E5754">
        <f t="shared" si="89"/>
        <v>3.8429089094727884E-11</v>
      </c>
    </row>
    <row r="5755" spans="1:5" x14ac:dyDescent="0.25">
      <c r="A5755">
        <v>6</v>
      </c>
      <c r="B5755">
        <v>16</v>
      </c>
      <c r="C5755">
        <v>22</v>
      </c>
      <c r="D5755">
        <v>4</v>
      </c>
      <c r="E5755">
        <f t="shared" si="89"/>
        <v>1.8299566235584721E-11</v>
      </c>
    </row>
    <row r="5756" spans="1:5" x14ac:dyDescent="0.25">
      <c r="A5756">
        <v>6</v>
      </c>
      <c r="B5756">
        <v>16</v>
      </c>
      <c r="C5756">
        <v>23</v>
      </c>
      <c r="D5756">
        <v>3</v>
      </c>
      <c r="E5756">
        <f t="shared" si="89"/>
        <v>6.2204059140722751E-12</v>
      </c>
    </row>
    <row r="5757" spans="1:5" x14ac:dyDescent="0.25">
      <c r="A5757">
        <v>6</v>
      </c>
      <c r="B5757">
        <v>16</v>
      </c>
      <c r="C5757">
        <v>24</v>
      </c>
      <c r="D5757">
        <v>2</v>
      </c>
      <c r="E5757">
        <f t="shared" si="89"/>
        <v>1.4198752629947583E-12</v>
      </c>
    </row>
    <row r="5758" spans="1:5" x14ac:dyDescent="0.25">
      <c r="A5758">
        <v>6</v>
      </c>
      <c r="B5758">
        <v>16</v>
      </c>
      <c r="C5758">
        <v>25</v>
      </c>
      <c r="D5758">
        <v>1</v>
      </c>
      <c r="E5758">
        <f t="shared" si="89"/>
        <v>1.9404961927595038E-13</v>
      </c>
    </row>
    <row r="5759" spans="1:5" x14ac:dyDescent="0.25">
      <c r="A5759">
        <v>6</v>
      </c>
      <c r="B5759">
        <v>16</v>
      </c>
      <c r="C5759">
        <v>26</v>
      </c>
      <c r="D5759">
        <v>0</v>
      </c>
      <c r="E5759">
        <f t="shared" si="89"/>
        <v>1.1941515032366169E-14</v>
      </c>
    </row>
    <row r="5760" spans="1:5" x14ac:dyDescent="0.25">
      <c r="A5760">
        <v>6</v>
      </c>
      <c r="B5760">
        <v>17</v>
      </c>
      <c r="C5760">
        <v>0</v>
      </c>
      <c r="D5760">
        <v>25</v>
      </c>
      <c r="E5760">
        <f t="shared" si="89"/>
        <v>1.9127006479761217E-31</v>
      </c>
    </row>
    <row r="5761" spans="1:5" x14ac:dyDescent="0.25">
      <c r="A5761">
        <v>6</v>
      </c>
      <c r="B5761">
        <v>17</v>
      </c>
      <c r="C5761">
        <v>1</v>
      </c>
      <c r="D5761">
        <v>24</v>
      </c>
      <c r="E5761">
        <f t="shared" si="89"/>
        <v>3.1081385529611978E-28</v>
      </c>
    </row>
    <row r="5762" spans="1:5" x14ac:dyDescent="0.25">
      <c r="A5762">
        <v>6</v>
      </c>
      <c r="B5762">
        <v>17</v>
      </c>
      <c r="C5762">
        <v>2</v>
      </c>
      <c r="D5762">
        <v>23</v>
      </c>
      <c r="E5762">
        <f t="shared" si="89"/>
        <v>1.1935252043371001E-25</v>
      </c>
    </row>
    <row r="5763" spans="1:5" x14ac:dyDescent="0.25">
      <c r="A5763">
        <v>6</v>
      </c>
      <c r="B5763">
        <v>17</v>
      </c>
      <c r="C5763">
        <v>3</v>
      </c>
      <c r="D5763">
        <v>22</v>
      </c>
      <c r="E5763">
        <f t="shared" si="89"/>
        <v>1.9215755789827309E-23</v>
      </c>
    </row>
    <row r="5764" spans="1:5" x14ac:dyDescent="0.25">
      <c r="A5764">
        <v>6</v>
      </c>
      <c r="B5764">
        <v>17</v>
      </c>
      <c r="C5764">
        <v>4</v>
      </c>
      <c r="D5764">
        <v>21</v>
      </c>
      <c r="E5764">
        <f t="shared" si="89"/>
        <v>1.6381431810827784E-21</v>
      </c>
    </row>
    <row r="5765" spans="1:5" x14ac:dyDescent="0.25">
      <c r="A5765">
        <v>6</v>
      </c>
      <c r="B5765">
        <v>17</v>
      </c>
      <c r="C5765">
        <v>5</v>
      </c>
      <c r="D5765">
        <v>20</v>
      </c>
      <c r="E5765">
        <f t="shared" si="89"/>
        <v>8.3938456598681551E-20</v>
      </c>
    </row>
    <row r="5766" spans="1:5" x14ac:dyDescent="0.25">
      <c r="A5766">
        <v>6</v>
      </c>
      <c r="B5766">
        <v>17</v>
      </c>
      <c r="C5766">
        <v>6</v>
      </c>
      <c r="D5766">
        <v>19</v>
      </c>
      <c r="E5766">
        <f t="shared" si="89"/>
        <v>2.7979485532893843E-18</v>
      </c>
    </row>
    <row r="5767" spans="1:5" x14ac:dyDescent="0.25">
      <c r="A5767">
        <v>6</v>
      </c>
      <c r="B5767">
        <v>17</v>
      </c>
      <c r="C5767">
        <v>7</v>
      </c>
      <c r="D5767">
        <v>18</v>
      </c>
      <c r="E5767">
        <f t="shared" si="89"/>
        <v>6.4010210780355126E-17</v>
      </c>
    </row>
    <row r="5768" spans="1:5" x14ac:dyDescent="0.25">
      <c r="A5768">
        <v>6</v>
      </c>
      <c r="B5768">
        <v>17</v>
      </c>
      <c r="C5768">
        <v>8</v>
      </c>
      <c r="D5768">
        <v>17</v>
      </c>
      <c r="E5768">
        <f t="shared" si="89"/>
        <v>1.044166563354543E-15</v>
      </c>
    </row>
    <row r="5769" spans="1:5" x14ac:dyDescent="0.25">
      <c r="A5769">
        <v>6</v>
      </c>
      <c r="B5769">
        <v>17</v>
      </c>
      <c r="C5769">
        <v>9</v>
      </c>
      <c r="D5769">
        <v>16</v>
      </c>
      <c r="E5769">
        <f t="shared" si="89"/>
        <v>1.2491325924574717E-14</v>
      </c>
    </row>
    <row r="5770" spans="1:5" x14ac:dyDescent="0.25">
      <c r="A5770">
        <v>6</v>
      </c>
      <c r="B5770">
        <v>17</v>
      </c>
      <c r="C5770">
        <v>10</v>
      </c>
      <c r="D5770">
        <v>15</v>
      </c>
      <c r="E5770">
        <f t="shared" si="89"/>
        <v>1.1192228028418945E-13</v>
      </c>
    </row>
    <row r="5771" spans="1:5" x14ac:dyDescent="0.25">
      <c r="A5771">
        <v>6</v>
      </c>
      <c r="B5771">
        <v>17</v>
      </c>
      <c r="C5771">
        <v>11</v>
      </c>
      <c r="D5771">
        <v>14</v>
      </c>
      <c r="E5771">
        <f t="shared" si="89"/>
        <v>7.6310645648311008E-13</v>
      </c>
    </row>
    <row r="5772" spans="1:5" x14ac:dyDescent="0.25">
      <c r="A5772">
        <v>6</v>
      </c>
      <c r="B5772">
        <v>17</v>
      </c>
      <c r="C5772">
        <v>12</v>
      </c>
      <c r="D5772">
        <v>13</v>
      </c>
      <c r="E5772">
        <f t="shared" si="89"/>
        <v>4.0063088965363261E-12</v>
      </c>
    </row>
    <row r="5773" spans="1:5" x14ac:dyDescent="0.25">
      <c r="A5773">
        <v>6</v>
      </c>
      <c r="B5773">
        <v>17</v>
      </c>
      <c r="C5773">
        <v>13</v>
      </c>
      <c r="D5773">
        <v>12</v>
      </c>
      <c r="E5773">
        <f t="shared" si="89"/>
        <v>1.6333413193571184E-11</v>
      </c>
    </row>
    <row r="5774" spans="1:5" x14ac:dyDescent="0.25">
      <c r="A5774">
        <v>6</v>
      </c>
      <c r="B5774">
        <v>17</v>
      </c>
      <c r="C5774">
        <v>14</v>
      </c>
      <c r="D5774">
        <v>11</v>
      </c>
      <c r="E5774">
        <f t="shared" ref="E5774:E5837" si="90">COMBIN(A$4,A5774)*COMBIN(B$4,B5774)*COMBIN(C$4,C5774)*COMBIN(D$4,D5774)/COMBIN($G$4,$F$4)</f>
        <v>5.2000254248920495E-11</v>
      </c>
    </row>
    <row r="5775" spans="1:5" x14ac:dyDescent="0.25">
      <c r="A5775">
        <v>6</v>
      </c>
      <c r="B5775">
        <v>17</v>
      </c>
      <c r="C5775">
        <v>15</v>
      </c>
      <c r="D5775">
        <v>10</v>
      </c>
      <c r="E5775">
        <f t="shared" si="90"/>
        <v>1.2965396726064172E-10</v>
      </c>
    </row>
    <row r="5776" spans="1:5" x14ac:dyDescent="0.25">
      <c r="A5776">
        <v>6</v>
      </c>
      <c r="B5776">
        <v>17</v>
      </c>
      <c r="C5776">
        <v>16</v>
      </c>
      <c r="D5776">
        <v>9</v>
      </c>
      <c r="E5776">
        <f t="shared" si="90"/>
        <v>2.532304048059409E-10</v>
      </c>
    </row>
    <row r="5777" spans="1:5" x14ac:dyDescent="0.25">
      <c r="A5777">
        <v>6</v>
      </c>
      <c r="B5777">
        <v>17</v>
      </c>
      <c r="C5777">
        <v>17</v>
      </c>
      <c r="D5777">
        <v>8</v>
      </c>
      <c r="E5777">
        <f t="shared" si="90"/>
        <v>3.8641733051702422E-10</v>
      </c>
    </row>
    <row r="5778" spans="1:5" x14ac:dyDescent="0.25">
      <c r="A5778">
        <v>6</v>
      </c>
      <c r="B5778">
        <v>17</v>
      </c>
      <c r="C5778">
        <v>18</v>
      </c>
      <c r="D5778">
        <v>7</v>
      </c>
      <c r="E5778">
        <f t="shared" si="90"/>
        <v>4.5797609542758401E-10</v>
      </c>
    </row>
    <row r="5779" spans="1:5" x14ac:dyDescent="0.25">
      <c r="A5779">
        <v>6</v>
      </c>
      <c r="B5779">
        <v>17</v>
      </c>
      <c r="C5779">
        <v>19</v>
      </c>
      <c r="D5779">
        <v>6</v>
      </c>
      <c r="E5779">
        <f t="shared" si="90"/>
        <v>4.1737987644231339E-10</v>
      </c>
    </row>
    <row r="5780" spans="1:5" x14ac:dyDescent="0.25">
      <c r="A5780">
        <v>6</v>
      </c>
      <c r="B5780">
        <v>17</v>
      </c>
      <c r="C5780">
        <v>20</v>
      </c>
      <c r="D5780">
        <v>5</v>
      </c>
      <c r="E5780">
        <f t="shared" si="90"/>
        <v>2.8799211474519649E-10</v>
      </c>
    </row>
    <row r="5781" spans="1:5" x14ac:dyDescent="0.25">
      <c r="A5781">
        <v>6</v>
      </c>
      <c r="B5781">
        <v>17</v>
      </c>
      <c r="C5781">
        <v>21</v>
      </c>
      <c r="D5781">
        <v>4</v>
      </c>
      <c r="E5781">
        <f t="shared" si="90"/>
        <v>1.4693475242101847E-10</v>
      </c>
    </row>
    <row r="5782" spans="1:5" x14ac:dyDescent="0.25">
      <c r="A5782">
        <v>6</v>
      </c>
      <c r="B5782">
        <v>17</v>
      </c>
      <c r="C5782">
        <v>22</v>
      </c>
      <c r="D5782">
        <v>3</v>
      </c>
      <c r="E5782">
        <f t="shared" si="90"/>
        <v>5.3430819062188561E-11</v>
      </c>
    </row>
    <row r="5783" spans="1:5" x14ac:dyDescent="0.25">
      <c r="A5783">
        <v>6</v>
      </c>
      <c r="B5783">
        <v>17</v>
      </c>
      <c r="C5783">
        <v>23</v>
      </c>
      <c r="D5783">
        <v>2</v>
      </c>
      <c r="E5783">
        <f t="shared" si="90"/>
        <v>1.3029443589834257E-11</v>
      </c>
    </row>
    <row r="5784" spans="1:5" x14ac:dyDescent="0.25">
      <c r="A5784">
        <v>6</v>
      </c>
      <c r="B5784">
        <v>17</v>
      </c>
      <c r="C5784">
        <v>24</v>
      </c>
      <c r="D5784">
        <v>1</v>
      </c>
      <c r="E5784">
        <f t="shared" si="90"/>
        <v>1.9001271901841626E-12</v>
      </c>
    </row>
    <row r="5785" spans="1:5" x14ac:dyDescent="0.25">
      <c r="A5785">
        <v>6</v>
      </c>
      <c r="B5785">
        <v>17</v>
      </c>
      <c r="C5785">
        <v>25</v>
      </c>
      <c r="D5785">
        <v>0</v>
      </c>
      <c r="E5785">
        <f t="shared" si="90"/>
        <v>1.2464834367608112E-13</v>
      </c>
    </row>
    <row r="5786" spans="1:5" x14ac:dyDescent="0.25">
      <c r="A5786">
        <v>6</v>
      </c>
      <c r="B5786">
        <v>18</v>
      </c>
      <c r="C5786">
        <v>0</v>
      </c>
      <c r="D5786">
        <v>24</v>
      </c>
      <c r="E5786">
        <f t="shared" si="90"/>
        <v>7.2257580034653488E-29</v>
      </c>
    </row>
    <row r="5787" spans="1:5" x14ac:dyDescent="0.25">
      <c r="A5787">
        <v>6</v>
      </c>
      <c r="B5787">
        <v>18</v>
      </c>
      <c r="C5787">
        <v>1</v>
      </c>
      <c r="D5787">
        <v>23</v>
      </c>
      <c r="E5787">
        <f t="shared" si="90"/>
        <v>5.6360912427029716E-26</v>
      </c>
    </row>
    <row r="5788" spans="1:5" x14ac:dyDescent="0.25">
      <c r="A5788">
        <v>6</v>
      </c>
      <c r="B5788">
        <v>18</v>
      </c>
      <c r="C5788">
        <v>2</v>
      </c>
      <c r="D5788">
        <v>22</v>
      </c>
      <c r="E5788">
        <f t="shared" si="90"/>
        <v>1.382721051543129E-23</v>
      </c>
    </row>
    <row r="5789" spans="1:5" x14ac:dyDescent="0.25">
      <c r="A5789">
        <v>6</v>
      </c>
      <c r="B5789">
        <v>18</v>
      </c>
      <c r="C5789">
        <v>3</v>
      </c>
      <c r="D5789">
        <v>21</v>
      </c>
      <c r="E5789">
        <f t="shared" si="90"/>
        <v>1.5970428145323141E-21</v>
      </c>
    </row>
    <row r="5790" spans="1:5" x14ac:dyDescent="0.25">
      <c r="A5790">
        <v>6</v>
      </c>
      <c r="B5790">
        <v>18</v>
      </c>
      <c r="C5790">
        <v>4</v>
      </c>
      <c r="D5790">
        <v>20</v>
      </c>
      <c r="E5790">
        <f t="shared" si="90"/>
        <v>1.0396748722605363E-19</v>
      </c>
    </row>
    <row r="5791" spans="1:5" x14ac:dyDescent="0.25">
      <c r="A5791">
        <v>6</v>
      </c>
      <c r="B5791">
        <v>18</v>
      </c>
      <c r="C5791">
        <v>5</v>
      </c>
      <c r="D5791">
        <v>19</v>
      </c>
      <c r="E5791">
        <f t="shared" si="90"/>
        <v>4.2280111471928477E-18</v>
      </c>
    </row>
    <row r="5792" spans="1:5" x14ac:dyDescent="0.25">
      <c r="A5792">
        <v>6</v>
      </c>
      <c r="B5792">
        <v>18</v>
      </c>
      <c r="C5792">
        <v>6</v>
      </c>
      <c r="D5792">
        <v>18</v>
      </c>
      <c r="E5792">
        <f t="shared" si="90"/>
        <v>1.1476030256666305E-16</v>
      </c>
    </row>
    <row r="5793" spans="1:5" x14ac:dyDescent="0.25">
      <c r="A5793">
        <v>6</v>
      </c>
      <c r="B5793">
        <v>18</v>
      </c>
      <c r="C5793">
        <v>7</v>
      </c>
      <c r="D5793">
        <v>17</v>
      </c>
      <c r="E5793">
        <f t="shared" si="90"/>
        <v>2.1763471665320737E-15</v>
      </c>
    </row>
    <row r="5794" spans="1:5" x14ac:dyDescent="0.25">
      <c r="A5794">
        <v>6</v>
      </c>
      <c r="B5794">
        <v>18</v>
      </c>
      <c r="C5794">
        <v>8</v>
      </c>
      <c r="D5794">
        <v>16</v>
      </c>
      <c r="E5794">
        <f t="shared" si="90"/>
        <v>2.9803865363897567E-14</v>
      </c>
    </row>
    <row r="5795" spans="1:5" x14ac:dyDescent="0.25">
      <c r="A5795">
        <v>6</v>
      </c>
      <c r="B5795">
        <v>18</v>
      </c>
      <c r="C5795">
        <v>9</v>
      </c>
      <c r="D5795">
        <v>15</v>
      </c>
      <c r="E5795">
        <f t="shared" si="90"/>
        <v>3.0201250235416195E-13</v>
      </c>
    </row>
    <row r="5796" spans="1:5" x14ac:dyDescent="0.25">
      <c r="A5796">
        <v>6</v>
      </c>
      <c r="B5796">
        <v>18</v>
      </c>
      <c r="C5796">
        <v>10</v>
      </c>
      <c r="D5796">
        <v>14</v>
      </c>
      <c r="E5796">
        <f t="shared" si="90"/>
        <v>2.3062772907045104E-12</v>
      </c>
    </row>
    <row r="5797" spans="1:5" x14ac:dyDescent="0.25">
      <c r="A5797">
        <v>6</v>
      </c>
      <c r="B5797">
        <v>18</v>
      </c>
      <c r="C5797">
        <v>11</v>
      </c>
      <c r="D5797">
        <v>13</v>
      </c>
      <c r="E5797">
        <f t="shared" si="90"/>
        <v>1.3453284195776313E-11</v>
      </c>
    </row>
    <row r="5798" spans="1:5" x14ac:dyDescent="0.25">
      <c r="A5798">
        <v>6</v>
      </c>
      <c r="B5798">
        <v>18</v>
      </c>
      <c r="C5798">
        <v>12</v>
      </c>
      <c r="D5798">
        <v>12</v>
      </c>
      <c r="E5798">
        <f t="shared" si="90"/>
        <v>6.053977888099337E-11</v>
      </c>
    </row>
    <row r="5799" spans="1:5" x14ac:dyDescent="0.25">
      <c r="A5799">
        <v>6</v>
      </c>
      <c r="B5799">
        <v>18</v>
      </c>
      <c r="C5799">
        <v>13</v>
      </c>
      <c r="D5799">
        <v>11</v>
      </c>
      <c r="E5799">
        <f t="shared" si="90"/>
        <v>2.1155658993577907E-10</v>
      </c>
    </row>
    <row r="5800" spans="1:5" x14ac:dyDescent="0.25">
      <c r="A5800">
        <v>6</v>
      </c>
      <c r="B5800">
        <v>18</v>
      </c>
      <c r="C5800">
        <v>14</v>
      </c>
      <c r="D5800">
        <v>10</v>
      </c>
      <c r="E5800">
        <f t="shared" si="90"/>
        <v>5.7623985449174119E-10</v>
      </c>
    </row>
    <row r="5801" spans="1:5" x14ac:dyDescent="0.25">
      <c r="A5801">
        <v>6</v>
      </c>
      <c r="B5801">
        <v>18</v>
      </c>
      <c r="C5801">
        <v>15</v>
      </c>
      <c r="D5801">
        <v>9</v>
      </c>
      <c r="E5801">
        <f t="shared" si="90"/>
        <v>1.2245096907949497E-9</v>
      </c>
    </row>
    <row r="5802" spans="1:5" x14ac:dyDescent="0.25">
      <c r="A5802">
        <v>6</v>
      </c>
      <c r="B5802">
        <v>18</v>
      </c>
      <c r="C5802">
        <v>16</v>
      </c>
      <c r="D5802">
        <v>8</v>
      </c>
      <c r="E5802">
        <f t="shared" si="90"/>
        <v>2.0258432384475272E-9</v>
      </c>
    </row>
    <row r="5803" spans="1:5" x14ac:dyDescent="0.25">
      <c r="A5803">
        <v>6</v>
      </c>
      <c r="B5803">
        <v>18</v>
      </c>
      <c r="C5803">
        <v>17</v>
      </c>
      <c r="D5803">
        <v>7</v>
      </c>
      <c r="E5803">
        <f t="shared" si="90"/>
        <v>2.5951978740896443E-9</v>
      </c>
    </row>
    <row r="5804" spans="1:5" x14ac:dyDescent="0.25">
      <c r="A5804">
        <v>6</v>
      </c>
      <c r="B5804">
        <v>18</v>
      </c>
      <c r="C5804">
        <v>18</v>
      </c>
      <c r="D5804">
        <v>6</v>
      </c>
      <c r="E5804">
        <f t="shared" si="90"/>
        <v>2.549668086824911E-9</v>
      </c>
    </row>
    <row r="5805" spans="1:5" x14ac:dyDescent="0.25">
      <c r="A5805">
        <v>6</v>
      </c>
      <c r="B5805">
        <v>18</v>
      </c>
      <c r="C5805">
        <v>19</v>
      </c>
      <c r="D5805">
        <v>5</v>
      </c>
      <c r="E5805">
        <f t="shared" si="90"/>
        <v>1.8921221065384869E-9</v>
      </c>
    </row>
    <row r="5806" spans="1:5" x14ac:dyDescent="0.25">
      <c r="A5806">
        <v>6</v>
      </c>
      <c r="B5806">
        <v>18</v>
      </c>
      <c r="C5806">
        <v>20</v>
      </c>
      <c r="D5806">
        <v>4</v>
      </c>
      <c r="E5806">
        <f t="shared" si="90"/>
        <v>1.0361621059615537E-9</v>
      </c>
    </row>
    <row r="5807" spans="1:5" x14ac:dyDescent="0.25">
      <c r="A5807">
        <v>6</v>
      </c>
      <c r="B5807">
        <v>18</v>
      </c>
      <c r="C5807">
        <v>21</v>
      </c>
      <c r="D5807">
        <v>3</v>
      </c>
      <c r="E5807">
        <f t="shared" si="90"/>
        <v>4.0369952180320219E-10</v>
      </c>
    </row>
    <row r="5808" spans="1:5" x14ac:dyDescent="0.25">
      <c r="A5808">
        <v>6</v>
      </c>
      <c r="B5808">
        <v>18</v>
      </c>
      <c r="C5808">
        <v>22</v>
      </c>
      <c r="D5808">
        <v>2</v>
      </c>
      <c r="E5808">
        <f t="shared" si="90"/>
        <v>1.053129187312702E-10</v>
      </c>
    </row>
    <row r="5809" spans="1:5" x14ac:dyDescent="0.25">
      <c r="A5809">
        <v>6</v>
      </c>
      <c r="B5809">
        <v>18</v>
      </c>
      <c r="C5809">
        <v>23</v>
      </c>
      <c r="D5809">
        <v>1</v>
      </c>
      <c r="E5809">
        <f t="shared" si="90"/>
        <v>1.6407447483494989E-11</v>
      </c>
    </row>
    <row r="5810" spans="1:5" x14ac:dyDescent="0.25">
      <c r="A5810">
        <v>6</v>
      </c>
      <c r="B5810">
        <v>18</v>
      </c>
      <c r="C5810">
        <v>24</v>
      </c>
      <c r="D5810">
        <v>0</v>
      </c>
      <c r="E5810">
        <f t="shared" si="90"/>
        <v>1.1485213238446492E-12</v>
      </c>
    </row>
    <row r="5811" spans="1:5" x14ac:dyDescent="0.25">
      <c r="A5811">
        <v>6</v>
      </c>
      <c r="B5811">
        <v>19</v>
      </c>
      <c r="C5811">
        <v>0</v>
      </c>
      <c r="D5811">
        <v>23</v>
      </c>
      <c r="E5811">
        <f t="shared" si="90"/>
        <v>1.2367455277510162E-26</v>
      </c>
    </row>
    <row r="5812" spans="1:5" x14ac:dyDescent="0.25">
      <c r="A5812">
        <v>6</v>
      </c>
      <c r="B5812">
        <v>19</v>
      </c>
      <c r="C5812">
        <v>1</v>
      </c>
      <c r="D5812">
        <v>22</v>
      </c>
      <c r="E5812">
        <f t="shared" si="90"/>
        <v>6.1631152132925642E-24</v>
      </c>
    </row>
    <row r="5813" spans="1:5" x14ac:dyDescent="0.25">
      <c r="A5813">
        <v>6</v>
      </c>
      <c r="B5813">
        <v>19</v>
      </c>
      <c r="C5813">
        <v>2</v>
      </c>
      <c r="D5813">
        <v>21</v>
      </c>
      <c r="E5813">
        <f t="shared" si="90"/>
        <v>1.0847082775394915E-21</v>
      </c>
    </row>
    <row r="5814" spans="1:5" x14ac:dyDescent="0.25">
      <c r="A5814">
        <v>6</v>
      </c>
      <c r="B5814">
        <v>19</v>
      </c>
      <c r="C5814">
        <v>3</v>
      </c>
      <c r="D5814">
        <v>20</v>
      </c>
      <c r="E5814">
        <f t="shared" si="90"/>
        <v>9.5671270078983112E-20</v>
      </c>
    </row>
    <row r="5815" spans="1:5" x14ac:dyDescent="0.25">
      <c r="A5815">
        <v>6</v>
      </c>
      <c r="B5815">
        <v>19</v>
      </c>
      <c r="C5815">
        <v>4</v>
      </c>
      <c r="D5815">
        <v>19</v>
      </c>
      <c r="E5815">
        <f t="shared" si="90"/>
        <v>4.9430156207474605E-18</v>
      </c>
    </row>
    <row r="5816" spans="1:5" x14ac:dyDescent="0.25">
      <c r="A5816">
        <v>6</v>
      </c>
      <c r="B5816">
        <v>19</v>
      </c>
      <c r="C5816">
        <v>5</v>
      </c>
      <c r="D5816">
        <v>18</v>
      </c>
      <c r="E5816">
        <f t="shared" si="90"/>
        <v>1.6368443155560885E-16</v>
      </c>
    </row>
    <row r="5817" spans="1:5" x14ac:dyDescent="0.25">
      <c r="A5817">
        <v>6</v>
      </c>
      <c r="B5817">
        <v>19</v>
      </c>
      <c r="C5817">
        <v>6</v>
      </c>
      <c r="D5817">
        <v>17</v>
      </c>
      <c r="E5817">
        <f t="shared" si="90"/>
        <v>3.6828997100011975E-15</v>
      </c>
    </row>
    <row r="5818" spans="1:5" x14ac:dyDescent="0.25">
      <c r="A5818">
        <v>6</v>
      </c>
      <c r="B5818">
        <v>19</v>
      </c>
      <c r="C5818">
        <v>7</v>
      </c>
      <c r="D5818">
        <v>16</v>
      </c>
      <c r="E5818">
        <f t="shared" si="90"/>
        <v>5.8634101732241302E-14</v>
      </c>
    </row>
    <row r="5819" spans="1:5" x14ac:dyDescent="0.25">
      <c r="A5819">
        <v>6</v>
      </c>
      <c r="B5819">
        <v>19</v>
      </c>
      <c r="C5819">
        <v>8</v>
      </c>
      <c r="D5819">
        <v>15</v>
      </c>
      <c r="E5819">
        <f t="shared" si="90"/>
        <v>6.8015558009399901E-13</v>
      </c>
    </row>
    <row r="5820" spans="1:5" x14ac:dyDescent="0.25">
      <c r="A5820">
        <v>6</v>
      </c>
      <c r="B5820">
        <v>19</v>
      </c>
      <c r="C5820">
        <v>9</v>
      </c>
      <c r="D5820">
        <v>14</v>
      </c>
      <c r="E5820">
        <f t="shared" si="90"/>
        <v>5.8740709189936283E-12</v>
      </c>
    </row>
    <row r="5821" spans="1:5" x14ac:dyDescent="0.25">
      <c r="A5821">
        <v>6</v>
      </c>
      <c r="B5821">
        <v>19</v>
      </c>
      <c r="C5821">
        <v>10</v>
      </c>
      <c r="D5821">
        <v>13</v>
      </c>
      <c r="E5821">
        <f t="shared" si="90"/>
        <v>3.8377263337425045E-11</v>
      </c>
    </row>
    <row r="5822" spans="1:5" x14ac:dyDescent="0.25">
      <c r="A5822">
        <v>6</v>
      </c>
      <c r="B5822">
        <v>19</v>
      </c>
      <c r="C5822">
        <v>11</v>
      </c>
      <c r="D5822">
        <v>12</v>
      </c>
      <c r="E5822">
        <f t="shared" si="90"/>
        <v>1.9188631668712522E-10</v>
      </c>
    </row>
    <row r="5823" spans="1:5" x14ac:dyDescent="0.25">
      <c r="A5823">
        <v>6</v>
      </c>
      <c r="B5823">
        <v>19</v>
      </c>
      <c r="C5823">
        <v>12</v>
      </c>
      <c r="D5823">
        <v>11</v>
      </c>
      <c r="E5823">
        <f t="shared" si="90"/>
        <v>7.4013293579319678E-10</v>
      </c>
    </row>
    <row r="5824" spans="1:5" x14ac:dyDescent="0.25">
      <c r="A5824">
        <v>6</v>
      </c>
      <c r="B5824">
        <v>19</v>
      </c>
      <c r="C5824">
        <v>13</v>
      </c>
      <c r="D5824">
        <v>10</v>
      </c>
      <c r="E5824">
        <f t="shared" si="90"/>
        <v>2.2128077003458149E-9</v>
      </c>
    </row>
    <row r="5825" spans="1:5" x14ac:dyDescent="0.25">
      <c r="A5825">
        <v>6</v>
      </c>
      <c r="B5825">
        <v>19</v>
      </c>
      <c r="C5825">
        <v>14</v>
      </c>
      <c r="D5825">
        <v>9</v>
      </c>
      <c r="E5825">
        <f t="shared" si="90"/>
        <v>5.1368750186599288E-9</v>
      </c>
    </row>
    <row r="5826" spans="1:5" x14ac:dyDescent="0.25">
      <c r="A5826">
        <v>6</v>
      </c>
      <c r="B5826">
        <v>19</v>
      </c>
      <c r="C5826">
        <v>15</v>
      </c>
      <c r="D5826">
        <v>8</v>
      </c>
      <c r="E5826">
        <f t="shared" si="90"/>
        <v>9.2463750335878683E-9</v>
      </c>
    </row>
    <row r="5827" spans="1:5" x14ac:dyDescent="0.25">
      <c r="A5827">
        <v>6</v>
      </c>
      <c r="B5827">
        <v>19</v>
      </c>
      <c r="C5827">
        <v>16</v>
      </c>
      <c r="D5827">
        <v>7</v>
      </c>
      <c r="E5827">
        <f t="shared" si="90"/>
        <v>1.284218754664982E-8</v>
      </c>
    </row>
    <row r="5828" spans="1:5" x14ac:dyDescent="0.25">
      <c r="A5828">
        <v>6</v>
      </c>
      <c r="B5828">
        <v>19</v>
      </c>
      <c r="C5828">
        <v>17</v>
      </c>
      <c r="D5828">
        <v>6</v>
      </c>
      <c r="E5828">
        <f t="shared" si="90"/>
        <v>1.363736943808325E-8</v>
      </c>
    </row>
    <row r="5829" spans="1:5" x14ac:dyDescent="0.25">
      <c r="A5829">
        <v>6</v>
      </c>
      <c r="B5829">
        <v>19</v>
      </c>
      <c r="C5829">
        <v>18</v>
      </c>
      <c r="D5829">
        <v>5</v>
      </c>
      <c r="E5829">
        <f t="shared" si="90"/>
        <v>1.090989555046659E-8</v>
      </c>
    </row>
    <row r="5830" spans="1:5" x14ac:dyDescent="0.25">
      <c r="A5830">
        <v>6</v>
      </c>
      <c r="B5830">
        <v>19</v>
      </c>
      <c r="C5830">
        <v>19</v>
      </c>
      <c r="D5830">
        <v>4</v>
      </c>
      <c r="E5830">
        <f t="shared" si="90"/>
        <v>6.4256277051620309E-9</v>
      </c>
    </row>
    <row r="5831" spans="1:5" x14ac:dyDescent="0.25">
      <c r="A5831">
        <v>6</v>
      </c>
      <c r="B5831">
        <v>19</v>
      </c>
      <c r="C5831">
        <v>20</v>
      </c>
      <c r="D5831">
        <v>3</v>
      </c>
      <c r="E5831">
        <f t="shared" si="90"/>
        <v>2.6870806767041236E-9</v>
      </c>
    </row>
    <row r="5832" spans="1:5" x14ac:dyDescent="0.25">
      <c r="A5832">
        <v>6</v>
      </c>
      <c r="B5832">
        <v>19</v>
      </c>
      <c r="C5832">
        <v>21</v>
      </c>
      <c r="D5832">
        <v>2</v>
      </c>
      <c r="E5832">
        <f t="shared" si="90"/>
        <v>7.5104739410984735E-10</v>
      </c>
    </row>
    <row r="5833" spans="1:5" x14ac:dyDescent="0.25">
      <c r="A5833">
        <v>6</v>
      </c>
      <c r="B5833">
        <v>19</v>
      </c>
      <c r="C5833">
        <v>22</v>
      </c>
      <c r="D5833">
        <v>1</v>
      </c>
      <c r="E5833">
        <f t="shared" si="90"/>
        <v>1.2517456568497463E-10</v>
      </c>
    </row>
    <row r="5834" spans="1:5" x14ac:dyDescent="0.25">
      <c r="A5834">
        <v>6</v>
      </c>
      <c r="B5834">
        <v>19</v>
      </c>
      <c r="C5834">
        <v>23</v>
      </c>
      <c r="D5834">
        <v>0</v>
      </c>
      <c r="E5834">
        <f t="shared" si="90"/>
        <v>9.3608805642676651E-12</v>
      </c>
    </row>
    <row r="5835" spans="1:5" x14ac:dyDescent="0.25">
      <c r="A5835">
        <v>6</v>
      </c>
      <c r="B5835">
        <v>20</v>
      </c>
      <c r="C5835">
        <v>0</v>
      </c>
      <c r="D5835">
        <v>22</v>
      </c>
      <c r="E5835">
        <f t="shared" si="90"/>
        <v>1.2800316212223017E-24</v>
      </c>
    </row>
    <row r="5836" spans="1:5" x14ac:dyDescent="0.25">
      <c r="A5836">
        <v>6</v>
      </c>
      <c r="B5836">
        <v>20</v>
      </c>
      <c r="C5836">
        <v>1</v>
      </c>
      <c r="D5836">
        <v>21</v>
      </c>
      <c r="E5836">
        <f t="shared" si="90"/>
        <v>4.5761130458697296E-22</v>
      </c>
    </row>
    <row r="5837" spans="1:5" x14ac:dyDescent="0.25">
      <c r="A5837">
        <v>6</v>
      </c>
      <c r="B5837">
        <v>20</v>
      </c>
      <c r="C5837">
        <v>2</v>
      </c>
      <c r="D5837">
        <v>20</v>
      </c>
      <c r="E5837">
        <f t="shared" si="90"/>
        <v>6.1502959336489153E-20</v>
      </c>
    </row>
    <row r="5838" spans="1:5" x14ac:dyDescent="0.25">
      <c r="A5838">
        <v>6</v>
      </c>
      <c r="B5838">
        <v>20</v>
      </c>
      <c r="C5838">
        <v>3</v>
      </c>
      <c r="D5838">
        <v>19</v>
      </c>
      <c r="E5838">
        <f t="shared" ref="E5838:E5901" si="91">COMBIN(A$4,A5838)*COMBIN(B$4,B5838)*COMBIN(C$4,C5838)*COMBIN(D$4,D5838)/COMBIN($G$4,$F$4)</f>
        <v>4.3052071535542401E-18</v>
      </c>
    </row>
    <row r="5839" spans="1:5" x14ac:dyDescent="0.25">
      <c r="A5839">
        <v>6</v>
      </c>
      <c r="B5839">
        <v>20</v>
      </c>
      <c r="C5839">
        <v>4</v>
      </c>
      <c r="D5839">
        <v>18</v>
      </c>
      <c r="E5839">
        <f t="shared" si="91"/>
        <v>1.8112621524596058E-16</v>
      </c>
    </row>
    <row r="5840" spans="1:5" x14ac:dyDescent="0.25">
      <c r="A5840">
        <v>6</v>
      </c>
      <c r="B5840">
        <v>20</v>
      </c>
      <c r="C5840">
        <v>5</v>
      </c>
      <c r="D5840">
        <v>17</v>
      </c>
      <c r="E5840">
        <f t="shared" si="91"/>
        <v>4.9719146085016186E-15</v>
      </c>
    </row>
    <row r="5841" spans="1:5" x14ac:dyDescent="0.25">
      <c r="A5841">
        <v>6</v>
      </c>
      <c r="B5841">
        <v>20</v>
      </c>
      <c r="C5841">
        <v>6</v>
      </c>
      <c r="D5841">
        <v>16</v>
      </c>
      <c r="E5841">
        <f t="shared" si="91"/>
        <v>9.3913942605030551E-14</v>
      </c>
    </row>
    <row r="5842" spans="1:5" x14ac:dyDescent="0.25">
      <c r="A5842">
        <v>6</v>
      </c>
      <c r="B5842">
        <v>20</v>
      </c>
      <c r="C5842">
        <v>7</v>
      </c>
      <c r="D5842">
        <v>15</v>
      </c>
      <c r="E5842">
        <f t="shared" si="91"/>
        <v>1.2664965974164118E-12</v>
      </c>
    </row>
    <row r="5843" spans="1:5" x14ac:dyDescent="0.25">
      <c r="A5843">
        <v>6</v>
      </c>
      <c r="B5843">
        <v>20</v>
      </c>
      <c r="C5843">
        <v>8</v>
      </c>
      <c r="D5843">
        <v>14</v>
      </c>
      <c r="E5843">
        <f t="shared" si="91"/>
        <v>1.2521045906275894E-11</v>
      </c>
    </row>
    <row r="5844" spans="1:5" x14ac:dyDescent="0.25">
      <c r="A5844">
        <v>6</v>
      </c>
      <c r="B5844">
        <v>20</v>
      </c>
      <c r="C5844">
        <v>9</v>
      </c>
      <c r="D5844">
        <v>13</v>
      </c>
      <c r="E5844">
        <f t="shared" si="91"/>
        <v>9.2516616974149649E-11</v>
      </c>
    </row>
    <row r="5845" spans="1:5" x14ac:dyDescent="0.25">
      <c r="A5845">
        <v>6</v>
      </c>
      <c r="B5845">
        <v>20</v>
      </c>
      <c r="C5845">
        <v>10</v>
      </c>
      <c r="D5845">
        <v>12</v>
      </c>
      <c r="E5845">
        <f t="shared" si="91"/>
        <v>5.1809305505523817E-10</v>
      </c>
    </row>
    <row r="5846" spans="1:5" x14ac:dyDescent="0.25">
      <c r="A5846">
        <v>6</v>
      </c>
      <c r="B5846">
        <v>20</v>
      </c>
      <c r="C5846">
        <v>11</v>
      </c>
      <c r="D5846">
        <v>11</v>
      </c>
      <c r="E5846">
        <f t="shared" si="91"/>
        <v>2.2203988073795921E-9</v>
      </c>
    </row>
    <row r="5847" spans="1:5" x14ac:dyDescent="0.25">
      <c r="A5847">
        <v>6</v>
      </c>
      <c r="B5847">
        <v>20</v>
      </c>
      <c r="C5847">
        <v>12</v>
      </c>
      <c r="D5847">
        <v>10</v>
      </c>
      <c r="E5847">
        <f t="shared" si="91"/>
        <v>7.3273160643526481E-9</v>
      </c>
    </row>
    <row r="5848" spans="1:5" x14ac:dyDescent="0.25">
      <c r="A5848">
        <v>6</v>
      </c>
      <c r="B5848">
        <v>20</v>
      </c>
      <c r="C5848">
        <v>13</v>
      </c>
      <c r="D5848">
        <v>9</v>
      </c>
      <c r="E5848">
        <f t="shared" si="91"/>
        <v>1.8670564971667816E-8</v>
      </c>
    </row>
    <row r="5849" spans="1:5" x14ac:dyDescent="0.25">
      <c r="A5849">
        <v>6</v>
      </c>
      <c r="B5849">
        <v>20</v>
      </c>
      <c r="C5849">
        <v>14</v>
      </c>
      <c r="D5849">
        <v>8</v>
      </c>
      <c r="E5849">
        <f t="shared" si="91"/>
        <v>3.6713547927481256E-8</v>
      </c>
    </row>
    <row r="5850" spans="1:5" x14ac:dyDescent="0.25">
      <c r="A5850">
        <v>6</v>
      </c>
      <c r="B5850">
        <v>20</v>
      </c>
      <c r="C5850">
        <v>15</v>
      </c>
      <c r="D5850">
        <v>7</v>
      </c>
      <c r="E5850">
        <f t="shared" si="91"/>
        <v>5.5478250201527226E-8</v>
      </c>
    </row>
    <row r="5851" spans="1:5" x14ac:dyDescent="0.25">
      <c r="A5851">
        <v>6</v>
      </c>
      <c r="B5851">
        <v>20</v>
      </c>
      <c r="C5851">
        <v>16</v>
      </c>
      <c r="D5851">
        <v>6</v>
      </c>
      <c r="E5851">
        <f t="shared" si="91"/>
        <v>6.3872985429389884E-8</v>
      </c>
    </row>
    <row r="5852" spans="1:5" x14ac:dyDescent="0.25">
      <c r="A5852">
        <v>6</v>
      </c>
      <c r="B5852">
        <v>20</v>
      </c>
      <c r="C5852">
        <v>17</v>
      </c>
      <c r="D5852">
        <v>5</v>
      </c>
      <c r="E5852">
        <f t="shared" si="91"/>
        <v>5.5231346224237161E-8</v>
      </c>
    </row>
    <row r="5853" spans="1:5" x14ac:dyDescent="0.25">
      <c r="A5853">
        <v>6</v>
      </c>
      <c r="B5853">
        <v>20</v>
      </c>
      <c r="C5853">
        <v>18</v>
      </c>
      <c r="D5853">
        <v>4</v>
      </c>
      <c r="E5853">
        <f t="shared" si="91"/>
        <v>3.5067521412214046E-8</v>
      </c>
    </row>
    <row r="5854" spans="1:5" x14ac:dyDescent="0.25">
      <c r="A5854">
        <v>6</v>
      </c>
      <c r="B5854">
        <v>20</v>
      </c>
      <c r="C5854">
        <v>19</v>
      </c>
      <c r="D5854">
        <v>3</v>
      </c>
      <c r="E5854">
        <f t="shared" si="91"/>
        <v>1.5771995276306802E-8</v>
      </c>
    </row>
    <row r="5855" spans="1:5" x14ac:dyDescent="0.25">
      <c r="A5855">
        <v>6</v>
      </c>
      <c r="B5855">
        <v>20</v>
      </c>
      <c r="C5855">
        <v>20</v>
      </c>
      <c r="D5855">
        <v>2</v>
      </c>
      <c r="E5855">
        <f t="shared" si="91"/>
        <v>4.7315985828920438E-9</v>
      </c>
    </row>
    <row r="5856" spans="1:5" x14ac:dyDescent="0.25">
      <c r="A5856">
        <v>6</v>
      </c>
      <c r="B5856">
        <v>20</v>
      </c>
      <c r="C5856">
        <v>21</v>
      </c>
      <c r="D5856">
        <v>1</v>
      </c>
      <c r="E5856">
        <f t="shared" si="91"/>
        <v>8.4492831837357831E-10</v>
      </c>
    </row>
    <row r="5857" spans="1:5" x14ac:dyDescent="0.25">
      <c r="A5857">
        <v>6</v>
      </c>
      <c r="B5857">
        <v>20</v>
      </c>
      <c r="C5857">
        <v>22</v>
      </c>
      <c r="D5857">
        <v>0</v>
      </c>
      <c r="E5857">
        <f t="shared" si="91"/>
        <v>6.7594265469886302E-11</v>
      </c>
    </row>
    <row r="5858" spans="1:5" x14ac:dyDescent="0.25">
      <c r="A5858">
        <v>6</v>
      </c>
      <c r="B5858">
        <v>21</v>
      </c>
      <c r="C5858">
        <v>0</v>
      </c>
      <c r="D5858">
        <v>21</v>
      </c>
      <c r="E5858">
        <f t="shared" si="91"/>
        <v>9.0181275409447455E-23</v>
      </c>
    </row>
    <row r="5859" spans="1:5" x14ac:dyDescent="0.25">
      <c r="A5859">
        <v>6</v>
      </c>
      <c r="B5859">
        <v>21</v>
      </c>
      <c r="C5859">
        <v>1</v>
      </c>
      <c r="D5859">
        <v>20</v>
      </c>
      <c r="E5859">
        <f t="shared" si="91"/>
        <v>2.4619488186779148E-20</v>
      </c>
    </row>
    <row r="5860" spans="1:5" x14ac:dyDescent="0.25">
      <c r="A5860">
        <v>6</v>
      </c>
      <c r="B5860">
        <v>21</v>
      </c>
      <c r="C5860">
        <v>2</v>
      </c>
      <c r="D5860">
        <v>19</v>
      </c>
      <c r="E5860">
        <f t="shared" si="91"/>
        <v>2.6260787399231087E-18</v>
      </c>
    </row>
    <row r="5861" spans="1:5" x14ac:dyDescent="0.25">
      <c r="A5861">
        <v>6</v>
      </c>
      <c r="B5861">
        <v>21</v>
      </c>
      <c r="C5861">
        <v>3</v>
      </c>
      <c r="D5861">
        <v>18</v>
      </c>
      <c r="E5861">
        <f t="shared" si="91"/>
        <v>1.4968648817561727E-16</v>
      </c>
    </row>
    <row r="5862" spans="1:5" x14ac:dyDescent="0.25">
      <c r="A5862">
        <v>6</v>
      </c>
      <c r="B5862">
        <v>21</v>
      </c>
      <c r="C5862">
        <v>4</v>
      </c>
      <c r="D5862">
        <v>17</v>
      </c>
      <c r="E5862">
        <f t="shared" si="91"/>
        <v>5.2203162751246521E-15</v>
      </c>
    </row>
    <row r="5863" spans="1:5" x14ac:dyDescent="0.25">
      <c r="A5863">
        <v>6</v>
      </c>
      <c r="B5863">
        <v>21</v>
      </c>
      <c r="C5863">
        <v>5</v>
      </c>
      <c r="D5863">
        <v>16</v>
      </c>
      <c r="E5863">
        <f t="shared" si="91"/>
        <v>1.2029928838453918E-13</v>
      </c>
    </row>
    <row r="5864" spans="1:5" x14ac:dyDescent="0.25">
      <c r="A5864">
        <v>6</v>
      </c>
      <c r="B5864">
        <v>21</v>
      </c>
      <c r="C5864">
        <v>6</v>
      </c>
      <c r="D5864">
        <v>15</v>
      </c>
      <c r="E5864">
        <f t="shared" si="91"/>
        <v>1.9247886141526264E-12</v>
      </c>
    </row>
    <row r="5865" spans="1:5" x14ac:dyDescent="0.25">
      <c r="A5865">
        <v>6</v>
      </c>
      <c r="B5865">
        <v>21</v>
      </c>
      <c r="C5865">
        <v>7</v>
      </c>
      <c r="D5865">
        <v>14</v>
      </c>
      <c r="E5865">
        <f t="shared" si="91"/>
        <v>2.2122570435390581E-11</v>
      </c>
    </row>
    <row r="5866" spans="1:5" x14ac:dyDescent="0.25">
      <c r="A5866">
        <v>6</v>
      </c>
      <c r="B5866">
        <v>21</v>
      </c>
      <c r="C5866">
        <v>8</v>
      </c>
      <c r="D5866">
        <v>13</v>
      </c>
      <c r="E5866">
        <f t="shared" si="91"/>
        <v>1.8712007493267874E-10</v>
      </c>
    </row>
    <row r="5867" spans="1:5" x14ac:dyDescent="0.25">
      <c r="A5867">
        <v>6</v>
      </c>
      <c r="B5867">
        <v>21</v>
      </c>
      <c r="C5867">
        <v>9</v>
      </c>
      <c r="D5867">
        <v>12</v>
      </c>
      <c r="E5867">
        <f t="shared" si="91"/>
        <v>1.1850938079069652E-9</v>
      </c>
    </row>
    <row r="5868" spans="1:5" x14ac:dyDescent="0.25">
      <c r="A5868">
        <v>6</v>
      </c>
      <c r="B5868">
        <v>21</v>
      </c>
      <c r="C5868">
        <v>10</v>
      </c>
      <c r="D5868">
        <v>11</v>
      </c>
      <c r="E5868">
        <f t="shared" si="91"/>
        <v>5.6884502779534329E-9</v>
      </c>
    </row>
    <row r="5869" spans="1:5" x14ac:dyDescent="0.25">
      <c r="A5869">
        <v>6</v>
      </c>
      <c r="B5869">
        <v>21</v>
      </c>
      <c r="C5869">
        <v>11</v>
      </c>
      <c r="D5869">
        <v>10</v>
      </c>
      <c r="E5869">
        <f t="shared" si="91"/>
        <v>2.0857651019162587E-8</v>
      </c>
    </row>
    <row r="5870" spans="1:5" x14ac:dyDescent="0.25">
      <c r="A5870">
        <v>6</v>
      </c>
      <c r="B5870">
        <v>21</v>
      </c>
      <c r="C5870">
        <v>12</v>
      </c>
      <c r="D5870">
        <v>9</v>
      </c>
      <c r="E5870">
        <f t="shared" si="91"/>
        <v>5.8662143491394745E-8</v>
      </c>
    </row>
    <row r="5871" spans="1:5" x14ac:dyDescent="0.25">
      <c r="A5871">
        <v>6</v>
      </c>
      <c r="B5871">
        <v>21</v>
      </c>
      <c r="C5871">
        <v>13</v>
      </c>
      <c r="D5871">
        <v>8</v>
      </c>
      <c r="E5871">
        <f t="shared" si="91"/>
        <v>1.2661467169862128E-7</v>
      </c>
    </row>
    <row r="5872" spans="1:5" x14ac:dyDescent="0.25">
      <c r="A5872">
        <v>6</v>
      </c>
      <c r="B5872">
        <v>21</v>
      </c>
      <c r="C5872">
        <v>14</v>
      </c>
      <c r="D5872">
        <v>7</v>
      </c>
      <c r="E5872">
        <f t="shared" si="91"/>
        <v>2.0901469613740664E-7</v>
      </c>
    </row>
    <row r="5873" spans="1:5" x14ac:dyDescent="0.25">
      <c r="A5873">
        <v>6</v>
      </c>
      <c r="B5873">
        <v>21</v>
      </c>
      <c r="C5873">
        <v>15</v>
      </c>
      <c r="D5873">
        <v>6</v>
      </c>
      <c r="E5873">
        <f t="shared" si="91"/>
        <v>2.6181840884580395E-7</v>
      </c>
    </row>
    <row r="5874" spans="1:5" x14ac:dyDescent="0.25">
      <c r="A5874">
        <v>6</v>
      </c>
      <c r="B5874">
        <v>21</v>
      </c>
      <c r="C5874">
        <v>16</v>
      </c>
      <c r="D5874">
        <v>5</v>
      </c>
      <c r="E5874">
        <f t="shared" si="91"/>
        <v>2.4545475829294123E-7</v>
      </c>
    </row>
    <row r="5875" spans="1:5" x14ac:dyDescent="0.25">
      <c r="A5875">
        <v>6</v>
      </c>
      <c r="B5875">
        <v>21</v>
      </c>
      <c r="C5875">
        <v>17</v>
      </c>
      <c r="D5875">
        <v>4</v>
      </c>
      <c r="E5875">
        <f t="shared" si="91"/>
        <v>1.6844934392652842E-7</v>
      </c>
    </row>
    <row r="5876" spans="1:5" x14ac:dyDescent="0.25">
      <c r="A5876">
        <v>6</v>
      </c>
      <c r="B5876">
        <v>21</v>
      </c>
      <c r="C5876">
        <v>18</v>
      </c>
      <c r="D5876">
        <v>3</v>
      </c>
      <c r="E5876">
        <f t="shared" si="91"/>
        <v>8.1672409176498551E-8</v>
      </c>
    </row>
    <row r="5877" spans="1:5" x14ac:dyDescent="0.25">
      <c r="A5877">
        <v>6</v>
      </c>
      <c r="B5877">
        <v>21</v>
      </c>
      <c r="C5877">
        <v>19</v>
      </c>
      <c r="D5877">
        <v>2</v>
      </c>
      <c r="E5877">
        <f t="shared" si="91"/>
        <v>2.6351967262897708E-8</v>
      </c>
    </row>
    <row r="5878" spans="1:5" x14ac:dyDescent="0.25">
      <c r="A5878">
        <v>6</v>
      </c>
      <c r="B5878">
        <v>21</v>
      </c>
      <c r="C5878">
        <v>20</v>
      </c>
      <c r="D5878">
        <v>1</v>
      </c>
      <c r="E5878">
        <f t="shared" si="91"/>
        <v>5.0507937253887311E-9</v>
      </c>
    </row>
    <row r="5879" spans="1:5" x14ac:dyDescent="0.25">
      <c r="A5879">
        <v>6</v>
      </c>
      <c r="B5879">
        <v>21</v>
      </c>
      <c r="C5879">
        <v>21</v>
      </c>
      <c r="D5879">
        <v>0</v>
      </c>
      <c r="E5879">
        <f t="shared" si="91"/>
        <v>4.3292517646189076E-10</v>
      </c>
    </row>
    <row r="5880" spans="1:5" x14ac:dyDescent="0.25">
      <c r="A5880">
        <v>6</v>
      </c>
      <c r="B5880">
        <v>22</v>
      </c>
      <c r="C5880">
        <v>0</v>
      </c>
      <c r="D5880">
        <v>20</v>
      </c>
      <c r="E5880">
        <f t="shared" si="91"/>
        <v>4.6140019818579096E-21</v>
      </c>
    </row>
    <row r="5881" spans="1:5" x14ac:dyDescent="0.25">
      <c r="A5881">
        <v>6</v>
      </c>
      <c r="B5881">
        <v>22</v>
      </c>
      <c r="C5881">
        <v>1</v>
      </c>
      <c r="D5881">
        <v>19</v>
      </c>
      <c r="E5881">
        <f t="shared" si="91"/>
        <v>9.99700429402547E-19</v>
      </c>
    </row>
    <row r="5882" spans="1:5" x14ac:dyDescent="0.25">
      <c r="A5882">
        <v>6</v>
      </c>
      <c r="B5882">
        <v>22</v>
      </c>
      <c r="C5882">
        <v>2</v>
      </c>
      <c r="D5882">
        <v>18</v>
      </c>
      <c r="E5882">
        <f t="shared" si="91"/>
        <v>8.6831123010964122E-17</v>
      </c>
    </row>
    <row r="5883" spans="1:5" x14ac:dyDescent="0.25">
      <c r="A5883">
        <v>6</v>
      </c>
      <c r="B5883">
        <v>22</v>
      </c>
      <c r="C5883">
        <v>3</v>
      </c>
      <c r="D5883">
        <v>17</v>
      </c>
      <c r="E5883">
        <f t="shared" si="91"/>
        <v>4.1027705622680541E-15</v>
      </c>
    </row>
    <row r="5884" spans="1:5" x14ac:dyDescent="0.25">
      <c r="A5884">
        <v>6</v>
      </c>
      <c r="B5884">
        <v>22</v>
      </c>
      <c r="C5884">
        <v>4</v>
      </c>
      <c r="D5884">
        <v>16</v>
      </c>
      <c r="E5884">
        <f t="shared" si="91"/>
        <v>1.2012000479529248E-13</v>
      </c>
    </row>
    <row r="5885" spans="1:5" x14ac:dyDescent="0.25">
      <c r="A5885">
        <v>6</v>
      </c>
      <c r="B5885">
        <v>22</v>
      </c>
      <c r="C5885">
        <v>5</v>
      </c>
      <c r="D5885">
        <v>15</v>
      </c>
      <c r="E5885">
        <f t="shared" si="91"/>
        <v>2.3447424936041084E-12</v>
      </c>
    </row>
    <row r="5886" spans="1:5" x14ac:dyDescent="0.25">
      <c r="A5886">
        <v>6</v>
      </c>
      <c r="B5886">
        <v>22</v>
      </c>
      <c r="C5886">
        <v>6</v>
      </c>
      <c r="D5886">
        <v>14</v>
      </c>
      <c r="E5886">
        <f t="shared" si="91"/>
        <v>3.1973761276419663E-11</v>
      </c>
    </row>
    <row r="5887" spans="1:5" x14ac:dyDescent="0.25">
      <c r="A5887">
        <v>6</v>
      </c>
      <c r="B5887">
        <v>22</v>
      </c>
      <c r="C5887">
        <v>7</v>
      </c>
      <c r="D5887">
        <v>13</v>
      </c>
      <c r="E5887">
        <f t="shared" si="91"/>
        <v>3.1440865255146014E-10</v>
      </c>
    </row>
    <row r="5888" spans="1:5" x14ac:dyDescent="0.25">
      <c r="A5888">
        <v>6</v>
      </c>
      <c r="B5888">
        <v>22</v>
      </c>
      <c r="C5888">
        <v>8</v>
      </c>
      <c r="D5888">
        <v>12</v>
      </c>
      <c r="E5888">
        <f t="shared" si="91"/>
        <v>2.2794627309980859E-9</v>
      </c>
    </row>
    <row r="5889" spans="1:5" x14ac:dyDescent="0.25">
      <c r="A5889">
        <v>6</v>
      </c>
      <c r="B5889">
        <v>22</v>
      </c>
      <c r="C5889">
        <v>9</v>
      </c>
      <c r="D5889">
        <v>11</v>
      </c>
      <c r="E5889">
        <f t="shared" si="91"/>
        <v>1.2374226253989607E-8</v>
      </c>
    </row>
    <row r="5890" spans="1:5" x14ac:dyDescent="0.25">
      <c r="A5890">
        <v>6</v>
      </c>
      <c r="B5890">
        <v>22</v>
      </c>
      <c r="C5890">
        <v>10</v>
      </c>
      <c r="D5890">
        <v>10</v>
      </c>
      <c r="E5890">
        <f t="shared" si="91"/>
        <v>5.0816822483050655E-8</v>
      </c>
    </row>
    <row r="5891" spans="1:5" x14ac:dyDescent="0.25">
      <c r="A5891">
        <v>6</v>
      </c>
      <c r="B5891">
        <v>22</v>
      </c>
      <c r="C5891">
        <v>11</v>
      </c>
      <c r="D5891">
        <v>9</v>
      </c>
      <c r="E5891">
        <f t="shared" si="91"/>
        <v>1.5880257025953333E-7</v>
      </c>
    </row>
    <row r="5892" spans="1:5" x14ac:dyDescent="0.25">
      <c r="A5892">
        <v>6</v>
      </c>
      <c r="B5892">
        <v>22</v>
      </c>
      <c r="C5892">
        <v>12</v>
      </c>
      <c r="D5892">
        <v>8</v>
      </c>
      <c r="E5892">
        <f t="shared" si="91"/>
        <v>3.7832377032418204E-7</v>
      </c>
    </row>
    <row r="5893" spans="1:5" x14ac:dyDescent="0.25">
      <c r="A5893">
        <v>6</v>
      </c>
      <c r="B5893">
        <v>22</v>
      </c>
      <c r="C5893">
        <v>13</v>
      </c>
      <c r="D5893">
        <v>7</v>
      </c>
      <c r="E5893">
        <f t="shared" si="91"/>
        <v>6.8550973768142445E-7</v>
      </c>
    </row>
    <row r="5894" spans="1:5" x14ac:dyDescent="0.25">
      <c r="A5894">
        <v>6</v>
      </c>
      <c r="B5894">
        <v>22</v>
      </c>
      <c r="C5894">
        <v>14</v>
      </c>
      <c r="D5894">
        <v>6</v>
      </c>
      <c r="E5894">
        <f t="shared" si="91"/>
        <v>9.3806595682721219E-7</v>
      </c>
    </row>
    <row r="5895" spans="1:5" x14ac:dyDescent="0.25">
      <c r="A5895">
        <v>6</v>
      </c>
      <c r="B5895">
        <v>22</v>
      </c>
      <c r="C5895">
        <v>15</v>
      </c>
      <c r="D5895">
        <v>5</v>
      </c>
      <c r="E5895">
        <f t="shared" si="91"/>
        <v>9.5682727596375625E-7</v>
      </c>
    </row>
    <row r="5896" spans="1:5" x14ac:dyDescent="0.25">
      <c r="A5896">
        <v>6</v>
      </c>
      <c r="B5896">
        <v>22</v>
      </c>
      <c r="C5896">
        <v>16</v>
      </c>
      <c r="D5896">
        <v>4</v>
      </c>
      <c r="E5896">
        <f t="shared" si="91"/>
        <v>7.1192505652065216E-7</v>
      </c>
    </row>
    <row r="5897" spans="1:5" x14ac:dyDescent="0.25">
      <c r="A5897">
        <v>6</v>
      </c>
      <c r="B5897">
        <v>22</v>
      </c>
      <c r="C5897">
        <v>17</v>
      </c>
      <c r="D5897">
        <v>3</v>
      </c>
      <c r="E5897">
        <f t="shared" si="91"/>
        <v>3.7309441464718678E-7</v>
      </c>
    </row>
    <row r="5898" spans="1:5" x14ac:dyDescent="0.25">
      <c r="A5898">
        <v>6</v>
      </c>
      <c r="B5898">
        <v>22</v>
      </c>
      <c r="C5898">
        <v>18</v>
      </c>
      <c r="D5898">
        <v>2</v>
      </c>
      <c r="E5898">
        <f t="shared" si="91"/>
        <v>1.2977197031206486E-7</v>
      </c>
    </row>
    <row r="5899" spans="1:5" x14ac:dyDescent="0.25">
      <c r="A5899">
        <v>6</v>
      </c>
      <c r="B5899">
        <v>22</v>
      </c>
      <c r="C5899">
        <v>19</v>
      </c>
      <c r="D5899">
        <v>1</v>
      </c>
      <c r="E5899">
        <f t="shared" si="91"/>
        <v>2.675123949415373E-8</v>
      </c>
    </row>
    <row r="5900" spans="1:5" x14ac:dyDescent="0.25">
      <c r="A5900">
        <v>6</v>
      </c>
      <c r="B5900">
        <v>22</v>
      </c>
      <c r="C5900">
        <v>20</v>
      </c>
      <c r="D5900">
        <v>0</v>
      </c>
      <c r="E5900">
        <f t="shared" si="91"/>
        <v>2.4611140334621454E-9</v>
      </c>
    </row>
    <row r="5901" spans="1:5" x14ac:dyDescent="0.25">
      <c r="A5901">
        <v>6</v>
      </c>
      <c r="B5901">
        <v>23</v>
      </c>
      <c r="C5901">
        <v>0</v>
      </c>
      <c r="D5901">
        <v>19</v>
      </c>
      <c r="E5901">
        <f t="shared" si="91"/>
        <v>1.78541815819719E-19</v>
      </c>
    </row>
    <row r="5902" spans="1:5" x14ac:dyDescent="0.25">
      <c r="A5902">
        <v>6</v>
      </c>
      <c r="B5902">
        <v>23</v>
      </c>
      <c r="C5902">
        <v>1</v>
      </c>
      <c r="D5902">
        <v>18</v>
      </c>
      <c r="E5902">
        <f t="shared" ref="E5902:E5965" si="92">COMBIN(A$4,A5902)*COMBIN(B$4,B5902)*COMBIN(C$4,C5902)*COMBIN(D$4,D5902)/COMBIN($G$4,$F$4)</f>
        <v>3.1499877505336155E-17</v>
      </c>
    </row>
    <row r="5903" spans="1:5" x14ac:dyDescent="0.25">
      <c r="A5903">
        <v>6</v>
      </c>
      <c r="B5903">
        <v>23</v>
      </c>
      <c r="C5903">
        <v>2</v>
      </c>
      <c r="D5903">
        <v>17</v>
      </c>
      <c r="E5903">
        <f t="shared" si="92"/>
        <v>2.2679911803842027E-15</v>
      </c>
    </row>
    <row r="5904" spans="1:5" x14ac:dyDescent="0.25">
      <c r="A5904">
        <v>6</v>
      </c>
      <c r="B5904">
        <v>23</v>
      </c>
      <c r="C5904">
        <v>3</v>
      </c>
      <c r="D5904">
        <v>16</v>
      </c>
      <c r="E5904">
        <f t="shared" si="92"/>
        <v>8.996365015524004E-14</v>
      </c>
    </row>
    <row r="5905" spans="1:5" x14ac:dyDescent="0.25">
      <c r="A5905">
        <v>6</v>
      </c>
      <c r="B5905">
        <v>23</v>
      </c>
      <c r="C5905">
        <v>4</v>
      </c>
      <c r="D5905">
        <v>15</v>
      </c>
      <c r="E5905">
        <f t="shared" si="92"/>
        <v>2.2310985238499524E-12</v>
      </c>
    </row>
    <row r="5906" spans="1:5" x14ac:dyDescent="0.25">
      <c r="A5906">
        <v>6</v>
      </c>
      <c r="B5906">
        <v>23</v>
      </c>
      <c r="C5906">
        <v>5</v>
      </c>
      <c r="D5906">
        <v>14</v>
      </c>
      <c r="E5906">
        <f t="shared" si="92"/>
        <v>3.7117366351321941E-11</v>
      </c>
    </row>
    <row r="5907" spans="1:5" x14ac:dyDescent="0.25">
      <c r="A5907">
        <v>6</v>
      </c>
      <c r="B5907">
        <v>23</v>
      </c>
      <c r="C5907">
        <v>6</v>
      </c>
      <c r="D5907">
        <v>13</v>
      </c>
      <c r="E5907">
        <f t="shared" si="92"/>
        <v>4.3303594076542268E-10</v>
      </c>
    </row>
    <row r="5908" spans="1:5" x14ac:dyDescent="0.25">
      <c r="A5908">
        <v>6</v>
      </c>
      <c r="B5908">
        <v>23</v>
      </c>
      <c r="C5908">
        <v>7</v>
      </c>
      <c r="D5908">
        <v>12</v>
      </c>
      <c r="E5908">
        <f t="shared" si="92"/>
        <v>3.649874357879991E-9</v>
      </c>
    </row>
    <row r="5909" spans="1:5" x14ac:dyDescent="0.25">
      <c r="A5909">
        <v>6</v>
      </c>
      <c r="B5909">
        <v>23</v>
      </c>
      <c r="C5909">
        <v>8</v>
      </c>
      <c r="D5909">
        <v>11</v>
      </c>
      <c r="E5909">
        <f t="shared" si="92"/>
        <v>2.2681362081111371E-8</v>
      </c>
    </row>
    <row r="5910" spans="1:5" x14ac:dyDescent="0.25">
      <c r="A5910">
        <v>6</v>
      </c>
      <c r="B5910">
        <v>23</v>
      </c>
      <c r="C5910">
        <v>9</v>
      </c>
      <c r="D5910">
        <v>10</v>
      </c>
      <c r="E5910">
        <f t="shared" si="92"/>
        <v>1.0534232611005058E-7</v>
      </c>
    </row>
    <row r="5911" spans="1:5" x14ac:dyDescent="0.25">
      <c r="A5911">
        <v>6</v>
      </c>
      <c r="B5911">
        <v>23</v>
      </c>
      <c r="C5911">
        <v>10</v>
      </c>
      <c r="D5911">
        <v>9</v>
      </c>
      <c r="E5911">
        <f t="shared" si="92"/>
        <v>3.6869814138517711E-7</v>
      </c>
    </row>
    <row r="5912" spans="1:5" x14ac:dyDescent="0.25">
      <c r="A5912">
        <v>6</v>
      </c>
      <c r="B5912">
        <v>23</v>
      </c>
      <c r="C5912">
        <v>11</v>
      </c>
      <c r="D5912">
        <v>8</v>
      </c>
      <c r="E5912">
        <f t="shared" si="92"/>
        <v>9.7596566837252788E-7</v>
      </c>
    </row>
    <row r="5913" spans="1:5" x14ac:dyDescent="0.25">
      <c r="A5913">
        <v>6</v>
      </c>
      <c r="B5913">
        <v>23</v>
      </c>
      <c r="C5913">
        <v>12</v>
      </c>
      <c r="D5913">
        <v>7</v>
      </c>
      <c r="E5913">
        <f t="shared" si="92"/>
        <v>1.9519313367450549E-6</v>
      </c>
    </row>
    <row r="5914" spans="1:5" x14ac:dyDescent="0.25">
      <c r="A5914">
        <v>6</v>
      </c>
      <c r="B5914">
        <v>23</v>
      </c>
      <c r="C5914">
        <v>13</v>
      </c>
      <c r="D5914">
        <v>6</v>
      </c>
      <c r="E5914">
        <f t="shared" si="92"/>
        <v>2.9318482831271879E-6</v>
      </c>
    </row>
    <row r="5915" spans="1:5" x14ac:dyDescent="0.25">
      <c r="A5915">
        <v>6</v>
      </c>
      <c r="B5915">
        <v>23</v>
      </c>
      <c r="C5915">
        <v>14</v>
      </c>
      <c r="D5915">
        <v>5</v>
      </c>
      <c r="E5915">
        <f t="shared" si="92"/>
        <v>3.2669166583417241E-6</v>
      </c>
    </row>
    <row r="5916" spans="1:5" x14ac:dyDescent="0.25">
      <c r="A5916">
        <v>6</v>
      </c>
      <c r="B5916">
        <v>23</v>
      </c>
      <c r="C5916">
        <v>15</v>
      </c>
      <c r="D5916">
        <v>4</v>
      </c>
      <c r="E5916">
        <f t="shared" si="92"/>
        <v>2.6446468186575858E-6</v>
      </c>
    </row>
    <row r="5917" spans="1:5" x14ac:dyDescent="0.25">
      <c r="A5917">
        <v>6</v>
      </c>
      <c r="B5917">
        <v>23</v>
      </c>
      <c r="C5917">
        <v>16</v>
      </c>
      <c r="D5917">
        <v>3</v>
      </c>
      <c r="E5917">
        <f t="shared" si="92"/>
        <v>1.5026402378736283E-6</v>
      </c>
    </row>
    <row r="5918" spans="1:5" x14ac:dyDescent="0.25">
      <c r="A5918">
        <v>6</v>
      </c>
      <c r="B5918">
        <v>23</v>
      </c>
      <c r="C5918">
        <v>17</v>
      </c>
      <c r="D5918">
        <v>2</v>
      </c>
      <c r="E5918">
        <f t="shared" si="92"/>
        <v>5.6493124032589128E-7</v>
      </c>
    </row>
    <row r="5919" spans="1:5" x14ac:dyDescent="0.25">
      <c r="A5919">
        <v>6</v>
      </c>
      <c r="B5919">
        <v>23</v>
      </c>
      <c r="C5919">
        <v>18</v>
      </c>
      <c r="D5919">
        <v>1</v>
      </c>
      <c r="E5919">
        <f t="shared" si="92"/>
        <v>1.2554027562797571E-7</v>
      </c>
    </row>
    <row r="5920" spans="1:5" x14ac:dyDescent="0.25">
      <c r="A5920">
        <v>6</v>
      </c>
      <c r="B5920">
        <v>23</v>
      </c>
      <c r="C5920">
        <v>19</v>
      </c>
      <c r="D5920">
        <v>0</v>
      </c>
      <c r="E5920">
        <f t="shared" si="92"/>
        <v>1.2421879904241812E-8</v>
      </c>
    </row>
    <row r="5921" spans="1:5" x14ac:dyDescent="0.25">
      <c r="A5921">
        <v>6</v>
      </c>
      <c r="B5921">
        <v>24</v>
      </c>
      <c r="C5921">
        <v>0</v>
      </c>
      <c r="D5921">
        <v>18</v>
      </c>
      <c r="E5921">
        <f t="shared" si="92"/>
        <v>5.3711329592432185E-18</v>
      </c>
    </row>
    <row r="5922" spans="1:5" x14ac:dyDescent="0.25">
      <c r="A5922">
        <v>6</v>
      </c>
      <c r="B5922">
        <v>24</v>
      </c>
      <c r="C5922">
        <v>1</v>
      </c>
      <c r="D5922">
        <v>17</v>
      </c>
      <c r="E5922">
        <f t="shared" si="92"/>
        <v>7.8552819528932055E-16</v>
      </c>
    </row>
    <row r="5923" spans="1:5" x14ac:dyDescent="0.25">
      <c r="A5923">
        <v>6</v>
      </c>
      <c r="B5923">
        <v>24</v>
      </c>
      <c r="C5923">
        <v>2</v>
      </c>
      <c r="D5923">
        <v>16</v>
      </c>
      <c r="E5923">
        <f t="shared" si="92"/>
        <v>4.7480815359710048E-14</v>
      </c>
    </row>
    <row r="5924" spans="1:5" x14ac:dyDescent="0.25">
      <c r="A5924">
        <v>6</v>
      </c>
      <c r="B5924">
        <v>24</v>
      </c>
      <c r="C5924">
        <v>3</v>
      </c>
      <c r="D5924">
        <v>15</v>
      </c>
      <c r="E5924">
        <f t="shared" si="92"/>
        <v>1.5953553960862571E-12</v>
      </c>
    </row>
    <row r="5925" spans="1:5" x14ac:dyDescent="0.25">
      <c r="A5925">
        <v>6</v>
      </c>
      <c r="B5925">
        <v>24</v>
      </c>
      <c r="C5925">
        <v>4</v>
      </c>
      <c r="D5925">
        <v>14</v>
      </c>
      <c r="E5925">
        <f t="shared" si="92"/>
        <v>3.3720011780914075E-11</v>
      </c>
    </row>
    <row r="5926" spans="1:5" x14ac:dyDescent="0.25">
      <c r="A5926">
        <v>6</v>
      </c>
      <c r="B5926">
        <v>24</v>
      </c>
      <c r="C5926">
        <v>5</v>
      </c>
      <c r="D5926">
        <v>13</v>
      </c>
      <c r="E5926">
        <f t="shared" si="92"/>
        <v>4.7994816768167723E-10</v>
      </c>
    </row>
    <row r="5927" spans="1:5" x14ac:dyDescent="0.25">
      <c r="A5927">
        <v>6</v>
      </c>
      <c r="B5927">
        <v>24</v>
      </c>
      <c r="C5927">
        <v>6</v>
      </c>
      <c r="D5927">
        <v>12</v>
      </c>
      <c r="E5927">
        <f t="shared" si="92"/>
        <v>4.7994816768167713E-9</v>
      </c>
    </row>
    <row r="5928" spans="1:5" x14ac:dyDescent="0.25">
      <c r="A5928">
        <v>6</v>
      </c>
      <c r="B5928">
        <v>24</v>
      </c>
      <c r="C5928">
        <v>7</v>
      </c>
      <c r="D5928">
        <v>11</v>
      </c>
      <c r="E5928">
        <f t="shared" si="92"/>
        <v>3.467380639985993E-8</v>
      </c>
    </row>
    <row r="5929" spans="1:5" x14ac:dyDescent="0.25">
      <c r="A5929">
        <v>6</v>
      </c>
      <c r="B5929">
        <v>24</v>
      </c>
      <c r="C5929">
        <v>8</v>
      </c>
      <c r="D5929">
        <v>10</v>
      </c>
      <c r="E5929">
        <f t="shared" si="92"/>
        <v>1.8434907069258866E-7</v>
      </c>
    </row>
    <row r="5930" spans="1:5" x14ac:dyDescent="0.25">
      <c r="A5930">
        <v>6</v>
      </c>
      <c r="B5930">
        <v>24</v>
      </c>
      <c r="C5930">
        <v>9</v>
      </c>
      <c r="D5930">
        <v>9</v>
      </c>
      <c r="E5930">
        <f t="shared" si="92"/>
        <v>7.297150714914967E-7</v>
      </c>
    </row>
    <row r="5931" spans="1:5" x14ac:dyDescent="0.25">
      <c r="A5931">
        <v>6</v>
      </c>
      <c r="B5931">
        <v>24</v>
      </c>
      <c r="C5931">
        <v>10</v>
      </c>
      <c r="D5931">
        <v>8</v>
      </c>
      <c r="E5931">
        <f t="shared" si="92"/>
        <v>2.1633905648924377E-6</v>
      </c>
    </row>
    <row r="5932" spans="1:5" x14ac:dyDescent="0.25">
      <c r="A5932">
        <v>6</v>
      </c>
      <c r="B5932">
        <v>24</v>
      </c>
      <c r="C5932">
        <v>11</v>
      </c>
      <c r="D5932">
        <v>7</v>
      </c>
      <c r="E5932">
        <f t="shared" si="92"/>
        <v>4.8075345886498638E-6</v>
      </c>
    </row>
    <row r="5933" spans="1:5" x14ac:dyDescent="0.25">
      <c r="A5933">
        <v>6</v>
      </c>
      <c r="B5933">
        <v>24</v>
      </c>
      <c r="C5933">
        <v>12</v>
      </c>
      <c r="D5933">
        <v>6</v>
      </c>
      <c r="E5933">
        <f t="shared" si="92"/>
        <v>7.9703862917089762E-6</v>
      </c>
    </row>
    <row r="5934" spans="1:5" x14ac:dyDescent="0.25">
      <c r="A5934">
        <v>6</v>
      </c>
      <c r="B5934">
        <v>24</v>
      </c>
      <c r="C5934">
        <v>13</v>
      </c>
      <c r="D5934">
        <v>5</v>
      </c>
      <c r="E5934">
        <f t="shared" si="92"/>
        <v>9.7483955413979043E-6</v>
      </c>
    </row>
    <row r="5935" spans="1:5" x14ac:dyDescent="0.25">
      <c r="A5935">
        <v>6</v>
      </c>
      <c r="B5935">
        <v>24</v>
      </c>
      <c r="C5935">
        <v>14</v>
      </c>
      <c r="D5935">
        <v>4</v>
      </c>
      <c r="E5935">
        <f t="shared" si="92"/>
        <v>8.6210300706240025E-6</v>
      </c>
    </row>
    <row r="5936" spans="1:5" x14ac:dyDescent="0.25">
      <c r="A5936">
        <v>6</v>
      </c>
      <c r="B5936">
        <v>24</v>
      </c>
      <c r="C5936">
        <v>15</v>
      </c>
      <c r="D5936">
        <v>3</v>
      </c>
      <c r="E5936">
        <f t="shared" si="92"/>
        <v>5.329364043658471E-6</v>
      </c>
    </row>
    <row r="5937" spans="1:5" x14ac:dyDescent="0.25">
      <c r="A5937">
        <v>6</v>
      </c>
      <c r="B5937">
        <v>24</v>
      </c>
      <c r="C5937">
        <v>16</v>
      </c>
      <c r="D5937">
        <v>2</v>
      </c>
      <c r="E5937">
        <f t="shared" si="92"/>
        <v>2.1722951264912252E-6</v>
      </c>
    </row>
    <row r="5938" spans="1:5" x14ac:dyDescent="0.25">
      <c r="A5938">
        <v>6</v>
      </c>
      <c r="B5938">
        <v>24</v>
      </c>
      <c r="C5938">
        <v>17</v>
      </c>
      <c r="D5938">
        <v>1</v>
      </c>
      <c r="E5938">
        <f t="shared" si="92"/>
        <v>5.217767705787749E-7</v>
      </c>
    </row>
    <row r="5939" spans="1:5" x14ac:dyDescent="0.25">
      <c r="A5939">
        <v>6</v>
      </c>
      <c r="B5939">
        <v>24</v>
      </c>
      <c r="C5939">
        <v>18</v>
      </c>
      <c r="D5939">
        <v>0</v>
      </c>
      <c r="E5939">
        <f t="shared" si="92"/>
        <v>5.5656188861735936E-8</v>
      </c>
    </row>
    <row r="5940" spans="1:5" x14ac:dyDescent="0.25">
      <c r="A5940">
        <v>6</v>
      </c>
      <c r="B5940">
        <v>25</v>
      </c>
      <c r="C5940">
        <v>0</v>
      </c>
      <c r="D5940">
        <v>17</v>
      </c>
      <c r="E5940">
        <f t="shared" si="92"/>
        <v>1.2810152107795079E-16</v>
      </c>
    </row>
    <row r="5941" spans="1:5" x14ac:dyDescent="0.25">
      <c r="A5941">
        <v>6</v>
      </c>
      <c r="B5941">
        <v>25</v>
      </c>
      <c r="C5941">
        <v>1</v>
      </c>
      <c r="D5941">
        <v>16</v>
      </c>
      <c r="E5941">
        <f t="shared" si="92"/>
        <v>1.572802008790396E-14</v>
      </c>
    </row>
    <row r="5942" spans="1:5" x14ac:dyDescent="0.25">
      <c r="A5942">
        <v>6</v>
      </c>
      <c r="B5942">
        <v>25</v>
      </c>
      <c r="C5942">
        <v>2</v>
      </c>
      <c r="D5942">
        <v>15</v>
      </c>
      <c r="E5942">
        <f t="shared" si="92"/>
        <v>8.0527462850068248E-13</v>
      </c>
    </row>
    <row r="5943" spans="1:5" x14ac:dyDescent="0.25">
      <c r="A5943">
        <v>6</v>
      </c>
      <c r="B5943">
        <v>25</v>
      </c>
      <c r="C5943">
        <v>3</v>
      </c>
      <c r="D5943">
        <v>14</v>
      </c>
      <c r="E5943">
        <f t="shared" si="92"/>
        <v>2.3060137088883184E-11</v>
      </c>
    </row>
    <row r="5944" spans="1:5" x14ac:dyDescent="0.25">
      <c r="A5944">
        <v>6</v>
      </c>
      <c r="B5944">
        <v>25</v>
      </c>
      <c r="C5944">
        <v>4</v>
      </c>
      <c r="D5944">
        <v>13</v>
      </c>
      <c r="E5944">
        <f t="shared" si="92"/>
        <v>4.1700414569063761E-10</v>
      </c>
    </row>
    <row r="5945" spans="1:5" x14ac:dyDescent="0.25">
      <c r="A5945">
        <v>6</v>
      </c>
      <c r="B5945">
        <v>25</v>
      </c>
      <c r="C5945">
        <v>5</v>
      </c>
      <c r="D5945">
        <v>12</v>
      </c>
      <c r="E5945">
        <f t="shared" si="92"/>
        <v>5.0874505774257795E-9</v>
      </c>
    </row>
    <row r="5946" spans="1:5" x14ac:dyDescent="0.25">
      <c r="A5946">
        <v>6</v>
      </c>
      <c r="B5946">
        <v>25</v>
      </c>
      <c r="C5946">
        <v>6</v>
      </c>
      <c r="D5946">
        <v>11</v>
      </c>
      <c r="E5946">
        <f t="shared" si="92"/>
        <v>4.3606719235078107E-8</v>
      </c>
    </row>
    <row r="5947" spans="1:5" x14ac:dyDescent="0.25">
      <c r="A5947">
        <v>6</v>
      </c>
      <c r="B5947">
        <v>25</v>
      </c>
      <c r="C5947">
        <v>7</v>
      </c>
      <c r="D5947">
        <v>10</v>
      </c>
      <c r="E5947">
        <f t="shared" si="92"/>
        <v>2.6953105508157792E-7</v>
      </c>
    </row>
    <row r="5948" spans="1:5" x14ac:dyDescent="0.25">
      <c r="A5948">
        <v>6</v>
      </c>
      <c r="B5948">
        <v>25</v>
      </c>
      <c r="C5948">
        <v>8</v>
      </c>
      <c r="D5948">
        <v>9</v>
      </c>
      <c r="E5948">
        <f t="shared" si="92"/>
        <v>1.2213125933384004E-6</v>
      </c>
    </row>
    <row r="5949" spans="1:5" x14ac:dyDescent="0.25">
      <c r="A5949">
        <v>6</v>
      </c>
      <c r="B5949">
        <v>25</v>
      </c>
      <c r="C5949">
        <v>9</v>
      </c>
      <c r="D5949">
        <v>8</v>
      </c>
      <c r="E5949">
        <f t="shared" si="92"/>
        <v>4.0949892835464014E-6</v>
      </c>
    </row>
    <row r="5950" spans="1:5" x14ac:dyDescent="0.25">
      <c r="A5950">
        <v>6</v>
      </c>
      <c r="B5950">
        <v>25</v>
      </c>
      <c r="C5950">
        <v>10</v>
      </c>
      <c r="D5950">
        <v>7</v>
      </c>
      <c r="E5950">
        <f t="shared" si="92"/>
        <v>1.0191973327937712E-5</v>
      </c>
    </row>
    <row r="5951" spans="1:5" x14ac:dyDescent="0.25">
      <c r="A5951">
        <v>6</v>
      </c>
      <c r="B5951">
        <v>25</v>
      </c>
      <c r="C5951">
        <v>11</v>
      </c>
      <c r="D5951">
        <v>6</v>
      </c>
      <c r="E5951">
        <f t="shared" si="92"/>
        <v>1.8774687709358935E-5</v>
      </c>
    </row>
    <row r="5952" spans="1:5" x14ac:dyDescent="0.25">
      <c r="A5952">
        <v>6</v>
      </c>
      <c r="B5952">
        <v>25</v>
      </c>
      <c r="C5952">
        <v>12</v>
      </c>
      <c r="D5952">
        <v>5</v>
      </c>
      <c r="E5952">
        <f t="shared" si="92"/>
        <v>2.5345828407634552E-5</v>
      </c>
    </row>
    <row r="5953" spans="1:5" x14ac:dyDescent="0.25">
      <c r="A5953">
        <v>6</v>
      </c>
      <c r="B5953">
        <v>25</v>
      </c>
      <c r="C5953">
        <v>13</v>
      </c>
      <c r="D5953">
        <v>4</v>
      </c>
      <c r="E5953">
        <f t="shared" si="92"/>
        <v>2.460309350924235E-5</v>
      </c>
    </row>
    <row r="5954" spans="1:5" x14ac:dyDescent="0.25">
      <c r="A5954">
        <v>6</v>
      </c>
      <c r="B5954">
        <v>25</v>
      </c>
      <c r="C5954">
        <v>14</v>
      </c>
      <c r="D5954">
        <v>3</v>
      </c>
      <c r="E5954">
        <f t="shared" si="92"/>
        <v>1.6615076136111714E-5</v>
      </c>
    </row>
    <row r="5955" spans="1:5" x14ac:dyDescent="0.25">
      <c r="A5955">
        <v>6</v>
      </c>
      <c r="B5955">
        <v>25</v>
      </c>
      <c r="C5955">
        <v>15</v>
      </c>
      <c r="D5955">
        <v>2</v>
      </c>
      <c r="E5955">
        <f t="shared" si="92"/>
        <v>7.3684250690582359E-6</v>
      </c>
    </row>
    <row r="5956" spans="1:5" x14ac:dyDescent="0.25">
      <c r="A5956">
        <v>6</v>
      </c>
      <c r="B5956">
        <v>25</v>
      </c>
      <c r="C5956">
        <v>16</v>
      </c>
      <c r="D5956">
        <v>1</v>
      </c>
      <c r="E5956">
        <f t="shared" si="92"/>
        <v>1.9188606950672491E-6</v>
      </c>
    </row>
    <row r="5957" spans="1:5" x14ac:dyDescent="0.25">
      <c r="A5957">
        <v>6</v>
      </c>
      <c r="B5957">
        <v>25</v>
      </c>
      <c r="C5957">
        <v>17</v>
      </c>
      <c r="D5957">
        <v>0</v>
      </c>
      <c r="E5957">
        <f t="shared" si="92"/>
        <v>2.2123335072540061E-7</v>
      </c>
    </row>
    <row r="5958" spans="1:5" x14ac:dyDescent="0.25">
      <c r="A5958">
        <v>6</v>
      </c>
      <c r="B5958">
        <v>26</v>
      </c>
      <c r="C5958">
        <v>0</v>
      </c>
      <c r="D5958">
        <v>16</v>
      </c>
      <c r="E5958">
        <f t="shared" si="92"/>
        <v>2.4569214811873617E-15</v>
      </c>
    </row>
    <row r="5959" spans="1:5" x14ac:dyDescent="0.25">
      <c r="A5959">
        <v>6</v>
      </c>
      <c r="B5959">
        <v>26</v>
      </c>
      <c r="C5959">
        <v>1</v>
      </c>
      <c r="D5959">
        <v>15</v>
      </c>
      <c r="E5959">
        <f t="shared" si="92"/>
        <v>2.5551983404348557E-13</v>
      </c>
    </row>
    <row r="5960" spans="1:5" x14ac:dyDescent="0.25">
      <c r="A5960">
        <v>6</v>
      </c>
      <c r="B5960">
        <v>26</v>
      </c>
      <c r="C5960">
        <v>2</v>
      </c>
      <c r="D5960">
        <v>14</v>
      </c>
      <c r="E5960">
        <f t="shared" si="92"/>
        <v>1.1149956394624826E-11</v>
      </c>
    </row>
    <row r="5961" spans="1:5" x14ac:dyDescent="0.25">
      <c r="A5961">
        <v>6</v>
      </c>
      <c r="B5961">
        <v>26</v>
      </c>
      <c r="C5961">
        <v>3</v>
      </c>
      <c r="D5961">
        <v>13</v>
      </c>
      <c r="E5961">
        <f t="shared" si="92"/>
        <v>2.731739316683083E-10</v>
      </c>
    </row>
    <row r="5962" spans="1:5" x14ac:dyDescent="0.25">
      <c r="A5962">
        <v>6</v>
      </c>
      <c r="B5962">
        <v>26</v>
      </c>
      <c r="C5962">
        <v>4</v>
      </c>
      <c r="D5962">
        <v>12</v>
      </c>
      <c r="E5962">
        <f t="shared" si="92"/>
        <v>4.2341959408587787E-9</v>
      </c>
    </row>
    <row r="5963" spans="1:5" x14ac:dyDescent="0.25">
      <c r="A5963">
        <v>6</v>
      </c>
      <c r="B5963">
        <v>26</v>
      </c>
      <c r="C5963">
        <v>5</v>
      </c>
      <c r="D5963">
        <v>11</v>
      </c>
      <c r="E5963">
        <f t="shared" si="92"/>
        <v>4.4277591838694662E-8</v>
      </c>
    </row>
    <row r="5964" spans="1:5" x14ac:dyDescent="0.25">
      <c r="A5964">
        <v>6</v>
      </c>
      <c r="B5964">
        <v>26</v>
      </c>
      <c r="C5964">
        <v>6</v>
      </c>
      <c r="D5964">
        <v>10</v>
      </c>
      <c r="E5964">
        <f t="shared" si="92"/>
        <v>3.2470234015042734E-7</v>
      </c>
    </row>
    <row r="5965" spans="1:5" x14ac:dyDescent="0.25">
      <c r="A5965">
        <v>6</v>
      </c>
      <c r="B5965">
        <v>26</v>
      </c>
      <c r="C5965">
        <v>7</v>
      </c>
      <c r="D5965">
        <v>9</v>
      </c>
      <c r="E5965">
        <f t="shared" si="92"/>
        <v>1.7104855418638588E-6</v>
      </c>
    </row>
    <row r="5966" spans="1:5" x14ac:dyDescent="0.25">
      <c r="A5966">
        <v>6</v>
      </c>
      <c r="B5966">
        <v>26</v>
      </c>
      <c r="C5966">
        <v>8</v>
      </c>
      <c r="D5966">
        <v>8</v>
      </c>
      <c r="E5966">
        <f t="shared" ref="E5966:E6029" si="93">COMBIN(A$4,A5966)*COMBIN(B$4,B5966)*COMBIN(C$4,C5966)*COMBIN(D$4,D5966)/COMBIN($G$4,$F$4)</f>
        <v>6.5652459768598123E-6</v>
      </c>
    </row>
    <row r="5967" spans="1:5" x14ac:dyDescent="0.25">
      <c r="A5967">
        <v>6</v>
      </c>
      <c r="B5967">
        <v>26</v>
      </c>
      <c r="C5967">
        <v>9</v>
      </c>
      <c r="D5967">
        <v>7</v>
      </c>
      <c r="E5967">
        <f t="shared" si="93"/>
        <v>1.8479951638568359E-5</v>
      </c>
    </row>
    <row r="5968" spans="1:5" x14ac:dyDescent="0.25">
      <c r="A5968">
        <v>6</v>
      </c>
      <c r="B5968">
        <v>26</v>
      </c>
      <c r="C5968">
        <v>10</v>
      </c>
      <c r="D5968">
        <v>6</v>
      </c>
      <c r="E5968">
        <f t="shared" si="93"/>
        <v>3.8127058117467344E-5</v>
      </c>
    </row>
    <row r="5969" spans="1:5" x14ac:dyDescent="0.25">
      <c r="A5969">
        <v>6</v>
      </c>
      <c r="B5969">
        <v>26</v>
      </c>
      <c r="C5969">
        <v>11</v>
      </c>
      <c r="D5969">
        <v>5</v>
      </c>
      <c r="E5969">
        <f t="shared" si="93"/>
        <v>5.7190587176201019E-5</v>
      </c>
    </row>
    <row r="5970" spans="1:5" x14ac:dyDescent="0.25">
      <c r="A5970">
        <v>6</v>
      </c>
      <c r="B5970">
        <v>26</v>
      </c>
      <c r="C5970">
        <v>12</v>
      </c>
      <c r="D5970">
        <v>4</v>
      </c>
      <c r="E5970">
        <f t="shared" si="93"/>
        <v>6.1275629117358223E-5</v>
      </c>
    </row>
    <row r="5971" spans="1:5" x14ac:dyDescent="0.25">
      <c r="A5971">
        <v>6</v>
      </c>
      <c r="B5971">
        <v>26</v>
      </c>
      <c r="C5971">
        <v>13</v>
      </c>
      <c r="D5971">
        <v>3</v>
      </c>
      <c r="E5971">
        <f t="shared" si="93"/>
        <v>4.5421095709370446E-5</v>
      </c>
    </row>
    <row r="5972" spans="1:5" x14ac:dyDescent="0.25">
      <c r="A5972">
        <v>6</v>
      </c>
      <c r="B5972">
        <v>26</v>
      </c>
      <c r="C5972">
        <v>14</v>
      </c>
      <c r="D5972">
        <v>2</v>
      </c>
      <c r="E5972">
        <f t="shared" si="93"/>
        <v>2.2005251337458977E-5</v>
      </c>
    </row>
    <row r="5973" spans="1:5" x14ac:dyDescent="0.25">
      <c r="A5973">
        <v>6</v>
      </c>
      <c r="B5973">
        <v>26</v>
      </c>
      <c r="C5973">
        <v>15</v>
      </c>
      <c r="D5973">
        <v>1</v>
      </c>
      <c r="E5973">
        <f t="shared" si="93"/>
        <v>6.2348212122800404E-6</v>
      </c>
    </row>
    <row r="5974" spans="1:5" x14ac:dyDescent="0.25">
      <c r="A5974">
        <v>6</v>
      </c>
      <c r="B5974">
        <v>26</v>
      </c>
      <c r="C5974">
        <v>16</v>
      </c>
      <c r="D5974">
        <v>0</v>
      </c>
      <c r="E5974">
        <f t="shared" si="93"/>
        <v>7.7935265153500526E-7</v>
      </c>
    </row>
    <row r="5975" spans="1:5" x14ac:dyDescent="0.25">
      <c r="A5975">
        <v>6</v>
      </c>
      <c r="B5975">
        <v>27</v>
      </c>
      <c r="C5975">
        <v>0</v>
      </c>
      <c r="D5975">
        <v>15</v>
      </c>
      <c r="E5975">
        <f t="shared" si="93"/>
        <v>3.8291576269764505E-14</v>
      </c>
    </row>
    <row r="5976" spans="1:5" x14ac:dyDescent="0.25">
      <c r="A5976">
        <v>6</v>
      </c>
      <c r="B5976">
        <v>27</v>
      </c>
      <c r="C5976">
        <v>1</v>
      </c>
      <c r="D5976">
        <v>14</v>
      </c>
      <c r="E5976">
        <f t="shared" si="93"/>
        <v>3.3940260784563992E-12</v>
      </c>
    </row>
    <row r="5977" spans="1:5" x14ac:dyDescent="0.25">
      <c r="A5977">
        <v>6</v>
      </c>
      <c r="B5977">
        <v>27</v>
      </c>
      <c r="C5977">
        <v>2</v>
      </c>
      <c r="D5977">
        <v>13</v>
      </c>
      <c r="E5977">
        <f t="shared" si="93"/>
        <v>1.2671030692903894E-10</v>
      </c>
    </row>
    <row r="5978" spans="1:5" x14ac:dyDescent="0.25">
      <c r="A5978">
        <v>6</v>
      </c>
      <c r="B5978">
        <v>27</v>
      </c>
      <c r="C5978">
        <v>3</v>
      </c>
      <c r="D5978">
        <v>12</v>
      </c>
      <c r="E5978">
        <f t="shared" si="93"/>
        <v>2.6609164455098176E-9</v>
      </c>
    </row>
    <row r="5979" spans="1:5" x14ac:dyDescent="0.25">
      <c r="A5979">
        <v>6</v>
      </c>
      <c r="B5979">
        <v>27</v>
      </c>
      <c r="C5979">
        <v>4</v>
      </c>
      <c r="D5979">
        <v>11</v>
      </c>
      <c r="E5979">
        <f t="shared" si="93"/>
        <v>3.5352175633201859E-8</v>
      </c>
    </row>
    <row r="5980" spans="1:5" x14ac:dyDescent="0.25">
      <c r="A5980">
        <v>6</v>
      </c>
      <c r="B5980">
        <v>27</v>
      </c>
      <c r="C5980">
        <v>5</v>
      </c>
      <c r="D5980">
        <v>10</v>
      </c>
      <c r="E5980">
        <f t="shared" si="93"/>
        <v>3.1628413133171263E-7</v>
      </c>
    </row>
    <row r="5981" spans="1:5" x14ac:dyDescent="0.25">
      <c r="A5981">
        <v>6</v>
      </c>
      <c r="B5981">
        <v>27</v>
      </c>
      <c r="C5981">
        <v>6</v>
      </c>
      <c r="D5981">
        <v>9</v>
      </c>
      <c r="E5981">
        <f t="shared" si="93"/>
        <v>1.9767758208232036E-6</v>
      </c>
    </row>
    <row r="5982" spans="1:5" x14ac:dyDescent="0.25">
      <c r="A5982">
        <v>6</v>
      </c>
      <c r="B5982">
        <v>27</v>
      </c>
      <c r="C5982">
        <v>7</v>
      </c>
      <c r="D5982">
        <v>8</v>
      </c>
      <c r="E5982">
        <f t="shared" si="93"/>
        <v>8.8207391668665648E-6</v>
      </c>
    </row>
    <row r="5983" spans="1:5" x14ac:dyDescent="0.25">
      <c r="A5983">
        <v>6</v>
      </c>
      <c r="B5983">
        <v>27</v>
      </c>
      <c r="C5983">
        <v>8</v>
      </c>
      <c r="D5983">
        <v>7</v>
      </c>
      <c r="E5983">
        <f t="shared" si="93"/>
        <v>2.842238175990339E-5</v>
      </c>
    </row>
    <row r="5984" spans="1:5" x14ac:dyDescent="0.25">
      <c r="A5984">
        <v>6</v>
      </c>
      <c r="B5984">
        <v>27</v>
      </c>
      <c r="C5984">
        <v>9</v>
      </c>
      <c r="D5984">
        <v>6</v>
      </c>
      <c r="E5984">
        <f t="shared" si="93"/>
        <v>6.6318890773107861E-5</v>
      </c>
    </row>
    <row r="5985" spans="1:5" x14ac:dyDescent="0.25">
      <c r="A5985">
        <v>6</v>
      </c>
      <c r="B5985">
        <v>27</v>
      </c>
      <c r="C5985">
        <v>10</v>
      </c>
      <c r="D5985">
        <v>5</v>
      </c>
      <c r="E5985">
        <f t="shared" si="93"/>
        <v>1.1141573649882124E-4</v>
      </c>
    </row>
    <row r="5986" spans="1:5" x14ac:dyDescent="0.25">
      <c r="A5986">
        <v>6</v>
      </c>
      <c r="B5986">
        <v>27</v>
      </c>
      <c r="C5986">
        <v>11</v>
      </c>
      <c r="D5986">
        <v>4</v>
      </c>
      <c r="E5986">
        <f t="shared" si="93"/>
        <v>1.3263778154621583E-4</v>
      </c>
    </row>
    <row r="5987" spans="1:5" x14ac:dyDescent="0.25">
      <c r="A5987">
        <v>6</v>
      </c>
      <c r="B5987">
        <v>27</v>
      </c>
      <c r="C5987">
        <v>12</v>
      </c>
      <c r="D5987">
        <v>3</v>
      </c>
      <c r="E5987">
        <f t="shared" si="93"/>
        <v>1.0852182126508559E-4</v>
      </c>
    </row>
    <row r="5988" spans="1:5" x14ac:dyDescent="0.25">
      <c r="A5988">
        <v>6</v>
      </c>
      <c r="B5988">
        <v>27</v>
      </c>
      <c r="C5988">
        <v>13</v>
      </c>
      <c r="D5988">
        <v>2</v>
      </c>
      <c r="E5988">
        <f t="shared" si="93"/>
        <v>5.7708928365045527E-5</v>
      </c>
    </row>
    <row r="5989" spans="1:5" x14ac:dyDescent="0.25">
      <c r="A5989">
        <v>6</v>
      </c>
      <c r="B5989">
        <v>27</v>
      </c>
      <c r="C5989">
        <v>14</v>
      </c>
      <c r="D5989">
        <v>1</v>
      </c>
      <c r="E5989">
        <f t="shared" si="93"/>
        <v>1.7862287351085525E-5</v>
      </c>
    </row>
    <row r="5990" spans="1:5" x14ac:dyDescent="0.25">
      <c r="A5990">
        <v>6</v>
      </c>
      <c r="B5990">
        <v>27</v>
      </c>
      <c r="C5990">
        <v>15</v>
      </c>
      <c r="D5990">
        <v>0</v>
      </c>
      <c r="E5990">
        <f t="shared" si="93"/>
        <v>2.4292710797476302E-6</v>
      </c>
    </row>
    <row r="5991" spans="1:5" x14ac:dyDescent="0.25">
      <c r="A5991">
        <v>6</v>
      </c>
      <c r="B5991">
        <v>28</v>
      </c>
      <c r="C5991">
        <v>0</v>
      </c>
      <c r="D5991">
        <v>14</v>
      </c>
      <c r="E5991">
        <f t="shared" si="93"/>
        <v>4.8859056733822945E-13</v>
      </c>
    </row>
    <row r="5992" spans="1:5" x14ac:dyDescent="0.25">
      <c r="A5992">
        <v>6</v>
      </c>
      <c r="B5992">
        <v>28</v>
      </c>
      <c r="C5992">
        <v>1</v>
      </c>
      <c r="D5992">
        <v>13</v>
      </c>
      <c r="E5992">
        <f t="shared" si="93"/>
        <v>3.7051451356482404E-11</v>
      </c>
    </row>
    <row r="5993" spans="1:5" x14ac:dyDescent="0.25">
      <c r="A5993">
        <v>6</v>
      </c>
      <c r="B5993">
        <v>28</v>
      </c>
      <c r="C5993">
        <v>2</v>
      </c>
      <c r="D5993">
        <v>12</v>
      </c>
      <c r="E5993">
        <f t="shared" si="93"/>
        <v>1.1856464434074369E-9</v>
      </c>
    </row>
    <row r="5994" spans="1:5" x14ac:dyDescent="0.25">
      <c r="A5994">
        <v>6</v>
      </c>
      <c r="B5994">
        <v>28</v>
      </c>
      <c r="C5994">
        <v>3</v>
      </c>
      <c r="D5994">
        <v>11</v>
      </c>
      <c r="E5994">
        <f t="shared" si="93"/>
        <v>2.1341635981333862E-8</v>
      </c>
    </row>
    <row r="5995" spans="1:5" x14ac:dyDescent="0.25">
      <c r="A5995">
        <v>6</v>
      </c>
      <c r="B5995">
        <v>28</v>
      </c>
      <c r="C5995">
        <v>4</v>
      </c>
      <c r="D5995">
        <v>10</v>
      </c>
      <c r="E5995">
        <f t="shared" si="93"/>
        <v>2.4258326232116151E-7</v>
      </c>
    </row>
    <row r="5996" spans="1:5" x14ac:dyDescent="0.25">
      <c r="A5996">
        <v>6</v>
      </c>
      <c r="B5996">
        <v>28</v>
      </c>
      <c r="C5996">
        <v>5</v>
      </c>
      <c r="D5996">
        <v>9</v>
      </c>
      <c r="E5996">
        <f t="shared" si="93"/>
        <v>1.849697375198857E-6</v>
      </c>
    </row>
    <row r="5997" spans="1:5" x14ac:dyDescent="0.25">
      <c r="A5997">
        <v>6</v>
      </c>
      <c r="B5997">
        <v>28</v>
      </c>
      <c r="C5997">
        <v>6</v>
      </c>
      <c r="D5997">
        <v>8</v>
      </c>
      <c r="E5997">
        <f t="shared" si="93"/>
        <v>9.7925155157586522E-6</v>
      </c>
    </row>
    <row r="5998" spans="1:5" x14ac:dyDescent="0.25">
      <c r="A5998">
        <v>6</v>
      </c>
      <c r="B5998">
        <v>28</v>
      </c>
      <c r="C5998">
        <v>7</v>
      </c>
      <c r="D5998">
        <v>7</v>
      </c>
      <c r="E5998">
        <f t="shared" si="93"/>
        <v>3.6683073995540361E-5</v>
      </c>
    </row>
    <row r="5999" spans="1:5" x14ac:dyDescent="0.25">
      <c r="A5999">
        <v>6</v>
      </c>
      <c r="B5999">
        <v>28</v>
      </c>
      <c r="C5999">
        <v>8</v>
      </c>
      <c r="D5999">
        <v>6</v>
      </c>
      <c r="E5999">
        <f t="shared" si="93"/>
        <v>9.7982421330193307E-5</v>
      </c>
    </row>
    <row r="6000" spans="1:5" x14ac:dyDescent="0.25">
      <c r="A6000">
        <v>6</v>
      </c>
      <c r="B6000">
        <v>28</v>
      </c>
      <c r="C6000">
        <v>9</v>
      </c>
      <c r="D6000">
        <v>5</v>
      </c>
      <c r="E6000">
        <f t="shared" si="93"/>
        <v>1.8616660052736726E-4</v>
      </c>
    </row>
    <row r="6001" spans="1:5" x14ac:dyDescent="0.25">
      <c r="A6001">
        <v>6</v>
      </c>
      <c r="B6001">
        <v>28</v>
      </c>
      <c r="C6001">
        <v>10</v>
      </c>
      <c r="D6001">
        <v>4</v>
      </c>
      <c r="E6001">
        <f t="shared" si="93"/>
        <v>2.4822213403648979E-4</v>
      </c>
    </row>
    <row r="6002" spans="1:5" x14ac:dyDescent="0.25">
      <c r="A6002">
        <v>6</v>
      </c>
      <c r="B6002">
        <v>28</v>
      </c>
      <c r="C6002">
        <v>11</v>
      </c>
      <c r="D6002">
        <v>3</v>
      </c>
      <c r="E6002">
        <f t="shared" si="93"/>
        <v>2.2565648548771798E-4</v>
      </c>
    </row>
    <row r="6003" spans="1:5" x14ac:dyDescent="0.25">
      <c r="A6003">
        <v>6</v>
      </c>
      <c r="B6003">
        <v>28</v>
      </c>
      <c r="C6003">
        <v>12</v>
      </c>
      <c r="D6003">
        <v>2</v>
      </c>
      <c r="E6003">
        <f t="shared" si="93"/>
        <v>1.3245054582974744E-4</v>
      </c>
    </row>
    <row r="6004" spans="1:5" x14ac:dyDescent="0.25">
      <c r="A6004">
        <v>6</v>
      </c>
      <c r="B6004">
        <v>28</v>
      </c>
      <c r="C6004">
        <v>13</v>
      </c>
      <c r="D6004">
        <v>1</v>
      </c>
      <c r="E6004">
        <f t="shared" si="93"/>
        <v>4.4999223903696271E-5</v>
      </c>
    </row>
    <row r="6005" spans="1:5" x14ac:dyDescent="0.25">
      <c r="A6005">
        <v>6</v>
      </c>
      <c r="B6005">
        <v>28</v>
      </c>
      <c r="C6005">
        <v>14</v>
      </c>
      <c r="D6005">
        <v>0</v>
      </c>
      <c r="E6005">
        <f t="shared" si="93"/>
        <v>6.6855989799777316E-6</v>
      </c>
    </row>
    <row r="6006" spans="1:5" x14ac:dyDescent="0.25">
      <c r="A6006">
        <v>6</v>
      </c>
      <c r="B6006">
        <v>29</v>
      </c>
      <c r="C6006">
        <v>0</v>
      </c>
      <c r="D6006">
        <v>13</v>
      </c>
      <c r="E6006">
        <f t="shared" si="93"/>
        <v>5.1302009570514044E-12</v>
      </c>
    </row>
    <row r="6007" spans="1:5" x14ac:dyDescent="0.25">
      <c r="A6007">
        <v>6</v>
      </c>
      <c r="B6007">
        <v>29</v>
      </c>
      <c r="C6007">
        <v>1</v>
      </c>
      <c r="D6007">
        <v>12</v>
      </c>
      <c r="E6007">
        <f t="shared" si="93"/>
        <v>3.3346306220834134E-10</v>
      </c>
    </row>
    <row r="6008" spans="1:5" x14ac:dyDescent="0.25">
      <c r="A6008">
        <v>6</v>
      </c>
      <c r="B6008">
        <v>29</v>
      </c>
      <c r="C6008">
        <v>2</v>
      </c>
      <c r="D6008">
        <v>11</v>
      </c>
      <c r="E6008">
        <f t="shared" si="93"/>
        <v>9.1464154205716441E-9</v>
      </c>
    </row>
    <row r="6009" spans="1:5" x14ac:dyDescent="0.25">
      <c r="A6009">
        <v>6</v>
      </c>
      <c r="B6009">
        <v>29</v>
      </c>
      <c r="C6009">
        <v>3</v>
      </c>
      <c r="D6009">
        <v>10</v>
      </c>
      <c r="E6009">
        <f t="shared" si="93"/>
        <v>1.4085479747680329E-7</v>
      </c>
    </row>
    <row r="6010" spans="1:5" x14ac:dyDescent="0.25">
      <c r="A6010">
        <v>6</v>
      </c>
      <c r="B6010">
        <v>29</v>
      </c>
      <c r="C6010">
        <v>4</v>
      </c>
      <c r="D6010">
        <v>9</v>
      </c>
      <c r="E6010">
        <f t="shared" si="93"/>
        <v>1.3645308505565323E-6</v>
      </c>
    </row>
    <row r="6011" spans="1:5" x14ac:dyDescent="0.25">
      <c r="A6011">
        <v>6</v>
      </c>
      <c r="B6011">
        <v>29</v>
      </c>
      <c r="C6011">
        <v>5</v>
      </c>
      <c r="D6011">
        <v>8</v>
      </c>
      <c r="E6011">
        <f t="shared" si="93"/>
        <v>8.8132639641827805E-6</v>
      </c>
    </row>
    <row r="6012" spans="1:5" x14ac:dyDescent="0.25">
      <c r="A6012">
        <v>6</v>
      </c>
      <c r="B6012">
        <v>29</v>
      </c>
      <c r="C6012">
        <v>6</v>
      </c>
      <c r="D6012">
        <v>7</v>
      </c>
      <c r="E6012">
        <f t="shared" si="93"/>
        <v>3.9170062063034582E-5</v>
      </c>
    </row>
    <row r="6013" spans="1:5" x14ac:dyDescent="0.25">
      <c r="A6013">
        <v>6</v>
      </c>
      <c r="B6013">
        <v>29</v>
      </c>
      <c r="C6013">
        <v>7</v>
      </c>
      <c r="D6013">
        <v>6</v>
      </c>
      <c r="E6013">
        <f t="shared" si="93"/>
        <v>1.2163335061679156E-4</v>
      </c>
    </row>
    <row r="6014" spans="1:5" x14ac:dyDescent="0.25">
      <c r="A6014">
        <v>6</v>
      </c>
      <c r="B6014">
        <v>29</v>
      </c>
      <c r="C6014">
        <v>8</v>
      </c>
      <c r="D6014">
        <v>5</v>
      </c>
      <c r="E6014">
        <f t="shared" si="93"/>
        <v>2.6455253759152168E-4</v>
      </c>
    </row>
    <row r="6015" spans="1:5" x14ac:dyDescent="0.25">
      <c r="A6015">
        <v>6</v>
      </c>
      <c r="B6015">
        <v>29</v>
      </c>
      <c r="C6015">
        <v>9</v>
      </c>
      <c r="D6015">
        <v>4</v>
      </c>
      <c r="E6015">
        <f t="shared" si="93"/>
        <v>3.98928429701501E-4</v>
      </c>
    </row>
    <row r="6016" spans="1:5" x14ac:dyDescent="0.25">
      <c r="A6016">
        <v>6</v>
      </c>
      <c r="B6016">
        <v>29</v>
      </c>
      <c r="C6016">
        <v>10</v>
      </c>
      <c r="D6016">
        <v>3</v>
      </c>
      <c r="E6016">
        <f t="shared" si="93"/>
        <v>4.0618167387789189E-4</v>
      </c>
    </row>
    <row r="6017" spans="1:5" x14ac:dyDescent="0.25">
      <c r="A6017">
        <v>6</v>
      </c>
      <c r="B6017">
        <v>29</v>
      </c>
      <c r="C6017">
        <v>11</v>
      </c>
      <c r="D6017">
        <v>2</v>
      </c>
      <c r="E6017">
        <f t="shared" si="93"/>
        <v>2.6490109165949478E-4</v>
      </c>
    </row>
    <row r="6018" spans="1:5" x14ac:dyDescent="0.25">
      <c r="A6018">
        <v>6</v>
      </c>
      <c r="B6018">
        <v>29</v>
      </c>
      <c r="C6018">
        <v>12</v>
      </c>
      <c r="D6018">
        <v>1</v>
      </c>
      <c r="E6018">
        <f t="shared" si="93"/>
        <v>9.9337909372310487E-5</v>
      </c>
    </row>
    <row r="6019" spans="1:5" x14ac:dyDescent="0.25">
      <c r="A6019">
        <v>6</v>
      </c>
      <c r="B6019">
        <v>29</v>
      </c>
      <c r="C6019">
        <v>13</v>
      </c>
      <c r="D6019">
        <v>0</v>
      </c>
      <c r="E6019">
        <f t="shared" si="93"/>
        <v>1.6199720605330637E-5</v>
      </c>
    </row>
    <row r="6020" spans="1:5" x14ac:dyDescent="0.25">
      <c r="A6020">
        <v>6</v>
      </c>
      <c r="B6020">
        <v>30</v>
      </c>
      <c r="C6020">
        <v>0</v>
      </c>
      <c r="D6020">
        <v>12</v>
      </c>
      <c r="E6020">
        <f t="shared" si="93"/>
        <v>4.4461741627778823E-11</v>
      </c>
    </row>
    <row r="6021" spans="1:5" x14ac:dyDescent="0.25">
      <c r="A6021">
        <v>6</v>
      </c>
      <c r="B6021">
        <v>30</v>
      </c>
      <c r="C6021">
        <v>1</v>
      </c>
      <c r="D6021">
        <v>11</v>
      </c>
      <c r="E6021">
        <f t="shared" si="93"/>
        <v>2.4771541764048194E-9</v>
      </c>
    </row>
    <row r="6022" spans="1:5" x14ac:dyDescent="0.25">
      <c r="A6022">
        <v>6</v>
      </c>
      <c r="B6022">
        <v>30</v>
      </c>
      <c r="C6022">
        <v>2</v>
      </c>
      <c r="D6022">
        <v>10</v>
      </c>
      <c r="E6022">
        <f t="shared" si="93"/>
        <v>5.8130551339633099E-8</v>
      </c>
    </row>
    <row r="6023" spans="1:5" x14ac:dyDescent="0.25">
      <c r="A6023">
        <v>6</v>
      </c>
      <c r="B6023">
        <v>30</v>
      </c>
      <c r="C6023">
        <v>3</v>
      </c>
      <c r="D6023">
        <v>9</v>
      </c>
      <c r="E6023">
        <f t="shared" si="93"/>
        <v>7.6296348633268452E-7</v>
      </c>
    </row>
    <row r="6024" spans="1:5" x14ac:dyDescent="0.25">
      <c r="A6024">
        <v>6</v>
      </c>
      <c r="B6024">
        <v>30</v>
      </c>
      <c r="C6024">
        <v>4</v>
      </c>
      <c r="D6024">
        <v>8</v>
      </c>
      <c r="E6024">
        <f t="shared" si="93"/>
        <v>6.2607886084358531E-6</v>
      </c>
    </row>
    <row r="6025" spans="1:5" x14ac:dyDescent="0.25">
      <c r="A6025">
        <v>6</v>
      </c>
      <c r="B6025">
        <v>30</v>
      </c>
      <c r="C6025">
        <v>5</v>
      </c>
      <c r="D6025">
        <v>7</v>
      </c>
      <c r="E6025">
        <f t="shared" si="93"/>
        <v>3.3947387121296633E-5</v>
      </c>
    </row>
    <row r="6026" spans="1:5" x14ac:dyDescent="0.25">
      <c r="A6026">
        <v>6</v>
      </c>
      <c r="B6026">
        <v>30</v>
      </c>
      <c r="C6026">
        <v>6</v>
      </c>
      <c r="D6026">
        <v>6</v>
      </c>
      <c r="E6026">
        <f t="shared" si="93"/>
        <v>1.2506932097319808E-4</v>
      </c>
    </row>
    <row r="6027" spans="1:5" x14ac:dyDescent="0.25">
      <c r="A6027">
        <v>6</v>
      </c>
      <c r="B6027">
        <v>30</v>
      </c>
      <c r="C6027">
        <v>7</v>
      </c>
      <c r="D6027">
        <v>5</v>
      </c>
      <c r="E6027">
        <f t="shared" si="93"/>
        <v>3.1624671160365801E-4</v>
      </c>
    </row>
    <row r="6028" spans="1:5" x14ac:dyDescent="0.25">
      <c r="A6028">
        <v>6</v>
      </c>
      <c r="B6028">
        <v>30</v>
      </c>
      <c r="C6028">
        <v>8</v>
      </c>
      <c r="D6028">
        <v>4</v>
      </c>
      <c r="E6028">
        <f t="shared" si="93"/>
        <v>5.4590206169679082E-4</v>
      </c>
    </row>
    <row r="6029" spans="1:5" x14ac:dyDescent="0.25">
      <c r="A6029">
        <v>6</v>
      </c>
      <c r="B6029">
        <v>30</v>
      </c>
      <c r="C6029">
        <v>9</v>
      </c>
      <c r="D6029">
        <v>3</v>
      </c>
      <c r="E6029">
        <f t="shared" si="93"/>
        <v>6.2861449528721336E-4</v>
      </c>
    </row>
    <row r="6030" spans="1:5" x14ac:dyDescent="0.25">
      <c r="A6030">
        <v>6</v>
      </c>
      <c r="B6030">
        <v>30</v>
      </c>
      <c r="C6030">
        <v>10</v>
      </c>
      <c r="D6030">
        <v>2</v>
      </c>
      <c r="E6030">
        <f t="shared" ref="E6030:E6093" si="94">COMBIN(A$4,A6030)*COMBIN(B$4,B6030)*COMBIN(C$4,C6030)*COMBIN(D$4,D6030)/COMBIN($G$4,$F$4)</f>
        <v>4.5916189220979078E-4</v>
      </c>
    </row>
    <row r="6031" spans="1:5" x14ac:dyDescent="0.25">
      <c r="A6031">
        <v>6</v>
      </c>
      <c r="B6031">
        <v>30</v>
      </c>
      <c r="C6031">
        <v>11</v>
      </c>
      <c r="D6031">
        <v>1</v>
      </c>
      <c r="E6031">
        <f t="shared" si="94"/>
        <v>1.9131745508741283E-4</v>
      </c>
    </row>
    <row r="6032" spans="1:5" x14ac:dyDescent="0.25">
      <c r="A6032">
        <v>6</v>
      </c>
      <c r="B6032">
        <v>30</v>
      </c>
      <c r="C6032">
        <v>12</v>
      </c>
      <c r="D6032">
        <v>0</v>
      </c>
      <c r="E6032">
        <f t="shared" si="94"/>
        <v>3.4437141915734287E-5</v>
      </c>
    </row>
    <row r="6033" spans="1:5" x14ac:dyDescent="0.25">
      <c r="A6033">
        <v>6</v>
      </c>
      <c r="B6033">
        <v>31</v>
      </c>
      <c r="C6033">
        <v>0</v>
      </c>
      <c r="D6033">
        <v>11</v>
      </c>
      <c r="E6033">
        <f t="shared" si="94"/>
        <v>3.1840344004409392E-10</v>
      </c>
    </row>
    <row r="6034" spans="1:5" x14ac:dyDescent="0.25">
      <c r="A6034">
        <v>6</v>
      </c>
      <c r="B6034">
        <v>31</v>
      </c>
      <c r="C6034">
        <v>1</v>
      </c>
      <c r="D6034">
        <v>10</v>
      </c>
      <c r="E6034">
        <f t="shared" si="94"/>
        <v>1.5177230642101807E-8</v>
      </c>
    </row>
    <row r="6035" spans="1:5" x14ac:dyDescent="0.25">
      <c r="A6035">
        <v>6</v>
      </c>
      <c r="B6035">
        <v>31</v>
      </c>
      <c r="C6035">
        <v>2</v>
      </c>
      <c r="D6035">
        <v>9</v>
      </c>
      <c r="E6035">
        <f t="shared" si="94"/>
        <v>3.0354461284203617E-7</v>
      </c>
    </row>
    <row r="6036" spans="1:5" x14ac:dyDescent="0.25">
      <c r="A6036">
        <v>6</v>
      </c>
      <c r="B6036">
        <v>31</v>
      </c>
      <c r="C6036">
        <v>3</v>
      </c>
      <c r="D6036">
        <v>8</v>
      </c>
      <c r="E6036">
        <f t="shared" si="94"/>
        <v>3.3747018721849908E-6</v>
      </c>
    </row>
    <row r="6037" spans="1:5" x14ac:dyDescent="0.25">
      <c r="A6037">
        <v>6</v>
      </c>
      <c r="B6037">
        <v>31</v>
      </c>
      <c r="C6037">
        <v>4</v>
      </c>
      <c r="D6037">
        <v>7</v>
      </c>
      <c r="E6037">
        <f t="shared" si="94"/>
        <v>2.3247946230607719E-5</v>
      </c>
    </row>
    <row r="6038" spans="1:5" x14ac:dyDescent="0.25">
      <c r="A6038">
        <v>6</v>
      </c>
      <c r="B6038">
        <v>31</v>
      </c>
      <c r="C6038">
        <v>5</v>
      </c>
      <c r="D6038">
        <v>6</v>
      </c>
      <c r="E6038">
        <f t="shared" si="94"/>
        <v>1.0449340042599467E-4</v>
      </c>
    </row>
    <row r="6039" spans="1:5" x14ac:dyDescent="0.25">
      <c r="A6039">
        <v>6</v>
      </c>
      <c r="B6039">
        <v>31</v>
      </c>
      <c r="C6039">
        <v>6</v>
      </c>
      <c r="D6039">
        <v>5</v>
      </c>
      <c r="E6039">
        <f t="shared" si="94"/>
        <v>3.134802012779839E-4</v>
      </c>
    </row>
    <row r="6040" spans="1:5" x14ac:dyDescent="0.25">
      <c r="A6040">
        <v>6</v>
      </c>
      <c r="B6040">
        <v>31</v>
      </c>
      <c r="C6040">
        <v>7</v>
      </c>
      <c r="D6040">
        <v>4</v>
      </c>
      <c r="E6040">
        <f t="shared" si="94"/>
        <v>6.2909292093200886E-4</v>
      </c>
    </row>
    <row r="6041" spans="1:5" x14ac:dyDescent="0.25">
      <c r="A6041">
        <v>6</v>
      </c>
      <c r="B6041">
        <v>31</v>
      </c>
      <c r="C6041">
        <v>8</v>
      </c>
      <c r="D6041">
        <v>3</v>
      </c>
      <c r="E6041">
        <f t="shared" si="94"/>
        <v>8.2925885031946624E-4</v>
      </c>
    </row>
    <row r="6042" spans="1:5" x14ac:dyDescent="0.25">
      <c r="A6042">
        <v>6</v>
      </c>
      <c r="B6042">
        <v>31</v>
      </c>
      <c r="C6042">
        <v>9</v>
      </c>
      <c r="D6042">
        <v>2</v>
      </c>
      <c r="E6042">
        <f t="shared" si="94"/>
        <v>6.8503991982912414E-4</v>
      </c>
    </row>
    <row r="6043" spans="1:5" x14ac:dyDescent="0.25">
      <c r="A6043">
        <v>6</v>
      </c>
      <c r="B6043">
        <v>31</v>
      </c>
      <c r="C6043">
        <v>10</v>
      </c>
      <c r="D6043">
        <v>1</v>
      </c>
      <c r="E6043">
        <f t="shared" si="94"/>
        <v>3.1968529592025797E-4</v>
      </c>
    </row>
    <row r="6044" spans="1:5" x14ac:dyDescent="0.25">
      <c r="A6044">
        <v>6</v>
      </c>
      <c r="B6044">
        <v>31</v>
      </c>
      <c r="C6044">
        <v>11</v>
      </c>
      <c r="D6044">
        <v>0</v>
      </c>
      <c r="E6044">
        <f t="shared" si="94"/>
        <v>6.3937059184051602E-5</v>
      </c>
    </row>
    <row r="6045" spans="1:5" x14ac:dyDescent="0.25">
      <c r="A6045">
        <v>6</v>
      </c>
      <c r="B6045">
        <v>32</v>
      </c>
      <c r="C6045">
        <v>0</v>
      </c>
      <c r="D6045">
        <v>10</v>
      </c>
      <c r="E6045">
        <f t="shared" si="94"/>
        <v>1.8825603392607028E-9</v>
      </c>
    </row>
    <row r="6046" spans="1:5" x14ac:dyDescent="0.25">
      <c r="A6046">
        <v>6</v>
      </c>
      <c r="B6046">
        <v>32</v>
      </c>
      <c r="C6046">
        <v>1</v>
      </c>
      <c r="D6046">
        <v>9</v>
      </c>
      <c r="E6046">
        <f t="shared" si="94"/>
        <v>7.6479013782466061E-8</v>
      </c>
    </row>
    <row r="6047" spans="1:5" x14ac:dyDescent="0.25">
      <c r="A6047">
        <v>6</v>
      </c>
      <c r="B6047">
        <v>32</v>
      </c>
      <c r="C6047">
        <v>2</v>
      </c>
      <c r="D6047">
        <v>8</v>
      </c>
      <c r="E6047">
        <f t="shared" si="94"/>
        <v>1.2956444687853074E-6</v>
      </c>
    </row>
    <row r="6048" spans="1:5" x14ac:dyDescent="0.25">
      <c r="A6048">
        <v>6</v>
      </c>
      <c r="B6048">
        <v>32</v>
      </c>
      <c r="C6048">
        <v>3</v>
      </c>
      <c r="D6048">
        <v>7</v>
      </c>
      <c r="E6048">
        <f t="shared" si="94"/>
        <v>1.2092681708662873E-5</v>
      </c>
    </row>
    <row r="6049" spans="1:5" x14ac:dyDescent="0.25">
      <c r="A6049">
        <v>6</v>
      </c>
      <c r="B6049">
        <v>32</v>
      </c>
      <c r="C6049">
        <v>4</v>
      </c>
      <c r="D6049">
        <v>6</v>
      </c>
      <c r="E6049">
        <f t="shared" si="94"/>
        <v>6.9055577125785321E-5</v>
      </c>
    </row>
    <row r="6050" spans="1:5" x14ac:dyDescent="0.25">
      <c r="A6050">
        <v>6</v>
      </c>
      <c r="B6050">
        <v>32</v>
      </c>
      <c r="C6050">
        <v>5</v>
      </c>
      <c r="D6050">
        <v>5</v>
      </c>
      <c r="E6050">
        <f t="shared" si="94"/>
        <v>2.5274341228037433E-4</v>
      </c>
    </row>
    <row r="6051" spans="1:5" x14ac:dyDescent="0.25">
      <c r="A6051">
        <v>6</v>
      </c>
      <c r="B6051">
        <v>32</v>
      </c>
      <c r="C6051">
        <v>6</v>
      </c>
      <c r="D6051">
        <v>4</v>
      </c>
      <c r="E6051">
        <f t="shared" si="94"/>
        <v>6.0177002923898662E-4</v>
      </c>
    </row>
    <row r="6052" spans="1:5" x14ac:dyDescent="0.25">
      <c r="A6052">
        <v>6</v>
      </c>
      <c r="B6052">
        <v>32</v>
      </c>
      <c r="C6052">
        <v>7</v>
      </c>
      <c r="D6052">
        <v>3</v>
      </c>
      <c r="E6052">
        <f t="shared" si="94"/>
        <v>9.2219303182078459E-4</v>
      </c>
    </row>
    <row r="6053" spans="1:5" x14ac:dyDescent="0.25">
      <c r="A6053">
        <v>6</v>
      </c>
      <c r="B6053">
        <v>32</v>
      </c>
      <c r="C6053">
        <v>8</v>
      </c>
      <c r="D6053">
        <v>2</v>
      </c>
      <c r="E6053">
        <f t="shared" si="94"/>
        <v>8.7207384530878554E-4</v>
      </c>
    </row>
    <row r="6054" spans="1:5" x14ac:dyDescent="0.25">
      <c r="A6054">
        <v>6</v>
      </c>
      <c r="B6054">
        <v>32</v>
      </c>
      <c r="C6054">
        <v>9</v>
      </c>
      <c r="D6054">
        <v>1</v>
      </c>
      <c r="E6054">
        <f t="shared" si="94"/>
        <v>4.6026119613519229E-4</v>
      </c>
    </row>
    <row r="6055" spans="1:5" x14ac:dyDescent="0.25">
      <c r="A6055">
        <v>6</v>
      </c>
      <c r="B6055">
        <v>32</v>
      </c>
      <c r="C6055">
        <v>10</v>
      </c>
      <c r="D6055">
        <v>0</v>
      </c>
      <c r="E6055">
        <f t="shared" si="94"/>
        <v>1.030985079342831E-4</v>
      </c>
    </row>
    <row r="6056" spans="1:5" x14ac:dyDescent="0.25">
      <c r="A6056">
        <v>6</v>
      </c>
      <c r="B6056">
        <v>33</v>
      </c>
      <c r="C6056">
        <v>0</v>
      </c>
      <c r="D6056">
        <v>9</v>
      </c>
      <c r="E6056">
        <f t="shared" si="94"/>
        <v>9.1632198331439605E-9</v>
      </c>
    </row>
    <row r="6057" spans="1:5" x14ac:dyDescent="0.25">
      <c r="A6057">
        <v>6</v>
      </c>
      <c r="B6057">
        <v>33</v>
      </c>
      <c r="C6057">
        <v>1</v>
      </c>
      <c r="D6057">
        <v>8</v>
      </c>
      <c r="E6057">
        <f t="shared" si="94"/>
        <v>3.1532256484642454E-7</v>
      </c>
    </row>
    <row r="6058" spans="1:5" x14ac:dyDescent="0.25">
      <c r="A6058">
        <v>6</v>
      </c>
      <c r="B6058">
        <v>33</v>
      </c>
      <c r="C6058">
        <v>2</v>
      </c>
      <c r="D6058">
        <v>7</v>
      </c>
      <c r="E6058">
        <f t="shared" si="94"/>
        <v>4.4845875889269282E-6</v>
      </c>
    </row>
    <row r="6059" spans="1:5" x14ac:dyDescent="0.25">
      <c r="A6059">
        <v>6</v>
      </c>
      <c r="B6059">
        <v>33</v>
      </c>
      <c r="C6059">
        <v>3</v>
      </c>
      <c r="D6059">
        <v>6</v>
      </c>
      <c r="E6059">
        <f t="shared" si="94"/>
        <v>3.4696546082750431E-5</v>
      </c>
    </row>
    <row r="6060" spans="1:5" x14ac:dyDescent="0.25">
      <c r="A6060">
        <v>6</v>
      </c>
      <c r="B6060">
        <v>33</v>
      </c>
      <c r="C6060">
        <v>4</v>
      </c>
      <c r="D6060">
        <v>5</v>
      </c>
      <c r="E6060">
        <f t="shared" si="94"/>
        <v>1.6133893928478951E-4</v>
      </c>
    </row>
    <row r="6061" spans="1:5" x14ac:dyDescent="0.25">
      <c r="A6061">
        <v>6</v>
      </c>
      <c r="B6061">
        <v>33</v>
      </c>
      <c r="C6061">
        <v>5</v>
      </c>
      <c r="D6061">
        <v>4</v>
      </c>
      <c r="E6061">
        <f t="shared" si="94"/>
        <v>4.6865120458915058E-4</v>
      </c>
    </row>
    <row r="6062" spans="1:5" x14ac:dyDescent="0.25">
      <c r="A6062">
        <v>6</v>
      </c>
      <c r="B6062">
        <v>33</v>
      </c>
      <c r="C6062">
        <v>6</v>
      </c>
      <c r="D6062">
        <v>3</v>
      </c>
      <c r="E6062">
        <f t="shared" si="94"/>
        <v>8.5209309925300095E-4</v>
      </c>
    </row>
    <row r="6063" spans="1:5" x14ac:dyDescent="0.25">
      <c r="A6063">
        <v>6</v>
      </c>
      <c r="B6063">
        <v>33</v>
      </c>
      <c r="C6063">
        <v>7</v>
      </c>
      <c r="D6063">
        <v>2</v>
      </c>
      <c r="E6063">
        <f t="shared" si="94"/>
        <v>9.3677315880609415E-4</v>
      </c>
    </row>
    <row r="6064" spans="1:5" x14ac:dyDescent="0.25">
      <c r="A6064">
        <v>6</v>
      </c>
      <c r="B6064">
        <v>33</v>
      </c>
      <c r="C6064">
        <v>8</v>
      </c>
      <c r="D6064">
        <v>1</v>
      </c>
      <c r="E6064">
        <f t="shared" si="94"/>
        <v>5.65967116778682E-4</v>
      </c>
    </row>
    <row r="6065" spans="1:5" x14ac:dyDescent="0.25">
      <c r="A6065">
        <v>6</v>
      </c>
      <c r="B6065">
        <v>33</v>
      </c>
      <c r="C6065">
        <v>9</v>
      </c>
      <c r="D6065">
        <v>0</v>
      </c>
      <c r="E6065">
        <f t="shared" si="94"/>
        <v>1.4337833625059941E-4</v>
      </c>
    </row>
    <row r="6066" spans="1:5" x14ac:dyDescent="0.25">
      <c r="A6066">
        <v>6</v>
      </c>
      <c r="B6066">
        <v>34</v>
      </c>
      <c r="C6066">
        <v>0</v>
      </c>
      <c r="D6066">
        <v>8</v>
      </c>
      <c r="E6066">
        <f t="shared" si="94"/>
        <v>3.6526052760490786E-8</v>
      </c>
    </row>
    <row r="6067" spans="1:5" x14ac:dyDescent="0.25">
      <c r="A6067">
        <v>6</v>
      </c>
      <c r="B6067">
        <v>34</v>
      </c>
      <c r="C6067">
        <v>1</v>
      </c>
      <c r="D6067">
        <v>7</v>
      </c>
      <c r="E6067">
        <f t="shared" si="94"/>
        <v>1.0551970797475118E-6</v>
      </c>
    </row>
    <row r="6068" spans="1:5" x14ac:dyDescent="0.25">
      <c r="A6068">
        <v>6</v>
      </c>
      <c r="B6068">
        <v>34</v>
      </c>
      <c r="C6068">
        <v>2</v>
      </c>
      <c r="D6068">
        <v>6</v>
      </c>
      <c r="E6068">
        <f t="shared" si="94"/>
        <v>1.2440218203339083E-5</v>
      </c>
    </row>
    <row r="6069" spans="1:5" x14ac:dyDescent="0.25">
      <c r="A6069">
        <v>6</v>
      </c>
      <c r="B6069">
        <v>34</v>
      </c>
      <c r="C6069">
        <v>3</v>
      </c>
      <c r="D6069">
        <v>5</v>
      </c>
      <c r="E6069">
        <f t="shared" si="94"/>
        <v>7.8373374681036214E-5</v>
      </c>
    </row>
    <row r="6070" spans="1:5" x14ac:dyDescent="0.25">
      <c r="A6070">
        <v>6</v>
      </c>
      <c r="B6070">
        <v>34</v>
      </c>
      <c r="C6070">
        <v>4</v>
      </c>
      <c r="D6070">
        <v>4</v>
      </c>
      <c r="E6070">
        <f t="shared" si="94"/>
        <v>2.8923507322763375E-4</v>
      </c>
    </row>
    <row r="6071" spans="1:5" x14ac:dyDescent="0.25">
      <c r="A6071">
        <v>6</v>
      </c>
      <c r="B6071">
        <v>34</v>
      </c>
      <c r="C6071">
        <v>5</v>
      </c>
      <c r="D6071">
        <v>3</v>
      </c>
      <c r="E6071">
        <f t="shared" si="94"/>
        <v>6.4157598061402392E-4</v>
      </c>
    </row>
    <row r="6072" spans="1:5" x14ac:dyDescent="0.25">
      <c r="A6072">
        <v>6</v>
      </c>
      <c r="B6072">
        <v>34</v>
      </c>
      <c r="C6072">
        <v>6</v>
      </c>
      <c r="D6072">
        <v>2</v>
      </c>
      <c r="E6072">
        <f t="shared" si="94"/>
        <v>8.3683823558350942E-4</v>
      </c>
    </row>
    <row r="6073" spans="1:5" x14ac:dyDescent="0.25">
      <c r="A6073">
        <v>6</v>
      </c>
      <c r="B6073">
        <v>34</v>
      </c>
      <c r="C6073">
        <v>7</v>
      </c>
      <c r="D6073">
        <v>1</v>
      </c>
      <c r="E6073">
        <f t="shared" si="94"/>
        <v>5.8777923689794112E-4</v>
      </c>
    </row>
    <row r="6074" spans="1:5" x14ac:dyDescent="0.25">
      <c r="A6074">
        <v>6</v>
      </c>
      <c r="B6074">
        <v>34</v>
      </c>
      <c r="C6074">
        <v>8</v>
      </c>
      <c r="D6074">
        <v>0</v>
      </c>
      <c r="E6074">
        <f t="shared" si="94"/>
        <v>1.7045597870040297E-4</v>
      </c>
    </row>
    <row r="6075" spans="1:5" x14ac:dyDescent="0.25">
      <c r="A6075">
        <v>6</v>
      </c>
      <c r="B6075">
        <v>35</v>
      </c>
      <c r="C6075">
        <v>0</v>
      </c>
      <c r="D6075">
        <v>7</v>
      </c>
      <c r="E6075">
        <f t="shared" si="94"/>
        <v>1.1827483751016066E-7</v>
      </c>
    </row>
    <row r="6076" spans="1:5" x14ac:dyDescent="0.25">
      <c r="A6076">
        <v>6</v>
      </c>
      <c r="B6076">
        <v>35</v>
      </c>
      <c r="C6076">
        <v>1</v>
      </c>
      <c r="D6076">
        <v>6</v>
      </c>
      <c r="E6076">
        <f t="shared" si="94"/>
        <v>2.8323711087959513E-6</v>
      </c>
    </row>
    <row r="6077" spans="1:5" x14ac:dyDescent="0.25">
      <c r="A6077">
        <v>6</v>
      </c>
      <c r="B6077">
        <v>35</v>
      </c>
      <c r="C6077">
        <v>2</v>
      </c>
      <c r="D6077">
        <v>5</v>
      </c>
      <c r="E6077">
        <f t="shared" si="94"/>
        <v>2.7190762644441132E-5</v>
      </c>
    </row>
    <row r="6078" spans="1:5" x14ac:dyDescent="0.25">
      <c r="A6078">
        <v>6</v>
      </c>
      <c r="B6078">
        <v>35</v>
      </c>
      <c r="C6078">
        <v>3</v>
      </c>
      <c r="D6078">
        <v>4</v>
      </c>
      <c r="E6078">
        <f t="shared" si="94"/>
        <v>1.3595381322220569E-4</v>
      </c>
    </row>
    <row r="6079" spans="1:5" x14ac:dyDescent="0.25">
      <c r="A6079">
        <v>6</v>
      </c>
      <c r="B6079">
        <v>35</v>
      </c>
      <c r="C6079">
        <v>4</v>
      </c>
      <c r="D6079">
        <v>3</v>
      </c>
      <c r="E6079">
        <f t="shared" si="94"/>
        <v>3.831425645353069E-4</v>
      </c>
    </row>
    <row r="6080" spans="1:5" x14ac:dyDescent="0.25">
      <c r="A6080">
        <v>6</v>
      </c>
      <c r="B6080">
        <v>35</v>
      </c>
      <c r="C6080">
        <v>5</v>
      </c>
      <c r="D6080">
        <v>2</v>
      </c>
      <c r="E6080">
        <f t="shared" si="94"/>
        <v>6.0969642878227115E-4</v>
      </c>
    </row>
    <row r="6081" spans="1:5" x14ac:dyDescent="0.25">
      <c r="A6081">
        <v>6</v>
      </c>
      <c r="B6081">
        <v>35</v>
      </c>
      <c r="C6081">
        <v>6</v>
      </c>
      <c r="D6081">
        <v>1</v>
      </c>
      <c r="E6081">
        <f t="shared" si="94"/>
        <v>5.0808035731855924E-4</v>
      </c>
    </row>
    <row r="6082" spans="1:5" x14ac:dyDescent="0.25">
      <c r="A6082">
        <v>6</v>
      </c>
      <c r="B6082">
        <v>35</v>
      </c>
      <c r="C6082">
        <v>7</v>
      </c>
      <c r="D6082">
        <v>0</v>
      </c>
      <c r="E6082">
        <f t="shared" si="94"/>
        <v>1.712956633245428E-4</v>
      </c>
    </row>
    <row r="6083" spans="1:5" x14ac:dyDescent="0.25">
      <c r="A6083">
        <v>6</v>
      </c>
      <c r="B6083">
        <v>36</v>
      </c>
      <c r="C6083">
        <v>0</v>
      </c>
      <c r="D6083">
        <v>6</v>
      </c>
      <c r="E6083">
        <f t="shared" si="94"/>
        <v>3.0744541095477442E-7</v>
      </c>
    </row>
    <row r="6084" spans="1:5" x14ac:dyDescent="0.25">
      <c r="A6084">
        <v>6</v>
      </c>
      <c r="B6084">
        <v>36</v>
      </c>
      <c r="C6084">
        <v>1</v>
      </c>
      <c r="D6084">
        <v>5</v>
      </c>
      <c r="E6084">
        <f t="shared" si="94"/>
        <v>5.9951855136181003E-6</v>
      </c>
    </row>
    <row r="6085" spans="1:5" x14ac:dyDescent="0.25">
      <c r="A6085">
        <v>6</v>
      </c>
      <c r="B6085">
        <v>36</v>
      </c>
      <c r="C6085">
        <v>2</v>
      </c>
      <c r="D6085">
        <v>4</v>
      </c>
      <c r="E6085">
        <f t="shared" si="94"/>
        <v>4.5677603913280783E-5</v>
      </c>
    </row>
    <row r="6086" spans="1:5" x14ac:dyDescent="0.25">
      <c r="A6086">
        <v>6</v>
      </c>
      <c r="B6086">
        <v>36</v>
      </c>
      <c r="C6086">
        <v>3</v>
      </c>
      <c r="D6086">
        <v>3</v>
      </c>
      <c r="E6086">
        <f t="shared" si="94"/>
        <v>1.7440539675979931E-4</v>
      </c>
    </row>
    <row r="6087" spans="1:5" x14ac:dyDescent="0.25">
      <c r="A6087">
        <v>6</v>
      </c>
      <c r="B6087">
        <v>36</v>
      </c>
      <c r="C6087">
        <v>4</v>
      </c>
      <c r="D6087">
        <v>2</v>
      </c>
      <c r="E6087">
        <f t="shared" si="94"/>
        <v>3.5260221518828991E-4</v>
      </c>
    </row>
    <row r="6088" spans="1:5" x14ac:dyDescent="0.25">
      <c r="A6088">
        <v>6</v>
      </c>
      <c r="B6088">
        <v>36</v>
      </c>
      <c r="C6088">
        <v>5</v>
      </c>
      <c r="D6088">
        <v>1</v>
      </c>
      <c r="E6088">
        <f t="shared" si="94"/>
        <v>3.5847891877476148E-4</v>
      </c>
    </row>
    <row r="6089" spans="1:5" x14ac:dyDescent="0.25">
      <c r="A6089">
        <v>6</v>
      </c>
      <c r="B6089">
        <v>36</v>
      </c>
      <c r="C6089">
        <v>6</v>
      </c>
      <c r="D6089">
        <v>0</v>
      </c>
      <c r="E6089">
        <f t="shared" si="94"/>
        <v>1.4339156750990456E-4</v>
      </c>
    </row>
    <row r="6090" spans="1:5" x14ac:dyDescent="0.25">
      <c r="A6090">
        <v>6</v>
      </c>
      <c r="B6090">
        <v>37</v>
      </c>
      <c r="C6090">
        <v>0</v>
      </c>
      <c r="D6090">
        <v>5</v>
      </c>
      <c r="E6090">
        <f t="shared" si="94"/>
        <v>6.3067855922884744E-7</v>
      </c>
    </row>
    <row r="6091" spans="1:5" x14ac:dyDescent="0.25">
      <c r="A6091">
        <v>6</v>
      </c>
      <c r="B6091">
        <v>37</v>
      </c>
      <c r="C6091">
        <v>1</v>
      </c>
      <c r="D6091">
        <v>4</v>
      </c>
      <c r="E6091">
        <f t="shared" si="94"/>
        <v>9.7605015118750241E-6</v>
      </c>
    </row>
    <row r="6092" spans="1:5" x14ac:dyDescent="0.25">
      <c r="A6092">
        <v>6</v>
      </c>
      <c r="B6092">
        <v>37</v>
      </c>
      <c r="C6092">
        <v>2</v>
      </c>
      <c r="D6092">
        <v>3</v>
      </c>
      <c r="E6092">
        <f t="shared" si="94"/>
        <v>5.6788372432727411E-5</v>
      </c>
    </row>
    <row r="6093" spans="1:5" x14ac:dyDescent="0.25">
      <c r="A6093">
        <v>6</v>
      </c>
      <c r="B6093">
        <v>37</v>
      </c>
      <c r="C6093">
        <v>3</v>
      </c>
      <c r="D6093">
        <v>2</v>
      </c>
      <c r="E6093">
        <f t="shared" si="94"/>
        <v>1.5555075927225329E-4</v>
      </c>
    </row>
    <row r="6094" spans="1:5" x14ac:dyDescent="0.25">
      <c r="A6094">
        <v>6</v>
      </c>
      <c r="B6094">
        <v>37</v>
      </c>
      <c r="C6094">
        <v>4</v>
      </c>
      <c r="D6094">
        <v>1</v>
      </c>
      <c r="E6094">
        <f t="shared" ref="E6094:E6157" si="95">COMBIN(A$4,A6094)*COMBIN(B$4,B6094)*COMBIN(C$4,C6094)*COMBIN(D$4,D6094)/COMBIN($G$4,$F$4)</f>
        <v>2.0091973072666053E-4</v>
      </c>
    </row>
    <row r="6095" spans="1:5" x14ac:dyDescent="0.25">
      <c r="A6095">
        <v>6</v>
      </c>
      <c r="B6095">
        <v>37</v>
      </c>
      <c r="C6095">
        <v>5</v>
      </c>
      <c r="D6095">
        <v>0</v>
      </c>
      <c r="E6095">
        <f t="shared" si="95"/>
        <v>9.8048828594610358E-5</v>
      </c>
    </row>
    <row r="6096" spans="1:5" x14ac:dyDescent="0.25">
      <c r="A6096">
        <v>6</v>
      </c>
      <c r="B6096">
        <v>38</v>
      </c>
      <c r="C6096">
        <v>0</v>
      </c>
      <c r="D6096">
        <v>4</v>
      </c>
      <c r="E6096">
        <f t="shared" si="95"/>
        <v>9.9580825141397087E-7</v>
      </c>
    </row>
    <row r="6097" spans="1:5" x14ac:dyDescent="0.25">
      <c r="A6097">
        <v>6</v>
      </c>
      <c r="B6097">
        <v>38</v>
      </c>
      <c r="C6097">
        <v>1</v>
      </c>
      <c r="D6097">
        <v>3</v>
      </c>
      <c r="E6097">
        <f t="shared" si="95"/>
        <v>1.1768642971256017E-5</v>
      </c>
    </row>
    <row r="6098" spans="1:5" x14ac:dyDescent="0.25">
      <c r="A6098">
        <v>6</v>
      </c>
      <c r="B6098">
        <v>38</v>
      </c>
      <c r="C6098">
        <v>2</v>
      </c>
      <c r="D6098">
        <v>2</v>
      </c>
      <c r="E6098">
        <f t="shared" si="95"/>
        <v>4.9121292401764239E-5</v>
      </c>
    </row>
    <row r="6099" spans="1:5" x14ac:dyDescent="0.25">
      <c r="A6099">
        <v>6</v>
      </c>
      <c r="B6099">
        <v>38</v>
      </c>
      <c r="C6099">
        <v>3</v>
      </c>
      <c r="D6099">
        <v>1</v>
      </c>
      <c r="E6099">
        <f t="shared" si="95"/>
        <v>8.5962261703087438E-5</v>
      </c>
    </row>
    <row r="6100" spans="1:5" x14ac:dyDescent="0.25">
      <c r="A6100">
        <v>6</v>
      </c>
      <c r="B6100">
        <v>38</v>
      </c>
      <c r="C6100">
        <v>4</v>
      </c>
      <c r="D6100">
        <v>0</v>
      </c>
      <c r="E6100">
        <f t="shared" si="95"/>
        <v>5.3296602255914206E-5</v>
      </c>
    </row>
    <row r="6101" spans="1:5" x14ac:dyDescent="0.25">
      <c r="A6101">
        <v>6</v>
      </c>
      <c r="B6101">
        <v>39</v>
      </c>
      <c r="C6101">
        <v>0</v>
      </c>
      <c r="D6101">
        <v>3</v>
      </c>
      <c r="E6101">
        <f t="shared" si="95"/>
        <v>1.1652581403492148E-6</v>
      </c>
    </row>
    <row r="6102" spans="1:5" x14ac:dyDescent="0.25">
      <c r="A6102">
        <v>6</v>
      </c>
      <c r="B6102">
        <v>39</v>
      </c>
      <c r="C6102">
        <v>1</v>
      </c>
      <c r="D6102">
        <v>2</v>
      </c>
      <c r="E6102">
        <f t="shared" si="95"/>
        <v>9.8793624942650818E-6</v>
      </c>
    </row>
    <row r="6103" spans="1:5" x14ac:dyDescent="0.25">
      <c r="A6103">
        <v>6</v>
      </c>
      <c r="B6103">
        <v>39</v>
      </c>
      <c r="C6103">
        <v>2</v>
      </c>
      <c r="D6103">
        <v>1</v>
      </c>
      <c r="E6103">
        <f t="shared" si="95"/>
        <v>2.6344966651373554E-5</v>
      </c>
    </row>
    <row r="6104" spans="1:5" x14ac:dyDescent="0.25">
      <c r="A6104">
        <v>6</v>
      </c>
      <c r="B6104">
        <v>39</v>
      </c>
      <c r="C6104">
        <v>3</v>
      </c>
      <c r="D6104">
        <v>0</v>
      </c>
      <c r="E6104">
        <f t="shared" si="95"/>
        <v>2.2129771987153786E-5</v>
      </c>
    </row>
    <row r="6105" spans="1:5" x14ac:dyDescent="0.25">
      <c r="A6105">
        <v>6</v>
      </c>
      <c r="B6105">
        <v>40</v>
      </c>
      <c r="C6105">
        <v>0</v>
      </c>
      <c r="D6105">
        <v>2</v>
      </c>
      <c r="E6105">
        <f t="shared" si="95"/>
        <v>9.4993870137164332E-7</v>
      </c>
    </row>
    <row r="6106" spans="1:5" x14ac:dyDescent="0.25">
      <c r="A6106">
        <v>6</v>
      </c>
      <c r="B6106">
        <v>40</v>
      </c>
      <c r="C6106">
        <v>1</v>
      </c>
      <c r="D6106">
        <v>1</v>
      </c>
      <c r="E6106">
        <f t="shared" si="95"/>
        <v>5.1455012990964015E-6</v>
      </c>
    </row>
    <row r="6107" spans="1:5" x14ac:dyDescent="0.25">
      <c r="A6107">
        <v>6</v>
      </c>
      <c r="B6107">
        <v>40</v>
      </c>
      <c r="C6107">
        <v>2</v>
      </c>
      <c r="D6107">
        <v>0</v>
      </c>
      <c r="E6107">
        <f t="shared" si="95"/>
        <v>6.5862416628433935E-6</v>
      </c>
    </row>
    <row r="6108" spans="1:5" x14ac:dyDescent="0.25">
      <c r="A6108">
        <v>6</v>
      </c>
      <c r="B6108">
        <v>41</v>
      </c>
      <c r="C6108">
        <v>0</v>
      </c>
      <c r="D6108">
        <v>1</v>
      </c>
      <c r="E6108">
        <f t="shared" si="95"/>
        <v>4.8076165984052621E-7</v>
      </c>
    </row>
    <row r="6109" spans="1:5" x14ac:dyDescent="0.25">
      <c r="A6109">
        <v>6</v>
      </c>
      <c r="B6109">
        <v>41</v>
      </c>
      <c r="C6109">
        <v>1</v>
      </c>
      <c r="D6109">
        <v>0</v>
      </c>
      <c r="E6109">
        <f t="shared" si="95"/>
        <v>1.2499803155853683E-6</v>
      </c>
    </row>
    <row r="6110" spans="1:5" x14ac:dyDescent="0.25">
      <c r="A6110">
        <v>6</v>
      </c>
      <c r="B6110">
        <v>42</v>
      </c>
      <c r="C6110">
        <v>0</v>
      </c>
      <c r="D6110">
        <v>0</v>
      </c>
      <c r="E6110">
        <f t="shared" si="95"/>
        <v>1.1355132537185762E-7</v>
      </c>
    </row>
    <row r="6111" spans="1:5" x14ac:dyDescent="0.25">
      <c r="A6111">
        <v>7</v>
      </c>
      <c r="B6111">
        <v>0</v>
      </c>
      <c r="C6111">
        <v>16</v>
      </c>
      <c r="D6111">
        <v>25</v>
      </c>
      <c r="E6111">
        <f t="shared" si="95"/>
        <v>2.2306396712103495E-43</v>
      </c>
    </row>
    <row r="6112" spans="1:5" x14ac:dyDescent="0.25">
      <c r="A6112">
        <v>7</v>
      </c>
      <c r="B6112">
        <v>0</v>
      </c>
      <c r="C6112">
        <v>17</v>
      </c>
      <c r="D6112">
        <v>24</v>
      </c>
      <c r="E6112">
        <f t="shared" si="95"/>
        <v>1.6073727042545173E-41</v>
      </c>
    </row>
    <row r="6113" spans="1:5" x14ac:dyDescent="0.25">
      <c r="A6113">
        <v>7</v>
      </c>
      <c r="B6113">
        <v>0</v>
      </c>
      <c r="C6113">
        <v>18</v>
      </c>
      <c r="D6113">
        <v>23</v>
      </c>
      <c r="E6113">
        <f t="shared" si="95"/>
        <v>5.1435926536144506E-40</v>
      </c>
    </row>
    <row r="6114" spans="1:5" x14ac:dyDescent="0.25">
      <c r="A6114">
        <v>7</v>
      </c>
      <c r="B6114">
        <v>0</v>
      </c>
      <c r="C6114">
        <v>19</v>
      </c>
      <c r="D6114">
        <v>22</v>
      </c>
      <c r="E6114">
        <f t="shared" si="95"/>
        <v>9.7547783483460057E-39</v>
      </c>
    </row>
    <row r="6115" spans="1:5" x14ac:dyDescent="0.25">
      <c r="A6115">
        <v>7</v>
      </c>
      <c r="B6115">
        <v>0</v>
      </c>
      <c r="C6115">
        <v>20</v>
      </c>
      <c r="D6115">
        <v>21</v>
      </c>
      <c r="E6115">
        <f t="shared" si="95"/>
        <v>1.2339794610657711E-37</v>
      </c>
    </row>
    <row r="6116" spans="1:5" x14ac:dyDescent="0.25">
      <c r="A6116">
        <v>7</v>
      </c>
      <c r="B6116">
        <v>0</v>
      </c>
      <c r="C6116">
        <v>21</v>
      </c>
      <c r="D6116">
        <v>20</v>
      </c>
      <c r="E6116">
        <f t="shared" si="95"/>
        <v>1.1105815149591923E-36</v>
      </c>
    </row>
    <row r="6117" spans="1:5" x14ac:dyDescent="0.25">
      <c r="A6117">
        <v>7</v>
      </c>
      <c r="B6117">
        <v>0</v>
      </c>
      <c r="C6117">
        <v>22</v>
      </c>
      <c r="D6117">
        <v>19</v>
      </c>
      <c r="E6117">
        <f t="shared" si="95"/>
        <v>7.4038767663946191E-36</v>
      </c>
    </row>
    <row r="6118" spans="1:5" x14ac:dyDescent="0.25">
      <c r="A6118">
        <v>7</v>
      </c>
      <c r="B6118">
        <v>0</v>
      </c>
      <c r="C6118">
        <v>23</v>
      </c>
      <c r="D6118">
        <v>18</v>
      </c>
      <c r="E6118">
        <f t="shared" si="95"/>
        <v>3.7571225578536672E-35</v>
      </c>
    </row>
    <row r="6119" spans="1:5" x14ac:dyDescent="0.25">
      <c r="A6119">
        <v>7</v>
      </c>
      <c r="B6119">
        <v>0</v>
      </c>
      <c r="C6119">
        <v>24</v>
      </c>
      <c r="D6119">
        <v>17</v>
      </c>
      <c r="E6119">
        <f t="shared" si="95"/>
        <v>1.4793670071548813E-34</v>
      </c>
    </row>
    <row r="6120" spans="1:5" x14ac:dyDescent="0.25">
      <c r="A6120">
        <v>7</v>
      </c>
      <c r="B6120">
        <v>0</v>
      </c>
      <c r="C6120">
        <v>25</v>
      </c>
      <c r="D6120">
        <v>16</v>
      </c>
      <c r="E6120">
        <f t="shared" si="95"/>
        <v>4.582750239942012E-34</v>
      </c>
    </row>
    <row r="6121" spans="1:5" x14ac:dyDescent="0.25">
      <c r="A6121">
        <v>7</v>
      </c>
      <c r="B6121">
        <v>0</v>
      </c>
      <c r="C6121">
        <v>26</v>
      </c>
      <c r="D6121">
        <v>15</v>
      </c>
      <c r="E6121">
        <f t="shared" si="95"/>
        <v>1.1280615975241866E-33</v>
      </c>
    </row>
    <row r="6122" spans="1:5" x14ac:dyDescent="0.25">
      <c r="A6122">
        <v>7</v>
      </c>
      <c r="B6122">
        <v>0</v>
      </c>
      <c r="C6122">
        <v>27</v>
      </c>
      <c r="D6122">
        <v>14</v>
      </c>
      <c r="E6122">
        <f t="shared" si="95"/>
        <v>2.221939510274913E-33</v>
      </c>
    </row>
    <row r="6123" spans="1:5" x14ac:dyDescent="0.25">
      <c r="A6123">
        <v>7</v>
      </c>
      <c r="B6123">
        <v>0</v>
      </c>
      <c r="C6123">
        <v>28</v>
      </c>
      <c r="D6123">
        <v>13</v>
      </c>
      <c r="E6123">
        <f t="shared" si="95"/>
        <v>3.5180708912686145E-33</v>
      </c>
    </row>
    <row r="6124" spans="1:5" x14ac:dyDescent="0.25">
      <c r="A6124">
        <v>7</v>
      </c>
      <c r="B6124">
        <v>0</v>
      </c>
      <c r="C6124">
        <v>29</v>
      </c>
      <c r="D6124">
        <v>12</v>
      </c>
      <c r="E6124">
        <f t="shared" si="95"/>
        <v>4.4885732061013361E-33</v>
      </c>
    </row>
    <row r="6125" spans="1:5" x14ac:dyDescent="0.25">
      <c r="A6125">
        <v>7</v>
      </c>
      <c r="B6125">
        <v>0</v>
      </c>
      <c r="C6125">
        <v>30</v>
      </c>
      <c r="D6125">
        <v>11</v>
      </c>
      <c r="E6125">
        <f t="shared" si="95"/>
        <v>4.6168181548470872E-33</v>
      </c>
    </row>
    <row r="6126" spans="1:5" x14ac:dyDescent="0.25">
      <c r="A6126">
        <v>7</v>
      </c>
      <c r="B6126">
        <v>0</v>
      </c>
      <c r="C6126">
        <v>31</v>
      </c>
      <c r="D6126">
        <v>10</v>
      </c>
      <c r="E6126">
        <f t="shared" si="95"/>
        <v>3.822526859389523E-33</v>
      </c>
    </row>
    <row r="6127" spans="1:5" x14ac:dyDescent="0.25">
      <c r="A6127">
        <v>7</v>
      </c>
      <c r="B6127">
        <v>0</v>
      </c>
      <c r="C6127">
        <v>32</v>
      </c>
      <c r="D6127">
        <v>9</v>
      </c>
      <c r="E6127">
        <f t="shared" si="95"/>
        <v>2.5383967425633551E-33</v>
      </c>
    </row>
    <row r="6128" spans="1:5" x14ac:dyDescent="0.25">
      <c r="A6128">
        <v>7</v>
      </c>
      <c r="B6128">
        <v>0</v>
      </c>
      <c r="C6128">
        <v>33</v>
      </c>
      <c r="D6128">
        <v>8</v>
      </c>
      <c r="E6128">
        <f t="shared" si="95"/>
        <v>1.3438570990041291E-33</v>
      </c>
    </row>
    <row r="6129" spans="1:5" x14ac:dyDescent="0.25">
      <c r="A6129">
        <v>7</v>
      </c>
      <c r="B6129">
        <v>0</v>
      </c>
      <c r="C6129">
        <v>34</v>
      </c>
      <c r="D6129">
        <v>7</v>
      </c>
      <c r="E6129">
        <f t="shared" si="95"/>
        <v>5.6213630285140075E-34</v>
      </c>
    </row>
    <row r="6130" spans="1:5" x14ac:dyDescent="0.25">
      <c r="A6130">
        <v>7</v>
      </c>
      <c r="B6130">
        <v>0</v>
      </c>
      <c r="C6130">
        <v>35</v>
      </c>
      <c r="D6130">
        <v>6</v>
      </c>
      <c r="E6130">
        <f t="shared" si="95"/>
        <v>1.8343395145677276E-34</v>
      </c>
    </row>
    <row r="6131" spans="1:5" x14ac:dyDescent="0.25">
      <c r="A6131">
        <v>7</v>
      </c>
      <c r="B6131">
        <v>0</v>
      </c>
      <c r="C6131">
        <v>36</v>
      </c>
      <c r="D6131">
        <v>5</v>
      </c>
      <c r="E6131">
        <f t="shared" si="95"/>
        <v>4.58584878641932E-35</v>
      </c>
    </row>
    <row r="6132" spans="1:5" x14ac:dyDescent="0.25">
      <c r="A6132">
        <v>7</v>
      </c>
      <c r="B6132">
        <v>0</v>
      </c>
      <c r="C6132">
        <v>37</v>
      </c>
      <c r="D6132">
        <v>4</v>
      </c>
      <c r="E6132">
        <f t="shared" si="95"/>
        <v>8.5578902706666853E-36</v>
      </c>
    </row>
    <row r="6133" spans="1:5" x14ac:dyDescent="0.25">
      <c r="A6133">
        <v>7</v>
      </c>
      <c r="B6133">
        <v>0</v>
      </c>
      <c r="C6133">
        <v>38</v>
      </c>
      <c r="D6133">
        <v>3</v>
      </c>
      <c r="E6133">
        <f t="shared" si="95"/>
        <v>1.1465116152089335E-36</v>
      </c>
    </row>
    <row r="6134" spans="1:5" x14ac:dyDescent="0.25">
      <c r="A6134">
        <v>7</v>
      </c>
      <c r="B6134">
        <v>0</v>
      </c>
      <c r="C6134">
        <v>39</v>
      </c>
      <c r="D6134">
        <v>2</v>
      </c>
      <c r="E6134">
        <f t="shared" si="95"/>
        <v>1.0353114919946893E-37</v>
      </c>
    </row>
    <row r="6135" spans="1:5" x14ac:dyDescent="0.25">
      <c r="A6135">
        <v>7</v>
      </c>
      <c r="B6135">
        <v>0</v>
      </c>
      <c r="C6135">
        <v>40</v>
      </c>
      <c r="D6135">
        <v>1</v>
      </c>
      <c r="E6135">
        <f t="shared" si="95"/>
        <v>5.607937248304571E-39</v>
      </c>
    </row>
    <row r="6136" spans="1:5" x14ac:dyDescent="0.25">
      <c r="A6136">
        <v>7</v>
      </c>
      <c r="B6136">
        <v>0</v>
      </c>
      <c r="C6136">
        <v>41</v>
      </c>
      <c r="D6136">
        <v>0</v>
      </c>
      <c r="E6136">
        <f t="shared" si="95"/>
        <v>1.3677895727572117E-40</v>
      </c>
    </row>
    <row r="6137" spans="1:5" x14ac:dyDescent="0.25">
      <c r="A6137">
        <v>7</v>
      </c>
      <c r="B6137">
        <v>1</v>
      </c>
      <c r="C6137">
        <v>15</v>
      </c>
      <c r="D6137">
        <v>25</v>
      </c>
      <c r="E6137">
        <f t="shared" si="95"/>
        <v>2.062895567935331E-41</v>
      </c>
    </row>
    <row r="6138" spans="1:5" x14ac:dyDescent="0.25">
      <c r="A6138">
        <v>7</v>
      </c>
      <c r="B6138">
        <v>1</v>
      </c>
      <c r="C6138">
        <v>16</v>
      </c>
      <c r="D6138">
        <v>24</v>
      </c>
      <c r="E6138">
        <f t="shared" si="95"/>
        <v>1.6116371624494776E-39</v>
      </c>
    </row>
    <row r="6139" spans="1:5" x14ac:dyDescent="0.25">
      <c r="A6139">
        <v>7</v>
      </c>
      <c r="B6139">
        <v>1</v>
      </c>
      <c r="C6139">
        <v>17</v>
      </c>
      <c r="D6139">
        <v>23</v>
      </c>
      <c r="E6139">
        <f t="shared" si="95"/>
        <v>5.5743685383546664E-38</v>
      </c>
    </row>
    <row r="6140" spans="1:5" x14ac:dyDescent="0.25">
      <c r="A6140">
        <v>7</v>
      </c>
      <c r="B6140">
        <v>1</v>
      </c>
      <c r="C6140">
        <v>18</v>
      </c>
      <c r="D6140">
        <v>22</v>
      </c>
      <c r="E6140">
        <f t="shared" si="95"/>
        <v>1.1396486789525084E-36</v>
      </c>
    </row>
    <row r="6141" spans="1:5" x14ac:dyDescent="0.25">
      <c r="A6141">
        <v>7</v>
      </c>
      <c r="B6141">
        <v>1</v>
      </c>
      <c r="C6141">
        <v>19</v>
      </c>
      <c r="D6141">
        <v>21</v>
      </c>
      <c r="E6141">
        <f t="shared" si="95"/>
        <v>1.550522018469598E-35</v>
      </c>
    </row>
    <row r="6142" spans="1:5" x14ac:dyDescent="0.25">
      <c r="A6142">
        <v>7</v>
      </c>
      <c r="B6142">
        <v>1</v>
      </c>
      <c r="C6142">
        <v>20</v>
      </c>
      <c r="D6142">
        <v>20</v>
      </c>
      <c r="E6142">
        <f t="shared" si="95"/>
        <v>1.4978042698416323E-34</v>
      </c>
    </row>
    <row r="6143" spans="1:5" x14ac:dyDescent="0.25">
      <c r="A6143">
        <v>7</v>
      </c>
      <c r="B6143">
        <v>1</v>
      </c>
      <c r="C6143">
        <v>21</v>
      </c>
      <c r="D6143">
        <v>19</v>
      </c>
      <c r="E6143">
        <f t="shared" si="95"/>
        <v>1.0698601927440218E-33</v>
      </c>
    </row>
    <row r="6144" spans="1:5" x14ac:dyDescent="0.25">
      <c r="A6144">
        <v>7</v>
      </c>
      <c r="B6144">
        <v>1</v>
      </c>
      <c r="C6144">
        <v>22</v>
      </c>
      <c r="D6144">
        <v>18</v>
      </c>
      <c r="E6144">
        <f t="shared" si="95"/>
        <v>5.8078124748961242E-33</v>
      </c>
    </row>
    <row r="6145" spans="1:5" x14ac:dyDescent="0.25">
      <c r="A6145">
        <v>7</v>
      </c>
      <c r="B6145">
        <v>1</v>
      </c>
      <c r="C6145">
        <v>23</v>
      </c>
      <c r="D6145">
        <v>17</v>
      </c>
      <c r="E6145">
        <f t="shared" si="95"/>
        <v>2.4430689432443468E-32</v>
      </c>
    </row>
    <row r="6146" spans="1:5" x14ac:dyDescent="0.25">
      <c r="A6146">
        <v>7</v>
      </c>
      <c r="B6146">
        <v>1</v>
      </c>
      <c r="C6146">
        <v>24</v>
      </c>
      <c r="D6146">
        <v>16</v>
      </c>
      <c r="E6146">
        <f t="shared" si="95"/>
        <v>8.0757001179465912E-32</v>
      </c>
    </row>
    <row r="6147" spans="1:5" x14ac:dyDescent="0.25">
      <c r="A6147">
        <v>7</v>
      </c>
      <c r="B6147">
        <v>1</v>
      </c>
      <c r="C6147">
        <v>25</v>
      </c>
      <c r="D6147">
        <v>15</v>
      </c>
      <c r="E6147">
        <f t="shared" si="95"/>
        <v>2.1190637109491857E-31</v>
      </c>
    </row>
    <row r="6148" spans="1:5" x14ac:dyDescent="0.25">
      <c r="A6148">
        <v>7</v>
      </c>
      <c r="B6148">
        <v>1</v>
      </c>
      <c r="C6148">
        <v>26</v>
      </c>
      <c r="D6148">
        <v>14</v>
      </c>
      <c r="E6148">
        <f t="shared" si="95"/>
        <v>4.4455882047885004E-31</v>
      </c>
    </row>
    <row r="6149" spans="1:5" x14ac:dyDescent="0.25">
      <c r="A6149">
        <v>7</v>
      </c>
      <c r="B6149">
        <v>1</v>
      </c>
      <c r="C6149">
        <v>27</v>
      </c>
      <c r="D6149">
        <v>13</v>
      </c>
      <c r="E6149">
        <f t="shared" si="95"/>
        <v>7.4916393821435836E-31</v>
      </c>
    </row>
    <row r="6150" spans="1:5" x14ac:dyDescent="0.25">
      <c r="A6150">
        <v>7</v>
      </c>
      <c r="B6150">
        <v>1</v>
      </c>
      <c r="C6150">
        <v>28</v>
      </c>
      <c r="D6150">
        <v>12</v>
      </c>
      <c r="E6150">
        <f t="shared" si="95"/>
        <v>1.0167224875766294E-30</v>
      </c>
    </row>
    <row r="6151" spans="1:5" x14ac:dyDescent="0.25">
      <c r="A6151">
        <v>7</v>
      </c>
      <c r="B6151">
        <v>1</v>
      </c>
      <c r="C6151">
        <v>29</v>
      </c>
      <c r="D6151">
        <v>11</v>
      </c>
      <c r="E6151">
        <f t="shared" si="95"/>
        <v>1.1118837056256735E-30</v>
      </c>
    </row>
    <row r="6152" spans="1:5" x14ac:dyDescent="0.25">
      <c r="A6152">
        <v>7</v>
      </c>
      <c r="B6152">
        <v>1</v>
      </c>
      <c r="C6152">
        <v>30</v>
      </c>
      <c r="D6152">
        <v>10</v>
      </c>
      <c r="E6152">
        <f t="shared" si="95"/>
        <v>9.7845766095059231E-31</v>
      </c>
    </row>
    <row r="6153" spans="1:5" x14ac:dyDescent="0.25">
      <c r="A6153">
        <v>7</v>
      </c>
      <c r="B6153">
        <v>1</v>
      </c>
      <c r="C6153">
        <v>31</v>
      </c>
      <c r="D6153">
        <v>9</v>
      </c>
      <c r="E6153">
        <f t="shared" si="95"/>
        <v>6.9044391397723279E-31</v>
      </c>
    </row>
    <row r="6154" spans="1:5" x14ac:dyDescent="0.25">
      <c r="A6154">
        <v>7</v>
      </c>
      <c r="B6154">
        <v>1</v>
      </c>
      <c r="C6154">
        <v>32</v>
      </c>
      <c r="D6154">
        <v>8</v>
      </c>
      <c r="E6154">
        <f t="shared" si="95"/>
        <v>3.8837470161219333E-31</v>
      </c>
    </row>
    <row r="6155" spans="1:5" x14ac:dyDescent="0.25">
      <c r="A6155">
        <v>7</v>
      </c>
      <c r="B6155">
        <v>1</v>
      </c>
      <c r="C6155">
        <v>33</v>
      </c>
      <c r="D6155">
        <v>7</v>
      </c>
      <c r="E6155">
        <f t="shared" si="95"/>
        <v>1.726109784943082E-31</v>
      </c>
    </row>
    <row r="6156" spans="1:5" x14ac:dyDescent="0.25">
      <c r="A6156">
        <v>7</v>
      </c>
      <c r="B6156">
        <v>1</v>
      </c>
      <c r="C6156">
        <v>34</v>
      </c>
      <c r="D6156">
        <v>6</v>
      </c>
      <c r="E6156">
        <f t="shared" si="95"/>
        <v>5.9852723193072797E-32</v>
      </c>
    </row>
    <row r="6157" spans="1:5" x14ac:dyDescent="0.25">
      <c r="A6157">
        <v>7</v>
      </c>
      <c r="B6157">
        <v>1</v>
      </c>
      <c r="C6157">
        <v>35</v>
      </c>
      <c r="D6157">
        <v>5</v>
      </c>
      <c r="E6157">
        <f t="shared" si="95"/>
        <v>1.5903723591302199E-32</v>
      </c>
    </row>
    <row r="6158" spans="1:5" x14ac:dyDescent="0.25">
      <c r="A6158">
        <v>7</v>
      </c>
      <c r="B6158">
        <v>1</v>
      </c>
      <c r="C6158">
        <v>36</v>
      </c>
      <c r="D6158">
        <v>4</v>
      </c>
      <c r="E6158">
        <f t="shared" ref="E6158:E6221" si="96">COMBIN(A$4,A6158)*COMBIN(B$4,B6158)*COMBIN(C$4,C6158)*COMBIN(D$4,D6158)/COMBIN($G$4,$F$4)</f>
        <v>3.1555007125599611E-33</v>
      </c>
    </row>
    <row r="6159" spans="1:5" x14ac:dyDescent="0.25">
      <c r="A6159">
        <v>7</v>
      </c>
      <c r="B6159">
        <v>1</v>
      </c>
      <c r="C6159">
        <v>37</v>
      </c>
      <c r="D6159">
        <v>3</v>
      </c>
      <c r="E6159">
        <f t="shared" si="96"/>
        <v>4.4967823422230396E-34</v>
      </c>
    </row>
    <row r="6160" spans="1:5" x14ac:dyDescent="0.25">
      <c r="A6160">
        <v>7</v>
      </c>
      <c r="B6160">
        <v>1</v>
      </c>
      <c r="C6160">
        <v>38</v>
      </c>
      <c r="D6160">
        <v>2</v>
      </c>
      <c r="E6160">
        <f t="shared" si="96"/>
        <v>4.3218503060267193E-35</v>
      </c>
    </row>
    <row r="6161" spans="1:5" x14ac:dyDescent="0.25">
      <c r="A6161">
        <v>7</v>
      </c>
      <c r="B6161">
        <v>1</v>
      </c>
      <c r="C6161">
        <v>39</v>
      </c>
      <c r="D6161">
        <v>1</v>
      </c>
      <c r="E6161">
        <f t="shared" si="96"/>
        <v>2.4933751765538766E-36</v>
      </c>
    </row>
    <row r="6162" spans="1:5" x14ac:dyDescent="0.25">
      <c r="A6162">
        <v>7</v>
      </c>
      <c r="B6162">
        <v>1</v>
      </c>
      <c r="C6162">
        <v>40</v>
      </c>
      <c r="D6162">
        <v>0</v>
      </c>
      <c r="E6162">
        <f t="shared" si="96"/>
        <v>6.4827754590400827E-38</v>
      </c>
    </row>
    <row r="6163" spans="1:5" x14ac:dyDescent="0.25">
      <c r="A6163">
        <v>7</v>
      </c>
      <c r="B6163">
        <v>2</v>
      </c>
      <c r="C6163">
        <v>14</v>
      </c>
      <c r="D6163">
        <v>25</v>
      </c>
      <c r="E6163">
        <f t="shared" si="96"/>
        <v>8.7369694641966987E-40</v>
      </c>
    </row>
    <row r="6164" spans="1:5" x14ac:dyDescent="0.25">
      <c r="A6164">
        <v>7</v>
      </c>
      <c r="B6164">
        <v>2</v>
      </c>
      <c r="C6164">
        <v>15</v>
      </c>
      <c r="D6164">
        <v>24</v>
      </c>
      <c r="E6164">
        <f t="shared" si="96"/>
        <v>7.4264240445671915E-38</v>
      </c>
    </row>
    <row r="6165" spans="1:5" x14ac:dyDescent="0.25">
      <c r="A6165">
        <v>7</v>
      </c>
      <c r="B6165">
        <v>2</v>
      </c>
      <c r="C6165">
        <v>16</v>
      </c>
      <c r="D6165">
        <v>23</v>
      </c>
      <c r="E6165">
        <f t="shared" si="96"/>
        <v>2.7849090167126971E-36</v>
      </c>
    </row>
    <row r="6166" spans="1:5" x14ac:dyDescent="0.25">
      <c r="A6166">
        <v>7</v>
      </c>
      <c r="B6166">
        <v>2</v>
      </c>
      <c r="C6166">
        <v>17</v>
      </c>
      <c r="D6166">
        <v>22</v>
      </c>
      <c r="E6166">
        <f t="shared" si="96"/>
        <v>6.1541028663435514E-35</v>
      </c>
    </row>
    <row r="6167" spans="1:5" x14ac:dyDescent="0.25">
      <c r="A6167">
        <v>7</v>
      </c>
      <c r="B6167">
        <v>2</v>
      </c>
      <c r="C6167">
        <v>18</v>
      </c>
      <c r="D6167">
        <v>21</v>
      </c>
      <c r="E6167">
        <f t="shared" si="96"/>
        <v>9.0260175373038682E-34</v>
      </c>
    </row>
    <row r="6168" spans="1:5" x14ac:dyDescent="0.25">
      <c r="A6168">
        <v>7</v>
      </c>
      <c r="B6168">
        <v>2</v>
      </c>
      <c r="C6168">
        <v>19</v>
      </c>
      <c r="D6168">
        <v>20</v>
      </c>
      <c r="E6168">
        <f t="shared" si="96"/>
        <v>9.3775571677041255E-33</v>
      </c>
    </row>
    <row r="6169" spans="1:5" x14ac:dyDescent="0.25">
      <c r="A6169">
        <v>7</v>
      </c>
      <c r="B6169">
        <v>2</v>
      </c>
      <c r="C6169">
        <v>20</v>
      </c>
      <c r="D6169">
        <v>19</v>
      </c>
      <c r="E6169">
        <f t="shared" si="96"/>
        <v>7.1894604952398368E-32</v>
      </c>
    </row>
    <row r="6170" spans="1:5" x14ac:dyDescent="0.25">
      <c r="A6170">
        <v>7</v>
      </c>
      <c r="B6170">
        <v>2</v>
      </c>
      <c r="C6170">
        <v>21</v>
      </c>
      <c r="D6170">
        <v>18</v>
      </c>
      <c r="E6170">
        <f t="shared" si="96"/>
        <v>4.1816249819252076E-31</v>
      </c>
    </row>
    <row r="6171" spans="1:5" x14ac:dyDescent="0.25">
      <c r="A6171">
        <v>7</v>
      </c>
      <c r="B6171">
        <v>2</v>
      </c>
      <c r="C6171">
        <v>22</v>
      </c>
      <c r="D6171">
        <v>17</v>
      </c>
      <c r="E6171">
        <f t="shared" si="96"/>
        <v>1.881731241866344E-30</v>
      </c>
    </row>
    <row r="6172" spans="1:5" x14ac:dyDescent="0.25">
      <c r="A6172">
        <v>7</v>
      </c>
      <c r="B6172">
        <v>2</v>
      </c>
      <c r="C6172">
        <v>23</v>
      </c>
      <c r="D6172">
        <v>16</v>
      </c>
      <c r="E6172">
        <f t="shared" si="96"/>
        <v>6.6451475256246233E-30</v>
      </c>
    </row>
    <row r="6173" spans="1:5" x14ac:dyDescent="0.25">
      <c r="A6173">
        <v>7</v>
      </c>
      <c r="B6173">
        <v>2</v>
      </c>
      <c r="C6173">
        <v>24</v>
      </c>
      <c r="D6173">
        <v>15</v>
      </c>
      <c r="E6173">
        <f t="shared" si="96"/>
        <v>1.8606413071748941E-29</v>
      </c>
    </row>
    <row r="6174" spans="1:5" x14ac:dyDescent="0.25">
      <c r="A6174">
        <v>7</v>
      </c>
      <c r="B6174">
        <v>2</v>
      </c>
      <c r="C6174">
        <v>25</v>
      </c>
      <c r="D6174">
        <v>14</v>
      </c>
      <c r="E6174">
        <f t="shared" si="96"/>
        <v>4.1610705596820389E-29</v>
      </c>
    </row>
    <row r="6175" spans="1:5" x14ac:dyDescent="0.25">
      <c r="A6175">
        <v>7</v>
      </c>
      <c r="B6175">
        <v>2</v>
      </c>
      <c r="C6175">
        <v>26</v>
      </c>
      <c r="D6175">
        <v>13</v>
      </c>
      <c r="E6175">
        <f t="shared" si="96"/>
        <v>7.4685881840446814E-29</v>
      </c>
    </row>
    <row r="6176" spans="1:5" x14ac:dyDescent="0.25">
      <c r="A6176">
        <v>7</v>
      </c>
      <c r="B6176">
        <v>2</v>
      </c>
      <c r="C6176">
        <v>27</v>
      </c>
      <c r="D6176">
        <v>12</v>
      </c>
      <c r="E6176">
        <f t="shared" si="96"/>
        <v>1.0787960710286763E-28</v>
      </c>
    </row>
    <row r="6177" spans="1:5" x14ac:dyDescent="0.25">
      <c r="A6177">
        <v>7</v>
      </c>
      <c r="B6177">
        <v>2</v>
      </c>
      <c r="C6177">
        <v>28</v>
      </c>
      <c r="D6177">
        <v>11</v>
      </c>
      <c r="E6177">
        <f t="shared" si="96"/>
        <v>1.2549260418088681E-28</v>
      </c>
    </row>
    <row r="6178" spans="1:5" x14ac:dyDescent="0.25">
      <c r="A6178">
        <v>7</v>
      </c>
      <c r="B6178">
        <v>2</v>
      </c>
      <c r="C6178">
        <v>29</v>
      </c>
      <c r="D6178">
        <v>10</v>
      </c>
      <c r="E6178">
        <f t="shared" si="96"/>
        <v>1.1741491931407112E-28</v>
      </c>
    </row>
    <row r="6179" spans="1:5" x14ac:dyDescent="0.25">
      <c r="A6179">
        <v>7</v>
      </c>
      <c r="B6179">
        <v>2</v>
      </c>
      <c r="C6179">
        <v>30</v>
      </c>
      <c r="D6179">
        <v>9</v>
      </c>
      <c r="E6179">
        <f t="shared" si="96"/>
        <v>8.8061189485553327E-29</v>
      </c>
    </row>
    <row r="6180" spans="1:5" x14ac:dyDescent="0.25">
      <c r="A6180">
        <v>7</v>
      </c>
      <c r="B6180">
        <v>2</v>
      </c>
      <c r="C6180">
        <v>31</v>
      </c>
      <c r="D6180">
        <v>8</v>
      </c>
      <c r="E6180">
        <f t="shared" si="96"/>
        <v>5.2636194853793738E-29</v>
      </c>
    </row>
    <row r="6181" spans="1:5" x14ac:dyDescent="0.25">
      <c r="A6181">
        <v>7</v>
      </c>
      <c r="B6181">
        <v>2</v>
      </c>
      <c r="C6181">
        <v>32</v>
      </c>
      <c r="D6181">
        <v>7</v>
      </c>
      <c r="E6181">
        <f t="shared" si="96"/>
        <v>2.4855980903180381E-29</v>
      </c>
    </row>
    <row r="6182" spans="1:5" x14ac:dyDescent="0.25">
      <c r="A6182">
        <v>7</v>
      </c>
      <c r="B6182">
        <v>2</v>
      </c>
      <c r="C6182">
        <v>33</v>
      </c>
      <c r="D6182">
        <v>6</v>
      </c>
      <c r="E6182">
        <f t="shared" si="96"/>
        <v>9.1574666485401358E-30</v>
      </c>
    </row>
    <row r="6183" spans="1:5" x14ac:dyDescent="0.25">
      <c r="A6183">
        <v>7</v>
      </c>
      <c r="B6183">
        <v>2</v>
      </c>
      <c r="C6183">
        <v>34</v>
      </c>
      <c r="D6183">
        <v>5</v>
      </c>
      <c r="E6183">
        <f t="shared" si="96"/>
        <v>2.5856376419407449E-30</v>
      </c>
    </row>
    <row r="6184" spans="1:5" x14ac:dyDescent="0.25">
      <c r="A6184">
        <v>7</v>
      </c>
      <c r="B6184">
        <v>2</v>
      </c>
      <c r="C6184">
        <v>35</v>
      </c>
      <c r="D6184">
        <v>4</v>
      </c>
      <c r="E6184">
        <f t="shared" si="96"/>
        <v>5.452705231303612E-31</v>
      </c>
    </row>
    <row r="6185" spans="1:5" x14ac:dyDescent="0.25">
      <c r="A6185">
        <v>7</v>
      </c>
      <c r="B6185">
        <v>2</v>
      </c>
      <c r="C6185">
        <v>36</v>
      </c>
      <c r="D6185">
        <v>3</v>
      </c>
      <c r="E6185">
        <f t="shared" si="96"/>
        <v>8.2616745928842625E-32</v>
      </c>
    </row>
    <row r="6186" spans="1:5" x14ac:dyDescent="0.25">
      <c r="A6186">
        <v>7</v>
      </c>
      <c r="B6186">
        <v>2</v>
      </c>
      <c r="C6186">
        <v>37</v>
      </c>
      <c r="D6186">
        <v>2</v>
      </c>
      <c r="E6186">
        <f t="shared" si="96"/>
        <v>8.4461303123493627E-33</v>
      </c>
    </row>
    <row r="6187" spans="1:5" x14ac:dyDescent="0.25">
      <c r="A6187">
        <v>7</v>
      </c>
      <c r="B6187">
        <v>2</v>
      </c>
      <c r="C6187">
        <v>38</v>
      </c>
      <c r="D6187">
        <v>1</v>
      </c>
      <c r="E6187">
        <f t="shared" si="96"/>
        <v>5.1862203672320627E-34</v>
      </c>
    </row>
    <row r="6188" spans="1:5" x14ac:dyDescent="0.25">
      <c r="A6188">
        <v>7</v>
      </c>
      <c r="B6188">
        <v>2</v>
      </c>
      <c r="C6188">
        <v>39</v>
      </c>
      <c r="D6188">
        <v>0</v>
      </c>
      <c r="E6188">
        <f t="shared" si="96"/>
        <v>1.436184101695033E-35</v>
      </c>
    </row>
    <row r="6189" spans="1:5" x14ac:dyDescent="0.25">
      <c r="A6189">
        <v>7</v>
      </c>
      <c r="B6189">
        <v>3</v>
      </c>
      <c r="C6189">
        <v>13</v>
      </c>
      <c r="D6189">
        <v>25</v>
      </c>
      <c r="E6189">
        <f t="shared" si="96"/>
        <v>2.2503296991757905E-38</v>
      </c>
    </row>
    <row r="6190" spans="1:5" x14ac:dyDescent="0.25">
      <c r="A6190">
        <v>7</v>
      </c>
      <c r="B6190">
        <v>3</v>
      </c>
      <c r="C6190">
        <v>14</v>
      </c>
      <c r="D6190">
        <v>24</v>
      </c>
      <c r="E6190">
        <f t="shared" si="96"/>
        <v>2.0895918635203774E-36</v>
      </c>
    </row>
    <row r="6191" spans="1:5" x14ac:dyDescent="0.25">
      <c r="A6191">
        <v>7</v>
      </c>
      <c r="B6191">
        <v>3</v>
      </c>
      <c r="C6191">
        <v>15</v>
      </c>
      <c r="D6191">
        <v>23</v>
      </c>
      <c r="E6191">
        <f t="shared" si="96"/>
        <v>8.5255348031631359E-35</v>
      </c>
    </row>
    <row r="6192" spans="1:5" x14ac:dyDescent="0.25">
      <c r="A6192">
        <v>7</v>
      </c>
      <c r="B6192">
        <v>3</v>
      </c>
      <c r="C6192">
        <v>16</v>
      </c>
      <c r="D6192">
        <v>22</v>
      </c>
      <c r="E6192">
        <f t="shared" si="96"/>
        <v>2.0425760465911682E-33</v>
      </c>
    </row>
    <row r="6193" spans="1:5" x14ac:dyDescent="0.25">
      <c r="A6193">
        <v>7</v>
      </c>
      <c r="B6193">
        <v>3</v>
      </c>
      <c r="C6193">
        <v>17</v>
      </c>
      <c r="D6193">
        <v>21</v>
      </c>
      <c r="E6193">
        <f t="shared" si="96"/>
        <v>3.2380837915077662E-32</v>
      </c>
    </row>
    <row r="6194" spans="1:5" x14ac:dyDescent="0.25">
      <c r="A6194">
        <v>7</v>
      </c>
      <c r="B6194">
        <v>3</v>
      </c>
      <c r="C6194">
        <v>18</v>
      </c>
      <c r="D6194">
        <v>20</v>
      </c>
      <c r="E6194">
        <f t="shared" si="96"/>
        <v>3.6266538464886937E-31</v>
      </c>
    </row>
    <row r="6195" spans="1:5" x14ac:dyDescent="0.25">
      <c r="A6195">
        <v>7</v>
      </c>
      <c r="B6195">
        <v>3</v>
      </c>
      <c r="C6195">
        <v>19</v>
      </c>
      <c r="D6195">
        <v>19</v>
      </c>
      <c r="E6195">
        <f t="shared" si="96"/>
        <v>2.9903987857012046E-30</v>
      </c>
    </row>
    <row r="6196" spans="1:5" x14ac:dyDescent="0.25">
      <c r="A6196">
        <v>7</v>
      </c>
      <c r="B6196">
        <v>3</v>
      </c>
      <c r="C6196">
        <v>20</v>
      </c>
      <c r="D6196">
        <v>18</v>
      </c>
      <c r="E6196">
        <f t="shared" si="96"/>
        <v>1.8668632419306116E-29</v>
      </c>
    </row>
    <row r="6197" spans="1:5" x14ac:dyDescent="0.25">
      <c r="A6197">
        <v>7</v>
      </c>
      <c r="B6197">
        <v>3</v>
      </c>
      <c r="C6197">
        <v>21</v>
      </c>
      <c r="D6197">
        <v>17</v>
      </c>
      <c r="E6197">
        <f t="shared" si="96"/>
        <v>9.0009477735940068E-29</v>
      </c>
    </row>
    <row r="6198" spans="1:5" x14ac:dyDescent="0.25">
      <c r="A6198">
        <v>7</v>
      </c>
      <c r="B6198">
        <v>3</v>
      </c>
      <c r="C6198">
        <v>22</v>
      </c>
      <c r="D6198">
        <v>16</v>
      </c>
      <c r="E6198">
        <f t="shared" si="96"/>
        <v>3.4003580478021823E-28</v>
      </c>
    </row>
    <row r="6199" spans="1:5" x14ac:dyDescent="0.25">
      <c r="A6199">
        <v>7</v>
      </c>
      <c r="B6199">
        <v>3</v>
      </c>
      <c r="C6199">
        <v>23</v>
      </c>
      <c r="D6199">
        <v>15</v>
      </c>
      <c r="E6199">
        <f t="shared" si="96"/>
        <v>1.0171505812556089E-27</v>
      </c>
    </row>
    <row r="6200" spans="1:5" x14ac:dyDescent="0.25">
      <c r="A6200">
        <v>7</v>
      </c>
      <c r="B6200">
        <v>3</v>
      </c>
      <c r="C6200">
        <v>24</v>
      </c>
      <c r="D6200">
        <v>14</v>
      </c>
      <c r="E6200">
        <f t="shared" si="96"/>
        <v>2.4272911598145216E-27</v>
      </c>
    </row>
    <row r="6201" spans="1:5" x14ac:dyDescent="0.25">
      <c r="A6201">
        <v>7</v>
      </c>
      <c r="B6201">
        <v>3</v>
      </c>
      <c r="C6201">
        <v>25</v>
      </c>
      <c r="D6201">
        <v>13</v>
      </c>
      <c r="E6201">
        <f t="shared" si="96"/>
        <v>4.6442170857784541E-27</v>
      </c>
    </row>
    <row r="6202" spans="1:5" x14ac:dyDescent="0.25">
      <c r="A6202">
        <v>7</v>
      </c>
      <c r="B6202">
        <v>3</v>
      </c>
      <c r="C6202">
        <v>26</v>
      </c>
      <c r="D6202">
        <v>12</v>
      </c>
      <c r="E6202">
        <f t="shared" si="96"/>
        <v>7.1449493627360779E-27</v>
      </c>
    </row>
    <row r="6203" spans="1:5" x14ac:dyDescent="0.25">
      <c r="A6203">
        <v>7</v>
      </c>
      <c r="B6203">
        <v>3</v>
      </c>
      <c r="C6203">
        <v>27</v>
      </c>
      <c r="D6203">
        <v>11</v>
      </c>
      <c r="E6203">
        <f t="shared" si="96"/>
        <v>8.846127782435143E-27</v>
      </c>
    </row>
    <row r="6204" spans="1:5" x14ac:dyDescent="0.25">
      <c r="A6204">
        <v>7</v>
      </c>
      <c r="B6204">
        <v>3</v>
      </c>
      <c r="C6204">
        <v>28</v>
      </c>
      <c r="D6204">
        <v>10</v>
      </c>
      <c r="E6204">
        <f t="shared" si="96"/>
        <v>8.8040033644235472E-27</v>
      </c>
    </row>
    <row r="6205" spans="1:5" x14ac:dyDescent="0.25">
      <c r="A6205">
        <v>7</v>
      </c>
      <c r="B6205">
        <v>3</v>
      </c>
      <c r="C6205">
        <v>29</v>
      </c>
      <c r="D6205">
        <v>9</v>
      </c>
      <c r="E6205">
        <f t="shared" si="96"/>
        <v>7.0204337173205028E-27</v>
      </c>
    </row>
    <row r="6206" spans="1:5" x14ac:dyDescent="0.25">
      <c r="A6206">
        <v>7</v>
      </c>
      <c r="B6206">
        <v>3</v>
      </c>
      <c r="C6206">
        <v>30</v>
      </c>
      <c r="D6206">
        <v>8</v>
      </c>
      <c r="E6206">
        <f t="shared" si="96"/>
        <v>4.4600402439447898E-27</v>
      </c>
    </row>
    <row r="6207" spans="1:5" x14ac:dyDescent="0.25">
      <c r="A6207">
        <v>7</v>
      </c>
      <c r="B6207">
        <v>3</v>
      </c>
      <c r="C6207">
        <v>31</v>
      </c>
      <c r="D6207">
        <v>7</v>
      </c>
      <c r="E6207">
        <f t="shared" si="96"/>
        <v>2.2380130256353789E-27</v>
      </c>
    </row>
    <row r="6208" spans="1:5" x14ac:dyDescent="0.25">
      <c r="A6208">
        <v>7</v>
      </c>
      <c r="B6208">
        <v>3</v>
      </c>
      <c r="C6208">
        <v>32</v>
      </c>
      <c r="D6208">
        <v>6</v>
      </c>
      <c r="E6208">
        <f t="shared" si="96"/>
        <v>8.7606430937700632E-28</v>
      </c>
    </row>
    <row r="6209" spans="1:5" x14ac:dyDescent="0.25">
      <c r="A6209">
        <v>7</v>
      </c>
      <c r="B6209">
        <v>3</v>
      </c>
      <c r="C6209">
        <v>33</v>
      </c>
      <c r="D6209">
        <v>5</v>
      </c>
      <c r="E6209">
        <f t="shared" si="96"/>
        <v>2.6281929281310194E-28</v>
      </c>
    </row>
    <row r="6210" spans="1:5" x14ac:dyDescent="0.25">
      <c r="A6210">
        <v>7</v>
      </c>
      <c r="B6210">
        <v>3</v>
      </c>
      <c r="C6210">
        <v>34</v>
      </c>
      <c r="D6210">
        <v>4</v>
      </c>
      <c r="E6210">
        <f t="shared" si="96"/>
        <v>5.8895079621983655E-29</v>
      </c>
    </row>
    <row r="6211" spans="1:5" x14ac:dyDescent="0.25">
      <c r="A6211">
        <v>7</v>
      </c>
      <c r="B6211">
        <v>3</v>
      </c>
      <c r="C6211">
        <v>35</v>
      </c>
      <c r="D6211">
        <v>3</v>
      </c>
      <c r="E6211">
        <f t="shared" si="96"/>
        <v>9.4844024326311304E-30</v>
      </c>
    </row>
    <row r="6212" spans="1:5" x14ac:dyDescent="0.25">
      <c r="A6212">
        <v>7</v>
      </c>
      <c r="B6212">
        <v>3</v>
      </c>
      <c r="C6212">
        <v>36</v>
      </c>
      <c r="D6212">
        <v>2</v>
      </c>
      <c r="E6212">
        <f t="shared" si="96"/>
        <v>1.0309133078946883E-30</v>
      </c>
    </row>
    <row r="6213" spans="1:5" x14ac:dyDescent="0.25">
      <c r="A6213">
        <v>7</v>
      </c>
      <c r="B6213">
        <v>3</v>
      </c>
      <c r="C6213">
        <v>37</v>
      </c>
      <c r="D6213">
        <v>1</v>
      </c>
      <c r="E6213">
        <f t="shared" si="96"/>
        <v>6.7334427767896299E-32</v>
      </c>
    </row>
    <row r="6214" spans="1:5" x14ac:dyDescent="0.25">
      <c r="A6214">
        <v>7</v>
      </c>
      <c r="B6214">
        <v>3</v>
      </c>
      <c r="C6214">
        <v>38</v>
      </c>
      <c r="D6214">
        <v>0</v>
      </c>
      <c r="E6214">
        <f t="shared" si="96"/>
        <v>1.9845936605274693E-33</v>
      </c>
    </row>
    <row r="6215" spans="1:5" x14ac:dyDescent="0.25">
      <c r="A6215">
        <v>7</v>
      </c>
      <c r="B6215">
        <v>4</v>
      </c>
      <c r="C6215">
        <v>12</v>
      </c>
      <c r="D6215">
        <v>25</v>
      </c>
      <c r="E6215">
        <f t="shared" si="96"/>
        <v>3.9465687837432008E-37</v>
      </c>
    </row>
    <row r="6216" spans="1:5" x14ac:dyDescent="0.25">
      <c r="A6216">
        <v>7</v>
      </c>
      <c r="B6216">
        <v>4</v>
      </c>
      <c r="C6216">
        <v>13</v>
      </c>
      <c r="D6216">
        <v>24</v>
      </c>
      <c r="E6216">
        <f t="shared" si="96"/>
        <v>4.0224643372767258E-35</v>
      </c>
    </row>
    <row r="6217" spans="1:5" x14ac:dyDescent="0.25">
      <c r="A6217">
        <v>7</v>
      </c>
      <c r="B6217">
        <v>4</v>
      </c>
      <c r="C6217">
        <v>14</v>
      </c>
      <c r="D6217">
        <v>23</v>
      </c>
      <c r="E6217">
        <f t="shared" si="96"/>
        <v>1.7928698189004835E-33</v>
      </c>
    </row>
    <row r="6218" spans="1:5" x14ac:dyDescent="0.25">
      <c r="A6218">
        <v>7</v>
      </c>
      <c r="B6218">
        <v>4</v>
      </c>
      <c r="C6218">
        <v>15</v>
      </c>
      <c r="D6218">
        <v>22</v>
      </c>
      <c r="E6218">
        <f t="shared" si="96"/>
        <v>4.6734139946005921E-32</v>
      </c>
    </row>
    <row r="6219" spans="1:5" x14ac:dyDescent="0.25">
      <c r="A6219">
        <v>7</v>
      </c>
      <c r="B6219">
        <v>4</v>
      </c>
      <c r="C6219">
        <v>16</v>
      </c>
      <c r="D6219">
        <v>21</v>
      </c>
      <c r="E6219">
        <f t="shared" si="96"/>
        <v>8.0324303032197697E-31</v>
      </c>
    </row>
    <row r="6220" spans="1:5" x14ac:dyDescent="0.25">
      <c r="A6220">
        <v>7</v>
      </c>
      <c r="B6220">
        <v>4</v>
      </c>
      <c r="C6220">
        <v>17</v>
      </c>
      <c r="D6220">
        <v>20</v>
      </c>
      <c r="E6220">
        <f t="shared" si="96"/>
        <v>9.7239656258978182E-30</v>
      </c>
    </row>
    <row r="6221" spans="1:5" x14ac:dyDescent="0.25">
      <c r="A6221">
        <v>7</v>
      </c>
      <c r="B6221">
        <v>4</v>
      </c>
      <c r="C6221">
        <v>18</v>
      </c>
      <c r="D6221">
        <v>19</v>
      </c>
      <c r="E6221">
        <f t="shared" si="96"/>
        <v>8.6435250007980527E-29</v>
      </c>
    </row>
    <row r="6222" spans="1:5" x14ac:dyDescent="0.25">
      <c r="A6222">
        <v>7</v>
      </c>
      <c r="B6222">
        <v>4</v>
      </c>
      <c r="C6222">
        <v>19</v>
      </c>
      <c r="D6222">
        <v>18</v>
      </c>
      <c r="E6222">
        <f t="shared" ref="E6222:E6285" si="97">COMBIN(A$4,A6222)*COMBIN(B$4,B6222)*COMBIN(C$4,C6222)*COMBIN(D$4,D6222)/COMBIN($G$4,$F$4)</f>
        <v>5.8035096433929823E-28</v>
      </c>
    </row>
    <row r="6223" spans="1:5" x14ac:dyDescent="0.25">
      <c r="A6223">
        <v>7</v>
      </c>
      <c r="B6223">
        <v>4</v>
      </c>
      <c r="C6223">
        <v>20</v>
      </c>
      <c r="D6223">
        <v>17</v>
      </c>
      <c r="E6223">
        <f t="shared" si="97"/>
        <v>3.0033162404558705E-27</v>
      </c>
    </row>
    <row r="6224" spans="1:5" x14ac:dyDescent="0.25">
      <c r="A6224">
        <v>7</v>
      </c>
      <c r="B6224">
        <v>4</v>
      </c>
      <c r="C6224">
        <v>21</v>
      </c>
      <c r="D6224">
        <v>16</v>
      </c>
      <c r="E6224">
        <f t="shared" si="97"/>
        <v>1.2156280020892794E-26</v>
      </c>
    </row>
    <row r="6225" spans="1:5" x14ac:dyDescent="0.25">
      <c r="A6225">
        <v>7</v>
      </c>
      <c r="B6225">
        <v>4</v>
      </c>
      <c r="C6225">
        <v>22</v>
      </c>
      <c r="D6225">
        <v>15</v>
      </c>
      <c r="E6225">
        <f t="shared" si="97"/>
        <v>3.8900096066856958E-26</v>
      </c>
    </row>
    <row r="6226" spans="1:5" x14ac:dyDescent="0.25">
      <c r="A6226">
        <v>7</v>
      </c>
      <c r="B6226">
        <v>4</v>
      </c>
      <c r="C6226">
        <v>23</v>
      </c>
      <c r="D6226">
        <v>14</v>
      </c>
      <c r="E6226">
        <f t="shared" si="97"/>
        <v>9.9172181672421893E-26</v>
      </c>
    </row>
    <row r="6227" spans="1:5" x14ac:dyDescent="0.25">
      <c r="A6227">
        <v>7</v>
      </c>
      <c r="B6227">
        <v>4</v>
      </c>
      <c r="C6227">
        <v>24</v>
      </c>
      <c r="D6227">
        <v>13</v>
      </c>
      <c r="E6227">
        <f t="shared" si="97"/>
        <v>2.0247653758119472E-25</v>
      </c>
    </row>
    <row r="6228" spans="1:5" x14ac:dyDescent="0.25">
      <c r="A6228">
        <v>7</v>
      </c>
      <c r="B6228">
        <v>4</v>
      </c>
      <c r="C6228">
        <v>25</v>
      </c>
      <c r="D6228">
        <v>12</v>
      </c>
      <c r="E6228">
        <f t="shared" si="97"/>
        <v>3.3206152163315949E-25</v>
      </c>
    </row>
    <row r="6229" spans="1:5" x14ac:dyDescent="0.25">
      <c r="A6229">
        <v>7</v>
      </c>
      <c r="B6229">
        <v>4</v>
      </c>
      <c r="C6229">
        <v>26</v>
      </c>
      <c r="D6229">
        <v>11</v>
      </c>
      <c r="E6229">
        <f t="shared" si="97"/>
        <v>4.3788332523053956E-25</v>
      </c>
    </row>
    <row r="6230" spans="1:5" x14ac:dyDescent="0.25">
      <c r="A6230">
        <v>7</v>
      </c>
      <c r="B6230">
        <v>4</v>
      </c>
      <c r="C6230">
        <v>27</v>
      </c>
      <c r="D6230">
        <v>10</v>
      </c>
      <c r="E6230">
        <f t="shared" si="97"/>
        <v>4.6383196672568252E-25</v>
      </c>
    </row>
    <row r="6231" spans="1:5" x14ac:dyDescent="0.25">
      <c r="A6231">
        <v>7</v>
      </c>
      <c r="B6231">
        <v>4</v>
      </c>
      <c r="C6231">
        <v>28</v>
      </c>
      <c r="D6231">
        <v>9</v>
      </c>
      <c r="E6231">
        <f t="shared" si="97"/>
        <v>3.9342890034767733E-25</v>
      </c>
    </row>
    <row r="6232" spans="1:5" x14ac:dyDescent="0.25">
      <c r="A6232">
        <v>7</v>
      </c>
      <c r="B6232">
        <v>4</v>
      </c>
      <c r="C6232">
        <v>29</v>
      </c>
      <c r="D6232">
        <v>8</v>
      </c>
      <c r="E6232">
        <f t="shared" si="97"/>
        <v>2.6574406453504376E-25</v>
      </c>
    </row>
    <row r="6233" spans="1:5" x14ac:dyDescent="0.25">
      <c r="A6233">
        <v>7</v>
      </c>
      <c r="B6233">
        <v>4</v>
      </c>
      <c r="C6233">
        <v>30</v>
      </c>
      <c r="D6233">
        <v>7</v>
      </c>
      <c r="E6233">
        <f t="shared" si="97"/>
        <v>1.4173016775202333E-25</v>
      </c>
    </row>
    <row r="6234" spans="1:5" x14ac:dyDescent="0.25">
      <c r="A6234">
        <v>7</v>
      </c>
      <c r="B6234">
        <v>4</v>
      </c>
      <c r="C6234">
        <v>31</v>
      </c>
      <c r="D6234">
        <v>6</v>
      </c>
      <c r="E6234">
        <f t="shared" si="97"/>
        <v>5.8953974701605623E-26</v>
      </c>
    </row>
    <row r="6235" spans="1:5" x14ac:dyDescent="0.25">
      <c r="A6235">
        <v>7</v>
      </c>
      <c r="B6235">
        <v>4</v>
      </c>
      <c r="C6235">
        <v>32</v>
      </c>
      <c r="D6235">
        <v>5</v>
      </c>
      <c r="E6235">
        <f t="shared" si="97"/>
        <v>1.879157943613679E-26</v>
      </c>
    </row>
    <row r="6236" spans="1:5" x14ac:dyDescent="0.25">
      <c r="A6236">
        <v>7</v>
      </c>
      <c r="B6236">
        <v>4</v>
      </c>
      <c r="C6236">
        <v>33</v>
      </c>
      <c r="D6236">
        <v>4</v>
      </c>
      <c r="E6236">
        <f t="shared" si="97"/>
        <v>4.4741855800325701E-27</v>
      </c>
    </row>
    <row r="6237" spans="1:5" x14ac:dyDescent="0.25">
      <c r="A6237">
        <v>7</v>
      </c>
      <c r="B6237">
        <v>4</v>
      </c>
      <c r="C6237">
        <v>34</v>
      </c>
      <c r="D6237">
        <v>3</v>
      </c>
      <c r="E6237">
        <f t="shared" si="97"/>
        <v>7.6563603508578735E-28</v>
      </c>
    </row>
    <row r="6238" spans="1:5" x14ac:dyDescent="0.25">
      <c r="A6238">
        <v>7</v>
      </c>
      <c r="B6238">
        <v>4</v>
      </c>
      <c r="C6238">
        <v>35</v>
      </c>
      <c r="D6238">
        <v>2</v>
      </c>
      <c r="E6238">
        <f t="shared" si="97"/>
        <v>8.8452361817364251E-29</v>
      </c>
    </row>
    <row r="6239" spans="1:5" x14ac:dyDescent="0.25">
      <c r="A6239">
        <v>7</v>
      </c>
      <c r="B6239">
        <v>4</v>
      </c>
      <c r="C6239">
        <v>36</v>
      </c>
      <c r="D6239">
        <v>1</v>
      </c>
      <c r="E6239">
        <f t="shared" si="97"/>
        <v>6.1425251262058518E-30</v>
      </c>
    </row>
    <row r="6240" spans="1:5" x14ac:dyDescent="0.25">
      <c r="A6240">
        <v>7</v>
      </c>
      <c r="B6240">
        <v>4</v>
      </c>
      <c r="C6240">
        <v>37</v>
      </c>
      <c r="D6240">
        <v>0</v>
      </c>
      <c r="E6240">
        <f t="shared" si="97"/>
        <v>1.9257646341618341E-31</v>
      </c>
    </row>
    <row r="6241" spans="1:5" x14ac:dyDescent="0.25">
      <c r="A6241">
        <v>7</v>
      </c>
      <c r="B6241">
        <v>5</v>
      </c>
      <c r="C6241">
        <v>11</v>
      </c>
      <c r="D6241">
        <v>25</v>
      </c>
      <c r="E6241">
        <f t="shared" si="97"/>
        <v>4.9989871260747237E-36</v>
      </c>
    </row>
    <row r="6242" spans="1:5" x14ac:dyDescent="0.25">
      <c r="A6242">
        <v>7</v>
      </c>
      <c r="B6242">
        <v>5</v>
      </c>
      <c r="C6242">
        <v>12</v>
      </c>
      <c r="D6242">
        <v>24</v>
      </c>
      <c r="E6242">
        <f t="shared" si="97"/>
        <v>5.6238605168340606E-34</v>
      </c>
    </row>
    <row r="6243" spans="1:5" x14ac:dyDescent="0.25">
      <c r="A6243">
        <v>7</v>
      </c>
      <c r="B6243">
        <v>5</v>
      </c>
      <c r="C6243">
        <v>13</v>
      </c>
      <c r="D6243">
        <v>23</v>
      </c>
      <c r="E6243">
        <f t="shared" si="97"/>
        <v>2.7513656066972801E-32</v>
      </c>
    </row>
    <row r="6244" spans="1:5" x14ac:dyDescent="0.25">
      <c r="A6244">
        <v>7</v>
      </c>
      <c r="B6244">
        <v>5</v>
      </c>
      <c r="C6244">
        <v>14</v>
      </c>
      <c r="D6244">
        <v>22</v>
      </c>
      <c r="E6244">
        <f t="shared" si="97"/>
        <v>7.834841108595114E-31</v>
      </c>
    </row>
    <row r="6245" spans="1:5" x14ac:dyDescent="0.25">
      <c r="A6245">
        <v>7</v>
      </c>
      <c r="B6245">
        <v>5</v>
      </c>
      <c r="C6245">
        <v>15</v>
      </c>
      <c r="D6245">
        <v>21</v>
      </c>
      <c r="E6245">
        <f t="shared" si="97"/>
        <v>1.4651152873072858E-29</v>
      </c>
    </row>
    <row r="6246" spans="1:5" x14ac:dyDescent="0.25">
      <c r="A6246">
        <v>7</v>
      </c>
      <c r="B6246">
        <v>5</v>
      </c>
      <c r="C6246">
        <v>16</v>
      </c>
      <c r="D6246">
        <v>20</v>
      </c>
      <c r="E6246">
        <f t="shared" si="97"/>
        <v>1.9229638145908124E-28</v>
      </c>
    </row>
    <row r="6247" spans="1:5" x14ac:dyDescent="0.25">
      <c r="A6247">
        <v>7</v>
      </c>
      <c r="B6247">
        <v>5</v>
      </c>
      <c r="C6247">
        <v>17</v>
      </c>
      <c r="D6247">
        <v>19</v>
      </c>
      <c r="E6247">
        <f t="shared" si="97"/>
        <v>1.8475534689205855E-27</v>
      </c>
    </row>
    <row r="6248" spans="1:5" x14ac:dyDescent="0.25">
      <c r="A6248">
        <v>7</v>
      </c>
      <c r="B6248">
        <v>5</v>
      </c>
      <c r="C6248">
        <v>18</v>
      </c>
      <c r="D6248">
        <v>18</v>
      </c>
      <c r="E6248">
        <f t="shared" si="97"/>
        <v>1.3372767965520419E-26</v>
      </c>
    </row>
    <row r="6249" spans="1:5" x14ac:dyDescent="0.25">
      <c r="A6249">
        <v>7</v>
      </c>
      <c r="B6249">
        <v>5</v>
      </c>
      <c r="C6249">
        <v>19</v>
      </c>
      <c r="D6249">
        <v>17</v>
      </c>
      <c r="E6249">
        <f t="shared" si="97"/>
        <v>7.4430011176514982E-26</v>
      </c>
    </row>
    <row r="6250" spans="1:5" x14ac:dyDescent="0.25">
      <c r="A6250">
        <v>7</v>
      </c>
      <c r="B6250">
        <v>5</v>
      </c>
      <c r="C6250">
        <v>20</v>
      </c>
      <c r="D6250">
        <v>16</v>
      </c>
      <c r="E6250">
        <f t="shared" si="97"/>
        <v>3.2335704855574872E-25</v>
      </c>
    </row>
    <row r="6251" spans="1:5" x14ac:dyDescent="0.25">
      <c r="A6251">
        <v>7</v>
      </c>
      <c r="B6251">
        <v>5</v>
      </c>
      <c r="C6251">
        <v>21</v>
      </c>
      <c r="D6251">
        <v>15</v>
      </c>
      <c r="E6251">
        <f t="shared" si="97"/>
        <v>1.1086527379054227E-24</v>
      </c>
    </row>
    <row r="6252" spans="1:5" x14ac:dyDescent="0.25">
      <c r="A6252">
        <v>7</v>
      </c>
      <c r="B6252">
        <v>5</v>
      </c>
      <c r="C6252">
        <v>22</v>
      </c>
      <c r="D6252">
        <v>14</v>
      </c>
      <c r="E6252">
        <f t="shared" si="97"/>
        <v>3.0235983761057007E-24</v>
      </c>
    </row>
    <row r="6253" spans="1:5" x14ac:dyDescent="0.25">
      <c r="A6253">
        <v>7</v>
      </c>
      <c r="B6253">
        <v>5</v>
      </c>
      <c r="C6253">
        <v>23</v>
      </c>
      <c r="D6253">
        <v>13</v>
      </c>
      <c r="E6253">
        <f t="shared" si="97"/>
        <v>6.5949500812160556E-24</v>
      </c>
    </row>
    <row r="6254" spans="1:5" x14ac:dyDescent="0.25">
      <c r="A6254">
        <v>7</v>
      </c>
      <c r="B6254">
        <v>5</v>
      </c>
      <c r="C6254">
        <v>24</v>
      </c>
      <c r="D6254">
        <v>12</v>
      </c>
      <c r="E6254">
        <f t="shared" si="97"/>
        <v>1.1541162642128099E-23</v>
      </c>
    </row>
    <row r="6255" spans="1:5" x14ac:dyDescent="0.25">
      <c r="A6255">
        <v>7</v>
      </c>
      <c r="B6255">
        <v>5</v>
      </c>
      <c r="C6255">
        <v>25</v>
      </c>
      <c r="D6255">
        <v>11</v>
      </c>
      <c r="E6255">
        <f t="shared" si="97"/>
        <v>1.6223577199791498E-23</v>
      </c>
    </row>
    <row r="6256" spans="1:5" x14ac:dyDescent="0.25">
      <c r="A6256">
        <v>7</v>
      </c>
      <c r="B6256">
        <v>5</v>
      </c>
      <c r="C6256">
        <v>26</v>
      </c>
      <c r="D6256">
        <v>10</v>
      </c>
      <c r="E6256">
        <f t="shared" si="97"/>
        <v>1.8303522994636553E-23</v>
      </c>
    </row>
    <row r="6257" spans="1:5" x14ac:dyDescent="0.25">
      <c r="A6257">
        <v>7</v>
      </c>
      <c r="B6257">
        <v>5</v>
      </c>
      <c r="C6257">
        <v>27</v>
      </c>
      <c r="D6257">
        <v>9</v>
      </c>
      <c r="E6257">
        <f t="shared" si="97"/>
        <v>1.6524013814602444E-23</v>
      </c>
    </row>
    <row r="6258" spans="1:5" x14ac:dyDescent="0.25">
      <c r="A6258">
        <v>7</v>
      </c>
      <c r="B6258">
        <v>5</v>
      </c>
      <c r="C6258">
        <v>28</v>
      </c>
      <c r="D6258">
        <v>8</v>
      </c>
      <c r="E6258">
        <f t="shared" si="97"/>
        <v>1.1872295639903439E-23</v>
      </c>
    </row>
    <row r="6259" spans="1:5" x14ac:dyDescent="0.25">
      <c r="A6259">
        <v>7</v>
      </c>
      <c r="B6259">
        <v>5</v>
      </c>
      <c r="C6259">
        <v>29</v>
      </c>
      <c r="D6259">
        <v>7</v>
      </c>
      <c r="E6259">
        <f t="shared" si="97"/>
        <v>6.7321829682211104E-24</v>
      </c>
    </row>
    <row r="6260" spans="1:5" x14ac:dyDescent="0.25">
      <c r="A6260">
        <v>7</v>
      </c>
      <c r="B6260">
        <v>5</v>
      </c>
      <c r="C6260">
        <v>30</v>
      </c>
      <c r="D6260">
        <v>6</v>
      </c>
      <c r="E6260">
        <f t="shared" si="97"/>
        <v>2.9763335227924887E-24</v>
      </c>
    </row>
    <row r="6261" spans="1:5" x14ac:dyDescent="0.25">
      <c r="A6261">
        <v>7</v>
      </c>
      <c r="B6261">
        <v>5</v>
      </c>
      <c r="C6261">
        <v>31</v>
      </c>
      <c r="D6261">
        <v>5</v>
      </c>
      <c r="E6261">
        <f t="shared" si="97"/>
        <v>1.0081129673974562E-24</v>
      </c>
    </row>
    <row r="6262" spans="1:5" x14ac:dyDescent="0.25">
      <c r="A6262">
        <v>7</v>
      </c>
      <c r="B6262">
        <v>5</v>
      </c>
      <c r="C6262">
        <v>32</v>
      </c>
      <c r="D6262">
        <v>4</v>
      </c>
      <c r="E6262">
        <f t="shared" si="97"/>
        <v>2.5502857806185648E-25</v>
      </c>
    </row>
    <row r="6263" spans="1:5" x14ac:dyDescent="0.25">
      <c r="A6263">
        <v>7</v>
      </c>
      <c r="B6263">
        <v>5</v>
      </c>
      <c r="C6263">
        <v>33</v>
      </c>
      <c r="D6263">
        <v>3</v>
      </c>
      <c r="E6263">
        <f t="shared" si="97"/>
        <v>4.6368832374882989E-26</v>
      </c>
    </row>
    <row r="6264" spans="1:5" x14ac:dyDescent="0.25">
      <c r="A6264">
        <v>7</v>
      </c>
      <c r="B6264">
        <v>5</v>
      </c>
      <c r="C6264">
        <v>34</v>
      </c>
      <c r="D6264">
        <v>2</v>
      </c>
      <c r="E6264">
        <f t="shared" si="97"/>
        <v>5.6923374782465058E-27</v>
      </c>
    </row>
    <row r="6265" spans="1:5" x14ac:dyDescent="0.25">
      <c r="A6265">
        <v>7</v>
      </c>
      <c r="B6265">
        <v>5</v>
      </c>
      <c r="C6265">
        <v>35</v>
      </c>
      <c r="D6265">
        <v>1</v>
      </c>
      <c r="E6265">
        <f t="shared" si="97"/>
        <v>4.2014871863248008E-28</v>
      </c>
    </row>
    <row r="6266" spans="1:5" x14ac:dyDescent="0.25">
      <c r="A6266">
        <v>7</v>
      </c>
      <c r="B6266">
        <v>5</v>
      </c>
      <c r="C6266">
        <v>36</v>
      </c>
      <c r="D6266">
        <v>0</v>
      </c>
      <c r="E6266">
        <f t="shared" si="97"/>
        <v>1.400495728774934E-29</v>
      </c>
    </row>
    <row r="6267" spans="1:5" x14ac:dyDescent="0.25">
      <c r="A6267">
        <v>7</v>
      </c>
      <c r="B6267">
        <v>6</v>
      </c>
      <c r="C6267">
        <v>10</v>
      </c>
      <c r="D6267">
        <v>25</v>
      </c>
      <c r="E6267">
        <f t="shared" si="97"/>
        <v>4.732374479350738E-35</v>
      </c>
    </row>
    <row r="6268" spans="1:5" x14ac:dyDescent="0.25">
      <c r="A6268">
        <v>7</v>
      </c>
      <c r="B6268">
        <v>6</v>
      </c>
      <c r="C6268">
        <v>11</v>
      </c>
      <c r="D6268">
        <v>24</v>
      </c>
      <c r="E6268">
        <f t="shared" si="97"/>
        <v>5.9154680991884235E-33</v>
      </c>
    </row>
    <row r="6269" spans="1:5" x14ac:dyDescent="0.25">
      <c r="A6269">
        <v>7</v>
      </c>
      <c r="B6269">
        <v>6</v>
      </c>
      <c r="C6269">
        <v>12</v>
      </c>
      <c r="D6269">
        <v>23</v>
      </c>
      <c r="E6269">
        <f t="shared" si="97"/>
        <v>3.1943527735617461E-31</v>
      </c>
    </row>
    <row r="6270" spans="1:5" x14ac:dyDescent="0.25">
      <c r="A6270">
        <v>7</v>
      </c>
      <c r="B6270">
        <v>6</v>
      </c>
      <c r="C6270">
        <v>13</v>
      </c>
      <c r="D6270">
        <v>22</v>
      </c>
      <c r="E6270">
        <f t="shared" si="97"/>
        <v>9.9844000794147973E-30</v>
      </c>
    </row>
    <row r="6271" spans="1:5" x14ac:dyDescent="0.25">
      <c r="A6271">
        <v>7</v>
      </c>
      <c r="B6271">
        <v>6</v>
      </c>
      <c r="C6271">
        <v>14</v>
      </c>
      <c r="D6271">
        <v>21</v>
      </c>
      <c r="E6271">
        <f t="shared" si="97"/>
        <v>2.0396703019375946E-28</v>
      </c>
    </row>
    <row r="6272" spans="1:5" x14ac:dyDescent="0.25">
      <c r="A6272">
        <v>7</v>
      </c>
      <c r="B6272">
        <v>6</v>
      </c>
      <c r="C6272">
        <v>15</v>
      </c>
      <c r="D6272">
        <v>20</v>
      </c>
      <c r="E6272">
        <f t="shared" si="97"/>
        <v>2.9126491911668833E-27</v>
      </c>
    </row>
    <row r="6273" spans="1:5" x14ac:dyDescent="0.25">
      <c r="A6273">
        <v>7</v>
      </c>
      <c r="B6273">
        <v>6</v>
      </c>
      <c r="C6273">
        <v>16</v>
      </c>
      <c r="D6273">
        <v>19</v>
      </c>
      <c r="E6273">
        <f t="shared" si="97"/>
        <v>3.0340095741321708E-26</v>
      </c>
    </row>
    <row r="6274" spans="1:5" x14ac:dyDescent="0.25">
      <c r="A6274">
        <v>7</v>
      </c>
      <c r="B6274">
        <v>6</v>
      </c>
      <c r="C6274">
        <v>17</v>
      </c>
      <c r="D6274">
        <v>18</v>
      </c>
      <c r="E6274">
        <f t="shared" si="97"/>
        <v>2.3736663138798769E-25</v>
      </c>
    </row>
    <row r="6275" spans="1:5" x14ac:dyDescent="0.25">
      <c r="A6275">
        <v>7</v>
      </c>
      <c r="B6275">
        <v>6</v>
      </c>
      <c r="C6275">
        <v>18</v>
      </c>
      <c r="D6275">
        <v>17</v>
      </c>
      <c r="E6275">
        <f t="shared" si="97"/>
        <v>1.4241997883279245E-24</v>
      </c>
    </row>
    <row r="6276" spans="1:5" x14ac:dyDescent="0.25">
      <c r="A6276">
        <v>7</v>
      </c>
      <c r="B6276">
        <v>6</v>
      </c>
      <c r="C6276">
        <v>19</v>
      </c>
      <c r="D6276">
        <v>16</v>
      </c>
      <c r="E6276">
        <f t="shared" si="97"/>
        <v>6.6545943325965622E-24</v>
      </c>
    </row>
    <row r="6277" spans="1:5" x14ac:dyDescent="0.25">
      <c r="A6277">
        <v>7</v>
      </c>
      <c r="B6277">
        <v>6</v>
      </c>
      <c r="C6277">
        <v>20</v>
      </c>
      <c r="D6277">
        <v>15</v>
      </c>
      <c r="E6277">
        <f t="shared" si="97"/>
        <v>2.4488907143955366E-23</v>
      </c>
    </row>
    <row r="6278" spans="1:5" x14ac:dyDescent="0.25">
      <c r="A6278">
        <v>7</v>
      </c>
      <c r="B6278">
        <v>6</v>
      </c>
      <c r="C6278">
        <v>21</v>
      </c>
      <c r="D6278">
        <v>14</v>
      </c>
      <c r="E6278">
        <f t="shared" si="97"/>
        <v>7.1558494901168195E-23</v>
      </c>
    </row>
    <row r="6279" spans="1:5" x14ac:dyDescent="0.25">
      <c r="A6279">
        <v>7</v>
      </c>
      <c r="B6279">
        <v>6</v>
      </c>
      <c r="C6279">
        <v>22</v>
      </c>
      <c r="D6279">
        <v>13</v>
      </c>
      <c r="E6279">
        <f t="shared" si="97"/>
        <v>1.6696982143605924E-22</v>
      </c>
    </row>
    <row r="6280" spans="1:5" x14ac:dyDescent="0.25">
      <c r="A6280">
        <v>7</v>
      </c>
      <c r="B6280">
        <v>6</v>
      </c>
      <c r="C6280">
        <v>23</v>
      </c>
      <c r="D6280">
        <v>12</v>
      </c>
      <c r="E6280">
        <f t="shared" si="97"/>
        <v>3.1216097051089331E-22</v>
      </c>
    </row>
    <row r="6281" spans="1:5" x14ac:dyDescent="0.25">
      <c r="A6281">
        <v>7</v>
      </c>
      <c r="B6281">
        <v>6</v>
      </c>
      <c r="C6281">
        <v>24</v>
      </c>
      <c r="D6281">
        <v>11</v>
      </c>
      <c r="E6281">
        <f t="shared" si="97"/>
        <v>4.6824145576633994E-22</v>
      </c>
    </row>
    <row r="6282" spans="1:5" x14ac:dyDescent="0.25">
      <c r="A6282">
        <v>7</v>
      </c>
      <c r="B6282">
        <v>6</v>
      </c>
      <c r="C6282">
        <v>25</v>
      </c>
      <c r="D6282">
        <v>10</v>
      </c>
      <c r="E6282">
        <f t="shared" si="97"/>
        <v>5.6313839080165155E-22</v>
      </c>
    </row>
    <row r="6283" spans="1:5" x14ac:dyDescent="0.25">
      <c r="A6283">
        <v>7</v>
      </c>
      <c r="B6283">
        <v>6</v>
      </c>
      <c r="C6283">
        <v>26</v>
      </c>
      <c r="D6283">
        <v>9</v>
      </c>
      <c r="E6283">
        <f t="shared" si="97"/>
        <v>5.4147922192466471E-22</v>
      </c>
    </row>
    <row r="6284" spans="1:5" x14ac:dyDescent="0.25">
      <c r="A6284">
        <v>7</v>
      </c>
      <c r="B6284">
        <v>6</v>
      </c>
      <c r="C6284">
        <v>27</v>
      </c>
      <c r="D6284">
        <v>8</v>
      </c>
      <c r="E6284">
        <f t="shared" si="97"/>
        <v>4.1407234617768478E-22</v>
      </c>
    </row>
    <row r="6285" spans="1:5" x14ac:dyDescent="0.25">
      <c r="A6285">
        <v>7</v>
      </c>
      <c r="B6285">
        <v>6</v>
      </c>
      <c r="C6285">
        <v>28</v>
      </c>
      <c r="D6285">
        <v>7</v>
      </c>
      <c r="E6285">
        <f t="shared" si="97"/>
        <v>2.4975792309130203E-22</v>
      </c>
    </row>
    <row r="6286" spans="1:5" x14ac:dyDescent="0.25">
      <c r="A6286">
        <v>7</v>
      </c>
      <c r="B6286">
        <v>6</v>
      </c>
      <c r="C6286">
        <v>29</v>
      </c>
      <c r="D6286">
        <v>6</v>
      </c>
      <c r="E6286">
        <f t="shared" ref="E6286:E6349" si="98">COMBIN(A$4,A6286)*COMBIN(B$4,B6286)*COMBIN(C$4,C6286)*COMBIN(D$4,D6286)/COMBIN($G$4,$F$4)</f>
        <v>1.1739982228792596E-22</v>
      </c>
    </row>
    <row r="6287" spans="1:5" x14ac:dyDescent="0.25">
      <c r="A6287">
        <v>7</v>
      </c>
      <c r="B6287">
        <v>6</v>
      </c>
      <c r="C6287">
        <v>30</v>
      </c>
      <c r="D6287">
        <v>5</v>
      </c>
      <c r="E6287">
        <f t="shared" si="98"/>
        <v>4.2263936023653338E-23</v>
      </c>
    </row>
    <row r="6288" spans="1:5" x14ac:dyDescent="0.25">
      <c r="A6288">
        <v>7</v>
      </c>
      <c r="B6288">
        <v>6</v>
      </c>
      <c r="C6288">
        <v>31</v>
      </c>
      <c r="D6288">
        <v>4</v>
      </c>
      <c r="E6288">
        <f t="shared" si="98"/>
        <v>1.1361273124638E-23</v>
      </c>
    </row>
    <row r="6289" spans="1:5" x14ac:dyDescent="0.25">
      <c r="A6289">
        <v>7</v>
      </c>
      <c r="B6289">
        <v>6</v>
      </c>
      <c r="C6289">
        <v>32</v>
      </c>
      <c r="D6289">
        <v>3</v>
      </c>
      <c r="E6289">
        <f t="shared" si="98"/>
        <v>2.1947913990777946E-24</v>
      </c>
    </row>
    <row r="6290" spans="1:5" x14ac:dyDescent="0.25">
      <c r="A6290">
        <v>7</v>
      </c>
      <c r="B6290">
        <v>6</v>
      </c>
      <c r="C6290">
        <v>33</v>
      </c>
      <c r="D6290">
        <v>2</v>
      </c>
      <c r="E6290">
        <f t="shared" si="98"/>
        <v>2.8627713901014713E-25</v>
      </c>
    </row>
    <row r="6291" spans="1:5" x14ac:dyDescent="0.25">
      <c r="A6291">
        <v>7</v>
      </c>
      <c r="B6291">
        <v>6</v>
      </c>
      <c r="C6291">
        <v>34</v>
      </c>
      <c r="D6291">
        <v>1</v>
      </c>
      <c r="E6291">
        <f t="shared" si="98"/>
        <v>2.2453108941972328E-26</v>
      </c>
    </row>
    <row r="6292" spans="1:5" x14ac:dyDescent="0.25">
      <c r="A6292">
        <v>7</v>
      </c>
      <c r="B6292">
        <v>6</v>
      </c>
      <c r="C6292">
        <v>35</v>
      </c>
      <c r="D6292">
        <v>0</v>
      </c>
      <c r="E6292">
        <f t="shared" si="98"/>
        <v>7.9548157394416238E-28</v>
      </c>
    </row>
    <row r="6293" spans="1:5" x14ac:dyDescent="0.25">
      <c r="A6293">
        <v>7</v>
      </c>
      <c r="B6293">
        <v>7</v>
      </c>
      <c r="C6293">
        <v>9</v>
      </c>
      <c r="D6293">
        <v>25</v>
      </c>
      <c r="E6293">
        <f t="shared" si="98"/>
        <v>3.4164846368782114E-34</v>
      </c>
    </row>
    <row r="6294" spans="1:5" x14ac:dyDescent="0.25">
      <c r="A6294">
        <v>7</v>
      </c>
      <c r="B6294">
        <v>7</v>
      </c>
      <c r="C6294">
        <v>10</v>
      </c>
      <c r="D6294">
        <v>24</v>
      </c>
      <c r="E6294">
        <f t="shared" si="98"/>
        <v>4.7830784916294958E-32</v>
      </c>
    </row>
    <row r="6295" spans="1:5" x14ac:dyDescent="0.25">
      <c r="A6295">
        <v>7</v>
      </c>
      <c r="B6295">
        <v>7</v>
      </c>
      <c r="C6295">
        <v>11</v>
      </c>
      <c r="D6295">
        <v>23</v>
      </c>
      <c r="E6295">
        <f t="shared" si="98"/>
        <v>2.8698470949776986E-30</v>
      </c>
    </row>
    <row r="6296" spans="1:5" x14ac:dyDescent="0.25">
      <c r="A6296">
        <v>7</v>
      </c>
      <c r="B6296">
        <v>7</v>
      </c>
      <c r="C6296">
        <v>12</v>
      </c>
      <c r="D6296">
        <v>22</v>
      </c>
      <c r="E6296">
        <f t="shared" si="98"/>
        <v>9.9009724776730526E-29</v>
      </c>
    </row>
    <row r="6297" spans="1:5" x14ac:dyDescent="0.25">
      <c r="A6297">
        <v>7</v>
      </c>
      <c r="B6297">
        <v>7</v>
      </c>
      <c r="C6297">
        <v>13</v>
      </c>
      <c r="D6297">
        <v>21</v>
      </c>
      <c r="E6297">
        <f t="shared" si="98"/>
        <v>2.2201026748013052E-27</v>
      </c>
    </row>
    <row r="6298" spans="1:5" x14ac:dyDescent="0.25">
      <c r="A6298">
        <v>7</v>
      </c>
      <c r="B6298">
        <v>7</v>
      </c>
      <c r="C6298">
        <v>14</v>
      </c>
      <c r="D6298">
        <v>20</v>
      </c>
      <c r="E6298">
        <f t="shared" si="98"/>
        <v>3.4633601726900353E-26</v>
      </c>
    </row>
    <row r="6299" spans="1:5" x14ac:dyDescent="0.25">
      <c r="A6299">
        <v>7</v>
      </c>
      <c r="B6299">
        <v>7</v>
      </c>
      <c r="C6299">
        <v>15</v>
      </c>
      <c r="D6299">
        <v>19</v>
      </c>
      <c r="E6299">
        <f t="shared" si="98"/>
        <v>3.9251415290487054E-25</v>
      </c>
    </row>
    <row r="6300" spans="1:5" x14ac:dyDescent="0.25">
      <c r="A6300">
        <v>7</v>
      </c>
      <c r="B6300">
        <v>7</v>
      </c>
      <c r="C6300">
        <v>16</v>
      </c>
      <c r="D6300">
        <v>18</v>
      </c>
      <c r="E6300">
        <f t="shared" si="98"/>
        <v>3.329361118389529E-24</v>
      </c>
    </row>
    <row r="6301" spans="1:5" x14ac:dyDescent="0.25">
      <c r="A6301">
        <v>7</v>
      </c>
      <c r="B6301">
        <v>7</v>
      </c>
      <c r="C6301">
        <v>17</v>
      </c>
      <c r="D6301">
        <v>17</v>
      </c>
      <c r="E6301">
        <f t="shared" si="98"/>
        <v>2.1591886076614451E-23</v>
      </c>
    </row>
    <row r="6302" spans="1:5" x14ac:dyDescent="0.25">
      <c r="A6302">
        <v>7</v>
      </c>
      <c r="B6302">
        <v>7</v>
      </c>
      <c r="C6302">
        <v>18</v>
      </c>
      <c r="D6302">
        <v>16</v>
      </c>
      <c r="E6302">
        <f t="shared" si="98"/>
        <v>1.0875912986739119E-22</v>
      </c>
    </row>
    <row r="6303" spans="1:5" x14ac:dyDescent="0.25">
      <c r="A6303">
        <v>7</v>
      </c>
      <c r="B6303">
        <v>7</v>
      </c>
      <c r="C6303">
        <v>19</v>
      </c>
      <c r="D6303">
        <v>15</v>
      </c>
      <c r="E6303">
        <f t="shared" si="98"/>
        <v>4.304571876856747E-22</v>
      </c>
    </row>
    <row r="6304" spans="1:5" x14ac:dyDescent="0.25">
      <c r="A6304">
        <v>7</v>
      </c>
      <c r="B6304">
        <v>7</v>
      </c>
      <c r="C6304">
        <v>20</v>
      </c>
      <c r="D6304">
        <v>14</v>
      </c>
      <c r="E6304">
        <f t="shared" si="98"/>
        <v>1.3500702704687085E-21</v>
      </c>
    </row>
    <row r="6305" spans="1:5" x14ac:dyDescent="0.25">
      <c r="A6305">
        <v>7</v>
      </c>
      <c r="B6305">
        <v>7</v>
      </c>
      <c r="C6305">
        <v>21</v>
      </c>
      <c r="D6305">
        <v>13</v>
      </c>
      <c r="E6305">
        <f t="shared" si="98"/>
        <v>3.3751756761717677E-21</v>
      </c>
    </row>
    <row r="6306" spans="1:5" x14ac:dyDescent="0.25">
      <c r="A6306">
        <v>7</v>
      </c>
      <c r="B6306">
        <v>7</v>
      </c>
      <c r="C6306">
        <v>22</v>
      </c>
      <c r="D6306">
        <v>12</v>
      </c>
      <c r="E6306">
        <f t="shared" si="98"/>
        <v>6.7503513523435399E-21</v>
      </c>
    </row>
    <row r="6307" spans="1:5" x14ac:dyDescent="0.25">
      <c r="A6307">
        <v>7</v>
      </c>
      <c r="B6307">
        <v>7</v>
      </c>
      <c r="C6307">
        <v>23</v>
      </c>
      <c r="D6307">
        <v>11</v>
      </c>
      <c r="E6307">
        <f t="shared" si="98"/>
        <v>1.0817333223010139E-20</v>
      </c>
    </row>
    <row r="6308" spans="1:5" x14ac:dyDescent="0.25">
      <c r="A6308">
        <v>7</v>
      </c>
      <c r="B6308">
        <v>7</v>
      </c>
      <c r="C6308">
        <v>24</v>
      </c>
      <c r="D6308">
        <v>10</v>
      </c>
      <c r="E6308">
        <f t="shared" si="98"/>
        <v>1.3882244302863012E-20</v>
      </c>
    </row>
    <row r="6309" spans="1:5" x14ac:dyDescent="0.25">
      <c r="A6309">
        <v>7</v>
      </c>
      <c r="B6309">
        <v>7</v>
      </c>
      <c r="C6309">
        <v>25</v>
      </c>
      <c r="D6309">
        <v>9</v>
      </c>
      <c r="E6309">
        <f t="shared" si="98"/>
        <v>1.4229300410434594E-20</v>
      </c>
    </row>
    <row r="6310" spans="1:5" x14ac:dyDescent="0.25">
      <c r="A6310">
        <v>7</v>
      </c>
      <c r="B6310">
        <v>7</v>
      </c>
      <c r="C6310">
        <v>26</v>
      </c>
      <c r="D6310">
        <v>8</v>
      </c>
      <c r="E6310">
        <f t="shared" si="98"/>
        <v>1.1589475447412782E-20</v>
      </c>
    </row>
    <row r="6311" spans="1:5" x14ac:dyDescent="0.25">
      <c r="A6311">
        <v>7</v>
      </c>
      <c r="B6311">
        <v>7</v>
      </c>
      <c r="C6311">
        <v>27</v>
      </c>
      <c r="D6311">
        <v>7</v>
      </c>
      <c r="E6311">
        <f t="shared" si="98"/>
        <v>7.4401570773514175E-21</v>
      </c>
    </row>
    <row r="6312" spans="1:5" x14ac:dyDescent="0.25">
      <c r="A6312">
        <v>7</v>
      </c>
      <c r="B6312">
        <v>7</v>
      </c>
      <c r="C6312">
        <v>28</v>
      </c>
      <c r="D6312">
        <v>6</v>
      </c>
      <c r="E6312">
        <f t="shared" si="98"/>
        <v>3.720078538675708E-21</v>
      </c>
    </row>
    <row r="6313" spans="1:5" x14ac:dyDescent="0.25">
      <c r="A6313">
        <v>7</v>
      </c>
      <c r="B6313">
        <v>7</v>
      </c>
      <c r="C6313">
        <v>29</v>
      </c>
      <c r="D6313">
        <v>5</v>
      </c>
      <c r="E6313">
        <f t="shared" si="98"/>
        <v>1.4238921303207022E-21</v>
      </c>
    </row>
    <row r="6314" spans="1:5" x14ac:dyDescent="0.25">
      <c r="A6314">
        <v>7</v>
      </c>
      <c r="B6314">
        <v>7</v>
      </c>
      <c r="C6314">
        <v>30</v>
      </c>
      <c r="D6314">
        <v>4</v>
      </c>
      <c r="E6314">
        <f t="shared" si="98"/>
        <v>4.0682632294877209E-22</v>
      </c>
    </row>
    <row r="6315" spans="1:5" x14ac:dyDescent="0.25">
      <c r="A6315">
        <v>7</v>
      </c>
      <c r="B6315">
        <v>7</v>
      </c>
      <c r="C6315">
        <v>31</v>
      </c>
      <c r="D6315">
        <v>3</v>
      </c>
      <c r="E6315">
        <f t="shared" si="98"/>
        <v>8.3512734916170232E-23</v>
      </c>
    </row>
    <row r="6316" spans="1:5" x14ac:dyDescent="0.25">
      <c r="A6316">
        <v>7</v>
      </c>
      <c r="B6316">
        <v>7</v>
      </c>
      <c r="C6316">
        <v>32</v>
      </c>
      <c r="D6316">
        <v>2</v>
      </c>
      <c r="E6316">
        <f t="shared" si="98"/>
        <v>1.1573775762838807E-23</v>
      </c>
    </row>
    <row r="6317" spans="1:5" x14ac:dyDescent="0.25">
      <c r="A6317">
        <v>7</v>
      </c>
      <c r="B6317">
        <v>7</v>
      </c>
      <c r="C6317">
        <v>33</v>
      </c>
      <c r="D6317">
        <v>1</v>
      </c>
      <c r="E6317">
        <f t="shared" si="98"/>
        <v>9.6448131356990061E-25</v>
      </c>
    </row>
    <row r="6318" spans="1:5" x14ac:dyDescent="0.25">
      <c r="A6318">
        <v>7</v>
      </c>
      <c r="B6318">
        <v>7</v>
      </c>
      <c r="C6318">
        <v>34</v>
      </c>
      <c r="D6318">
        <v>0</v>
      </c>
      <c r="E6318">
        <f t="shared" si="98"/>
        <v>3.6309884746160973E-26</v>
      </c>
    </row>
    <row r="6319" spans="1:5" x14ac:dyDescent="0.25">
      <c r="A6319">
        <v>7</v>
      </c>
      <c r="B6319">
        <v>8</v>
      </c>
      <c r="C6319">
        <v>8</v>
      </c>
      <c r="D6319">
        <v>25</v>
      </c>
      <c r="E6319">
        <f t="shared" si="98"/>
        <v>1.9015434228940571E-33</v>
      </c>
    </row>
    <row r="6320" spans="1:5" x14ac:dyDescent="0.25">
      <c r="A6320">
        <v>7</v>
      </c>
      <c r="B6320">
        <v>8</v>
      </c>
      <c r="C6320">
        <v>9</v>
      </c>
      <c r="D6320">
        <v>24</v>
      </c>
      <c r="E6320">
        <f t="shared" si="98"/>
        <v>3.0107770862489234E-31</v>
      </c>
    </row>
    <row r="6321" spans="1:5" x14ac:dyDescent="0.25">
      <c r="A6321">
        <v>7</v>
      </c>
      <c r="B6321">
        <v>8</v>
      </c>
      <c r="C6321">
        <v>10</v>
      </c>
      <c r="D6321">
        <v>23</v>
      </c>
      <c r="E6321">
        <f t="shared" si="98"/>
        <v>2.0232422019592769E-29</v>
      </c>
    </row>
    <row r="6322" spans="1:5" x14ac:dyDescent="0.25">
      <c r="A6322">
        <v>7</v>
      </c>
      <c r="B6322">
        <v>8</v>
      </c>
      <c r="C6322">
        <v>11</v>
      </c>
      <c r="D6322">
        <v>22</v>
      </c>
      <c r="E6322">
        <f t="shared" si="98"/>
        <v>7.7557617741772287E-28</v>
      </c>
    </row>
    <row r="6323" spans="1:5" x14ac:dyDescent="0.25">
      <c r="A6323">
        <v>7</v>
      </c>
      <c r="B6323">
        <v>8</v>
      </c>
      <c r="C6323">
        <v>12</v>
      </c>
      <c r="D6323">
        <v>21</v>
      </c>
      <c r="E6323">
        <f t="shared" si="98"/>
        <v>1.9195510391088631E-26</v>
      </c>
    </row>
    <row r="6324" spans="1:5" x14ac:dyDescent="0.25">
      <c r="A6324">
        <v>7</v>
      </c>
      <c r="B6324">
        <v>8</v>
      </c>
      <c r="C6324">
        <v>13</v>
      </c>
      <c r="D6324">
        <v>20</v>
      </c>
      <c r="E6324">
        <f t="shared" si="98"/>
        <v>3.2868620100433311E-25</v>
      </c>
    </row>
    <row r="6325" spans="1:5" x14ac:dyDescent="0.25">
      <c r="A6325">
        <v>7</v>
      </c>
      <c r="B6325">
        <v>8</v>
      </c>
      <c r="C6325">
        <v>14</v>
      </c>
      <c r="D6325">
        <v>19</v>
      </c>
      <c r="E6325">
        <f t="shared" si="98"/>
        <v>4.0694482029107912E-24</v>
      </c>
    </row>
    <row r="6326" spans="1:5" x14ac:dyDescent="0.25">
      <c r="A6326">
        <v>7</v>
      </c>
      <c r="B6326">
        <v>8</v>
      </c>
      <c r="C6326">
        <v>15</v>
      </c>
      <c r="D6326">
        <v>18</v>
      </c>
      <c r="E6326">
        <f t="shared" si="98"/>
        <v>3.7555193415433875E-23</v>
      </c>
    </row>
    <row r="6327" spans="1:5" x14ac:dyDescent="0.25">
      <c r="A6327">
        <v>7</v>
      </c>
      <c r="B6327">
        <v>8</v>
      </c>
      <c r="C6327">
        <v>16</v>
      </c>
      <c r="D6327">
        <v>17</v>
      </c>
      <c r="E6327">
        <f t="shared" si="98"/>
        <v>2.6405995370226941E-22</v>
      </c>
    </row>
    <row r="6328" spans="1:5" x14ac:dyDescent="0.25">
      <c r="A6328">
        <v>7</v>
      </c>
      <c r="B6328">
        <v>8</v>
      </c>
      <c r="C6328">
        <v>17</v>
      </c>
      <c r="D6328">
        <v>16</v>
      </c>
      <c r="E6328">
        <f t="shared" si="98"/>
        <v>1.4376597479345784E-21</v>
      </c>
    </row>
    <row r="6329" spans="1:5" x14ac:dyDescent="0.25">
      <c r="A6329">
        <v>7</v>
      </c>
      <c r="B6329">
        <v>8</v>
      </c>
      <c r="C6329">
        <v>18</v>
      </c>
      <c r="D6329">
        <v>15</v>
      </c>
      <c r="E6329">
        <f t="shared" si="98"/>
        <v>6.1340149245208617E-21</v>
      </c>
    </row>
    <row r="6330" spans="1:5" x14ac:dyDescent="0.25">
      <c r="A6330">
        <v>7</v>
      </c>
      <c r="B6330">
        <v>8</v>
      </c>
      <c r="C6330">
        <v>19</v>
      </c>
      <c r="D6330">
        <v>14</v>
      </c>
      <c r="E6330">
        <f t="shared" si="98"/>
        <v>2.0691294362618228E-20</v>
      </c>
    </row>
    <row r="6331" spans="1:5" x14ac:dyDescent="0.25">
      <c r="A6331">
        <v>7</v>
      </c>
      <c r="B6331">
        <v>8</v>
      </c>
      <c r="C6331">
        <v>20</v>
      </c>
      <c r="D6331">
        <v>13</v>
      </c>
      <c r="E6331">
        <f t="shared" si="98"/>
        <v>5.5521639873025641E-20</v>
      </c>
    </row>
    <row r="6332" spans="1:5" x14ac:dyDescent="0.25">
      <c r="A6332">
        <v>7</v>
      </c>
      <c r="B6332">
        <v>8</v>
      </c>
      <c r="C6332">
        <v>21</v>
      </c>
      <c r="D6332">
        <v>12</v>
      </c>
      <c r="E6332">
        <f t="shared" si="98"/>
        <v>1.1897494258505477E-19</v>
      </c>
    </row>
    <row r="6333" spans="1:5" x14ac:dyDescent="0.25">
      <c r="A6333">
        <v>7</v>
      </c>
      <c r="B6333">
        <v>8</v>
      </c>
      <c r="C6333">
        <v>22</v>
      </c>
      <c r="D6333">
        <v>11</v>
      </c>
      <c r="E6333">
        <f t="shared" si="98"/>
        <v>2.0395704443152261E-19</v>
      </c>
    </row>
    <row r="6334" spans="1:5" x14ac:dyDescent="0.25">
      <c r="A6334">
        <v>7</v>
      </c>
      <c r="B6334">
        <v>8</v>
      </c>
      <c r="C6334">
        <v>23</v>
      </c>
      <c r="D6334">
        <v>10</v>
      </c>
      <c r="E6334">
        <f t="shared" si="98"/>
        <v>2.7962806381481202E-19</v>
      </c>
    </row>
    <row r="6335" spans="1:5" x14ac:dyDescent="0.25">
      <c r="A6335">
        <v>7</v>
      </c>
      <c r="B6335">
        <v>8</v>
      </c>
      <c r="C6335">
        <v>24</v>
      </c>
      <c r="D6335">
        <v>9</v>
      </c>
      <c r="E6335">
        <f t="shared" si="98"/>
        <v>3.0584319479745073E-19</v>
      </c>
    </row>
    <row r="6336" spans="1:5" x14ac:dyDescent="0.25">
      <c r="A6336">
        <v>7</v>
      </c>
      <c r="B6336">
        <v>8</v>
      </c>
      <c r="C6336">
        <v>25</v>
      </c>
      <c r="D6336">
        <v>8</v>
      </c>
      <c r="E6336">
        <f t="shared" si="98"/>
        <v>2.6554385618884554E-19</v>
      </c>
    </row>
    <row r="6337" spans="1:5" x14ac:dyDescent="0.25">
      <c r="A6337">
        <v>7</v>
      </c>
      <c r="B6337">
        <v>8</v>
      </c>
      <c r="C6337">
        <v>26</v>
      </c>
      <c r="D6337">
        <v>7</v>
      </c>
      <c r="E6337">
        <f t="shared" si="98"/>
        <v>1.8156844867613361E-19</v>
      </c>
    </row>
    <row r="6338" spans="1:5" x14ac:dyDescent="0.25">
      <c r="A6338">
        <v>7</v>
      </c>
      <c r="B6338">
        <v>8</v>
      </c>
      <c r="C6338">
        <v>27</v>
      </c>
      <c r="D6338">
        <v>6</v>
      </c>
      <c r="E6338">
        <f t="shared" si="98"/>
        <v>9.6624145201919012E-20</v>
      </c>
    </row>
    <row r="6339" spans="1:5" x14ac:dyDescent="0.25">
      <c r="A6339">
        <v>7</v>
      </c>
      <c r="B6339">
        <v>8</v>
      </c>
      <c r="C6339">
        <v>28</v>
      </c>
      <c r="D6339">
        <v>5</v>
      </c>
      <c r="E6339">
        <f t="shared" si="98"/>
        <v>3.9339830546495613E-20</v>
      </c>
    </row>
    <row r="6340" spans="1:5" x14ac:dyDescent="0.25">
      <c r="A6340">
        <v>7</v>
      </c>
      <c r="B6340">
        <v>8</v>
      </c>
      <c r="C6340">
        <v>29</v>
      </c>
      <c r="D6340">
        <v>4</v>
      </c>
      <c r="E6340">
        <f t="shared" si="98"/>
        <v>1.1950523236620183E-20</v>
      </c>
    </row>
    <row r="6341" spans="1:5" x14ac:dyDescent="0.25">
      <c r="A6341">
        <v>7</v>
      </c>
      <c r="B6341">
        <v>8</v>
      </c>
      <c r="C6341">
        <v>30</v>
      </c>
      <c r="D6341">
        <v>3</v>
      </c>
      <c r="E6341">
        <f t="shared" si="98"/>
        <v>2.607386887989857E-21</v>
      </c>
    </row>
    <row r="6342" spans="1:5" x14ac:dyDescent="0.25">
      <c r="A6342">
        <v>7</v>
      </c>
      <c r="B6342">
        <v>8</v>
      </c>
      <c r="C6342">
        <v>31</v>
      </c>
      <c r="D6342">
        <v>2</v>
      </c>
      <c r="E6342">
        <f t="shared" si="98"/>
        <v>3.8397703119065224E-22</v>
      </c>
    </row>
    <row r="6343" spans="1:5" x14ac:dyDescent="0.25">
      <c r="A6343">
        <v>7</v>
      </c>
      <c r="B6343">
        <v>8</v>
      </c>
      <c r="C6343">
        <v>32</v>
      </c>
      <c r="D6343">
        <v>1</v>
      </c>
      <c r="E6343">
        <f t="shared" si="98"/>
        <v>3.3997966303338996E-23</v>
      </c>
    </row>
    <row r="6344" spans="1:5" x14ac:dyDescent="0.25">
      <c r="A6344">
        <v>7</v>
      </c>
      <c r="B6344">
        <v>8</v>
      </c>
      <c r="C6344">
        <v>33</v>
      </c>
      <c r="D6344">
        <v>0</v>
      </c>
      <c r="E6344">
        <f t="shared" si="98"/>
        <v>1.3599186521335598E-24</v>
      </c>
    </row>
    <row r="6345" spans="1:5" x14ac:dyDescent="0.25">
      <c r="A6345">
        <v>7</v>
      </c>
      <c r="B6345">
        <v>9</v>
      </c>
      <c r="C6345">
        <v>7</v>
      </c>
      <c r="D6345">
        <v>25</v>
      </c>
      <c r="E6345">
        <f t="shared" si="98"/>
        <v>8.1890222503177002E-33</v>
      </c>
    </row>
    <row r="6346" spans="1:5" x14ac:dyDescent="0.25">
      <c r="A6346">
        <v>7</v>
      </c>
      <c r="B6346">
        <v>9</v>
      </c>
      <c r="C6346">
        <v>8</v>
      </c>
      <c r="D6346">
        <v>24</v>
      </c>
      <c r="E6346">
        <f t="shared" si="98"/>
        <v>1.4842602828700835E-30</v>
      </c>
    </row>
    <row r="6347" spans="1:5" x14ac:dyDescent="0.25">
      <c r="A6347">
        <v>7</v>
      </c>
      <c r="B6347">
        <v>9</v>
      </c>
      <c r="C6347">
        <v>9</v>
      </c>
      <c r="D6347">
        <v>23</v>
      </c>
      <c r="E6347">
        <f t="shared" si="98"/>
        <v>1.1280378149812632E-28</v>
      </c>
    </row>
    <row r="6348" spans="1:5" x14ac:dyDescent="0.25">
      <c r="A6348">
        <v>7</v>
      </c>
      <c r="B6348">
        <v>9</v>
      </c>
      <c r="C6348">
        <v>10</v>
      </c>
      <c r="D6348">
        <v>22</v>
      </c>
      <c r="E6348">
        <f t="shared" si="98"/>
        <v>4.843042352319557E-27</v>
      </c>
    </row>
    <row r="6349" spans="1:5" x14ac:dyDescent="0.25">
      <c r="A6349">
        <v>7</v>
      </c>
      <c r="B6349">
        <v>9</v>
      </c>
      <c r="C6349">
        <v>11</v>
      </c>
      <c r="D6349">
        <v>21</v>
      </c>
      <c r="E6349">
        <f t="shared" si="98"/>
        <v>1.3318366468878788E-25</v>
      </c>
    </row>
    <row r="6350" spans="1:5" x14ac:dyDescent="0.25">
      <c r="A6350">
        <v>7</v>
      </c>
      <c r="B6350">
        <v>9</v>
      </c>
      <c r="C6350">
        <v>12</v>
      </c>
      <c r="D6350">
        <v>20</v>
      </c>
      <c r="E6350">
        <f t="shared" ref="E6350:E6413" si="99">COMBIN(A$4,A6350)*COMBIN(B$4,B6350)*COMBIN(C$4,C6350)*COMBIN(D$4,D6350)/COMBIN($G$4,$F$4)</f>
        <v>2.5171712626180886E-24</v>
      </c>
    </row>
    <row r="6351" spans="1:5" x14ac:dyDescent="0.25">
      <c r="A6351">
        <v>7</v>
      </c>
      <c r="B6351">
        <v>9</v>
      </c>
      <c r="C6351">
        <v>13</v>
      </c>
      <c r="D6351">
        <v>19</v>
      </c>
      <c r="E6351">
        <f t="shared" si="99"/>
        <v>3.4207712030450959E-23</v>
      </c>
    </row>
    <row r="6352" spans="1:5" x14ac:dyDescent="0.25">
      <c r="A6352">
        <v>7</v>
      </c>
      <c r="B6352">
        <v>9</v>
      </c>
      <c r="C6352">
        <v>14</v>
      </c>
      <c r="D6352">
        <v>18</v>
      </c>
      <c r="E6352">
        <f t="shared" si="99"/>
        <v>3.4486958659270983E-22</v>
      </c>
    </row>
    <row r="6353" spans="1:5" x14ac:dyDescent="0.25">
      <c r="A6353">
        <v>7</v>
      </c>
      <c r="B6353">
        <v>9</v>
      </c>
      <c r="C6353">
        <v>15</v>
      </c>
      <c r="D6353">
        <v>17</v>
      </c>
      <c r="E6353">
        <f t="shared" si="99"/>
        <v>2.6382523374342288E-21</v>
      </c>
    </row>
    <row r="6354" spans="1:5" x14ac:dyDescent="0.25">
      <c r="A6354">
        <v>7</v>
      </c>
      <c r="B6354">
        <v>9</v>
      </c>
      <c r="C6354">
        <v>16</v>
      </c>
      <c r="D6354">
        <v>16</v>
      </c>
      <c r="E6354">
        <f t="shared" si="99"/>
        <v>1.5573017269577049E-20</v>
      </c>
    </row>
    <row r="6355" spans="1:5" x14ac:dyDescent="0.25">
      <c r="A6355">
        <v>7</v>
      </c>
      <c r="B6355">
        <v>9</v>
      </c>
      <c r="C6355">
        <v>17</v>
      </c>
      <c r="D6355">
        <v>15</v>
      </c>
      <c r="E6355">
        <f t="shared" si="99"/>
        <v>7.1819091407931828E-20</v>
      </c>
    </row>
    <row r="6356" spans="1:5" x14ac:dyDescent="0.25">
      <c r="A6356">
        <v>7</v>
      </c>
      <c r="B6356">
        <v>9</v>
      </c>
      <c r="C6356">
        <v>18</v>
      </c>
      <c r="D6356">
        <v>14</v>
      </c>
      <c r="E6356">
        <f t="shared" si="99"/>
        <v>2.6116033239247917E-19</v>
      </c>
    </row>
    <row r="6357" spans="1:5" x14ac:dyDescent="0.25">
      <c r="A6357">
        <v>7</v>
      </c>
      <c r="B6357">
        <v>9</v>
      </c>
      <c r="C6357">
        <v>19</v>
      </c>
      <c r="D6357">
        <v>13</v>
      </c>
      <c r="E6357">
        <f t="shared" si="99"/>
        <v>7.5369955576426042E-19</v>
      </c>
    </row>
    <row r="6358" spans="1:5" x14ac:dyDescent="0.25">
      <c r="A6358">
        <v>7</v>
      </c>
      <c r="B6358">
        <v>9</v>
      </c>
      <c r="C6358">
        <v>20</v>
      </c>
      <c r="D6358">
        <v>12</v>
      </c>
      <c r="E6358">
        <f t="shared" si="99"/>
        <v>1.7335089782578004E-18</v>
      </c>
    </row>
    <row r="6359" spans="1:5" x14ac:dyDescent="0.25">
      <c r="A6359">
        <v>7</v>
      </c>
      <c r="B6359">
        <v>9</v>
      </c>
      <c r="C6359">
        <v>21</v>
      </c>
      <c r="D6359">
        <v>11</v>
      </c>
      <c r="E6359">
        <f t="shared" si="99"/>
        <v>3.1839960825143232E-18</v>
      </c>
    </row>
    <row r="6360" spans="1:5" x14ac:dyDescent="0.25">
      <c r="A6360">
        <v>7</v>
      </c>
      <c r="B6360">
        <v>9</v>
      </c>
      <c r="C6360">
        <v>22</v>
      </c>
      <c r="D6360">
        <v>10</v>
      </c>
      <c r="E6360">
        <f t="shared" si="99"/>
        <v>4.6698609210210094E-18</v>
      </c>
    </row>
    <row r="6361" spans="1:5" x14ac:dyDescent="0.25">
      <c r="A6361">
        <v>7</v>
      </c>
      <c r="B6361">
        <v>9</v>
      </c>
      <c r="C6361">
        <v>23</v>
      </c>
      <c r="D6361">
        <v>9</v>
      </c>
      <c r="E6361">
        <f t="shared" si="99"/>
        <v>5.456630967497374E-18</v>
      </c>
    </row>
    <row r="6362" spans="1:5" x14ac:dyDescent="0.25">
      <c r="A6362">
        <v>7</v>
      </c>
      <c r="B6362">
        <v>9</v>
      </c>
      <c r="C6362">
        <v>24</v>
      </c>
      <c r="D6362">
        <v>8</v>
      </c>
      <c r="E6362">
        <f t="shared" si="99"/>
        <v>5.0554081022402144E-18</v>
      </c>
    </row>
    <row r="6363" spans="1:5" x14ac:dyDescent="0.25">
      <c r="A6363">
        <v>7</v>
      </c>
      <c r="B6363">
        <v>9</v>
      </c>
      <c r="C6363">
        <v>25</v>
      </c>
      <c r="D6363">
        <v>7</v>
      </c>
      <c r="E6363">
        <f t="shared" si="99"/>
        <v>3.6848307945217586E-18</v>
      </c>
    </row>
    <row r="6364" spans="1:5" x14ac:dyDescent="0.25">
      <c r="A6364">
        <v>7</v>
      </c>
      <c r="B6364">
        <v>9</v>
      </c>
      <c r="C6364">
        <v>26</v>
      </c>
      <c r="D6364">
        <v>6</v>
      </c>
      <c r="E6364">
        <f t="shared" si="99"/>
        <v>2.0885680616722497E-18</v>
      </c>
    </row>
    <row r="6365" spans="1:5" x14ac:dyDescent="0.25">
      <c r="A6365">
        <v>7</v>
      </c>
      <c r="B6365">
        <v>9</v>
      </c>
      <c r="C6365">
        <v>27</v>
      </c>
      <c r="D6365">
        <v>5</v>
      </c>
      <c r="E6365">
        <f t="shared" si="99"/>
        <v>9.0504616005797493E-19</v>
      </c>
    </row>
    <row r="6366" spans="1:5" x14ac:dyDescent="0.25">
      <c r="A6366">
        <v>7</v>
      </c>
      <c r="B6366">
        <v>9</v>
      </c>
      <c r="C6366">
        <v>28</v>
      </c>
      <c r="D6366">
        <v>4</v>
      </c>
      <c r="E6366">
        <f t="shared" si="99"/>
        <v>2.9244688845410764E-19</v>
      </c>
    </row>
    <row r="6367" spans="1:5" x14ac:dyDescent="0.25">
      <c r="A6367">
        <v>7</v>
      </c>
      <c r="B6367">
        <v>9</v>
      </c>
      <c r="C6367">
        <v>29</v>
      </c>
      <c r="D6367">
        <v>3</v>
      </c>
      <c r="E6367">
        <f t="shared" si="99"/>
        <v>6.7840344030106478E-20</v>
      </c>
    </row>
    <row r="6368" spans="1:5" x14ac:dyDescent="0.25">
      <c r="A6368">
        <v>7</v>
      </c>
      <c r="B6368">
        <v>9</v>
      </c>
      <c r="C6368">
        <v>30</v>
      </c>
      <c r="D6368">
        <v>2</v>
      </c>
      <c r="E6368">
        <f t="shared" si="99"/>
        <v>1.0618488630799272E-20</v>
      </c>
    </row>
    <row r="6369" spans="1:5" x14ac:dyDescent="0.25">
      <c r="A6369">
        <v>7</v>
      </c>
      <c r="B6369">
        <v>9</v>
      </c>
      <c r="C6369">
        <v>31</v>
      </c>
      <c r="D6369">
        <v>1</v>
      </c>
      <c r="E6369">
        <f t="shared" si="99"/>
        <v>9.9905134967197481E-22</v>
      </c>
    </row>
    <row r="6370" spans="1:5" x14ac:dyDescent="0.25">
      <c r="A6370">
        <v>7</v>
      </c>
      <c r="B6370">
        <v>9</v>
      </c>
      <c r="C6370">
        <v>32</v>
      </c>
      <c r="D6370">
        <v>0</v>
      </c>
      <c r="E6370">
        <f t="shared" si="99"/>
        <v>4.2459682361058919E-23</v>
      </c>
    </row>
    <row r="6371" spans="1:5" x14ac:dyDescent="0.25">
      <c r="A6371">
        <v>7</v>
      </c>
      <c r="B6371">
        <v>10</v>
      </c>
      <c r="C6371">
        <v>6</v>
      </c>
      <c r="D6371">
        <v>25</v>
      </c>
      <c r="E6371">
        <f t="shared" si="99"/>
        <v>2.720420950952999E-32</v>
      </c>
    </row>
    <row r="6372" spans="1:5" x14ac:dyDescent="0.25">
      <c r="A6372">
        <v>7</v>
      </c>
      <c r="B6372">
        <v>10</v>
      </c>
      <c r="C6372">
        <v>7</v>
      </c>
      <c r="D6372">
        <v>24</v>
      </c>
      <c r="E6372">
        <f t="shared" si="99"/>
        <v>5.7323155752223912E-30</v>
      </c>
    </row>
    <row r="6373" spans="1:5" x14ac:dyDescent="0.25">
      <c r="A6373">
        <v>7</v>
      </c>
      <c r="B6373">
        <v>10</v>
      </c>
      <c r="C6373">
        <v>8</v>
      </c>
      <c r="D6373">
        <v>23</v>
      </c>
      <c r="E6373">
        <f t="shared" si="99"/>
        <v>4.9871145504434807E-28</v>
      </c>
    </row>
    <row r="6374" spans="1:5" x14ac:dyDescent="0.25">
      <c r="A6374">
        <v>7</v>
      </c>
      <c r="B6374">
        <v>10</v>
      </c>
      <c r="C6374">
        <v>9</v>
      </c>
      <c r="D6374">
        <v>22</v>
      </c>
      <c r="E6374">
        <f t="shared" si="99"/>
        <v>2.4215211761597785E-26</v>
      </c>
    </row>
    <row r="6375" spans="1:5" x14ac:dyDescent="0.25">
      <c r="A6375">
        <v>7</v>
      </c>
      <c r="B6375">
        <v>10</v>
      </c>
      <c r="C6375">
        <v>10</v>
      </c>
      <c r="D6375">
        <v>21</v>
      </c>
      <c r="E6375">
        <f t="shared" si="99"/>
        <v>7.458285222572121E-25</v>
      </c>
    </row>
    <row r="6376" spans="1:5" x14ac:dyDescent="0.25">
      <c r="A6376">
        <v>7</v>
      </c>
      <c r="B6376">
        <v>10</v>
      </c>
      <c r="C6376">
        <v>11</v>
      </c>
      <c r="D6376">
        <v>20</v>
      </c>
      <c r="E6376">
        <f t="shared" si="99"/>
        <v>1.566239896740145E-23</v>
      </c>
    </row>
    <row r="6377" spans="1:5" x14ac:dyDescent="0.25">
      <c r="A6377">
        <v>7</v>
      </c>
      <c r="B6377">
        <v>10</v>
      </c>
      <c r="C6377">
        <v>12</v>
      </c>
      <c r="D6377">
        <v>19</v>
      </c>
      <c r="E6377">
        <f t="shared" si="99"/>
        <v>2.3493598451102158E-22</v>
      </c>
    </row>
    <row r="6378" spans="1:5" x14ac:dyDescent="0.25">
      <c r="A6378">
        <v>7</v>
      </c>
      <c r="B6378">
        <v>10</v>
      </c>
      <c r="C6378">
        <v>13</v>
      </c>
      <c r="D6378">
        <v>18</v>
      </c>
      <c r="E6378">
        <f t="shared" si="99"/>
        <v>2.5997861143142743E-21</v>
      </c>
    </row>
    <row r="6379" spans="1:5" x14ac:dyDescent="0.25">
      <c r="A6379">
        <v>7</v>
      </c>
      <c r="B6379">
        <v>10</v>
      </c>
      <c r="C6379">
        <v>14</v>
      </c>
      <c r="D6379">
        <v>17</v>
      </c>
      <c r="E6379">
        <f t="shared" si="99"/>
        <v>2.1726783955340717E-20</v>
      </c>
    </row>
    <row r="6380" spans="1:5" x14ac:dyDescent="0.25">
      <c r="A6380">
        <v>7</v>
      </c>
      <c r="B6380">
        <v>10</v>
      </c>
      <c r="C6380">
        <v>15</v>
      </c>
      <c r="D6380">
        <v>16</v>
      </c>
      <c r="E6380">
        <f t="shared" si="99"/>
        <v>1.3953423473541035E-19</v>
      </c>
    </row>
    <row r="6381" spans="1:5" x14ac:dyDescent="0.25">
      <c r="A6381">
        <v>7</v>
      </c>
      <c r="B6381">
        <v>10</v>
      </c>
      <c r="C6381">
        <v>16</v>
      </c>
      <c r="D6381">
        <v>15</v>
      </c>
      <c r="E6381">
        <f t="shared" si="99"/>
        <v>6.9767117367705176E-19</v>
      </c>
    </row>
    <row r="6382" spans="1:5" x14ac:dyDescent="0.25">
      <c r="A6382">
        <v>7</v>
      </c>
      <c r="B6382">
        <v>10</v>
      </c>
      <c r="C6382">
        <v>17</v>
      </c>
      <c r="D6382">
        <v>14</v>
      </c>
      <c r="E6382">
        <f t="shared" si="99"/>
        <v>2.7421834901210339E-18</v>
      </c>
    </row>
    <row r="6383" spans="1:5" x14ac:dyDescent="0.25">
      <c r="A6383">
        <v>7</v>
      </c>
      <c r="B6383">
        <v>10</v>
      </c>
      <c r="C6383">
        <v>18</v>
      </c>
      <c r="D6383">
        <v>13</v>
      </c>
      <c r="E6383">
        <f t="shared" si="99"/>
        <v>8.5312375248209867E-18</v>
      </c>
    </row>
    <row r="6384" spans="1:5" x14ac:dyDescent="0.25">
      <c r="A6384">
        <v>7</v>
      </c>
      <c r="B6384">
        <v>10</v>
      </c>
      <c r="C6384">
        <v>19</v>
      </c>
      <c r="D6384">
        <v>12</v>
      </c>
      <c r="E6384">
        <f t="shared" si="99"/>
        <v>2.1103587561399292E-17</v>
      </c>
    </row>
    <row r="6385" spans="1:5" x14ac:dyDescent="0.25">
      <c r="A6385">
        <v>7</v>
      </c>
      <c r="B6385">
        <v>10</v>
      </c>
      <c r="C6385">
        <v>20</v>
      </c>
      <c r="D6385">
        <v>11</v>
      </c>
      <c r="E6385">
        <f t="shared" si="99"/>
        <v>4.160421547818721E-17</v>
      </c>
    </row>
    <row r="6386" spans="1:5" x14ac:dyDescent="0.25">
      <c r="A6386">
        <v>7</v>
      </c>
      <c r="B6386">
        <v>10</v>
      </c>
      <c r="C6386">
        <v>21</v>
      </c>
      <c r="D6386">
        <v>10</v>
      </c>
      <c r="E6386">
        <f t="shared" si="99"/>
        <v>6.5378052894294098E-17</v>
      </c>
    </row>
    <row r="6387" spans="1:5" x14ac:dyDescent="0.25">
      <c r="A6387">
        <v>7</v>
      </c>
      <c r="B6387">
        <v>10</v>
      </c>
      <c r="C6387">
        <v>22</v>
      </c>
      <c r="D6387">
        <v>9</v>
      </c>
      <c r="E6387">
        <f t="shared" si="99"/>
        <v>8.1722566117867678E-17</v>
      </c>
    </row>
    <row r="6388" spans="1:5" x14ac:dyDescent="0.25">
      <c r="A6388">
        <v>7</v>
      </c>
      <c r="B6388">
        <v>10</v>
      </c>
      <c r="C6388">
        <v>23</v>
      </c>
      <c r="D6388">
        <v>8</v>
      </c>
      <c r="E6388">
        <f t="shared" si="99"/>
        <v>8.0886529635843443E-17</v>
      </c>
    </row>
    <row r="6389" spans="1:5" x14ac:dyDescent="0.25">
      <c r="A6389">
        <v>7</v>
      </c>
      <c r="B6389">
        <v>10</v>
      </c>
      <c r="C6389">
        <v>24</v>
      </c>
      <c r="D6389">
        <v>7</v>
      </c>
      <c r="E6389">
        <f t="shared" si="99"/>
        <v>6.29117452723227E-17</v>
      </c>
    </row>
    <row r="6390" spans="1:5" x14ac:dyDescent="0.25">
      <c r="A6390">
        <v>7</v>
      </c>
      <c r="B6390">
        <v>10</v>
      </c>
      <c r="C6390">
        <v>25</v>
      </c>
      <c r="D6390">
        <v>6</v>
      </c>
      <c r="E6390">
        <f t="shared" si="99"/>
        <v>3.8011938722434972E-17</v>
      </c>
    </row>
    <row r="6391" spans="1:5" x14ac:dyDescent="0.25">
      <c r="A6391">
        <v>7</v>
      </c>
      <c r="B6391">
        <v>10</v>
      </c>
      <c r="C6391">
        <v>26</v>
      </c>
      <c r="D6391">
        <v>5</v>
      </c>
      <c r="E6391">
        <f t="shared" si="99"/>
        <v>1.7543971718046897E-17</v>
      </c>
    </row>
    <row r="6392" spans="1:5" x14ac:dyDescent="0.25">
      <c r="A6392">
        <v>7</v>
      </c>
      <c r="B6392">
        <v>10</v>
      </c>
      <c r="C6392">
        <v>27</v>
      </c>
      <c r="D6392">
        <v>4</v>
      </c>
      <c r="E6392">
        <f t="shared" si="99"/>
        <v>6.0336410670531669E-18</v>
      </c>
    </row>
    <row r="6393" spans="1:5" x14ac:dyDescent="0.25">
      <c r="A6393">
        <v>7</v>
      </c>
      <c r="B6393">
        <v>10</v>
      </c>
      <c r="C6393">
        <v>28</v>
      </c>
      <c r="D6393">
        <v>3</v>
      </c>
      <c r="E6393">
        <f t="shared" si="99"/>
        <v>1.4888205230390933E-18</v>
      </c>
    </row>
    <row r="6394" spans="1:5" x14ac:dyDescent="0.25">
      <c r="A6394">
        <v>7</v>
      </c>
      <c r="B6394">
        <v>10</v>
      </c>
      <c r="C6394">
        <v>29</v>
      </c>
      <c r="D6394">
        <v>2</v>
      </c>
      <c r="E6394">
        <f t="shared" si="99"/>
        <v>2.4776473471864979E-19</v>
      </c>
    </row>
    <row r="6395" spans="1:5" x14ac:dyDescent="0.25">
      <c r="A6395">
        <v>7</v>
      </c>
      <c r="B6395">
        <v>10</v>
      </c>
      <c r="C6395">
        <v>30</v>
      </c>
      <c r="D6395">
        <v>1</v>
      </c>
      <c r="E6395">
        <f t="shared" si="99"/>
        <v>2.4776473471864971E-20</v>
      </c>
    </row>
    <row r="6396" spans="1:5" x14ac:dyDescent="0.25">
      <c r="A6396">
        <v>7</v>
      </c>
      <c r="B6396">
        <v>10</v>
      </c>
      <c r="C6396">
        <v>31</v>
      </c>
      <c r="D6396">
        <v>0</v>
      </c>
      <c r="E6396">
        <f t="shared" si="99"/>
        <v>1.1189375116326117E-21</v>
      </c>
    </row>
    <row r="6397" spans="1:5" x14ac:dyDescent="0.25">
      <c r="A6397">
        <v>7</v>
      </c>
      <c r="B6397">
        <v>11</v>
      </c>
      <c r="C6397">
        <v>5</v>
      </c>
      <c r="D6397">
        <v>25</v>
      </c>
      <c r="E6397">
        <f t="shared" si="99"/>
        <v>6.8999767755989703E-32</v>
      </c>
    </row>
    <row r="6398" spans="1:5" x14ac:dyDescent="0.25">
      <c r="A6398">
        <v>7</v>
      </c>
      <c r="B6398">
        <v>11</v>
      </c>
      <c r="C6398">
        <v>6</v>
      </c>
      <c r="D6398">
        <v>24</v>
      </c>
      <c r="E6398">
        <f t="shared" si="99"/>
        <v>1.7249941938997423E-29</v>
      </c>
    </row>
    <row r="6399" spans="1:5" x14ac:dyDescent="0.25">
      <c r="A6399">
        <v>7</v>
      </c>
      <c r="B6399">
        <v>11</v>
      </c>
      <c r="C6399">
        <v>7</v>
      </c>
      <c r="D6399">
        <v>23</v>
      </c>
      <c r="E6399">
        <f t="shared" si="99"/>
        <v>1.7447084132585963E-27</v>
      </c>
    </row>
    <row r="6400" spans="1:5" x14ac:dyDescent="0.25">
      <c r="A6400">
        <v>7</v>
      </c>
      <c r="B6400">
        <v>11</v>
      </c>
      <c r="C6400">
        <v>8</v>
      </c>
      <c r="D6400">
        <v>22</v>
      </c>
      <c r="E6400">
        <f t="shared" si="99"/>
        <v>9.6976709303623667E-26</v>
      </c>
    </row>
    <row r="6401" spans="1:5" x14ac:dyDescent="0.25">
      <c r="A6401">
        <v>7</v>
      </c>
      <c r="B6401">
        <v>11</v>
      </c>
      <c r="C6401">
        <v>9</v>
      </c>
      <c r="D6401">
        <v>21</v>
      </c>
      <c r="E6401">
        <f t="shared" si="99"/>
        <v>3.3780220407428909E-24</v>
      </c>
    </row>
    <row r="6402" spans="1:5" x14ac:dyDescent="0.25">
      <c r="A6402">
        <v>7</v>
      </c>
      <c r="B6402">
        <v>11</v>
      </c>
      <c r="C6402">
        <v>10</v>
      </c>
      <c r="D6402">
        <v>20</v>
      </c>
      <c r="E6402">
        <f t="shared" si="99"/>
        <v>7.9451078398272798E-23</v>
      </c>
    </row>
    <row r="6403" spans="1:5" x14ac:dyDescent="0.25">
      <c r="A6403">
        <v>7</v>
      </c>
      <c r="B6403">
        <v>11</v>
      </c>
      <c r="C6403">
        <v>11</v>
      </c>
      <c r="D6403">
        <v>19</v>
      </c>
      <c r="E6403">
        <f t="shared" si="99"/>
        <v>1.3241846399712133E-21</v>
      </c>
    </row>
    <row r="6404" spans="1:5" x14ac:dyDescent="0.25">
      <c r="A6404">
        <v>7</v>
      </c>
      <c r="B6404">
        <v>11</v>
      </c>
      <c r="C6404">
        <v>12</v>
      </c>
      <c r="D6404">
        <v>18</v>
      </c>
      <c r="E6404">
        <f t="shared" si="99"/>
        <v>1.6173969531076958E-20</v>
      </c>
    </row>
    <row r="6405" spans="1:5" x14ac:dyDescent="0.25">
      <c r="A6405">
        <v>7</v>
      </c>
      <c r="B6405">
        <v>11</v>
      </c>
      <c r="C6405">
        <v>13</v>
      </c>
      <c r="D6405">
        <v>17</v>
      </c>
      <c r="E6405">
        <f t="shared" si="99"/>
        <v>1.4836506666007135E-19</v>
      </c>
    </row>
    <row r="6406" spans="1:5" x14ac:dyDescent="0.25">
      <c r="A6406">
        <v>7</v>
      </c>
      <c r="B6406">
        <v>11</v>
      </c>
      <c r="C6406">
        <v>14</v>
      </c>
      <c r="D6406">
        <v>16</v>
      </c>
      <c r="E6406">
        <f t="shared" si="99"/>
        <v>1.0409104676785961E-18</v>
      </c>
    </row>
    <row r="6407" spans="1:5" x14ac:dyDescent="0.25">
      <c r="A6407">
        <v>7</v>
      </c>
      <c r="B6407">
        <v>11</v>
      </c>
      <c r="C6407">
        <v>15</v>
      </c>
      <c r="D6407">
        <v>15</v>
      </c>
      <c r="E6407">
        <f t="shared" si="99"/>
        <v>5.6625529441715596E-18</v>
      </c>
    </row>
    <row r="6408" spans="1:5" x14ac:dyDescent="0.25">
      <c r="A6408">
        <v>7</v>
      </c>
      <c r="B6408">
        <v>11</v>
      </c>
      <c r="C6408">
        <v>16</v>
      </c>
      <c r="D6408">
        <v>14</v>
      </c>
      <c r="E6408">
        <f t="shared" si="99"/>
        <v>2.4130197205276538E-17</v>
      </c>
    </row>
    <row r="6409" spans="1:5" x14ac:dyDescent="0.25">
      <c r="A6409">
        <v>7</v>
      </c>
      <c r="B6409">
        <v>11</v>
      </c>
      <c r="C6409">
        <v>17</v>
      </c>
      <c r="D6409">
        <v>13</v>
      </c>
      <c r="E6409">
        <f t="shared" si="99"/>
        <v>8.1143702366763313E-17</v>
      </c>
    </row>
    <row r="6410" spans="1:5" x14ac:dyDescent="0.25">
      <c r="A6410">
        <v>7</v>
      </c>
      <c r="B6410">
        <v>11</v>
      </c>
      <c r="C6410">
        <v>18</v>
      </c>
      <c r="D6410">
        <v>12</v>
      </c>
      <c r="E6410">
        <f t="shared" si="99"/>
        <v>2.1638320631136866E-16</v>
      </c>
    </row>
    <row r="6411" spans="1:5" x14ac:dyDescent="0.25">
      <c r="A6411">
        <v>7</v>
      </c>
      <c r="B6411">
        <v>11</v>
      </c>
      <c r="C6411">
        <v>19</v>
      </c>
      <c r="D6411">
        <v>11</v>
      </c>
      <c r="E6411">
        <f t="shared" si="99"/>
        <v>4.587974750361352E-16</v>
      </c>
    </row>
    <row r="6412" spans="1:5" x14ac:dyDescent="0.25">
      <c r="A6412">
        <v>7</v>
      </c>
      <c r="B6412">
        <v>11</v>
      </c>
      <c r="C6412">
        <v>20</v>
      </c>
      <c r="D6412">
        <v>10</v>
      </c>
      <c r="E6412">
        <f t="shared" si="99"/>
        <v>7.7383840789428191E-16</v>
      </c>
    </row>
    <row r="6413" spans="1:5" x14ac:dyDescent="0.25">
      <c r="A6413">
        <v>7</v>
      </c>
      <c r="B6413">
        <v>11</v>
      </c>
      <c r="C6413">
        <v>21</v>
      </c>
      <c r="D6413">
        <v>9</v>
      </c>
      <c r="E6413">
        <f t="shared" si="99"/>
        <v>1.036390724858412E-15</v>
      </c>
    </row>
    <row r="6414" spans="1:5" x14ac:dyDescent="0.25">
      <c r="A6414">
        <v>7</v>
      </c>
      <c r="B6414">
        <v>11</v>
      </c>
      <c r="C6414">
        <v>22</v>
      </c>
      <c r="D6414">
        <v>8</v>
      </c>
      <c r="E6414">
        <f t="shared" ref="E6414:E6477" si="100">COMBIN(A$4,A6414)*COMBIN(B$4,B6414)*COMBIN(C$4,C6414)*COMBIN(D$4,D6414)/COMBIN($G$4,$F$4)</f>
        <v>1.0973548851442017E-15</v>
      </c>
    </row>
    <row r="6415" spans="1:5" x14ac:dyDescent="0.25">
      <c r="A6415">
        <v>7</v>
      </c>
      <c r="B6415">
        <v>11</v>
      </c>
      <c r="C6415">
        <v>23</v>
      </c>
      <c r="D6415">
        <v>7</v>
      </c>
      <c r="E6415">
        <f t="shared" si="100"/>
        <v>9.1181178862223529E-16</v>
      </c>
    </row>
    <row r="6416" spans="1:5" x14ac:dyDescent="0.25">
      <c r="A6416">
        <v>7</v>
      </c>
      <c r="B6416">
        <v>11</v>
      </c>
      <c r="C6416">
        <v>24</v>
      </c>
      <c r="D6416">
        <v>6</v>
      </c>
      <c r="E6416">
        <f t="shared" si="100"/>
        <v>5.8787865319065132E-16</v>
      </c>
    </row>
    <row r="6417" spans="1:5" x14ac:dyDescent="0.25">
      <c r="A6417">
        <v>7</v>
      </c>
      <c r="B6417">
        <v>11</v>
      </c>
      <c r="C6417">
        <v>25</v>
      </c>
      <c r="D6417">
        <v>5</v>
      </c>
      <c r="E6417">
        <f t="shared" si="100"/>
        <v>2.8923629736980065E-16</v>
      </c>
    </row>
    <row r="6418" spans="1:5" x14ac:dyDescent="0.25">
      <c r="A6418">
        <v>7</v>
      </c>
      <c r="B6418">
        <v>11</v>
      </c>
      <c r="C6418">
        <v>26</v>
      </c>
      <c r="D6418">
        <v>4</v>
      </c>
      <c r="E6418">
        <f t="shared" si="100"/>
        <v>1.0594736167391958E-16</v>
      </c>
    </row>
    <row r="6419" spans="1:5" x14ac:dyDescent="0.25">
      <c r="A6419">
        <v>7</v>
      </c>
      <c r="B6419">
        <v>11</v>
      </c>
      <c r="C6419">
        <v>27</v>
      </c>
      <c r="D6419">
        <v>3</v>
      </c>
      <c r="E6419">
        <f t="shared" si="100"/>
        <v>2.7824559631534436E-17</v>
      </c>
    </row>
    <row r="6420" spans="1:5" x14ac:dyDescent="0.25">
      <c r="A6420">
        <v>7</v>
      </c>
      <c r="B6420">
        <v>11</v>
      </c>
      <c r="C6420">
        <v>28</v>
      </c>
      <c r="D6420">
        <v>2</v>
      </c>
      <c r="E6420">
        <f t="shared" si="100"/>
        <v>4.9254655248368415E-18</v>
      </c>
    </row>
    <row r="6421" spans="1:5" x14ac:dyDescent="0.25">
      <c r="A6421">
        <v>7</v>
      </c>
      <c r="B6421">
        <v>11</v>
      </c>
      <c r="C6421">
        <v>29</v>
      </c>
      <c r="D6421">
        <v>1</v>
      </c>
      <c r="E6421">
        <f t="shared" si="100"/>
        <v>5.2368455292805516E-19</v>
      </c>
    </row>
    <row r="6422" spans="1:5" x14ac:dyDescent="0.25">
      <c r="A6422">
        <v>7</v>
      </c>
      <c r="B6422">
        <v>11</v>
      </c>
      <c r="C6422">
        <v>30</v>
      </c>
      <c r="D6422">
        <v>0</v>
      </c>
      <c r="E6422">
        <f t="shared" si="100"/>
        <v>2.513685854054664E-20</v>
      </c>
    </row>
    <row r="6423" spans="1:5" x14ac:dyDescent="0.25">
      <c r="A6423">
        <v>7</v>
      </c>
      <c r="B6423">
        <v>12</v>
      </c>
      <c r="C6423">
        <v>4</v>
      </c>
      <c r="D6423">
        <v>25</v>
      </c>
      <c r="E6423">
        <f t="shared" si="100"/>
        <v>1.3102414915413342E-31</v>
      </c>
    </row>
    <row r="6424" spans="1:5" x14ac:dyDescent="0.25">
      <c r="A6424">
        <v>7</v>
      </c>
      <c r="B6424">
        <v>12</v>
      </c>
      <c r="C6424">
        <v>5</v>
      </c>
      <c r="D6424">
        <v>24</v>
      </c>
      <c r="E6424">
        <f t="shared" si="100"/>
        <v>3.9962365492010701E-29</v>
      </c>
    </row>
    <row r="6425" spans="1:5" x14ac:dyDescent="0.25">
      <c r="A6425">
        <v>7</v>
      </c>
      <c r="B6425">
        <v>12</v>
      </c>
      <c r="C6425">
        <v>6</v>
      </c>
      <c r="D6425">
        <v>23</v>
      </c>
      <c r="E6425">
        <f t="shared" si="100"/>
        <v>4.7954838590412832E-27</v>
      </c>
    </row>
    <row r="6426" spans="1:5" x14ac:dyDescent="0.25">
      <c r="A6426">
        <v>7</v>
      </c>
      <c r="B6426">
        <v>12</v>
      </c>
      <c r="C6426">
        <v>7</v>
      </c>
      <c r="D6426">
        <v>22</v>
      </c>
      <c r="E6426">
        <f t="shared" si="100"/>
        <v>3.0987959984376297E-25</v>
      </c>
    </row>
    <row r="6427" spans="1:5" x14ac:dyDescent="0.25">
      <c r="A6427">
        <v>7</v>
      </c>
      <c r="B6427">
        <v>12</v>
      </c>
      <c r="C6427">
        <v>8</v>
      </c>
      <c r="D6427">
        <v>21</v>
      </c>
      <c r="E6427">
        <f t="shared" si="100"/>
        <v>1.235644904377005E-23</v>
      </c>
    </row>
    <row r="6428" spans="1:5" x14ac:dyDescent="0.25">
      <c r="A6428">
        <v>7</v>
      </c>
      <c r="B6428">
        <v>12</v>
      </c>
      <c r="C6428">
        <v>9</v>
      </c>
      <c r="D6428">
        <v>20</v>
      </c>
      <c r="E6428">
        <f t="shared" si="100"/>
        <v>3.2868154456428321E-22</v>
      </c>
    </row>
    <row r="6429" spans="1:5" x14ac:dyDescent="0.25">
      <c r="A6429">
        <v>7</v>
      </c>
      <c r="B6429">
        <v>12</v>
      </c>
      <c r="C6429">
        <v>10</v>
      </c>
      <c r="D6429">
        <v>19</v>
      </c>
      <c r="E6429">
        <f t="shared" si="100"/>
        <v>6.1353888318666211E-21</v>
      </c>
    </row>
    <row r="6430" spans="1:5" x14ac:dyDescent="0.25">
      <c r="A6430">
        <v>7</v>
      </c>
      <c r="B6430">
        <v>12</v>
      </c>
      <c r="C6430">
        <v>11</v>
      </c>
      <c r="D6430">
        <v>18</v>
      </c>
      <c r="E6430">
        <f t="shared" si="100"/>
        <v>8.3265991289618472E-20</v>
      </c>
    </row>
    <row r="6431" spans="1:5" x14ac:dyDescent="0.25">
      <c r="A6431">
        <v>7</v>
      </c>
      <c r="B6431">
        <v>12</v>
      </c>
      <c r="C6431">
        <v>12</v>
      </c>
      <c r="D6431">
        <v>17</v>
      </c>
      <c r="E6431">
        <f t="shared" si="100"/>
        <v>8.4306816180738627E-19</v>
      </c>
    </row>
    <row r="6432" spans="1:5" x14ac:dyDescent="0.25">
      <c r="A6432">
        <v>7</v>
      </c>
      <c r="B6432">
        <v>12</v>
      </c>
      <c r="C6432">
        <v>13</v>
      </c>
      <c r="D6432">
        <v>16</v>
      </c>
      <c r="E6432">
        <f t="shared" si="100"/>
        <v>6.4923454169953451E-18</v>
      </c>
    </row>
    <row r="6433" spans="1:5" x14ac:dyDescent="0.25">
      <c r="A6433">
        <v>7</v>
      </c>
      <c r="B6433">
        <v>12</v>
      </c>
      <c r="C6433">
        <v>14</v>
      </c>
      <c r="D6433">
        <v>15</v>
      </c>
      <c r="E6433">
        <f t="shared" si="100"/>
        <v>3.8583081335286621E-17</v>
      </c>
    </row>
    <row r="6434" spans="1:5" x14ac:dyDescent="0.25">
      <c r="A6434">
        <v>7</v>
      </c>
      <c r="B6434">
        <v>12</v>
      </c>
      <c r="C6434">
        <v>15</v>
      </c>
      <c r="D6434">
        <v>14</v>
      </c>
      <c r="E6434">
        <f t="shared" si="100"/>
        <v>1.7888519528178337E-16</v>
      </c>
    </row>
    <row r="6435" spans="1:5" x14ac:dyDescent="0.25">
      <c r="A6435">
        <v>7</v>
      </c>
      <c r="B6435">
        <v>12</v>
      </c>
      <c r="C6435">
        <v>16</v>
      </c>
      <c r="D6435">
        <v>13</v>
      </c>
      <c r="E6435">
        <f t="shared" si="100"/>
        <v>6.5218560779816877E-16</v>
      </c>
    </row>
    <row r="6436" spans="1:5" x14ac:dyDescent="0.25">
      <c r="A6436">
        <v>7</v>
      </c>
      <c r="B6436">
        <v>12</v>
      </c>
      <c r="C6436">
        <v>17</v>
      </c>
      <c r="D6436">
        <v>12</v>
      </c>
      <c r="E6436">
        <f t="shared" si="100"/>
        <v>1.8798291048300168E-15</v>
      </c>
    </row>
    <row r="6437" spans="1:5" x14ac:dyDescent="0.25">
      <c r="A6437">
        <v>7</v>
      </c>
      <c r="B6437">
        <v>12</v>
      </c>
      <c r="C6437">
        <v>18</v>
      </c>
      <c r="D6437">
        <v>11</v>
      </c>
      <c r="E6437">
        <f t="shared" si="100"/>
        <v>4.2967522396114622E-15</v>
      </c>
    </row>
    <row r="6438" spans="1:5" x14ac:dyDescent="0.25">
      <c r="A6438">
        <v>7</v>
      </c>
      <c r="B6438">
        <v>12</v>
      </c>
      <c r="C6438">
        <v>19</v>
      </c>
      <c r="D6438">
        <v>10</v>
      </c>
      <c r="E6438">
        <f t="shared" si="100"/>
        <v>7.7944593258916717E-15</v>
      </c>
    </row>
    <row r="6439" spans="1:5" x14ac:dyDescent="0.25">
      <c r="A6439">
        <v>7</v>
      </c>
      <c r="B6439">
        <v>12</v>
      </c>
      <c r="C6439">
        <v>20</v>
      </c>
      <c r="D6439">
        <v>9</v>
      </c>
      <c r="E6439">
        <f t="shared" si="100"/>
        <v>1.1204535280969289E-14</v>
      </c>
    </row>
    <row r="6440" spans="1:5" x14ac:dyDescent="0.25">
      <c r="A6440">
        <v>7</v>
      </c>
      <c r="B6440">
        <v>12</v>
      </c>
      <c r="C6440">
        <v>21</v>
      </c>
      <c r="D6440">
        <v>8</v>
      </c>
      <c r="E6440">
        <f t="shared" si="100"/>
        <v>1.2711027419586993E-14</v>
      </c>
    </row>
    <row r="6441" spans="1:5" x14ac:dyDescent="0.25">
      <c r="A6441">
        <v>7</v>
      </c>
      <c r="B6441">
        <v>12</v>
      </c>
      <c r="C6441">
        <v>22</v>
      </c>
      <c r="D6441">
        <v>7</v>
      </c>
      <c r="E6441">
        <f t="shared" si="100"/>
        <v>1.1298691039632893E-14</v>
      </c>
    </row>
    <row r="6442" spans="1:5" x14ac:dyDescent="0.25">
      <c r="A6442">
        <v>7</v>
      </c>
      <c r="B6442">
        <v>12</v>
      </c>
      <c r="C6442">
        <v>23</v>
      </c>
      <c r="D6442">
        <v>6</v>
      </c>
      <c r="E6442">
        <f t="shared" si="100"/>
        <v>7.7823935993810037E-15</v>
      </c>
    </row>
    <row r="6443" spans="1:5" x14ac:dyDescent="0.25">
      <c r="A6443">
        <v>7</v>
      </c>
      <c r="B6443">
        <v>12</v>
      </c>
      <c r="C6443">
        <v>24</v>
      </c>
      <c r="D6443">
        <v>5</v>
      </c>
      <c r="E6443">
        <f t="shared" si="100"/>
        <v>4.0857566396750265E-15</v>
      </c>
    </row>
    <row r="6444" spans="1:5" x14ac:dyDescent="0.25">
      <c r="A6444">
        <v>7</v>
      </c>
      <c r="B6444">
        <v>12</v>
      </c>
      <c r="C6444">
        <v>25</v>
      </c>
      <c r="D6444">
        <v>4</v>
      </c>
      <c r="E6444">
        <f t="shared" si="100"/>
        <v>1.5953906878731067E-15</v>
      </c>
    </row>
    <row r="6445" spans="1:5" x14ac:dyDescent="0.25">
      <c r="A6445">
        <v>7</v>
      </c>
      <c r="B6445">
        <v>12</v>
      </c>
      <c r="C6445">
        <v>26</v>
      </c>
      <c r="D6445">
        <v>3</v>
      </c>
      <c r="E6445">
        <f t="shared" si="100"/>
        <v>4.4626312947499454E-16</v>
      </c>
    </row>
    <row r="6446" spans="1:5" x14ac:dyDescent="0.25">
      <c r="A6446">
        <v>7</v>
      </c>
      <c r="B6446">
        <v>12</v>
      </c>
      <c r="C6446">
        <v>27</v>
      </c>
      <c r="D6446">
        <v>2</v>
      </c>
      <c r="E6446">
        <f t="shared" si="100"/>
        <v>8.407856062572361E-17</v>
      </c>
    </row>
    <row r="6447" spans="1:5" x14ac:dyDescent="0.25">
      <c r="A6447">
        <v>7</v>
      </c>
      <c r="B6447">
        <v>12</v>
      </c>
      <c r="C6447">
        <v>28</v>
      </c>
      <c r="D6447">
        <v>1</v>
      </c>
      <c r="E6447">
        <f t="shared" si="100"/>
        <v>9.5088848326711249E-18</v>
      </c>
    </row>
    <row r="6448" spans="1:5" x14ac:dyDescent="0.25">
      <c r="A6448">
        <v>7</v>
      </c>
      <c r="B6448">
        <v>12</v>
      </c>
      <c r="C6448">
        <v>29</v>
      </c>
      <c r="D6448">
        <v>0</v>
      </c>
      <c r="E6448">
        <f t="shared" si="100"/>
        <v>4.8528101904666442E-19</v>
      </c>
    </row>
    <row r="6449" spans="1:5" x14ac:dyDescent="0.25">
      <c r="A6449">
        <v>7</v>
      </c>
      <c r="B6449">
        <v>13</v>
      </c>
      <c r="C6449">
        <v>3</v>
      </c>
      <c r="D6449">
        <v>25</v>
      </c>
      <c r="E6449">
        <f t="shared" si="100"/>
        <v>1.8011756484215864E-31</v>
      </c>
    </row>
    <row r="6450" spans="1:5" x14ac:dyDescent="0.25">
      <c r="A6450">
        <v>7</v>
      </c>
      <c r="B6450">
        <v>13</v>
      </c>
      <c r="C6450">
        <v>4</v>
      </c>
      <c r="D6450">
        <v>24</v>
      </c>
      <c r="E6450">
        <f t="shared" si="100"/>
        <v>6.9795556376336472E-29</v>
      </c>
    </row>
    <row r="6451" spans="1:5" x14ac:dyDescent="0.25">
      <c r="A6451">
        <v>7</v>
      </c>
      <c r="B6451">
        <v>13</v>
      </c>
      <c r="C6451">
        <v>5</v>
      </c>
      <c r="D6451">
        <v>23</v>
      </c>
      <c r="E6451">
        <f t="shared" si="100"/>
        <v>1.021806945349566E-26</v>
      </c>
    </row>
    <row r="6452" spans="1:5" x14ac:dyDescent="0.25">
      <c r="A6452">
        <v>7</v>
      </c>
      <c r="B6452">
        <v>13</v>
      </c>
      <c r="C6452">
        <v>6</v>
      </c>
      <c r="D6452">
        <v>22</v>
      </c>
      <c r="E6452">
        <f t="shared" si="100"/>
        <v>7.8338532476800057E-25</v>
      </c>
    </row>
    <row r="6453" spans="1:5" x14ac:dyDescent="0.25">
      <c r="A6453">
        <v>7</v>
      </c>
      <c r="B6453">
        <v>13</v>
      </c>
      <c r="C6453">
        <v>7</v>
      </c>
      <c r="D6453">
        <v>21</v>
      </c>
      <c r="E6453">
        <f t="shared" si="100"/>
        <v>3.6315505412459458E-23</v>
      </c>
    </row>
    <row r="6454" spans="1:5" x14ac:dyDescent="0.25">
      <c r="A6454">
        <v>7</v>
      </c>
      <c r="B6454">
        <v>13</v>
      </c>
      <c r="C6454">
        <v>8</v>
      </c>
      <c r="D6454">
        <v>20</v>
      </c>
      <c r="E6454">
        <f t="shared" si="100"/>
        <v>1.1058071398093904E-21</v>
      </c>
    </row>
    <row r="6455" spans="1:5" x14ac:dyDescent="0.25">
      <c r="A6455">
        <v>7</v>
      </c>
      <c r="B6455">
        <v>13</v>
      </c>
      <c r="C6455">
        <v>9</v>
      </c>
      <c r="D6455">
        <v>19</v>
      </c>
      <c r="E6455">
        <f t="shared" si="100"/>
        <v>2.3344817395976017E-20</v>
      </c>
    </row>
    <row r="6456" spans="1:5" x14ac:dyDescent="0.25">
      <c r="A6456">
        <v>7</v>
      </c>
      <c r="B6456">
        <v>13</v>
      </c>
      <c r="C6456">
        <v>10</v>
      </c>
      <c r="D6456">
        <v>18</v>
      </c>
      <c r="E6456">
        <f t="shared" si="100"/>
        <v>3.5484122441883563E-19</v>
      </c>
    </row>
    <row r="6457" spans="1:5" x14ac:dyDescent="0.25">
      <c r="A6457">
        <v>7</v>
      </c>
      <c r="B6457">
        <v>13</v>
      </c>
      <c r="C6457">
        <v>11</v>
      </c>
      <c r="D6457">
        <v>17</v>
      </c>
      <c r="E6457">
        <f t="shared" si="100"/>
        <v>3.9919637747119002E-18</v>
      </c>
    </row>
    <row r="6458" spans="1:5" x14ac:dyDescent="0.25">
      <c r="A6458">
        <v>7</v>
      </c>
      <c r="B6458">
        <v>13</v>
      </c>
      <c r="C6458">
        <v>12</v>
      </c>
      <c r="D6458">
        <v>16</v>
      </c>
      <c r="E6458">
        <f t="shared" si="100"/>
        <v>3.3931692085051134E-17</v>
      </c>
    </row>
    <row r="6459" spans="1:5" x14ac:dyDescent="0.25">
      <c r="A6459">
        <v>7</v>
      </c>
      <c r="B6459">
        <v>13</v>
      </c>
      <c r="C6459">
        <v>13</v>
      </c>
      <c r="D6459">
        <v>15</v>
      </c>
      <c r="E6459">
        <f t="shared" si="100"/>
        <v>2.2133903760094899E-16</v>
      </c>
    </row>
    <row r="6460" spans="1:5" x14ac:dyDescent="0.25">
      <c r="A6460">
        <v>7</v>
      </c>
      <c r="B6460">
        <v>13</v>
      </c>
      <c r="C6460">
        <v>14</v>
      </c>
      <c r="D6460">
        <v>14</v>
      </c>
      <c r="E6460">
        <f t="shared" si="100"/>
        <v>1.1210678527840277E-15</v>
      </c>
    </row>
    <row r="6461" spans="1:5" x14ac:dyDescent="0.25">
      <c r="A6461">
        <v>7</v>
      </c>
      <c r="B6461">
        <v>13</v>
      </c>
      <c r="C6461">
        <v>15</v>
      </c>
      <c r="D6461">
        <v>13</v>
      </c>
      <c r="E6461">
        <f t="shared" si="100"/>
        <v>4.4469024827099747E-15</v>
      </c>
    </row>
    <row r="6462" spans="1:5" x14ac:dyDescent="0.25">
      <c r="A6462">
        <v>7</v>
      </c>
      <c r="B6462">
        <v>13</v>
      </c>
      <c r="C6462">
        <v>16</v>
      </c>
      <c r="D6462">
        <v>12</v>
      </c>
      <c r="E6462">
        <f t="shared" si="100"/>
        <v>1.3896570258468674E-14</v>
      </c>
    </row>
    <row r="6463" spans="1:5" x14ac:dyDescent="0.25">
      <c r="A6463">
        <v>7</v>
      </c>
      <c r="B6463">
        <v>13</v>
      </c>
      <c r="C6463">
        <v>17</v>
      </c>
      <c r="D6463">
        <v>11</v>
      </c>
      <c r="E6463">
        <f t="shared" si="100"/>
        <v>3.4332702991510862E-14</v>
      </c>
    </row>
    <row r="6464" spans="1:5" x14ac:dyDescent="0.25">
      <c r="A6464">
        <v>7</v>
      </c>
      <c r="B6464">
        <v>13</v>
      </c>
      <c r="C6464">
        <v>18</v>
      </c>
      <c r="D6464">
        <v>10</v>
      </c>
      <c r="E6464">
        <f t="shared" si="100"/>
        <v>6.7139508072287823E-14</v>
      </c>
    </row>
    <row r="6465" spans="1:5" x14ac:dyDescent="0.25">
      <c r="A6465">
        <v>7</v>
      </c>
      <c r="B6465">
        <v>13</v>
      </c>
      <c r="C6465">
        <v>19</v>
      </c>
      <c r="D6465">
        <v>9</v>
      </c>
      <c r="E6465">
        <f t="shared" si="100"/>
        <v>1.0380121313807663E-13</v>
      </c>
    </row>
    <row r="6466" spans="1:5" x14ac:dyDescent="0.25">
      <c r="A6466">
        <v>7</v>
      </c>
      <c r="B6466">
        <v>13</v>
      </c>
      <c r="C6466">
        <v>20</v>
      </c>
      <c r="D6466">
        <v>8</v>
      </c>
      <c r="E6466">
        <f t="shared" si="100"/>
        <v>1.2639324187989343E-13</v>
      </c>
    </row>
    <row r="6467" spans="1:5" x14ac:dyDescent="0.25">
      <c r="A6467">
        <v>7</v>
      </c>
      <c r="B6467">
        <v>13</v>
      </c>
      <c r="C6467">
        <v>21</v>
      </c>
      <c r="D6467">
        <v>7</v>
      </c>
      <c r="E6467">
        <f t="shared" si="100"/>
        <v>1.2037451607608884E-13</v>
      </c>
    </row>
    <row r="6468" spans="1:5" x14ac:dyDescent="0.25">
      <c r="A6468">
        <v>7</v>
      </c>
      <c r="B6468">
        <v>13</v>
      </c>
      <c r="C6468">
        <v>22</v>
      </c>
      <c r="D6468">
        <v>6</v>
      </c>
      <c r="E6468">
        <f t="shared" si="100"/>
        <v>8.8697011845539178E-14</v>
      </c>
    </row>
    <row r="6469" spans="1:5" x14ac:dyDescent="0.25">
      <c r="A6469">
        <v>7</v>
      </c>
      <c r="B6469">
        <v>13</v>
      </c>
      <c r="C6469">
        <v>23</v>
      </c>
      <c r="D6469">
        <v>5</v>
      </c>
      <c r="E6469">
        <f t="shared" si="100"/>
        <v>4.9747454469889347E-14</v>
      </c>
    </row>
    <row r="6470" spans="1:5" x14ac:dyDescent="0.25">
      <c r="A6470">
        <v>7</v>
      </c>
      <c r="B6470">
        <v>13</v>
      </c>
      <c r="C6470">
        <v>24</v>
      </c>
      <c r="D6470">
        <v>4</v>
      </c>
      <c r="E6470">
        <f t="shared" si="100"/>
        <v>2.0728106029120571E-14</v>
      </c>
    </row>
    <row r="6471" spans="1:5" x14ac:dyDescent="0.25">
      <c r="A6471">
        <v>7</v>
      </c>
      <c r="B6471">
        <v>13</v>
      </c>
      <c r="C6471">
        <v>25</v>
      </c>
      <c r="D6471">
        <v>3</v>
      </c>
      <c r="E6471">
        <f t="shared" si="100"/>
        <v>6.1807443432286794E-15</v>
      </c>
    </row>
    <row r="6472" spans="1:5" x14ac:dyDescent="0.25">
      <c r="A6472">
        <v>7</v>
      </c>
      <c r="B6472">
        <v>13</v>
      </c>
      <c r="C6472">
        <v>26</v>
      </c>
      <c r="D6472">
        <v>2</v>
      </c>
      <c r="E6472">
        <f t="shared" si="100"/>
        <v>1.2402831457983966E-15</v>
      </c>
    </row>
    <row r="6473" spans="1:5" x14ac:dyDescent="0.25">
      <c r="A6473">
        <v>7</v>
      </c>
      <c r="B6473">
        <v>13</v>
      </c>
      <c r="C6473">
        <v>27</v>
      </c>
      <c r="D6473">
        <v>1</v>
      </c>
      <c r="E6473">
        <f t="shared" si="100"/>
        <v>1.4929334162388107E-16</v>
      </c>
    </row>
    <row r="6474" spans="1:5" x14ac:dyDescent="0.25">
      <c r="A6474">
        <v>7</v>
      </c>
      <c r="B6474">
        <v>13</v>
      </c>
      <c r="C6474">
        <v>28</v>
      </c>
      <c r="D6474">
        <v>0</v>
      </c>
      <c r="E6474">
        <f t="shared" si="100"/>
        <v>8.1044956881535443E-18</v>
      </c>
    </row>
    <row r="6475" spans="1:5" x14ac:dyDescent="0.25">
      <c r="A6475">
        <v>7</v>
      </c>
      <c r="B6475">
        <v>14</v>
      </c>
      <c r="C6475">
        <v>2</v>
      </c>
      <c r="D6475">
        <v>25</v>
      </c>
      <c r="E6475">
        <f t="shared" si="100"/>
        <v>1.6908995883141422E-31</v>
      </c>
    </row>
    <row r="6476" spans="1:5" x14ac:dyDescent="0.25">
      <c r="A6476">
        <v>7</v>
      </c>
      <c r="B6476">
        <v>14</v>
      </c>
      <c r="C6476">
        <v>3</v>
      </c>
      <c r="D6476">
        <v>24</v>
      </c>
      <c r="E6476">
        <f t="shared" si="100"/>
        <v>8.8772228386492466E-29</v>
      </c>
    </row>
    <row r="6477" spans="1:5" x14ac:dyDescent="0.25">
      <c r="A6477">
        <v>7</v>
      </c>
      <c r="B6477">
        <v>14</v>
      </c>
      <c r="C6477">
        <v>4</v>
      </c>
      <c r="D6477">
        <v>23</v>
      </c>
      <c r="E6477">
        <f t="shared" si="100"/>
        <v>1.6511634479887597E-26</v>
      </c>
    </row>
    <row r="6478" spans="1:5" x14ac:dyDescent="0.25">
      <c r="A6478">
        <v>7</v>
      </c>
      <c r="B6478">
        <v>14</v>
      </c>
      <c r="C6478">
        <v>5</v>
      </c>
      <c r="D6478">
        <v>22</v>
      </c>
      <c r="E6478">
        <f t="shared" ref="E6478:E6541" si="101">COMBIN(A$4,A6478)*COMBIN(B$4,B6478)*COMBIN(C$4,C6478)*COMBIN(D$4,D6478)/COMBIN($G$4,$F$4)</f>
        <v>1.544388211685487E-24</v>
      </c>
    </row>
    <row r="6479" spans="1:5" x14ac:dyDescent="0.25">
      <c r="A6479">
        <v>7</v>
      </c>
      <c r="B6479">
        <v>14</v>
      </c>
      <c r="C6479">
        <v>6</v>
      </c>
      <c r="D6479">
        <v>21</v>
      </c>
      <c r="E6479">
        <f t="shared" si="101"/>
        <v>8.4941351642701774E-23</v>
      </c>
    </row>
    <row r="6480" spans="1:5" x14ac:dyDescent="0.25">
      <c r="A6480">
        <v>7</v>
      </c>
      <c r="B6480">
        <v>14</v>
      </c>
      <c r="C6480">
        <v>7</v>
      </c>
      <c r="D6480">
        <v>20</v>
      </c>
      <c r="E6480">
        <f t="shared" si="101"/>
        <v>3.0069238481516421E-21</v>
      </c>
    </row>
    <row r="6481" spans="1:5" x14ac:dyDescent="0.25">
      <c r="A6481">
        <v>7</v>
      </c>
      <c r="B6481">
        <v>14</v>
      </c>
      <c r="C6481">
        <v>8</v>
      </c>
      <c r="D6481">
        <v>19</v>
      </c>
      <c r="E6481">
        <f t="shared" si="101"/>
        <v>7.2667326330331373E-20</v>
      </c>
    </row>
    <row r="6482" spans="1:5" x14ac:dyDescent="0.25">
      <c r="A6482">
        <v>7</v>
      </c>
      <c r="B6482">
        <v>14</v>
      </c>
      <c r="C6482">
        <v>9</v>
      </c>
      <c r="D6482">
        <v>18</v>
      </c>
      <c r="E6482">
        <f t="shared" si="101"/>
        <v>1.2491859431071252E-18</v>
      </c>
    </row>
    <row r="6483" spans="1:5" x14ac:dyDescent="0.25">
      <c r="A6483">
        <v>7</v>
      </c>
      <c r="B6483">
        <v>14</v>
      </c>
      <c r="C6483">
        <v>10</v>
      </c>
      <c r="D6483">
        <v>17</v>
      </c>
      <c r="E6483">
        <f t="shared" si="101"/>
        <v>1.5739742883149777E-17</v>
      </c>
    </row>
    <row r="6484" spans="1:5" x14ac:dyDescent="0.25">
      <c r="A6484">
        <v>7</v>
      </c>
      <c r="B6484">
        <v>14</v>
      </c>
      <c r="C6484">
        <v>11</v>
      </c>
      <c r="D6484">
        <v>16</v>
      </c>
      <c r="E6484">
        <f t="shared" si="101"/>
        <v>1.486531272297479E-16</v>
      </c>
    </row>
    <row r="6485" spans="1:5" x14ac:dyDescent="0.25">
      <c r="A6485">
        <v>7</v>
      </c>
      <c r="B6485">
        <v>14</v>
      </c>
      <c r="C6485">
        <v>12</v>
      </c>
      <c r="D6485">
        <v>15</v>
      </c>
      <c r="E6485">
        <f t="shared" si="101"/>
        <v>1.070302516054184E-15</v>
      </c>
    </row>
    <row r="6486" spans="1:5" x14ac:dyDescent="0.25">
      <c r="A6486">
        <v>7</v>
      </c>
      <c r="B6486">
        <v>14</v>
      </c>
      <c r="C6486">
        <v>13</v>
      </c>
      <c r="D6486">
        <v>14</v>
      </c>
      <c r="E6486">
        <f t="shared" si="101"/>
        <v>5.950283218622915E-15</v>
      </c>
    </row>
    <row r="6487" spans="1:5" x14ac:dyDescent="0.25">
      <c r="A6487">
        <v>7</v>
      </c>
      <c r="B6487">
        <v>14</v>
      </c>
      <c r="C6487">
        <v>14</v>
      </c>
      <c r="D6487">
        <v>13</v>
      </c>
      <c r="E6487">
        <f t="shared" si="101"/>
        <v>2.5784560614032637E-14</v>
      </c>
    </row>
    <row r="6488" spans="1:5" x14ac:dyDescent="0.25">
      <c r="A6488">
        <v>7</v>
      </c>
      <c r="B6488">
        <v>14</v>
      </c>
      <c r="C6488">
        <v>15</v>
      </c>
      <c r="D6488">
        <v>12</v>
      </c>
      <c r="E6488">
        <f t="shared" si="101"/>
        <v>8.7667506087710934E-14</v>
      </c>
    </row>
    <row r="6489" spans="1:5" x14ac:dyDescent="0.25">
      <c r="A6489">
        <v>7</v>
      </c>
      <c r="B6489">
        <v>14</v>
      </c>
      <c r="C6489">
        <v>16</v>
      </c>
      <c r="D6489">
        <v>11</v>
      </c>
      <c r="E6489">
        <f t="shared" si="101"/>
        <v>2.3482367702065431E-13</v>
      </c>
    </row>
    <row r="6490" spans="1:5" x14ac:dyDescent="0.25">
      <c r="A6490">
        <v>7</v>
      </c>
      <c r="B6490">
        <v>14</v>
      </c>
      <c r="C6490">
        <v>17</v>
      </c>
      <c r="D6490">
        <v>10</v>
      </c>
      <c r="E6490">
        <f t="shared" si="101"/>
        <v>4.9635279182012836E-13</v>
      </c>
    </row>
    <row r="6491" spans="1:5" x14ac:dyDescent="0.25">
      <c r="A6491">
        <v>7</v>
      </c>
      <c r="B6491">
        <v>14</v>
      </c>
      <c r="C6491">
        <v>18</v>
      </c>
      <c r="D6491">
        <v>9</v>
      </c>
      <c r="E6491">
        <f t="shared" si="101"/>
        <v>8.2725465303354645E-13</v>
      </c>
    </row>
    <row r="6492" spans="1:5" x14ac:dyDescent="0.25">
      <c r="A6492">
        <v>7</v>
      </c>
      <c r="B6492">
        <v>14</v>
      </c>
      <c r="C6492">
        <v>19</v>
      </c>
      <c r="D6492">
        <v>8</v>
      </c>
      <c r="E6492">
        <f t="shared" si="101"/>
        <v>1.0833706446847997E-12</v>
      </c>
    </row>
    <row r="6493" spans="1:5" x14ac:dyDescent="0.25">
      <c r="A6493">
        <v>7</v>
      </c>
      <c r="B6493">
        <v>14</v>
      </c>
      <c r="C6493">
        <v>20</v>
      </c>
      <c r="D6493">
        <v>7</v>
      </c>
      <c r="E6493">
        <f t="shared" si="101"/>
        <v>1.1074455479000188E-12</v>
      </c>
    </row>
    <row r="6494" spans="1:5" x14ac:dyDescent="0.25">
      <c r="A6494">
        <v>7</v>
      </c>
      <c r="B6494">
        <v>14</v>
      </c>
      <c r="C6494">
        <v>21</v>
      </c>
      <c r="D6494">
        <v>6</v>
      </c>
      <c r="E6494">
        <f t="shared" si="101"/>
        <v>8.7429911676317126E-13</v>
      </c>
    </row>
    <row r="6495" spans="1:5" x14ac:dyDescent="0.25">
      <c r="A6495">
        <v>7</v>
      </c>
      <c r="B6495">
        <v>14</v>
      </c>
      <c r="C6495">
        <v>22</v>
      </c>
      <c r="D6495">
        <v>5</v>
      </c>
      <c r="E6495">
        <f t="shared" si="101"/>
        <v>5.2457947005790308E-13</v>
      </c>
    </row>
    <row r="6496" spans="1:5" x14ac:dyDescent="0.25">
      <c r="A6496">
        <v>7</v>
      </c>
      <c r="B6496">
        <v>14</v>
      </c>
      <c r="C6496">
        <v>23</v>
      </c>
      <c r="D6496">
        <v>4</v>
      </c>
      <c r="E6496">
        <f t="shared" si="101"/>
        <v>2.3350845975662354E-13</v>
      </c>
    </row>
    <row r="6497" spans="1:5" x14ac:dyDescent="0.25">
      <c r="A6497">
        <v>7</v>
      </c>
      <c r="B6497">
        <v>14</v>
      </c>
      <c r="C6497">
        <v>24</v>
      </c>
      <c r="D6497">
        <v>3</v>
      </c>
      <c r="E6497">
        <f t="shared" si="101"/>
        <v>7.4298146286198385E-14</v>
      </c>
    </row>
    <row r="6498" spans="1:5" x14ac:dyDescent="0.25">
      <c r="A6498">
        <v>7</v>
      </c>
      <c r="B6498">
        <v>14</v>
      </c>
      <c r="C6498">
        <v>25</v>
      </c>
      <c r="D6498">
        <v>2</v>
      </c>
      <c r="E6498">
        <f t="shared" si="101"/>
        <v>1.5893342596873747E-14</v>
      </c>
    </row>
    <row r="6499" spans="1:5" x14ac:dyDescent="0.25">
      <c r="A6499">
        <v>7</v>
      </c>
      <c r="B6499">
        <v>14</v>
      </c>
      <c r="C6499">
        <v>26</v>
      </c>
      <c r="D6499">
        <v>1</v>
      </c>
      <c r="E6499">
        <f t="shared" si="101"/>
        <v>2.0376080252402227E-15</v>
      </c>
    </row>
    <row r="6500" spans="1:5" x14ac:dyDescent="0.25">
      <c r="A6500">
        <v>7</v>
      </c>
      <c r="B6500">
        <v>14</v>
      </c>
      <c r="C6500">
        <v>27</v>
      </c>
      <c r="D6500">
        <v>0</v>
      </c>
      <c r="E6500">
        <f t="shared" si="101"/>
        <v>1.1772846368054619E-16</v>
      </c>
    </row>
    <row r="6501" spans="1:5" x14ac:dyDescent="0.25">
      <c r="A6501">
        <v>7</v>
      </c>
      <c r="B6501">
        <v>15</v>
      </c>
      <c r="C6501">
        <v>1</v>
      </c>
      <c r="D6501">
        <v>25</v>
      </c>
      <c r="E6501">
        <f t="shared" si="101"/>
        <v>9.6874455580497723E-32</v>
      </c>
    </row>
    <row r="6502" spans="1:5" x14ac:dyDescent="0.25">
      <c r="A6502">
        <v>7</v>
      </c>
      <c r="B6502">
        <v>15</v>
      </c>
      <c r="C6502">
        <v>2</v>
      </c>
      <c r="D6502">
        <v>24</v>
      </c>
      <c r="E6502">
        <f t="shared" si="101"/>
        <v>7.749956446439817E-29</v>
      </c>
    </row>
    <row r="6503" spans="1:5" x14ac:dyDescent="0.25">
      <c r="A6503">
        <v>7</v>
      </c>
      <c r="B6503">
        <v>15</v>
      </c>
      <c r="C6503">
        <v>3</v>
      </c>
      <c r="D6503">
        <v>23</v>
      </c>
      <c r="E6503">
        <f t="shared" si="101"/>
        <v>1.9529890245028338E-26</v>
      </c>
    </row>
    <row r="6504" spans="1:5" x14ac:dyDescent="0.25">
      <c r="A6504">
        <v>7</v>
      </c>
      <c r="B6504">
        <v>15</v>
      </c>
      <c r="C6504">
        <v>4</v>
      </c>
      <c r="D6504">
        <v>22</v>
      </c>
      <c r="E6504">
        <f t="shared" si="101"/>
        <v>2.3208019574508681E-24</v>
      </c>
    </row>
    <row r="6505" spans="1:5" x14ac:dyDescent="0.25">
      <c r="A6505">
        <v>7</v>
      </c>
      <c r="B6505">
        <v>15</v>
      </c>
      <c r="C6505">
        <v>5</v>
      </c>
      <c r="D6505">
        <v>21</v>
      </c>
      <c r="E6505">
        <f t="shared" si="101"/>
        <v>1.5572581134495328E-22</v>
      </c>
    </row>
    <row r="6506" spans="1:5" x14ac:dyDescent="0.25">
      <c r="A6506">
        <v>7</v>
      </c>
      <c r="B6506">
        <v>15</v>
      </c>
      <c r="C6506">
        <v>6</v>
      </c>
      <c r="D6506">
        <v>20</v>
      </c>
      <c r="E6506">
        <f t="shared" si="101"/>
        <v>6.5404840764880349E-21</v>
      </c>
    </row>
    <row r="6507" spans="1:5" x14ac:dyDescent="0.25">
      <c r="A6507">
        <v>7</v>
      </c>
      <c r="B6507">
        <v>15</v>
      </c>
      <c r="C6507">
        <v>7</v>
      </c>
      <c r="D6507">
        <v>19</v>
      </c>
      <c r="E6507">
        <f t="shared" si="101"/>
        <v>1.8375645738704475E-19</v>
      </c>
    </row>
    <row r="6508" spans="1:5" x14ac:dyDescent="0.25">
      <c r="A6508">
        <v>7</v>
      </c>
      <c r="B6508">
        <v>15</v>
      </c>
      <c r="C6508">
        <v>8</v>
      </c>
      <c r="D6508">
        <v>18</v>
      </c>
      <c r="E6508">
        <f t="shared" si="101"/>
        <v>3.6160645721522043E-18</v>
      </c>
    </row>
    <row r="6509" spans="1:5" x14ac:dyDescent="0.25">
      <c r="A6509">
        <v>7</v>
      </c>
      <c r="B6509">
        <v>15</v>
      </c>
      <c r="C6509">
        <v>9</v>
      </c>
      <c r="D6509">
        <v>17</v>
      </c>
      <c r="E6509">
        <f t="shared" si="101"/>
        <v>5.15289201531689E-17</v>
      </c>
    </row>
    <row r="6510" spans="1:5" x14ac:dyDescent="0.25">
      <c r="A6510">
        <v>7</v>
      </c>
      <c r="B6510">
        <v>15</v>
      </c>
      <c r="C6510">
        <v>10</v>
      </c>
      <c r="D6510">
        <v>16</v>
      </c>
      <c r="E6510">
        <f t="shared" si="101"/>
        <v>5.4506146650907549E-16</v>
      </c>
    </row>
    <row r="6511" spans="1:5" x14ac:dyDescent="0.25">
      <c r="A6511">
        <v>7</v>
      </c>
      <c r="B6511">
        <v>15</v>
      </c>
      <c r="C6511">
        <v>11</v>
      </c>
      <c r="D6511">
        <v>15</v>
      </c>
      <c r="E6511">
        <f t="shared" si="101"/>
        <v>4.3604917320726039E-15</v>
      </c>
    </row>
    <row r="6512" spans="1:5" x14ac:dyDescent="0.25">
      <c r="A6512">
        <v>7</v>
      </c>
      <c r="B6512">
        <v>15</v>
      </c>
      <c r="C6512">
        <v>12</v>
      </c>
      <c r="D6512">
        <v>14</v>
      </c>
      <c r="E6512">
        <f t="shared" si="101"/>
        <v>2.6757562901354605E-14</v>
      </c>
    </row>
    <row r="6513" spans="1:5" x14ac:dyDescent="0.25">
      <c r="A6513">
        <v>7</v>
      </c>
      <c r="B6513">
        <v>15</v>
      </c>
      <c r="C6513">
        <v>13</v>
      </c>
      <c r="D6513">
        <v>13</v>
      </c>
      <c r="E6513">
        <f t="shared" si="101"/>
        <v>1.272699466205457E-13</v>
      </c>
    </row>
    <row r="6514" spans="1:5" x14ac:dyDescent="0.25">
      <c r="A6514">
        <v>7</v>
      </c>
      <c r="B6514">
        <v>15</v>
      </c>
      <c r="C6514">
        <v>14</v>
      </c>
      <c r="D6514">
        <v>12</v>
      </c>
      <c r="E6514">
        <f t="shared" si="101"/>
        <v>4.7271694459059835E-13</v>
      </c>
    </row>
    <row r="6515" spans="1:5" x14ac:dyDescent="0.25">
      <c r="A6515">
        <v>7</v>
      </c>
      <c r="B6515">
        <v>15</v>
      </c>
      <c r="C6515">
        <v>15</v>
      </c>
      <c r="D6515">
        <v>11</v>
      </c>
      <c r="E6515">
        <f t="shared" si="101"/>
        <v>1.3776322385211716E-12</v>
      </c>
    </row>
    <row r="6516" spans="1:5" x14ac:dyDescent="0.25">
      <c r="A6516">
        <v>7</v>
      </c>
      <c r="B6516">
        <v>15</v>
      </c>
      <c r="C6516">
        <v>16</v>
      </c>
      <c r="D6516">
        <v>10</v>
      </c>
      <c r="E6516">
        <f t="shared" si="101"/>
        <v>3.1570738799443512E-12</v>
      </c>
    </row>
    <row r="6517" spans="1:5" x14ac:dyDescent="0.25">
      <c r="A6517">
        <v>7</v>
      </c>
      <c r="B6517">
        <v>15</v>
      </c>
      <c r="C6517">
        <v>17</v>
      </c>
      <c r="D6517">
        <v>9</v>
      </c>
      <c r="E6517">
        <f t="shared" si="101"/>
        <v>5.6873757396056378E-12</v>
      </c>
    </row>
    <row r="6518" spans="1:5" x14ac:dyDescent="0.25">
      <c r="A6518">
        <v>7</v>
      </c>
      <c r="B6518">
        <v>15</v>
      </c>
      <c r="C6518">
        <v>18</v>
      </c>
      <c r="D6518">
        <v>8</v>
      </c>
      <c r="E6518">
        <f t="shared" si="101"/>
        <v>8.0292363382667748E-12</v>
      </c>
    </row>
    <row r="6519" spans="1:5" x14ac:dyDescent="0.25">
      <c r="A6519">
        <v>7</v>
      </c>
      <c r="B6519">
        <v>15</v>
      </c>
      <c r="C6519">
        <v>19</v>
      </c>
      <c r="D6519">
        <v>7</v>
      </c>
      <c r="E6519">
        <f t="shared" si="101"/>
        <v>8.8274645122465174E-12</v>
      </c>
    </row>
    <row r="6520" spans="1:5" x14ac:dyDescent="0.25">
      <c r="A6520">
        <v>7</v>
      </c>
      <c r="B6520">
        <v>15</v>
      </c>
      <c r="C6520">
        <v>20</v>
      </c>
      <c r="D6520">
        <v>6</v>
      </c>
      <c r="E6520">
        <f t="shared" si="101"/>
        <v>7.4801146656404728E-12</v>
      </c>
    </row>
    <row r="6521" spans="1:5" x14ac:dyDescent="0.25">
      <c r="A6521">
        <v>7</v>
      </c>
      <c r="B6521">
        <v>15</v>
      </c>
      <c r="C6521">
        <v>21</v>
      </c>
      <c r="D6521">
        <v>5</v>
      </c>
      <c r="E6521">
        <f t="shared" si="101"/>
        <v>4.8086451421974417E-12</v>
      </c>
    </row>
    <row r="6522" spans="1:5" x14ac:dyDescent="0.25">
      <c r="A6522">
        <v>7</v>
      </c>
      <c r="B6522">
        <v>15</v>
      </c>
      <c r="C6522">
        <v>22</v>
      </c>
      <c r="D6522">
        <v>4</v>
      </c>
      <c r="E6522">
        <f t="shared" si="101"/>
        <v>2.289831020094022E-12</v>
      </c>
    </row>
    <row r="6523" spans="1:5" x14ac:dyDescent="0.25">
      <c r="A6523">
        <v>7</v>
      </c>
      <c r="B6523">
        <v>15</v>
      </c>
      <c r="C6523">
        <v>23</v>
      </c>
      <c r="D6523">
        <v>3</v>
      </c>
      <c r="E6523">
        <f t="shared" si="101"/>
        <v>7.7836153252207827E-13</v>
      </c>
    </row>
    <row r="6524" spans="1:5" x14ac:dyDescent="0.25">
      <c r="A6524">
        <v>7</v>
      </c>
      <c r="B6524">
        <v>15</v>
      </c>
      <c r="C6524">
        <v>24</v>
      </c>
      <c r="D6524">
        <v>2</v>
      </c>
      <c r="E6524">
        <f t="shared" si="101"/>
        <v>1.7766948024960484E-13</v>
      </c>
    </row>
    <row r="6525" spans="1:5" x14ac:dyDescent="0.25">
      <c r="A6525">
        <v>7</v>
      </c>
      <c r="B6525">
        <v>15</v>
      </c>
      <c r="C6525">
        <v>25</v>
      </c>
      <c r="D6525">
        <v>1</v>
      </c>
      <c r="E6525">
        <f t="shared" si="101"/>
        <v>2.4281495634112672E-14</v>
      </c>
    </row>
    <row r="6526" spans="1:5" x14ac:dyDescent="0.25">
      <c r="A6526">
        <v>7</v>
      </c>
      <c r="B6526">
        <v>15</v>
      </c>
      <c r="C6526">
        <v>26</v>
      </c>
      <c r="D6526">
        <v>0</v>
      </c>
      <c r="E6526">
        <f t="shared" si="101"/>
        <v>1.4942458851761632E-15</v>
      </c>
    </row>
    <row r="6527" spans="1:5" x14ac:dyDescent="0.25">
      <c r="A6527">
        <v>7</v>
      </c>
      <c r="B6527">
        <v>16</v>
      </c>
      <c r="C6527">
        <v>0</v>
      </c>
      <c r="D6527">
        <v>25</v>
      </c>
      <c r="E6527">
        <f t="shared" si="101"/>
        <v>2.5522693104861896E-32</v>
      </c>
    </row>
    <row r="6528" spans="1:5" x14ac:dyDescent="0.25">
      <c r="A6528">
        <v>7</v>
      </c>
      <c r="B6528">
        <v>16</v>
      </c>
      <c r="C6528">
        <v>1</v>
      </c>
      <c r="D6528">
        <v>24</v>
      </c>
      <c r="E6528">
        <f t="shared" si="101"/>
        <v>4.1474376295400584E-29</v>
      </c>
    </row>
    <row r="6529" spans="1:5" x14ac:dyDescent="0.25">
      <c r="A6529">
        <v>7</v>
      </c>
      <c r="B6529">
        <v>16</v>
      </c>
      <c r="C6529">
        <v>2</v>
      </c>
      <c r="D6529">
        <v>23</v>
      </c>
      <c r="E6529">
        <f t="shared" si="101"/>
        <v>1.5926160497433824E-26</v>
      </c>
    </row>
    <row r="6530" spans="1:5" x14ac:dyDescent="0.25">
      <c r="A6530">
        <v>7</v>
      </c>
      <c r="B6530">
        <v>16</v>
      </c>
      <c r="C6530">
        <v>3</v>
      </c>
      <c r="D6530">
        <v>22</v>
      </c>
      <c r="E6530">
        <f t="shared" si="101"/>
        <v>2.5641118400868462E-24</v>
      </c>
    </row>
    <row r="6531" spans="1:5" x14ac:dyDescent="0.25">
      <c r="A6531">
        <v>7</v>
      </c>
      <c r="B6531">
        <v>16</v>
      </c>
      <c r="C6531">
        <v>4</v>
      </c>
      <c r="D6531">
        <v>21</v>
      </c>
      <c r="E6531">
        <f t="shared" si="101"/>
        <v>2.1859053436740362E-22</v>
      </c>
    </row>
    <row r="6532" spans="1:5" x14ac:dyDescent="0.25">
      <c r="A6532">
        <v>7</v>
      </c>
      <c r="B6532">
        <v>16</v>
      </c>
      <c r="C6532">
        <v>5</v>
      </c>
      <c r="D6532">
        <v>20</v>
      </c>
      <c r="E6532">
        <f t="shared" si="101"/>
        <v>1.1200578980985761E-20</v>
      </c>
    </row>
    <row r="6533" spans="1:5" x14ac:dyDescent="0.25">
      <c r="A6533">
        <v>7</v>
      </c>
      <c r="B6533">
        <v>16</v>
      </c>
      <c r="C6533">
        <v>6</v>
      </c>
      <c r="D6533">
        <v>19</v>
      </c>
      <c r="E6533">
        <f t="shared" si="101"/>
        <v>3.7335263269952524E-19</v>
      </c>
    </row>
    <row r="6534" spans="1:5" x14ac:dyDescent="0.25">
      <c r="A6534">
        <v>7</v>
      </c>
      <c r="B6534">
        <v>16</v>
      </c>
      <c r="C6534">
        <v>7</v>
      </c>
      <c r="D6534">
        <v>18</v>
      </c>
      <c r="E6534">
        <f t="shared" si="101"/>
        <v>8.5413939031871037E-18</v>
      </c>
    </row>
    <row r="6535" spans="1:5" x14ac:dyDescent="0.25">
      <c r="A6535">
        <v>7</v>
      </c>
      <c r="B6535">
        <v>16</v>
      </c>
      <c r="C6535">
        <v>8</v>
      </c>
      <c r="D6535">
        <v>17</v>
      </c>
      <c r="E6535">
        <f t="shared" si="101"/>
        <v>1.3933148804573961E-16</v>
      </c>
    </row>
    <row r="6536" spans="1:5" x14ac:dyDescent="0.25">
      <c r="A6536">
        <v>7</v>
      </c>
      <c r="B6536">
        <v>16</v>
      </c>
      <c r="C6536">
        <v>9</v>
      </c>
      <c r="D6536">
        <v>16</v>
      </c>
      <c r="E6536">
        <f t="shared" si="101"/>
        <v>1.6668174310656992E-15</v>
      </c>
    </row>
    <row r="6537" spans="1:5" x14ac:dyDescent="0.25">
      <c r="A6537">
        <v>7</v>
      </c>
      <c r="B6537">
        <v>16</v>
      </c>
      <c r="C6537">
        <v>10</v>
      </c>
      <c r="D6537">
        <v>15</v>
      </c>
      <c r="E6537">
        <f t="shared" si="101"/>
        <v>1.4934684182348668E-14</v>
      </c>
    </row>
    <row r="6538" spans="1:5" x14ac:dyDescent="0.25">
      <c r="A6538">
        <v>7</v>
      </c>
      <c r="B6538">
        <v>16</v>
      </c>
      <c r="C6538">
        <v>11</v>
      </c>
      <c r="D6538">
        <v>14</v>
      </c>
      <c r="E6538">
        <f t="shared" si="101"/>
        <v>1.018273921523773E-13</v>
      </c>
    </row>
    <row r="6539" spans="1:5" x14ac:dyDescent="0.25">
      <c r="A6539">
        <v>7</v>
      </c>
      <c r="B6539">
        <v>16</v>
      </c>
      <c r="C6539">
        <v>12</v>
      </c>
      <c r="D6539">
        <v>13</v>
      </c>
      <c r="E6539">
        <f t="shared" si="101"/>
        <v>5.3459380879998056E-13</v>
      </c>
    </row>
    <row r="6540" spans="1:5" x14ac:dyDescent="0.25">
      <c r="A6540">
        <v>7</v>
      </c>
      <c r="B6540">
        <v>16</v>
      </c>
      <c r="C6540">
        <v>13</v>
      </c>
      <c r="D6540">
        <v>12</v>
      </c>
      <c r="E6540">
        <f t="shared" si="101"/>
        <v>2.1794978358768448E-12</v>
      </c>
    </row>
    <row r="6541" spans="1:5" x14ac:dyDescent="0.25">
      <c r="A6541">
        <v>7</v>
      </c>
      <c r="B6541">
        <v>16</v>
      </c>
      <c r="C6541">
        <v>14</v>
      </c>
      <c r="D6541">
        <v>11</v>
      </c>
      <c r="E6541">
        <f t="shared" si="101"/>
        <v>6.9388094366691396E-12</v>
      </c>
    </row>
    <row r="6542" spans="1:5" x14ac:dyDescent="0.25">
      <c r="A6542">
        <v>7</v>
      </c>
      <c r="B6542">
        <v>16</v>
      </c>
      <c r="C6542">
        <v>15</v>
      </c>
      <c r="D6542">
        <v>10</v>
      </c>
      <c r="E6542">
        <f t="shared" ref="E6542:E6605" si="102">COMBIN(A$4,A6542)*COMBIN(B$4,B6542)*COMBIN(C$4,C6542)*COMBIN(D$4,D6542)/COMBIN($G$4,$F$4)</f>
        <v>1.7300764862095043E-11</v>
      </c>
    </row>
    <row r="6543" spans="1:5" x14ac:dyDescent="0.25">
      <c r="A6543">
        <v>7</v>
      </c>
      <c r="B6543">
        <v>16</v>
      </c>
      <c r="C6543">
        <v>16</v>
      </c>
      <c r="D6543">
        <v>9</v>
      </c>
      <c r="E6543">
        <f t="shared" si="102"/>
        <v>3.3790556371279389E-11</v>
      </c>
    </row>
    <row r="6544" spans="1:5" x14ac:dyDescent="0.25">
      <c r="A6544">
        <v>7</v>
      </c>
      <c r="B6544">
        <v>16</v>
      </c>
      <c r="C6544">
        <v>17</v>
      </c>
      <c r="D6544">
        <v>8</v>
      </c>
      <c r="E6544">
        <f t="shared" si="102"/>
        <v>5.1562752109806979E-11</v>
      </c>
    </row>
    <row r="6545" spans="1:5" x14ac:dyDescent="0.25">
      <c r="A6545">
        <v>7</v>
      </c>
      <c r="B6545">
        <v>16</v>
      </c>
      <c r="C6545">
        <v>18</v>
      </c>
      <c r="D6545">
        <v>7</v>
      </c>
      <c r="E6545">
        <f t="shared" si="102"/>
        <v>6.1111409907919349E-11</v>
      </c>
    </row>
    <row r="6546" spans="1:5" x14ac:dyDescent="0.25">
      <c r="A6546">
        <v>7</v>
      </c>
      <c r="B6546">
        <v>16</v>
      </c>
      <c r="C6546">
        <v>19</v>
      </c>
      <c r="D6546">
        <v>6</v>
      </c>
      <c r="E6546">
        <f t="shared" si="102"/>
        <v>5.5694332021344779E-11</v>
      </c>
    </row>
    <row r="6547" spans="1:5" x14ac:dyDescent="0.25">
      <c r="A6547">
        <v>7</v>
      </c>
      <c r="B6547">
        <v>16</v>
      </c>
      <c r="C6547">
        <v>20</v>
      </c>
      <c r="D6547">
        <v>5</v>
      </c>
      <c r="E6547">
        <f t="shared" si="102"/>
        <v>3.8429089094727936E-11</v>
      </c>
    </row>
    <row r="6548" spans="1:5" x14ac:dyDescent="0.25">
      <c r="A6548">
        <v>7</v>
      </c>
      <c r="B6548">
        <v>16</v>
      </c>
      <c r="C6548">
        <v>21</v>
      </c>
      <c r="D6548">
        <v>4</v>
      </c>
      <c r="E6548">
        <f t="shared" si="102"/>
        <v>1.960667810955505E-11</v>
      </c>
    </row>
    <row r="6549" spans="1:5" x14ac:dyDescent="0.25">
      <c r="A6549">
        <v>7</v>
      </c>
      <c r="B6549">
        <v>16</v>
      </c>
      <c r="C6549">
        <v>22</v>
      </c>
      <c r="D6549">
        <v>3</v>
      </c>
      <c r="E6549">
        <f t="shared" si="102"/>
        <v>7.1297011307472938E-12</v>
      </c>
    </row>
    <row r="6550" spans="1:5" x14ac:dyDescent="0.25">
      <c r="A6550">
        <v>7</v>
      </c>
      <c r="B6550">
        <v>16</v>
      </c>
      <c r="C6550">
        <v>23</v>
      </c>
      <c r="D6550">
        <v>2</v>
      </c>
      <c r="E6550">
        <f t="shared" si="102"/>
        <v>1.7386227710139902E-12</v>
      </c>
    </row>
    <row r="6551" spans="1:5" x14ac:dyDescent="0.25">
      <c r="A6551">
        <v>7</v>
      </c>
      <c r="B6551">
        <v>16</v>
      </c>
      <c r="C6551">
        <v>24</v>
      </c>
      <c r="D6551">
        <v>1</v>
      </c>
      <c r="E6551">
        <f t="shared" si="102"/>
        <v>2.5354915410620683E-13</v>
      </c>
    </row>
    <row r="6552" spans="1:5" x14ac:dyDescent="0.25">
      <c r="A6552">
        <v>7</v>
      </c>
      <c r="B6552">
        <v>16</v>
      </c>
      <c r="C6552">
        <v>25</v>
      </c>
      <c r="D6552">
        <v>0</v>
      </c>
      <c r="E6552">
        <f t="shared" si="102"/>
        <v>1.6632824509367178E-14</v>
      </c>
    </row>
    <row r="6553" spans="1:5" x14ac:dyDescent="0.25">
      <c r="A6553">
        <v>7</v>
      </c>
      <c r="B6553">
        <v>17</v>
      </c>
      <c r="C6553">
        <v>0</v>
      </c>
      <c r="D6553">
        <v>24</v>
      </c>
      <c r="E6553">
        <f t="shared" si="102"/>
        <v>1.0246610614157795E-29</v>
      </c>
    </row>
    <row r="6554" spans="1:5" x14ac:dyDescent="0.25">
      <c r="A6554">
        <v>7</v>
      </c>
      <c r="B6554">
        <v>17</v>
      </c>
      <c r="C6554">
        <v>1</v>
      </c>
      <c r="D6554">
        <v>23</v>
      </c>
      <c r="E6554">
        <f t="shared" si="102"/>
        <v>7.9923562790430824E-27</v>
      </c>
    </row>
    <row r="6555" spans="1:5" x14ac:dyDescent="0.25">
      <c r="A6555">
        <v>7</v>
      </c>
      <c r="B6555">
        <v>17</v>
      </c>
      <c r="C6555">
        <v>2</v>
      </c>
      <c r="D6555">
        <v>22</v>
      </c>
      <c r="E6555">
        <f t="shared" si="102"/>
        <v>1.9607914071252359E-24</v>
      </c>
    </row>
    <row r="6556" spans="1:5" x14ac:dyDescent="0.25">
      <c r="A6556">
        <v>7</v>
      </c>
      <c r="B6556">
        <v>17</v>
      </c>
      <c r="C6556">
        <v>3</v>
      </c>
      <c r="D6556">
        <v>21</v>
      </c>
      <c r="E6556">
        <f t="shared" si="102"/>
        <v>2.2647140752296477E-22</v>
      </c>
    </row>
    <row r="6557" spans="1:5" x14ac:dyDescent="0.25">
      <c r="A6557">
        <v>7</v>
      </c>
      <c r="B6557">
        <v>17</v>
      </c>
      <c r="C6557">
        <v>4</v>
      </c>
      <c r="D6557">
        <v>20</v>
      </c>
      <c r="E6557">
        <f t="shared" si="102"/>
        <v>1.4743288629745002E-20</v>
      </c>
    </row>
    <row r="6558" spans="1:5" x14ac:dyDescent="0.25">
      <c r="A6558">
        <v>7</v>
      </c>
      <c r="B6558">
        <v>17</v>
      </c>
      <c r="C6558">
        <v>5</v>
      </c>
      <c r="D6558">
        <v>19</v>
      </c>
      <c r="E6558">
        <f t="shared" si="102"/>
        <v>5.9956040427629678E-19</v>
      </c>
    </row>
    <row r="6559" spans="1:5" x14ac:dyDescent="0.25">
      <c r="A6559">
        <v>7</v>
      </c>
      <c r="B6559">
        <v>17</v>
      </c>
      <c r="C6559">
        <v>6</v>
      </c>
      <c r="D6559">
        <v>18</v>
      </c>
      <c r="E6559">
        <f t="shared" si="102"/>
        <v>1.6273782401785203E-17</v>
      </c>
    </row>
    <row r="6560" spans="1:5" x14ac:dyDescent="0.25">
      <c r="A6560">
        <v>7</v>
      </c>
      <c r="B6560">
        <v>17</v>
      </c>
      <c r="C6560">
        <v>7</v>
      </c>
      <c r="D6560">
        <v>17</v>
      </c>
      <c r="E6560">
        <f t="shared" si="102"/>
        <v>3.0862065911956936E-16</v>
      </c>
    </row>
    <row r="6561" spans="1:5" x14ac:dyDescent="0.25">
      <c r="A6561">
        <v>7</v>
      </c>
      <c r="B6561">
        <v>17</v>
      </c>
      <c r="C6561">
        <v>8</v>
      </c>
      <c r="D6561">
        <v>16</v>
      </c>
      <c r="E6561">
        <f t="shared" si="102"/>
        <v>4.2263884707207695E-15</v>
      </c>
    </row>
    <row r="6562" spans="1:5" x14ac:dyDescent="0.25">
      <c r="A6562">
        <v>7</v>
      </c>
      <c r="B6562">
        <v>17</v>
      </c>
      <c r="C6562">
        <v>9</v>
      </c>
      <c r="D6562">
        <v>15</v>
      </c>
      <c r="E6562">
        <f t="shared" si="102"/>
        <v>4.282740316997045E-14</v>
      </c>
    </row>
    <row r="6563" spans="1:5" x14ac:dyDescent="0.25">
      <c r="A6563">
        <v>7</v>
      </c>
      <c r="B6563">
        <v>17</v>
      </c>
      <c r="C6563">
        <v>10</v>
      </c>
      <c r="D6563">
        <v>14</v>
      </c>
      <c r="E6563">
        <f t="shared" si="102"/>
        <v>3.2704562420704717E-13</v>
      </c>
    </row>
    <row r="6564" spans="1:5" x14ac:dyDescent="0.25">
      <c r="A6564">
        <v>7</v>
      </c>
      <c r="B6564">
        <v>17</v>
      </c>
      <c r="C6564">
        <v>11</v>
      </c>
      <c r="D6564">
        <v>13</v>
      </c>
      <c r="E6564">
        <f t="shared" si="102"/>
        <v>1.9077661412077756E-12</v>
      </c>
    </row>
    <row r="6565" spans="1:5" x14ac:dyDescent="0.25">
      <c r="A6565">
        <v>7</v>
      </c>
      <c r="B6565">
        <v>17</v>
      </c>
      <c r="C6565">
        <v>12</v>
      </c>
      <c r="D6565">
        <v>12</v>
      </c>
      <c r="E6565">
        <f t="shared" si="102"/>
        <v>8.5849476354349851E-12</v>
      </c>
    </row>
    <row r="6566" spans="1:5" x14ac:dyDescent="0.25">
      <c r="A6566">
        <v>7</v>
      </c>
      <c r="B6566">
        <v>17</v>
      </c>
      <c r="C6566">
        <v>13</v>
      </c>
      <c r="D6566">
        <v>11</v>
      </c>
      <c r="E6566">
        <f t="shared" si="102"/>
        <v>3.000014668206952E-11</v>
      </c>
    </row>
    <row r="6567" spans="1:5" x14ac:dyDescent="0.25">
      <c r="A6567">
        <v>7</v>
      </c>
      <c r="B6567">
        <v>17</v>
      </c>
      <c r="C6567">
        <v>14</v>
      </c>
      <c r="D6567">
        <v>10</v>
      </c>
      <c r="E6567">
        <f t="shared" si="102"/>
        <v>8.1714685248303637E-11</v>
      </c>
    </row>
    <row r="6568" spans="1:5" x14ac:dyDescent="0.25">
      <c r="A6568">
        <v>7</v>
      </c>
      <c r="B6568">
        <v>17</v>
      </c>
      <c r="C6568">
        <v>15</v>
      </c>
      <c r="D6568">
        <v>9</v>
      </c>
      <c r="E6568">
        <f t="shared" si="102"/>
        <v>1.7364370615264518E-10</v>
      </c>
    </row>
    <row r="6569" spans="1:5" x14ac:dyDescent="0.25">
      <c r="A6569">
        <v>7</v>
      </c>
      <c r="B6569">
        <v>17</v>
      </c>
      <c r="C6569">
        <v>16</v>
      </c>
      <c r="D6569">
        <v>8</v>
      </c>
      <c r="E6569">
        <f t="shared" si="102"/>
        <v>2.8727819032606748E-10</v>
      </c>
    </row>
    <row r="6570" spans="1:5" x14ac:dyDescent="0.25">
      <c r="A6570">
        <v>7</v>
      </c>
      <c r="B6570">
        <v>17</v>
      </c>
      <c r="C6570">
        <v>17</v>
      </c>
      <c r="D6570">
        <v>7</v>
      </c>
      <c r="E6570">
        <f t="shared" si="102"/>
        <v>3.680165052543089E-10</v>
      </c>
    </row>
    <row r="6571" spans="1:5" x14ac:dyDescent="0.25">
      <c r="A6571">
        <v>7</v>
      </c>
      <c r="B6571">
        <v>17</v>
      </c>
      <c r="C6571">
        <v>18</v>
      </c>
      <c r="D6571">
        <v>6</v>
      </c>
      <c r="E6571">
        <f t="shared" si="102"/>
        <v>3.6156007533756617E-10</v>
      </c>
    </row>
    <row r="6572" spans="1:5" x14ac:dyDescent="0.25">
      <c r="A6572">
        <v>7</v>
      </c>
      <c r="B6572">
        <v>17</v>
      </c>
      <c r="C6572">
        <v>19</v>
      </c>
      <c r="D6572">
        <v>5</v>
      </c>
      <c r="E6572">
        <f t="shared" si="102"/>
        <v>2.683156348557729E-10</v>
      </c>
    </row>
    <row r="6573" spans="1:5" x14ac:dyDescent="0.25">
      <c r="A6573">
        <v>7</v>
      </c>
      <c r="B6573">
        <v>17</v>
      </c>
      <c r="C6573">
        <v>20</v>
      </c>
      <c r="D6573">
        <v>4</v>
      </c>
      <c r="E6573">
        <f t="shared" si="102"/>
        <v>1.4693475242101868E-10</v>
      </c>
    </row>
    <row r="6574" spans="1:5" x14ac:dyDescent="0.25">
      <c r="A6574">
        <v>7</v>
      </c>
      <c r="B6574">
        <v>17</v>
      </c>
      <c r="C6574">
        <v>21</v>
      </c>
      <c r="D6574">
        <v>3</v>
      </c>
      <c r="E6574">
        <f t="shared" si="102"/>
        <v>5.7247306138059137E-11</v>
      </c>
    </row>
    <row r="6575" spans="1:5" x14ac:dyDescent="0.25">
      <c r="A6575">
        <v>7</v>
      </c>
      <c r="B6575">
        <v>17</v>
      </c>
      <c r="C6575">
        <v>22</v>
      </c>
      <c r="D6575">
        <v>2</v>
      </c>
      <c r="E6575">
        <f t="shared" si="102"/>
        <v>1.4934079862102394E-11</v>
      </c>
    </row>
    <row r="6576" spans="1:5" x14ac:dyDescent="0.25">
      <c r="A6576">
        <v>7</v>
      </c>
      <c r="B6576">
        <v>17</v>
      </c>
      <c r="C6576">
        <v>23</v>
      </c>
      <c r="D6576">
        <v>1</v>
      </c>
      <c r="E6576">
        <f t="shared" si="102"/>
        <v>2.3266863553275464E-12</v>
      </c>
    </row>
    <row r="6577" spans="1:5" x14ac:dyDescent="0.25">
      <c r="A6577">
        <v>7</v>
      </c>
      <c r="B6577">
        <v>17</v>
      </c>
      <c r="C6577">
        <v>24</v>
      </c>
      <c r="D6577">
        <v>0</v>
      </c>
      <c r="E6577">
        <f t="shared" si="102"/>
        <v>1.6286804487292825E-13</v>
      </c>
    </row>
    <row r="6578" spans="1:5" x14ac:dyDescent="0.25">
      <c r="A6578">
        <v>7</v>
      </c>
      <c r="B6578">
        <v>18</v>
      </c>
      <c r="C6578">
        <v>0</v>
      </c>
      <c r="D6578">
        <v>23</v>
      </c>
      <c r="E6578">
        <f t="shared" si="102"/>
        <v>1.8580520580339467E-27</v>
      </c>
    </row>
    <row r="6579" spans="1:5" x14ac:dyDescent="0.25">
      <c r="A6579">
        <v>7</v>
      </c>
      <c r="B6579">
        <v>18</v>
      </c>
      <c r="C6579">
        <v>1</v>
      </c>
      <c r="D6579">
        <v>22</v>
      </c>
      <c r="E6579">
        <f t="shared" si="102"/>
        <v>9.259292755869167E-25</v>
      </c>
    </row>
    <row r="6580" spans="1:5" x14ac:dyDescent="0.25">
      <c r="A6580">
        <v>7</v>
      </c>
      <c r="B6580">
        <v>18</v>
      </c>
      <c r="C6580">
        <v>2</v>
      </c>
      <c r="D6580">
        <v>21</v>
      </c>
      <c r="E6580">
        <f t="shared" si="102"/>
        <v>1.6296355250329739E-22</v>
      </c>
    </row>
    <row r="6581" spans="1:5" x14ac:dyDescent="0.25">
      <c r="A6581">
        <v>7</v>
      </c>
      <c r="B6581">
        <v>18</v>
      </c>
      <c r="C6581">
        <v>3</v>
      </c>
      <c r="D6581">
        <v>20</v>
      </c>
      <c r="E6581">
        <f t="shared" si="102"/>
        <v>1.4373385330790823E-20</v>
      </c>
    </row>
    <row r="6582" spans="1:5" x14ac:dyDescent="0.25">
      <c r="A6582">
        <v>7</v>
      </c>
      <c r="B6582">
        <v>18</v>
      </c>
      <c r="C6582">
        <v>4</v>
      </c>
      <c r="D6582">
        <v>19</v>
      </c>
      <c r="E6582">
        <f t="shared" si="102"/>
        <v>7.4262490875752586E-19</v>
      </c>
    </row>
    <row r="6583" spans="1:5" x14ac:dyDescent="0.25">
      <c r="A6583">
        <v>7</v>
      </c>
      <c r="B6583">
        <v>18</v>
      </c>
      <c r="C6583">
        <v>5</v>
      </c>
      <c r="D6583">
        <v>18</v>
      </c>
      <c r="E6583">
        <f t="shared" si="102"/>
        <v>2.4591493407142086E-17</v>
      </c>
    </row>
    <row r="6584" spans="1:5" x14ac:dyDescent="0.25">
      <c r="A6584">
        <v>7</v>
      </c>
      <c r="B6584">
        <v>18</v>
      </c>
      <c r="C6584">
        <v>6</v>
      </c>
      <c r="D6584">
        <v>17</v>
      </c>
      <c r="E6584">
        <f t="shared" si="102"/>
        <v>5.5330860166069673E-16</v>
      </c>
    </row>
    <row r="6585" spans="1:5" x14ac:dyDescent="0.25">
      <c r="A6585">
        <v>7</v>
      </c>
      <c r="B6585">
        <v>18</v>
      </c>
      <c r="C6585">
        <v>7</v>
      </c>
      <c r="D6585">
        <v>16</v>
      </c>
      <c r="E6585">
        <f t="shared" si="102"/>
        <v>8.8090242454869659E-15</v>
      </c>
    </row>
    <row r="6586" spans="1:5" x14ac:dyDescent="0.25">
      <c r="A6586">
        <v>7</v>
      </c>
      <c r="B6586">
        <v>18</v>
      </c>
      <c r="C6586">
        <v>8</v>
      </c>
      <c r="D6586">
        <v>15</v>
      </c>
      <c r="E6586">
        <f t="shared" si="102"/>
        <v>1.021846812476488E-13</v>
      </c>
    </row>
    <row r="6587" spans="1:5" x14ac:dyDescent="0.25">
      <c r="A6587">
        <v>7</v>
      </c>
      <c r="B6587">
        <v>18</v>
      </c>
      <c r="C6587">
        <v>9</v>
      </c>
      <c r="D6587">
        <v>14</v>
      </c>
      <c r="E6587">
        <f t="shared" si="102"/>
        <v>8.8250406532060334E-13</v>
      </c>
    </row>
    <row r="6588" spans="1:5" x14ac:dyDescent="0.25">
      <c r="A6588">
        <v>7</v>
      </c>
      <c r="B6588">
        <v>18</v>
      </c>
      <c r="C6588">
        <v>10</v>
      </c>
      <c r="D6588">
        <v>13</v>
      </c>
      <c r="E6588">
        <f t="shared" si="102"/>
        <v>5.7656932267612768E-12</v>
      </c>
    </row>
    <row r="6589" spans="1:5" x14ac:dyDescent="0.25">
      <c r="A6589">
        <v>7</v>
      </c>
      <c r="B6589">
        <v>18</v>
      </c>
      <c r="C6589">
        <v>11</v>
      </c>
      <c r="D6589">
        <v>12</v>
      </c>
      <c r="E6589">
        <f t="shared" si="102"/>
        <v>2.8828466133806389E-11</v>
      </c>
    </row>
    <row r="6590" spans="1:5" x14ac:dyDescent="0.25">
      <c r="A6590">
        <v>7</v>
      </c>
      <c r="B6590">
        <v>18</v>
      </c>
      <c r="C6590">
        <v>12</v>
      </c>
      <c r="D6590">
        <v>11</v>
      </c>
      <c r="E6590">
        <f t="shared" si="102"/>
        <v>1.1119551223039598E-10</v>
      </c>
    </row>
    <row r="6591" spans="1:5" x14ac:dyDescent="0.25">
      <c r="A6591">
        <v>7</v>
      </c>
      <c r="B6591">
        <v>18</v>
      </c>
      <c r="C6591">
        <v>13</v>
      </c>
      <c r="D6591">
        <v>10</v>
      </c>
      <c r="E6591">
        <f t="shared" si="102"/>
        <v>3.3244606989908137E-10</v>
      </c>
    </row>
    <row r="6592" spans="1:5" x14ac:dyDescent="0.25">
      <c r="A6592">
        <v>7</v>
      </c>
      <c r="B6592">
        <v>18</v>
      </c>
      <c r="C6592">
        <v>14</v>
      </c>
      <c r="D6592">
        <v>9</v>
      </c>
      <c r="E6592">
        <f t="shared" si="102"/>
        <v>7.7174980512286766E-10</v>
      </c>
    </row>
    <row r="6593" spans="1:5" x14ac:dyDescent="0.25">
      <c r="A6593">
        <v>7</v>
      </c>
      <c r="B6593">
        <v>18</v>
      </c>
      <c r="C6593">
        <v>15</v>
      </c>
      <c r="D6593">
        <v>8</v>
      </c>
      <c r="E6593">
        <f t="shared" si="102"/>
        <v>1.3891496492211613E-9</v>
      </c>
    </row>
    <row r="6594" spans="1:5" x14ac:dyDescent="0.25">
      <c r="A6594">
        <v>7</v>
      </c>
      <c r="B6594">
        <v>18</v>
      </c>
      <c r="C6594">
        <v>16</v>
      </c>
      <c r="D6594">
        <v>7</v>
      </c>
      <c r="E6594">
        <f t="shared" si="102"/>
        <v>1.9293745128071693E-9</v>
      </c>
    </row>
    <row r="6595" spans="1:5" x14ac:dyDescent="0.25">
      <c r="A6595">
        <v>7</v>
      </c>
      <c r="B6595">
        <v>18</v>
      </c>
      <c r="C6595">
        <v>17</v>
      </c>
      <c r="D6595">
        <v>6</v>
      </c>
      <c r="E6595">
        <f t="shared" si="102"/>
        <v>2.0488404269128765E-9</v>
      </c>
    </row>
    <row r="6596" spans="1:5" x14ac:dyDescent="0.25">
      <c r="A6596">
        <v>7</v>
      </c>
      <c r="B6596">
        <v>18</v>
      </c>
      <c r="C6596">
        <v>18</v>
      </c>
      <c r="D6596">
        <v>5</v>
      </c>
      <c r="E6596">
        <f t="shared" si="102"/>
        <v>1.6390723415302999E-9</v>
      </c>
    </row>
    <row r="6597" spans="1:5" x14ac:dyDescent="0.25">
      <c r="A6597">
        <v>7</v>
      </c>
      <c r="B6597">
        <v>18</v>
      </c>
      <c r="C6597">
        <v>19</v>
      </c>
      <c r="D6597">
        <v>4</v>
      </c>
      <c r="E6597">
        <f t="shared" si="102"/>
        <v>9.653684217033102E-10</v>
      </c>
    </row>
    <row r="6598" spans="1:5" x14ac:dyDescent="0.25">
      <c r="A6598">
        <v>7</v>
      </c>
      <c r="B6598">
        <v>18</v>
      </c>
      <c r="C6598">
        <v>20</v>
      </c>
      <c r="D6598">
        <v>3</v>
      </c>
      <c r="E6598">
        <f t="shared" si="102"/>
        <v>4.036995218032027E-10</v>
      </c>
    </row>
    <row r="6599" spans="1:5" x14ac:dyDescent="0.25">
      <c r="A6599">
        <v>7</v>
      </c>
      <c r="B6599">
        <v>18</v>
      </c>
      <c r="C6599">
        <v>21</v>
      </c>
      <c r="D6599">
        <v>2</v>
      </c>
      <c r="E6599">
        <f t="shared" si="102"/>
        <v>1.12835270069218E-10</v>
      </c>
    </row>
    <row r="6600" spans="1:5" x14ac:dyDescent="0.25">
      <c r="A6600">
        <v>7</v>
      </c>
      <c r="B6600">
        <v>18</v>
      </c>
      <c r="C6600">
        <v>22</v>
      </c>
      <c r="D6600">
        <v>1</v>
      </c>
      <c r="E6600">
        <f t="shared" si="102"/>
        <v>1.8805878344869679E-11</v>
      </c>
    </row>
    <row r="6601" spans="1:5" x14ac:dyDescent="0.25">
      <c r="A6601">
        <v>7</v>
      </c>
      <c r="B6601">
        <v>18</v>
      </c>
      <c r="C6601">
        <v>23</v>
      </c>
      <c r="D6601">
        <v>0</v>
      </c>
      <c r="E6601">
        <f t="shared" si="102"/>
        <v>1.4063526414424279E-12</v>
      </c>
    </row>
    <row r="6602" spans="1:5" x14ac:dyDescent="0.25">
      <c r="A6602">
        <v>7</v>
      </c>
      <c r="B6602">
        <v>19</v>
      </c>
      <c r="C6602">
        <v>0</v>
      </c>
      <c r="D6602">
        <v>22</v>
      </c>
      <c r="E6602">
        <f t="shared" si="102"/>
        <v>2.0317962241623836E-25</v>
      </c>
    </row>
    <row r="6603" spans="1:5" x14ac:dyDescent="0.25">
      <c r="A6603">
        <v>7</v>
      </c>
      <c r="B6603">
        <v>19</v>
      </c>
      <c r="C6603">
        <v>1</v>
      </c>
      <c r="D6603">
        <v>21</v>
      </c>
      <c r="E6603">
        <f t="shared" si="102"/>
        <v>7.2636715013805233E-23</v>
      </c>
    </row>
    <row r="6604" spans="1:5" x14ac:dyDescent="0.25">
      <c r="A6604">
        <v>7</v>
      </c>
      <c r="B6604">
        <v>19</v>
      </c>
      <c r="C6604">
        <v>2</v>
      </c>
      <c r="D6604">
        <v>20</v>
      </c>
      <c r="E6604">
        <f t="shared" si="102"/>
        <v>9.7623744978554197E-21</v>
      </c>
    </row>
    <row r="6605" spans="1:5" x14ac:dyDescent="0.25">
      <c r="A6605">
        <v>7</v>
      </c>
      <c r="B6605">
        <v>19</v>
      </c>
      <c r="C6605">
        <v>3</v>
      </c>
      <c r="D6605">
        <v>19</v>
      </c>
      <c r="E6605">
        <f t="shared" si="102"/>
        <v>6.8336621484987942E-19</v>
      </c>
    </row>
    <row r="6606" spans="1:5" x14ac:dyDescent="0.25">
      <c r="A6606">
        <v>7</v>
      </c>
      <c r="B6606">
        <v>19</v>
      </c>
      <c r="C6606">
        <v>4</v>
      </c>
      <c r="D6606">
        <v>18</v>
      </c>
      <c r="E6606">
        <f t="shared" ref="E6606:E6669" si="103">COMBIN(A$4,A6606)*COMBIN(B$4,B6606)*COMBIN(C$4,C6606)*COMBIN(D$4,D6606)/COMBIN($G$4,$F$4)</f>
        <v>2.8750192896184227E-17</v>
      </c>
    </row>
    <row r="6607" spans="1:5" x14ac:dyDescent="0.25">
      <c r="A6607">
        <v>7</v>
      </c>
      <c r="B6607">
        <v>19</v>
      </c>
      <c r="C6607">
        <v>5</v>
      </c>
      <c r="D6607">
        <v>17</v>
      </c>
      <c r="E6607">
        <f t="shared" si="103"/>
        <v>7.8919279500025687E-16</v>
      </c>
    </row>
    <row r="6608" spans="1:5" x14ac:dyDescent="0.25">
      <c r="A6608">
        <v>7</v>
      </c>
      <c r="B6608">
        <v>19</v>
      </c>
      <c r="C6608">
        <v>6</v>
      </c>
      <c r="D6608">
        <v>16</v>
      </c>
      <c r="E6608">
        <f t="shared" si="103"/>
        <v>1.4906975016671513E-14</v>
      </c>
    </row>
    <row r="6609" spans="1:5" x14ac:dyDescent="0.25">
      <c r="A6609">
        <v>7</v>
      </c>
      <c r="B6609">
        <v>19</v>
      </c>
      <c r="C6609">
        <v>7</v>
      </c>
      <c r="D6609">
        <v>15</v>
      </c>
      <c r="E6609">
        <f t="shared" si="103"/>
        <v>2.0103120593911296E-13</v>
      </c>
    </row>
    <row r="6610" spans="1:5" x14ac:dyDescent="0.25">
      <c r="A6610">
        <v>7</v>
      </c>
      <c r="B6610">
        <v>19</v>
      </c>
      <c r="C6610">
        <v>8</v>
      </c>
      <c r="D6610">
        <v>14</v>
      </c>
      <c r="E6610">
        <f t="shared" si="103"/>
        <v>1.9874676041707768E-12</v>
      </c>
    </row>
    <row r="6611" spans="1:5" x14ac:dyDescent="0.25">
      <c r="A6611">
        <v>7</v>
      </c>
      <c r="B6611">
        <v>19</v>
      </c>
      <c r="C6611">
        <v>9</v>
      </c>
      <c r="D6611">
        <v>13</v>
      </c>
      <c r="E6611">
        <f t="shared" si="103"/>
        <v>1.468517729748407E-11</v>
      </c>
    </row>
    <row r="6612" spans="1:5" x14ac:dyDescent="0.25">
      <c r="A6612">
        <v>7</v>
      </c>
      <c r="B6612">
        <v>19</v>
      </c>
      <c r="C6612">
        <v>10</v>
      </c>
      <c r="D6612">
        <v>12</v>
      </c>
      <c r="E6612">
        <f t="shared" si="103"/>
        <v>8.2236992865910825E-11</v>
      </c>
    </row>
    <row r="6613" spans="1:5" x14ac:dyDescent="0.25">
      <c r="A6613">
        <v>7</v>
      </c>
      <c r="B6613">
        <v>19</v>
      </c>
      <c r="C6613">
        <v>11</v>
      </c>
      <c r="D6613">
        <v>11</v>
      </c>
      <c r="E6613">
        <f t="shared" si="103"/>
        <v>3.5244425513961781E-10</v>
      </c>
    </row>
    <row r="6614" spans="1:5" x14ac:dyDescent="0.25">
      <c r="A6614">
        <v>7</v>
      </c>
      <c r="B6614">
        <v>19</v>
      </c>
      <c r="C6614">
        <v>12</v>
      </c>
      <c r="D6614">
        <v>10</v>
      </c>
      <c r="E6614">
        <f t="shared" si="103"/>
        <v>1.1630660419607377E-9</v>
      </c>
    </row>
    <row r="6615" spans="1:5" x14ac:dyDescent="0.25">
      <c r="A6615">
        <v>7</v>
      </c>
      <c r="B6615">
        <v>19</v>
      </c>
      <c r="C6615">
        <v>13</v>
      </c>
      <c r="D6615">
        <v>9</v>
      </c>
      <c r="E6615">
        <f t="shared" si="103"/>
        <v>2.963581741534574E-9</v>
      </c>
    </row>
    <row r="6616" spans="1:5" x14ac:dyDescent="0.25">
      <c r="A6616">
        <v>7</v>
      </c>
      <c r="B6616">
        <v>19</v>
      </c>
      <c r="C6616">
        <v>14</v>
      </c>
      <c r="D6616">
        <v>8</v>
      </c>
      <c r="E6616">
        <f t="shared" si="103"/>
        <v>5.8275472900763901E-9</v>
      </c>
    </row>
    <row r="6617" spans="1:5" x14ac:dyDescent="0.25">
      <c r="A6617">
        <v>7</v>
      </c>
      <c r="B6617">
        <v>19</v>
      </c>
      <c r="C6617">
        <v>15</v>
      </c>
      <c r="D6617">
        <v>7</v>
      </c>
      <c r="E6617">
        <f t="shared" si="103"/>
        <v>8.8060714605598771E-9</v>
      </c>
    </row>
    <row r="6618" spans="1:5" x14ac:dyDescent="0.25">
      <c r="A6618">
        <v>7</v>
      </c>
      <c r="B6618">
        <v>19</v>
      </c>
      <c r="C6618">
        <v>16</v>
      </c>
      <c r="D6618">
        <v>6</v>
      </c>
      <c r="E6618">
        <f t="shared" si="103"/>
        <v>1.013856911577617E-8</v>
      </c>
    </row>
    <row r="6619" spans="1:5" x14ac:dyDescent="0.25">
      <c r="A6619">
        <v>7</v>
      </c>
      <c r="B6619">
        <v>19</v>
      </c>
      <c r="C6619">
        <v>17</v>
      </c>
      <c r="D6619">
        <v>5</v>
      </c>
      <c r="E6619">
        <f t="shared" si="103"/>
        <v>8.7668803530535165E-9</v>
      </c>
    </row>
    <row r="6620" spans="1:5" x14ac:dyDescent="0.25">
      <c r="A6620">
        <v>7</v>
      </c>
      <c r="B6620">
        <v>19</v>
      </c>
      <c r="C6620">
        <v>18</v>
      </c>
      <c r="D6620">
        <v>4</v>
      </c>
      <c r="E6620">
        <f t="shared" si="103"/>
        <v>5.5662732400339752E-9</v>
      </c>
    </row>
    <row r="6621" spans="1:5" x14ac:dyDescent="0.25">
      <c r="A6621">
        <v>7</v>
      </c>
      <c r="B6621">
        <v>19</v>
      </c>
      <c r="C6621">
        <v>19</v>
      </c>
      <c r="D6621">
        <v>3</v>
      </c>
      <c r="E6621">
        <f t="shared" si="103"/>
        <v>2.5034913136994923E-9</v>
      </c>
    </row>
    <row r="6622" spans="1:5" x14ac:dyDescent="0.25">
      <c r="A6622">
        <v>7</v>
      </c>
      <c r="B6622">
        <v>19</v>
      </c>
      <c r="C6622">
        <v>20</v>
      </c>
      <c r="D6622">
        <v>2</v>
      </c>
      <c r="E6622">
        <f t="shared" si="103"/>
        <v>7.5104739410984818E-10</v>
      </c>
    </row>
    <row r="6623" spans="1:5" x14ac:dyDescent="0.25">
      <c r="A6623">
        <v>7</v>
      </c>
      <c r="B6623">
        <v>19</v>
      </c>
      <c r="C6623">
        <v>21</v>
      </c>
      <c r="D6623">
        <v>1</v>
      </c>
      <c r="E6623">
        <f t="shared" si="103"/>
        <v>1.3411560609104416E-10</v>
      </c>
    </row>
    <row r="6624" spans="1:5" x14ac:dyDescent="0.25">
      <c r="A6624">
        <v>7</v>
      </c>
      <c r="B6624">
        <v>19</v>
      </c>
      <c r="C6624">
        <v>22</v>
      </c>
      <c r="D6624">
        <v>0</v>
      </c>
      <c r="E6624">
        <f t="shared" si="103"/>
        <v>1.0729248487283541E-11</v>
      </c>
    </row>
    <row r="6625" spans="1:5" x14ac:dyDescent="0.25">
      <c r="A6625">
        <v>7</v>
      </c>
      <c r="B6625">
        <v>20</v>
      </c>
      <c r="C6625">
        <v>0</v>
      </c>
      <c r="D6625">
        <v>21</v>
      </c>
      <c r="E6625">
        <f t="shared" si="103"/>
        <v>1.50860869644057E-23</v>
      </c>
    </row>
    <row r="6626" spans="1:5" x14ac:dyDescent="0.25">
      <c r="A6626">
        <v>7</v>
      </c>
      <c r="B6626">
        <v>20</v>
      </c>
      <c r="C6626">
        <v>1</v>
      </c>
      <c r="D6626">
        <v>20</v>
      </c>
      <c r="E6626">
        <f t="shared" si="103"/>
        <v>4.1185017412827546E-21</v>
      </c>
    </row>
    <row r="6627" spans="1:5" x14ac:dyDescent="0.25">
      <c r="A6627">
        <v>7</v>
      </c>
      <c r="B6627">
        <v>20</v>
      </c>
      <c r="C6627">
        <v>2</v>
      </c>
      <c r="D6627">
        <v>19</v>
      </c>
      <c r="E6627">
        <f t="shared" si="103"/>
        <v>4.3930685240349389E-19</v>
      </c>
    </row>
    <row r="6628" spans="1:5" x14ac:dyDescent="0.25">
      <c r="A6628">
        <v>7</v>
      </c>
      <c r="B6628">
        <v>20</v>
      </c>
      <c r="C6628">
        <v>3</v>
      </c>
      <c r="D6628">
        <v>18</v>
      </c>
      <c r="E6628">
        <f t="shared" si="103"/>
        <v>2.5040490586999162E-17</v>
      </c>
    </row>
    <row r="6629" spans="1:5" x14ac:dyDescent="0.25">
      <c r="A6629">
        <v>7</v>
      </c>
      <c r="B6629">
        <v>20</v>
      </c>
      <c r="C6629">
        <v>4</v>
      </c>
      <c r="D6629">
        <v>17</v>
      </c>
      <c r="E6629">
        <f t="shared" si="103"/>
        <v>8.7328710922159551E-16</v>
      </c>
    </row>
    <row r="6630" spans="1:5" x14ac:dyDescent="0.25">
      <c r="A6630">
        <v>7</v>
      </c>
      <c r="B6630">
        <v>20</v>
      </c>
      <c r="C6630">
        <v>5</v>
      </c>
      <c r="D6630">
        <v>16</v>
      </c>
      <c r="E6630">
        <f t="shared" si="103"/>
        <v>2.0124416272506544E-14</v>
      </c>
    </row>
    <row r="6631" spans="1:5" x14ac:dyDescent="0.25">
      <c r="A6631">
        <v>7</v>
      </c>
      <c r="B6631">
        <v>20</v>
      </c>
      <c r="C6631">
        <v>6</v>
      </c>
      <c r="D6631">
        <v>15</v>
      </c>
      <c r="E6631">
        <f t="shared" si="103"/>
        <v>3.2199066036010466E-13</v>
      </c>
    </row>
    <row r="6632" spans="1:5" x14ac:dyDescent="0.25">
      <c r="A6632">
        <v>7</v>
      </c>
      <c r="B6632">
        <v>20</v>
      </c>
      <c r="C6632">
        <v>7</v>
      </c>
      <c r="D6632">
        <v>14</v>
      </c>
      <c r="E6632">
        <f t="shared" si="103"/>
        <v>3.7008017456973077E-12</v>
      </c>
    </row>
    <row r="6633" spans="1:5" x14ac:dyDescent="0.25">
      <c r="A6633">
        <v>7</v>
      </c>
      <c r="B6633">
        <v>20</v>
      </c>
      <c r="C6633">
        <v>8</v>
      </c>
      <c r="D6633">
        <v>13</v>
      </c>
      <c r="E6633">
        <f t="shared" si="103"/>
        <v>3.1302614765689739E-11</v>
      </c>
    </row>
    <row r="6634" spans="1:5" x14ac:dyDescent="0.25">
      <c r="A6634">
        <v>7</v>
      </c>
      <c r="B6634">
        <v>20</v>
      </c>
      <c r="C6634">
        <v>9</v>
      </c>
      <c r="D6634">
        <v>12</v>
      </c>
      <c r="E6634">
        <f t="shared" si="103"/>
        <v>1.9824989351603497E-10</v>
      </c>
    </row>
    <row r="6635" spans="1:5" x14ac:dyDescent="0.25">
      <c r="A6635">
        <v>7</v>
      </c>
      <c r="B6635">
        <v>20</v>
      </c>
      <c r="C6635">
        <v>10</v>
      </c>
      <c r="D6635">
        <v>11</v>
      </c>
      <c r="E6635">
        <f t="shared" si="103"/>
        <v>9.5159948887696801E-10</v>
      </c>
    </row>
    <row r="6636" spans="1:5" x14ac:dyDescent="0.25">
      <c r="A6636">
        <v>7</v>
      </c>
      <c r="B6636">
        <v>20</v>
      </c>
      <c r="C6636">
        <v>11</v>
      </c>
      <c r="D6636">
        <v>10</v>
      </c>
      <c r="E6636">
        <f t="shared" si="103"/>
        <v>3.4891981258822151E-9</v>
      </c>
    </row>
    <row r="6637" spans="1:5" x14ac:dyDescent="0.25">
      <c r="A6637">
        <v>7</v>
      </c>
      <c r="B6637">
        <v>20</v>
      </c>
      <c r="C6637">
        <v>12</v>
      </c>
      <c r="D6637">
        <v>9</v>
      </c>
      <c r="E6637">
        <f t="shared" si="103"/>
        <v>9.8133697290437261E-9</v>
      </c>
    </row>
    <row r="6638" spans="1:5" x14ac:dyDescent="0.25">
      <c r="A6638">
        <v>7</v>
      </c>
      <c r="B6638">
        <v>20</v>
      </c>
      <c r="C6638">
        <v>13</v>
      </c>
      <c r="D6638">
        <v>8</v>
      </c>
      <c r="E6638">
        <f t="shared" si="103"/>
        <v>2.1180893035085337E-8</v>
      </c>
    </row>
    <row r="6639" spans="1:5" x14ac:dyDescent="0.25">
      <c r="A6639">
        <v>7</v>
      </c>
      <c r="B6639">
        <v>20</v>
      </c>
      <c r="C6639">
        <v>14</v>
      </c>
      <c r="D6639">
        <v>7</v>
      </c>
      <c r="E6639">
        <f t="shared" si="103"/>
        <v>3.4965283740458352E-8</v>
      </c>
    </row>
    <row r="6640" spans="1:5" x14ac:dyDescent="0.25">
      <c r="A6640">
        <v>7</v>
      </c>
      <c r="B6640">
        <v>20</v>
      </c>
      <c r="C6640">
        <v>15</v>
      </c>
      <c r="D6640">
        <v>6</v>
      </c>
      <c r="E6640">
        <f t="shared" si="103"/>
        <v>4.3798618580153053E-8</v>
      </c>
    </row>
    <row r="6641" spans="1:5" x14ac:dyDescent="0.25">
      <c r="A6641">
        <v>7</v>
      </c>
      <c r="B6641">
        <v>20</v>
      </c>
      <c r="C6641">
        <v>16</v>
      </c>
      <c r="D6641">
        <v>5</v>
      </c>
      <c r="E6641">
        <f t="shared" si="103"/>
        <v>4.1061204918893494E-8</v>
      </c>
    </row>
    <row r="6642" spans="1:5" x14ac:dyDescent="0.25">
      <c r="A6642">
        <v>7</v>
      </c>
      <c r="B6642">
        <v>20</v>
      </c>
      <c r="C6642">
        <v>17</v>
      </c>
      <c r="D6642">
        <v>4</v>
      </c>
      <c r="E6642">
        <f t="shared" si="103"/>
        <v>2.8179258277672028E-8</v>
      </c>
    </row>
    <row r="6643" spans="1:5" x14ac:dyDescent="0.25">
      <c r="A6643">
        <v>7</v>
      </c>
      <c r="B6643">
        <v>20</v>
      </c>
      <c r="C6643">
        <v>18</v>
      </c>
      <c r="D6643">
        <v>3</v>
      </c>
      <c r="E6643">
        <f t="shared" si="103"/>
        <v>1.3662670680083394E-8</v>
      </c>
    </row>
    <row r="6644" spans="1:5" x14ac:dyDescent="0.25">
      <c r="A6644">
        <v>7</v>
      </c>
      <c r="B6644">
        <v>20</v>
      </c>
      <c r="C6644">
        <v>19</v>
      </c>
      <c r="D6644">
        <v>2</v>
      </c>
      <c r="E6644">
        <f t="shared" si="103"/>
        <v>4.4083216610795413E-9</v>
      </c>
    </row>
    <row r="6645" spans="1:5" x14ac:dyDescent="0.25">
      <c r="A6645">
        <v>7</v>
      </c>
      <c r="B6645">
        <v>20</v>
      </c>
      <c r="C6645">
        <v>20</v>
      </c>
      <c r="D6645">
        <v>1</v>
      </c>
      <c r="E6645">
        <f t="shared" si="103"/>
        <v>8.4492831837357934E-10</v>
      </c>
    </row>
    <row r="6646" spans="1:5" x14ac:dyDescent="0.25">
      <c r="A6646">
        <v>7</v>
      </c>
      <c r="B6646">
        <v>20</v>
      </c>
      <c r="C6646">
        <v>21</v>
      </c>
      <c r="D6646">
        <v>0</v>
      </c>
      <c r="E6646">
        <f t="shared" si="103"/>
        <v>7.2422427289163865E-11</v>
      </c>
    </row>
    <row r="6647" spans="1:5" x14ac:dyDescent="0.25">
      <c r="A6647">
        <v>7</v>
      </c>
      <c r="B6647">
        <v>21</v>
      </c>
      <c r="C6647">
        <v>0</v>
      </c>
      <c r="D6647">
        <v>20</v>
      </c>
      <c r="E6647">
        <f t="shared" si="103"/>
        <v>8.1163147868502673E-22</v>
      </c>
    </row>
    <row r="6648" spans="1:5" x14ac:dyDescent="0.25">
      <c r="A6648">
        <v>7</v>
      </c>
      <c r="B6648">
        <v>21</v>
      </c>
      <c r="C6648">
        <v>1</v>
      </c>
      <c r="D6648">
        <v>19</v>
      </c>
      <c r="E6648">
        <f t="shared" si="103"/>
        <v>1.7585348704842245E-19</v>
      </c>
    </row>
    <row r="6649" spans="1:5" x14ac:dyDescent="0.25">
      <c r="A6649">
        <v>7</v>
      </c>
      <c r="B6649">
        <v>21</v>
      </c>
      <c r="C6649">
        <v>2</v>
      </c>
      <c r="D6649">
        <v>18</v>
      </c>
      <c r="E6649">
        <f t="shared" si="103"/>
        <v>1.5274131446491559E-17</v>
      </c>
    </row>
    <row r="6650" spans="1:5" x14ac:dyDescent="0.25">
      <c r="A6650">
        <v>7</v>
      </c>
      <c r="B6650">
        <v>21</v>
      </c>
      <c r="C6650">
        <v>3</v>
      </c>
      <c r="D6650">
        <v>17</v>
      </c>
      <c r="E6650">
        <f t="shared" si="103"/>
        <v>7.217027108467259E-16</v>
      </c>
    </row>
    <row r="6651" spans="1:5" x14ac:dyDescent="0.25">
      <c r="A6651">
        <v>7</v>
      </c>
      <c r="B6651">
        <v>21</v>
      </c>
      <c r="C6651">
        <v>4</v>
      </c>
      <c r="D6651">
        <v>16</v>
      </c>
      <c r="E6651">
        <f t="shared" si="103"/>
        <v>2.1129851589790252E-14</v>
      </c>
    </row>
    <row r="6652" spans="1:5" x14ac:dyDescent="0.25">
      <c r="A6652">
        <v>7</v>
      </c>
      <c r="B6652">
        <v>21</v>
      </c>
      <c r="C6652">
        <v>5</v>
      </c>
      <c r="D6652">
        <v>15</v>
      </c>
      <c r="E6652">
        <f t="shared" si="103"/>
        <v>4.1245470303270571E-13</v>
      </c>
    </row>
    <row r="6653" spans="1:5" x14ac:dyDescent="0.25">
      <c r="A6653">
        <v>7</v>
      </c>
      <c r="B6653">
        <v>21</v>
      </c>
      <c r="C6653">
        <v>6</v>
      </c>
      <c r="D6653">
        <v>14</v>
      </c>
      <c r="E6653">
        <f t="shared" si="103"/>
        <v>5.6243823140823513E-12</v>
      </c>
    </row>
    <row r="6654" spans="1:5" x14ac:dyDescent="0.25">
      <c r="A6654">
        <v>7</v>
      </c>
      <c r="B6654">
        <v>21</v>
      </c>
      <c r="C6654">
        <v>7</v>
      </c>
      <c r="D6654">
        <v>13</v>
      </c>
      <c r="E6654">
        <f t="shared" si="103"/>
        <v>5.5306426088476459E-11</v>
      </c>
    </row>
    <row r="6655" spans="1:5" x14ac:dyDescent="0.25">
      <c r="A6655">
        <v>7</v>
      </c>
      <c r="B6655">
        <v>21</v>
      </c>
      <c r="C6655">
        <v>8</v>
      </c>
      <c r="D6655">
        <v>12</v>
      </c>
      <c r="E6655">
        <f t="shared" si="103"/>
        <v>4.0097158914145442E-10</v>
      </c>
    </row>
    <row r="6656" spans="1:5" x14ac:dyDescent="0.25">
      <c r="A6656">
        <v>7</v>
      </c>
      <c r="B6656">
        <v>21</v>
      </c>
      <c r="C6656">
        <v>9</v>
      </c>
      <c r="D6656">
        <v>11</v>
      </c>
      <c r="E6656">
        <f t="shared" si="103"/>
        <v>2.1767029124821801E-9</v>
      </c>
    </row>
    <row r="6657" spans="1:5" x14ac:dyDescent="0.25">
      <c r="A6657">
        <v>7</v>
      </c>
      <c r="B6657">
        <v>21</v>
      </c>
      <c r="C6657">
        <v>10</v>
      </c>
      <c r="D6657">
        <v>10</v>
      </c>
      <c r="E6657">
        <f t="shared" si="103"/>
        <v>8.9389932939268211E-9</v>
      </c>
    </row>
    <row r="6658" spans="1:5" x14ac:dyDescent="0.25">
      <c r="A6658">
        <v>7</v>
      </c>
      <c r="B6658">
        <v>21</v>
      </c>
      <c r="C6658">
        <v>11</v>
      </c>
      <c r="D6658">
        <v>9</v>
      </c>
      <c r="E6658">
        <f t="shared" si="103"/>
        <v>2.7934354043521325E-8</v>
      </c>
    </row>
    <row r="6659" spans="1:5" x14ac:dyDescent="0.25">
      <c r="A6659">
        <v>7</v>
      </c>
      <c r="B6659">
        <v>21</v>
      </c>
      <c r="C6659">
        <v>12</v>
      </c>
      <c r="D6659">
        <v>8</v>
      </c>
      <c r="E6659">
        <f t="shared" si="103"/>
        <v>6.6549490515447805E-8</v>
      </c>
    </row>
    <row r="6660" spans="1:5" x14ac:dyDescent="0.25">
      <c r="A6660">
        <v>7</v>
      </c>
      <c r="B6660">
        <v>21</v>
      </c>
      <c r="C6660">
        <v>13</v>
      </c>
      <c r="D6660">
        <v>7</v>
      </c>
      <c r="E6660">
        <f t="shared" si="103"/>
        <v>1.2058540161773458E-7</v>
      </c>
    </row>
    <row r="6661" spans="1:5" x14ac:dyDescent="0.25">
      <c r="A6661">
        <v>7</v>
      </c>
      <c r="B6661">
        <v>21</v>
      </c>
      <c r="C6661">
        <v>14</v>
      </c>
      <c r="D6661">
        <v>6</v>
      </c>
      <c r="E6661">
        <f t="shared" si="103"/>
        <v>1.6501160221374202E-7</v>
      </c>
    </row>
    <row r="6662" spans="1:5" x14ac:dyDescent="0.25">
      <c r="A6662">
        <v>7</v>
      </c>
      <c r="B6662">
        <v>21</v>
      </c>
      <c r="C6662">
        <v>15</v>
      </c>
      <c r="D6662">
        <v>5</v>
      </c>
      <c r="E6662">
        <f t="shared" si="103"/>
        <v>1.6831183425801681E-7</v>
      </c>
    </row>
    <row r="6663" spans="1:5" x14ac:dyDescent="0.25">
      <c r="A6663">
        <v>7</v>
      </c>
      <c r="B6663">
        <v>21</v>
      </c>
      <c r="C6663">
        <v>16</v>
      </c>
      <c r="D6663">
        <v>4</v>
      </c>
      <c r="E6663">
        <f t="shared" si="103"/>
        <v>1.2523201953721493E-7</v>
      </c>
    </row>
    <row r="6664" spans="1:5" x14ac:dyDescent="0.25">
      <c r="A6664">
        <v>7</v>
      </c>
      <c r="B6664">
        <v>21</v>
      </c>
      <c r="C6664">
        <v>17</v>
      </c>
      <c r="D6664">
        <v>3</v>
      </c>
      <c r="E6664">
        <f t="shared" si="103"/>
        <v>6.5629614516829252E-8</v>
      </c>
    </row>
    <row r="6665" spans="1:5" x14ac:dyDescent="0.25">
      <c r="A6665">
        <v>7</v>
      </c>
      <c r="B6665">
        <v>21</v>
      </c>
      <c r="C6665">
        <v>18</v>
      </c>
      <c r="D6665">
        <v>2</v>
      </c>
      <c r="E6665">
        <f t="shared" si="103"/>
        <v>2.2827692005853625E-8</v>
      </c>
    </row>
    <row r="6666" spans="1:5" x14ac:dyDescent="0.25">
      <c r="A6666">
        <v>7</v>
      </c>
      <c r="B6666">
        <v>21</v>
      </c>
      <c r="C6666">
        <v>19</v>
      </c>
      <c r="D6666">
        <v>1</v>
      </c>
      <c r="E6666">
        <f t="shared" si="103"/>
        <v>4.7057084398031616E-9</v>
      </c>
    </row>
    <row r="6667" spans="1:5" x14ac:dyDescent="0.25">
      <c r="A6667">
        <v>7</v>
      </c>
      <c r="B6667">
        <v>21</v>
      </c>
      <c r="C6667">
        <v>20</v>
      </c>
      <c r="D6667">
        <v>0</v>
      </c>
      <c r="E6667">
        <f t="shared" si="103"/>
        <v>4.3292517646189127E-10</v>
      </c>
    </row>
    <row r="6668" spans="1:5" x14ac:dyDescent="0.25">
      <c r="A6668">
        <v>7</v>
      </c>
      <c r="B6668">
        <v>22</v>
      </c>
      <c r="C6668">
        <v>0</v>
      </c>
      <c r="D6668">
        <v>19</v>
      </c>
      <c r="E6668">
        <f t="shared" si="103"/>
        <v>3.2957157013270781E-20</v>
      </c>
    </row>
    <row r="6669" spans="1:5" x14ac:dyDescent="0.25">
      <c r="A6669">
        <v>7</v>
      </c>
      <c r="B6669">
        <v>22</v>
      </c>
      <c r="C6669">
        <v>1</v>
      </c>
      <c r="D6669">
        <v>18</v>
      </c>
      <c r="E6669">
        <f t="shared" si="103"/>
        <v>5.8145841301984902E-18</v>
      </c>
    </row>
    <row r="6670" spans="1:5" x14ac:dyDescent="0.25">
      <c r="A6670">
        <v>7</v>
      </c>
      <c r="B6670">
        <v>22</v>
      </c>
      <c r="C6670">
        <v>2</v>
      </c>
      <c r="D6670">
        <v>17</v>
      </c>
      <c r="E6670">
        <f t="shared" ref="E6670:E6733" si="104">COMBIN(A$4,A6670)*COMBIN(B$4,B6670)*COMBIN(C$4,C6670)*COMBIN(D$4,D6670)/COMBIN($G$4,$F$4)</f>
        <v>4.1865005737429122E-16</v>
      </c>
    </row>
    <row r="6671" spans="1:5" x14ac:dyDescent="0.25">
      <c r="A6671">
        <v>7</v>
      </c>
      <c r="B6671">
        <v>22</v>
      </c>
      <c r="C6671">
        <v>3</v>
      </c>
      <c r="D6671">
        <v>16</v>
      </c>
      <c r="E6671">
        <f t="shared" si="104"/>
        <v>1.6606452275846883E-14</v>
      </c>
    </row>
    <row r="6672" spans="1:5" x14ac:dyDescent="0.25">
      <c r="A6672">
        <v>7</v>
      </c>
      <c r="B6672">
        <v>22</v>
      </c>
      <c r="C6672">
        <v>4</v>
      </c>
      <c r="D6672">
        <v>15</v>
      </c>
      <c r="E6672">
        <f t="shared" si="104"/>
        <v>4.1184001644100267E-13</v>
      </c>
    </row>
    <row r="6673" spans="1:5" x14ac:dyDescent="0.25">
      <c r="A6673">
        <v>7</v>
      </c>
      <c r="B6673">
        <v>22</v>
      </c>
      <c r="C6673">
        <v>5</v>
      </c>
      <c r="D6673">
        <v>14</v>
      </c>
      <c r="E6673">
        <f t="shared" si="104"/>
        <v>6.8515202735185014E-12</v>
      </c>
    </row>
    <row r="6674" spans="1:5" x14ac:dyDescent="0.25">
      <c r="A6674">
        <v>7</v>
      </c>
      <c r="B6674">
        <v>22</v>
      </c>
      <c r="C6674">
        <v>6</v>
      </c>
      <c r="D6674">
        <v>13</v>
      </c>
      <c r="E6674">
        <f t="shared" si="104"/>
        <v>7.993440319104918E-11</v>
      </c>
    </row>
    <row r="6675" spans="1:5" x14ac:dyDescent="0.25">
      <c r="A6675">
        <v>7</v>
      </c>
      <c r="B6675">
        <v>22</v>
      </c>
      <c r="C6675">
        <v>7</v>
      </c>
      <c r="D6675">
        <v>12</v>
      </c>
      <c r="E6675">
        <f t="shared" si="104"/>
        <v>6.7373282689598593E-10</v>
      </c>
    </row>
    <row r="6676" spans="1:5" x14ac:dyDescent="0.25">
      <c r="A6676">
        <v>7</v>
      </c>
      <c r="B6676">
        <v>22</v>
      </c>
      <c r="C6676">
        <v>8</v>
      </c>
      <c r="D6676">
        <v>11</v>
      </c>
      <c r="E6676">
        <f t="shared" si="104"/>
        <v>4.1867682814250558E-9</v>
      </c>
    </row>
    <row r="6677" spans="1:5" x14ac:dyDescent="0.25">
      <c r="A6677">
        <v>7</v>
      </c>
      <c r="B6677">
        <v>22</v>
      </c>
      <c r="C6677">
        <v>9</v>
      </c>
      <c r="D6677">
        <v>10</v>
      </c>
      <c r="E6677">
        <f t="shared" si="104"/>
        <v>1.9445212684840807E-8</v>
      </c>
    </row>
    <row r="6678" spans="1:5" x14ac:dyDescent="0.25">
      <c r="A6678">
        <v>7</v>
      </c>
      <c r="B6678">
        <v>22</v>
      </c>
      <c r="C6678">
        <v>10</v>
      </c>
      <c r="D6678">
        <v>9</v>
      </c>
      <c r="E6678">
        <f t="shared" si="104"/>
        <v>6.8058244396942851E-8</v>
      </c>
    </row>
    <row r="6679" spans="1:5" x14ac:dyDescent="0.25">
      <c r="A6679">
        <v>7</v>
      </c>
      <c r="B6679">
        <v>22</v>
      </c>
      <c r="C6679">
        <v>11</v>
      </c>
      <c r="D6679">
        <v>8</v>
      </c>
      <c r="E6679">
        <f t="shared" si="104"/>
        <v>1.8015417634484873E-7</v>
      </c>
    </row>
    <row r="6680" spans="1:5" x14ac:dyDescent="0.25">
      <c r="A6680">
        <v>7</v>
      </c>
      <c r="B6680">
        <v>22</v>
      </c>
      <c r="C6680">
        <v>12</v>
      </c>
      <c r="D6680">
        <v>7</v>
      </c>
      <c r="E6680">
        <f t="shared" si="104"/>
        <v>3.6030835268969735E-7</v>
      </c>
    </row>
    <row r="6681" spans="1:5" x14ac:dyDescent="0.25">
      <c r="A6681">
        <v>7</v>
      </c>
      <c r="B6681">
        <v>22</v>
      </c>
      <c r="C6681">
        <v>13</v>
      </c>
      <c r="D6681">
        <v>6</v>
      </c>
      <c r="E6681">
        <f t="shared" si="104"/>
        <v>5.4119189816954544E-7</v>
      </c>
    </row>
    <row r="6682" spans="1:5" x14ac:dyDescent="0.25">
      <c r="A6682">
        <v>7</v>
      </c>
      <c r="B6682">
        <v>22</v>
      </c>
      <c r="C6682">
        <v>14</v>
      </c>
      <c r="D6682">
        <v>5</v>
      </c>
      <c r="E6682">
        <f t="shared" si="104"/>
        <v>6.0304240081749358E-7</v>
      </c>
    </row>
    <row r="6683" spans="1:5" x14ac:dyDescent="0.25">
      <c r="A6683">
        <v>7</v>
      </c>
      <c r="B6683">
        <v>22</v>
      </c>
      <c r="C6683">
        <v>15</v>
      </c>
      <c r="D6683">
        <v>4</v>
      </c>
      <c r="E6683">
        <f t="shared" si="104"/>
        <v>4.8817718161416142E-7</v>
      </c>
    </row>
    <row r="6684" spans="1:5" x14ac:dyDescent="0.25">
      <c r="A6684">
        <v>7</v>
      </c>
      <c r="B6684">
        <v>22</v>
      </c>
      <c r="C6684">
        <v>16</v>
      </c>
      <c r="D6684">
        <v>3</v>
      </c>
      <c r="E6684">
        <f t="shared" si="104"/>
        <v>2.773733986444099E-7</v>
      </c>
    </row>
    <row r="6685" spans="1:5" x14ac:dyDescent="0.25">
      <c r="A6685">
        <v>7</v>
      </c>
      <c r="B6685">
        <v>22</v>
      </c>
      <c r="C6685">
        <v>17</v>
      </c>
      <c r="D6685">
        <v>2</v>
      </c>
      <c r="E6685">
        <f t="shared" si="104"/>
        <v>1.0428104757219509E-7</v>
      </c>
    </row>
    <row r="6686" spans="1:5" x14ac:dyDescent="0.25">
      <c r="A6686">
        <v>7</v>
      </c>
      <c r="B6686">
        <v>22</v>
      </c>
      <c r="C6686">
        <v>18</v>
      </c>
      <c r="D6686">
        <v>1</v>
      </c>
      <c r="E6686">
        <f t="shared" si="104"/>
        <v>2.3173566127154439E-8</v>
      </c>
    </row>
    <row r="6687" spans="1:5" x14ac:dyDescent="0.25">
      <c r="A6687">
        <v>7</v>
      </c>
      <c r="B6687">
        <v>22</v>
      </c>
      <c r="C6687">
        <v>19</v>
      </c>
      <c r="D6687">
        <v>0</v>
      </c>
      <c r="E6687">
        <f t="shared" si="104"/>
        <v>2.2929633852131773E-9</v>
      </c>
    </row>
    <row r="6688" spans="1:5" x14ac:dyDescent="0.25">
      <c r="A6688">
        <v>7</v>
      </c>
      <c r="B6688">
        <v>23</v>
      </c>
      <c r="C6688">
        <v>0</v>
      </c>
      <c r="D6688">
        <v>18</v>
      </c>
      <c r="E6688">
        <f t="shared" si="104"/>
        <v>1.038457500175917E-18</v>
      </c>
    </row>
    <row r="6689" spans="1:5" x14ac:dyDescent="0.25">
      <c r="A6689">
        <v>7</v>
      </c>
      <c r="B6689">
        <v>23</v>
      </c>
      <c r="C6689">
        <v>1</v>
      </c>
      <c r="D6689">
        <v>17</v>
      </c>
      <c r="E6689">
        <f t="shared" si="104"/>
        <v>1.5187440940072785E-16</v>
      </c>
    </row>
    <row r="6690" spans="1:5" x14ac:dyDescent="0.25">
      <c r="A6690">
        <v>7</v>
      </c>
      <c r="B6690">
        <v>23</v>
      </c>
      <c r="C6690">
        <v>2</v>
      </c>
      <c r="D6690">
        <v>16</v>
      </c>
      <c r="E6690">
        <f t="shared" si="104"/>
        <v>9.1799643015551038E-15</v>
      </c>
    </row>
    <row r="6691" spans="1:5" x14ac:dyDescent="0.25">
      <c r="A6691">
        <v>7</v>
      </c>
      <c r="B6691">
        <v>23</v>
      </c>
      <c r="C6691">
        <v>3</v>
      </c>
      <c r="D6691">
        <v>15</v>
      </c>
      <c r="E6691">
        <f t="shared" si="104"/>
        <v>3.0844680053225148E-13</v>
      </c>
    </row>
    <row r="6692" spans="1:5" x14ac:dyDescent="0.25">
      <c r="A6692">
        <v>7</v>
      </c>
      <c r="B6692">
        <v>23</v>
      </c>
      <c r="C6692">
        <v>4</v>
      </c>
      <c r="D6692">
        <v>14</v>
      </c>
      <c r="E6692">
        <f t="shared" si="104"/>
        <v>6.5194437385225888E-12</v>
      </c>
    </row>
    <row r="6693" spans="1:5" x14ac:dyDescent="0.25">
      <c r="A6693">
        <v>7</v>
      </c>
      <c r="B6693">
        <v>23</v>
      </c>
      <c r="C6693">
        <v>5</v>
      </c>
      <c r="D6693">
        <v>13</v>
      </c>
      <c r="E6693">
        <f t="shared" si="104"/>
        <v>9.2793415878304857E-11</v>
      </c>
    </row>
    <row r="6694" spans="1:5" x14ac:dyDescent="0.25">
      <c r="A6694">
        <v>7</v>
      </c>
      <c r="B6694">
        <v>23</v>
      </c>
      <c r="C6694">
        <v>6</v>
      </c>
      <c r="D6694">
        <v>12</v>
      </c>
      <c r="E6694">
        <f t="shared" si="104"/>
        <v>9.2793415878304862E-10</v>
      </c>
    </row>
    <row r="6695" spans="1:5" x14ac:dyDescent="0.25">
      <c r="A6695">
        <v>7</v>
      </c>
      <c r="B6695">
        <v>23</v>
      </c>
      <c r="C6695">
        <v>7</v>
      </c>
      <c r="D6695">
        <v>11</v>
      </c>
      <c r="E6695">
        <f t="shared" si="104"/>
        <v>6.7038508614122267E-9</v>
      </c>
    </row>
    <row r="6696" spans="1:5" x14ac:dyDescent="0.25">
      <c r="A6696">
        <v>7</v>
      </c>
      <c r="B6696">
        <v>23</v>
      </c>
      <c r="C6696">
        <v>8</v>
      </c>
      <c r="D6696">
        <v>10</v>
      </c>
      <c r="E6696">
        <f t="shared" si="104"/>
        <v>3.5642140413175009E-8</v>
      </c>
    </row>
    <row r="6697" spans="1:5" x14ac:dyDescent="0.25">
      <c r="A6697">
        <v>7</v>
      </c>
      <c r="B6697">
        <v>23</v>
      </c>
      <c r="C6697">
        <v>9</v>
      </c>
      <c r="D6697">
        <v>9</v>
      </c>
      <c r="E6697">
        <f t="shared" si="104"/>
        <v>1.4108347246881774E-7</v>
      </c>
    </row>
    <row r="6698" spans="1:5" x14ac:dyDescent="0.25">
      <c r="A6698">
        <v>7</v>
      </c>
      <c r="B6698">
        <v>23</v>
      </c>
      <c r="C6698">
        <v>10</v>
      </c>
      <c r="D6698">
        <v>8</v>
      </c>
      <c r="E6698">
        <f t="shared" si="104"/>
        <v>4.1827100073108322E-7</v>
      </c>
    </row>
    <row r="6699" spans="1:5" x14ac:dyDescent="0.25">
      <c r="A6699">
        <v>7</v>
      </c>
      <c r="B6699">
        <v>23</v>
      </c>
      <c r="C6699">
        <v>11</v>
      </c>
      <c r="D6699">
        <v>7</v>
      </c>
      <c r="E6699">
        <f t="shared" si="104"/>
        <v>9.2949111273574087E-7</v>
      </c>
    </row>
    <row r="6700" spans="1:5" x14ac:dyDescent="0.25">
      <c r="A6700">
        <v>7</v>
      </c>
      <c r="B6700">
        <v>23</v>
      </c>
      <c r="C6700">
        <v>12</v>
      </c>
      <c r="D6700">
        <v>6</v>
      </c>
      <c r="E6700">
        <f t="shared" si="104"/>
        <v>1.5409984237460953E-6</v>
      </c>
    </row>
    <row r="6701" spans="1:5" x14ac:dyDescent="0.25">
      <c r="A6701">
        <v>7</v>
      </c>
      <c r="B6701">
        <v>23</v>
      </c>
      <c r="C6701">
        <v>13</v>
      </c>
      <c r="D6701">
        <v>5</v>
      </c>
      <c r="E6701">
        <f t="shared" si="104"/>
        <v>1.8847596105817632E-6</v>
      </c>
    </row>
    <row r="6702" spans="1:5" x14ac:dyDescent="0.25">
      <c r="A6702">
        <v>7</v>
      </c>
      <c r="B6702">
        <v>23</v>
      </c>
      <c r="C6702">
        <v>14</v>
      </c>
      <c r="D6702">
        <v>4</v>
      </c>
      <c r="E6702">
        <f t="shared" si="104"/>
        <v>1.6667942134396554E-6</v>
      </c>
    </row>
    <row r="6703" spans="1:5" x14ac:dyDescent="0.25">
      <c r="A6703">
        <v>7</v>
      </c>
      <c r="B6703">
        <v>23</v>
      </c>
      <c r="C6703">
        <v>15</v>
      </c>
      <c r="D6703">
        <v>3</v>
      </c>
      <c r="E6703">
        <f t="shared" si="104"/>
        <v>1.0303818773990592E-6</v>
      </c>
    </row>
    <row r="6704" spans="1:5" x14ac:dyDescent="0.25">
      <c r="A6704">
        <v>7</v>
      </c>
      <c r="B6704">
        <v>23</v>
      </c>
      <c r="C6704">
        <v>16</v>
      </c>
      <c r="D6704">
        <v>2</v>
      </c>
      <c r="E6704">
        <f t="shared" si="104"/>
        <v>4.1999261307026879E-7</v>
      </c>
    </row>
    <row r="6705" spans="1:5" x14ac:dyDescent="0.25">
      <c r="A6705">
        <v>7</v>
      </c>
      <c r="B6705">
        <v>23</v>
      </c>
      <c r="C6705">
        <v>17</v>
      </c>
      <c r="D6705">
        <v>1</v>
      </c>
      <c r="E6705">
        <f t="shared" si="104"/>
        <v>1.0088057862962342E-7</v>
      </c>
    </row>
    <row r="6706" spans="1:5" x14ac:dyDescent="0.25">
      <c r="A6706">
        <v>7</v>
      </c>
      <c r="B6706">
        <v>23</v>
      </c>
      <c r="C6706">
        <v>18</v>
      </c>
      <c r="D6706">
        <v>0</v>
      </c>
      <c r="E6706">
        <f t="shared" si="104"/>
        <v>1.0760595053826488E-8</v>
      </c>
    </row>
    <row r="6707" spans="1:5" x14ac:dyDescent="0.25">
      <c r="A6707">
        <v>7</v>
      </c>
      <c r="B6707">
        <v>24</v>
      </c>
      <c r="C6707">
        <v>0</v>
      </c>
      <c r="D6707">
        <v>17</v>
      </c>
      <c r="E6707">
        <f t="shared" si="104"/>
        <v>2.589653391063694E-17</v>
      </c>
    </row>
    <row r="6708" spans="1:5" x14ac:dyDescent="0.25">
      <c r="A6708">
        <v>7</v>
      </c>
      <c r="B6708">
        <v>24</v>
      </c>
      <c r="C6708">
        <v>1</v>
      </c>
      <c r="D6708">
        <v>16</v>
      </c>
      <c r="E6708">
        <f t="shared" si="104"/>
        <v>3.1795188856948684E-15</v>
      </c>
    </row>
    <row r="6709" spans="1:5" x14ac:dyDescent="0.25">
      <c r="A6709">
        <v>7</v>
      </c>
      <c r="B6709">
        <v>24</v>
      </c>
      <c r="C6709">
        <v>2</v>
      </c>
      <c r="D6709">
        <v>15</v>
      </c>
      <c r="E6709">
        <f t="shared" si="104"/>
        <v>1.6279136694757727E-13</v>
      </c>
    </row>
    <row r="6710" spans="1:5" x14ac:dyDescent="0.25">
      <c r="A6710">
        <v>7</v>
      </c>
      <c r="B6710">
        <v>24</v>
      </c>
      <c r="C6710">
        <v>3</v>
      </c>
      <c r="D6710">
        <v>14</v>
      </c>
      <c r="E6710">
        <f t="shared" si="104"/>
        <v>4.6617527807715311E-12</v>
      </c>
    </row>
    <row r="6711" spans="1:5" x14ac:dyDescent="0.25">
      <c r="A6711">
        <v>7</v>
      </c>
      <c r="B6711">
        <v>24</v>
      </c>
      <c r="C6711">
        <v>4</v>
      </c>
      <c r="D6711">
        <v>13</v>
      </c>
      <c r="E6711">
        <f t="shared" si="104"/>
        <v>8.4300029452285201E-11</v>
      </c>
    </row>
    <row r="6712" spans="1:5" x14ac:dyDescent="0.25">
      <c r="A6712">
        <v>7</v>
      </c>
      <c r="B6712">
        <v>24</v>
      </c>
      <c r="C6712">
        <v>5</v>
      </c>
      <c r="D6712">
        <v>12</v>
      </c>
      <c r="E6712">
        <f t="shared" si="104"/>
        <v>1.0284603593178797E-9</v>
      </c>
    </row>
    <row r="6713" spans="1:5" x14ac:dyDescent="0.25">
      <c r="A6713">
        <v>7</v>
      </c>
      <c r="B6713">
        <v>24</v>
      </c>
      <c r="C6713">
        <v>6</v>
      </c>
      <c r="D6713">
        <v>11</v>
      </c>
      <c r="E6713">
        <f t="shared" si="104"/>
        <v>8.8153745084389646E-9</v>
      </c>
    </row>
    <row r="6714" spans="1:5" x14ac:dyDescent="0.25">
      <c r="A6714">
        <v>7</v>
      </c>
      <c r="B6714">
        <v>24</v>
      </c>
      <c r="C6714">
        <v>7</v>
      </c>
      <c r="D6714">
        <v>10</v>
      </c>
      <c r="E6714">
        <f t="shared" si="104"/>
        <v>5.448741005692274E-8</v>
      </c>
    </row>
    <row r="6715" spans="1:5" x14ac:dyDescent="0.25">
      <c r="A6715">
        <v>7</v>
      </c>
      <c r="B6715">
        <v>24</v>
      </c>
      <c r="C6715">
        <v>8</v>
      </c>
      <c r="D6715">
        <v>9</v>
      </c>
      <c r="E6715">
        <f t="shared" si="104"/>
        <v>2.4689607682043127E-7</v>
      </c>
    </row>
    <row r="6716" spans="1:5" x14ac:dyDescent="0.25">
      <c r="A6716">
        <v>7</v>
      </c>
      <c r="B6716">
        <v>24</v>
      </c>
      <c r="C6716">
        <v>9</v>
      </c>
      <c r="D6716">
        <v>8</v>
      </c>
      <c r="E6716">
        <f t="shared" si="104"/>
        <v>8.2782802228026927E-7</v>
      </c>
    </row>
    <row r="6717" spans="1:5" x14ac:dyDescent="0.25">
      <c r="A6717">
        <v>7</v>
      </c>
      <c r="B6717">
        <v>24</v>
      </c>
      <c r="C6717">
        <v>10</v>
      </c>
      <c r="D6717">
        <v>7</v>
      </c>
      <c r="E6717">
        <f t="shared" si="104"/>
        <v>2.0603719665642268E-6</v>
      </c>
    </row>
    <row r="6718" spans="1:5" x14ac:dyDescent="0.25">
      <c r="A6718">
        <v>7</v>
      </c>
      <c r="B6718">
        <v>24</v>
      </c>
      <c r="C6718">
        <v>11</v>
      </c>
      <c r="D6718">
        <v>6</v>
      </c>
      <c r="E6718">
        <f t="shared" si="104"/>
        <v>3.7954220436709426E-6</v>
      </c>
    </row>
    <row r="6719" spans="1:5" x14ac:dyDescent="0.25">
      <c r="A6719">
        <v>7</v>
      </c>
      <c r="B6719">
        <v>24</v>
      </c>
      <c r="C6719">
        <v>12</v>
      </c>
      <c r="D6719">
        <v>5</v>
      </c>
      <c r="E6719">
        <f t="shared" si="104"/>
        <v>5.1238197589557698E-6</v>
      </c>
    </row>
    <row r="6720" spans="1:5" x14ac:dyDescent="0.25">
      <c r="A6720">
        <v>7</v>
      </c>
      <c r="B6720">
        <v>24</v>
      </c>
      <c r="C6720">
        <v>13</v>
      </c>
      <c r="D6720">
        <v>4</v>
      </c>
      <c r="E6720">
        <f t="shared" si="104"/>
        <v>4.9736711945907689E-6</v>
      </c>
    </row>
    <row r="6721" spans="1:5" x14ac:dyDescent="0.25">
      <c r="A6721">
        <v>7</v>
      </c>
      <c r="B6721">
        <v>24</v>
      </c>
      <c r="C6721">
        <v>14</v>
      </c>
      <c r="D6721">
        <v>3</v>
      </c>
      <c r="E6721">
        <f t="shared" si="104"/>
        <v>3.3588428846587016E-6</v>
      </c>
    </row>
    <row r="6722" spans="1:5" x14ac:dyDescent="0.25">
      <c r="A6722">
        <v>7</v>
      </c>
      <c r="B6722">
        <v>24</v>
      </c>
      <c r="C6722">
        <v>15</v>
      </c>
      <c r="D6722">
        <v>2</v>
      </c>
      <c r="E6722">
        <f t="shared" si="104"/>
        <v>1.4895738010225538E-6</v>
      </c>
    </row>
    <row r="6723" spans="1:5" x14ac:dyDescent="0.25">
      <c r="A6723">
        <v>7</v>
      </c>
      <c r="B6723">
        <v>24</v>
      </c>
      <c r="C6723">
        <v>16</v>
      </c>
      <c r="D6723">
        <v>1</v>
      </c>
      <c r="E6723">
        <f t="shared" si="104"/>
        <v>3.8790984401629014E-7</v>
      </c>
    </row>
    <row r="6724" spans="1:5" x14ac:dyDescent="0.25">
      <c r="A6724">
        <v>7</v>
      </c>
      <c r="B6724">
        <v>24</v>
      </c>
      <c r="C6724">
        <v>17</v>
      </c>
      <c r="D6724">
        <v>0</v>
      </c>
      <c r="E6724">
        <f t="shared" si="104"/>
        <v>4.4723723192466418E-8</v>
      </c>
    </row>
    <row r="6725" spans="1:5" x14ac:dyDescent="0.25">
      <c r="A6725">
        <v>7</v>
      </c>
      <c r="B6725">
        <v>25</v>
      </c>
      <c r="C6725">
        <v>0</v>
      </c>
      <c r="D6725">
        <v>16</v>
      </c>
      <c r="E6725">
        <f t="shared" si="104"/>
        <v>5.1850615674408648E-16</v>
      </c>
    </row>
    <row r="6726" spans="1:5" x14ac:dyDescent="0.25">
      <c r="A6726">
        <v>7</v>
      </c>
      <c r="B6726">
        <v>25</v>
      </c>
      <c r="C6726">
        <v>1</v>
      </c>
      <c r="D6726">
        <v>15</v>
      </c>
      <c r="E6726">
        <f t="shared" si="104"/>
        <v>5.3924640301384987E-14</v>
      </c>
    </row>
    <row r="6727" spans="1:5" x14ac:dyDescent="0.25">
      <c r="A6727">
        <v>7</v>
      </c>
      <c r="B6727">
        <v>25</v>
      </c>
      <c r="C6727">
        <v>2</v>
      </c>
      <c r="D6727">
        <v>14</v>
      </c>
      <c r="E6727">
        <f t="shared" si="104"/>
        <v>2.3530752131513449E-12</v>
      </c>
    </row>
    <row r="6728" spans="1:5" x14ac:dyDescent="0.25">
      <c r="A6728">
        <v>7</v>
      </c>
      <c r="B6728">
        <v>25</v>
      </c>
      <c r="C6728">
        <v>3</v>
      </c>
      <c r="D6728">
        <v>13</v>
      </c>
      <c r="E6728">
        <f t="shared" si="104"/>
        <v>5.7650342722207961E-11</v>
      </c>
    </row>
    <row r="6729" spans="1:5" x14ac:dyDescent="0.25">
      <c r="A6729">
        <v>7</v>
      </c>
      <c r="B6729">
        <v>25</v>
      </c>
      <c r="C6729">
        <v>4</v>
      </c>
      <c r="D6729">
        <v>12</v>
      </c>
      <c r="E6729">
        <f t="shared" si="104"/>
        <v>8.9358031219422341E-10</v>
      </c>
    </row>
    <row r="6730" spans="1:5" x14ac:dyDescent="0.25">
      <c r="A6730">
        <v>7</v>
      </c>
      <c r="B6730">
        <v>25</v>
      </c>
      <c r="C6730">
        <v>5</v>
      </c>
      <c r="D6730">
        <v>11</v>
      </c>
      <c r="E6730">
        <f t="shared" si="104"/>
        <v>9.3442969789453065E-9</v>
      </c>
    </row>
    <row r="6731" spans="1:5" x14ac:dyDescent="0.25">
      <c r="A6731">
        <v>7</v>
      </c>
      <c r="B6731">
        <v>25</v>
      </c>
      <c r="C6731">
        <v>6</v>
      </c>
      <c r="D6731">
        <v>10</v>
      </c>
      <c r="E6731">
        <f t="shared" si="104"/>
        <v>6.8524844512265571E-8</v>
      </c>
    </row>
    <row r="6732" spans="1:5" x14ac:dyDescent="0.25">
      <c r="A6732">
        <v>7</v>
      </c>
      <c r="B6732">
        <v>25</v>
      </c>
      <c r="C6732">
        <v>7</v>
      </c>
      <c r="D6732">
        <v>9</v>
      </c>
      <c r="E6732">
        <f t="shared" si="104"/>
        <v>3.6097909162711331E-7</v>
      </c>
    </row>
    <row r="6733" spans="1:5" x14ac:dyDescent="0.25">
      <c r="A6733">
        <v>7</v>
      </c>
      <c r="B6733">
        <v>25</v>
      </c>
      <c r="C6733">
        <v>8</v>
      </c>
      <c r="D6733">
        <v>8</v>
      </c>
      <c r="E6733">
        <f t="shared" si="104"/>
        <v>1.3855226899217145E-6</v>
      </c>
    </row>
    <row r="6734" spans="1:5" x14ac:dyDescent="0.25">
      <c r="A6734">
        <v>7</v>
      </c>
      <c r="B6734">
        <v>25</v>
      </c>
      <c r="C6734">
        <v>9</v>
      </c>
      <c r="D6734">
        <v>7</v>
      </c>
      <c r="E6734">
        <f t="shared" ref="E6734:E6797" si="105">COMBIN(A$4,A6734)*COMBIN(B$4,B6734)*COMBIN(C$4,C6734)*COMBIN(D$4,D6734)/COMBIN($G$4,$F$4)</f>
        <v>3.8999897938537157E-6</v>
      </c>
    </row>
    <row r="6735" spans="1:5" x14ac:dyDescent="0.25">
      <c r="A6735">
        <v>7</v>
      </c>
      <c r="B6735">
        <v>25</v>
      </c>
      <c r="C6735">
        <v>10</v>
      </c>
      <c r="D6735">
        <v>6</v>
      </c>
      <c r="E6735">
        <f t="shared" si="105"/>
        <v>8.0462947325824007E-6</v>
      </c>
    </row>
    <row r="6736" spans="1:5" x14ac:dyDescent="0.25">
      <c r="A6736">
        <v>7</v>
      </c>
      <c r="B6736">
        <v>25</v>
      </c>
      <c r="C6736">
        <v>11</v>
      </c>
      <c r="D6736">
        <v>5</v>
      </c>
      <c r="E6736">
        <f t="shared" si="105"/>
        <v>1.2069442098873602E-5</v>
      </c>
    </row>
    <row r="6737" spans="1:5" x14ac:dyDescent="0.25">
      <c r="A6737">
        <v>7</v>
      </c>
      <c r="B6737">
        <v>25</v>
      </c>
      <c r="C6737">
        <v>12</v>
      </c>
      <c r="D6737">
        <v>4</v>
      </c>
      <c r="E6737">
        <f t="shared" si="105"/>
        <v>1.2931545105935998E-5</v>
      </c>
    </row>
    <row r="6738" spans="1:5" x14ac:dyDescent="0.25">
      <c r="A6738">
        <v>7</v>
      </c>
      <c r="B6738">
        <v>25</v>
      </c>
      <c r="C6738">
        <v>13</v>
      </c>
      <c r="D6738">
        <v>3</v>
      </c>
      <c r="E6738">
        <f t="shared" si="105"/>
        <v>9.5856208477567554E-6</v>
      </c>
    </row>
    <row r="6739" spans="1:5" x14ac:dyDescent="0.25">
      <c r="A6739">
        <v>7</v>
      </c>
      <c r="B6739">
        <v>25</v>
      </c>
      <c r="C6739">
        <v>14</v>
      </c>
      <c r="D6739">
        <v>2</v>
      </c>
      <c r="E6739">
        <f t="shared" si="105"/>
        <v>4.6439653796585535E-6</v>
      </c>
    </row>
    <row r="6740" spans="1:5" x14ac:dyDescent="0.25">
      <c r="A6740">
        <v>7</v>
      </c>
      <c r="B6740">
        <v>25</v>
      </c>
      <c r="C6740">
        <v>15</v>
      </c>
      <c r="D6740">
        <v>1</v>
      </c>
      <c r="E6740">
        <f t="shared" si="105"/>
        <v>1.3157901909032562E-6</v>
      </c>
    </row>
    <row r="6741" spans="1:5" x14ac:dyDescent="0.25">
      <c r="A6741">
        <v>7</v>
      </c>
      <c r="B6741">
        <v>25</v>
      </c>
      <c r="C6741">
        <v>16</v>
      </c>
      <c r="D6741">
        <v>0</v>
      </c>
      <c r="E6741">
        <f t="shared" si="105"/>
        <v>1.6447377386290708E-7</v>
      </c>
    </row>
    <row r="6742" spans="1:5" x14ac:dyDescent="0.25">
      <c r="A6742">
        <v>7</v>
      </c>
      <c r="B6742">
        <v>26</v>
      </c>
      <c r="C6742">
        <v>0</v>
      </c>
      <c r="D6742">
        <v>15</v>
      </c>
      <c r="E6742">
        <f t="shared" si="105"/>
        <v>8.4237307926423819E-15</v>
      </c>
    </row>
    <row r="6743" spans="1:5" x14ac:dyDescent="0.25">
      <c r="A6743">
        <v>7</v>
      </c>
      <c r="B6743">
        <v>26</v>
      </c>
      <c r="C6743">
        <v>1</v>
      </c>
      <c r="D6743">
        <v>14</v>
      </c>
      <c r="E6743">
        <f t="shared" si="105"/>
        <v>7.46648865711484E-13</v>
      </c>
    </row>
    <row r="6744" spans="1:5" x14ac:dyDescent="0.25">
      <c r="A6744">
        <v>7</v>
      </c>
      <c r="B6744">
        <v>26</v>
      </c>
      <c r="C6744">
        <v>2</v>
      </c>
      <c r="D6744">
        <v>13</v>
      </c>
      <c r="E6744">
        <f t="shared" si="105"/>
        <v>2.7874890986562075E-11</v>
      </c>
    </row>
    <row r="6745" spans="1:5" x14ac:dyDescent="0.25">
      <c r="A6745">
        <v>7</v>
      </c>
      <c r="B6745">
        <v>26</v>
      </c>
      <c r="C6745">
        <v>3</v>
      </c>
      <c r="D6745">
        <v>12</v>
      </c>
      <c r="E6745">
        <f t="shared" si="105"/>
        <v>5.8537271071780365E-10</v>
      </c>
    </row>
    <row r="6746" spans="1:5" x14ac:dyDescent="0.25">
      <c r="A6746">
        <v>7</v>
      </c>
      <c r="B6746">
        <v>26</v>
      </c>
      <c r="C6746">
        <v>4</v>
      </c>
      <c r="D6746">
        <v>11</v>
      </c>
      <c r="E6746">
        <f t="shared" si="105"/>
        <v>7.7770945852508166E-9</v>
      </c>
    </row>
    <row r="6747" spans="1:5" x14ac:dyDescent="0.25">
      <c r="A6747">
        <v>7</v>
      </c>
      <c r="B6747">
        <v>26</v>
      </c>
      <c r="C6747">
        <v>5</v>
      </c>
      <c r="D6747">
        <v>10</v>
      </c>
      <c r="E6747">
        <f t="shared" si="105"/>
        <v>6.9579072889377303E-8</v>
      </c>
    </row>
    <row r="6748" spans="1:5" x14ac:dyDescent="0.25">
      <c r="A6748">
        <v>7</v>
      </c>
      <c r="B6748">
        <v>26</v>
      </c>
      <c r="C6748">
        <v>6</v>
      </c>
      <c r="D6748">
        <v>9</v>
      </c>
      <c r="E6748">
        <f t="shared" si="105"/>
        <v>4.3486920555860823E-7</v>
      </c>
    </row>
    <row r="6749" spans="1:5" x14ac:dyDescent="0.25">
      <c r="A6749">
        <v>7</v>
      </c>
      <c r="B6749">
        <v>26</v>
      </c>
      <c r="C6749">
        <v>7</v>
      </c>
      <c r="D6749">
        <v>8</v>
      </c>
      <c r="E6749">
        <f t="shared" si="105"/>
        <v>1.9404667911900922E-6</v>
      </c>
    </row>
    <row r="6750" spans="1:5" x14ac:dyDescent="0.25">
      <c r="A6750">
        <v>7</v>
      </c>
      <c r="B6750">
        <v>26</v>
      </c>
      <c r="C6750">
        <v>8</v>
      </c>
      <c r="D6750">
        <v>7</v>
      </c>
      <c r="E6750">
        <f t="shared" si="105"/>
        <v>6.2526152160569657E-6</v>
      </c>
    </row>
    <row r="6751" spans="1:5" x14ac:dyDescent="0.25">
      <c r="A6751">
        <v>7</v>
      </c>
      <c r="B6751">
        <v>26</v>
      </c>
      <c r="C6751">
        <v>9</v>
      </c>
      <c r="D6751">
        <v>6</v>
      </c>
      <c r="E6751">
        <f t="shared" si="105"/>
        <v>1.4589435504132913E-5</v>
      </c>
    </row>
    <row r="6752" spans="1:5" x14ac:dyDescent="0.25">
      <c r="A6752">
        <v>7</v>
      </c>
      <c r="B6752">
        <v>26</v>
      </c>
      <c r="C6752">
        <v>10</v>
      </c>
      <c r="D6752">
        <v>5</v>
      </c>
      <c r="E6752">
        <f t="shared" si="105"/>
        <v>2.4510251646943298E-5</v>
      </c>
    </row>
    <row r="6753" spans="1:5" x14ac:dyDescent="0.25">
      <c r="A6753">
        <v>7</v>
      </c>
      <c r="B6753">
        <v>26</v>
      </c>
      <c r="C6753">
        <v>11</v>
      </c>
      <c r="D6753">
        <v>4</v>
      </c>
      <c r="E6753">
        <f t="shared" si="105"/>
        <v>2.9178871008265842E-5</v>
      </c>
    </row>
    <row r="6754" spans="1:5" x14ac:dyDescent="0.25">
      <c r="A6754">
        <v>7</v>
      </c>
      <c r="B6754">
        <v>26</v>
      </c>
      <c r="C6754">
        <v>12</v>
      </c>
      <c r="D6754">
        <v>3</v>
      </c>
      <c r="E6754">
        <f t="shared" si="105"/>
        <v>2.3873621734035668E-5</v>
      </c>
    </row>
    <row r="6755" spans="1:5" x14ac:dyDescent="0.25">
      <c r="A6755">
        <v>7</v>
      </c>
      <c r="B6755">
        <v>26</v>
      </c>
      <c r="C6755">
        <v>13</v>
      </c>
      <c r="D6755">
        <v>2</v>
      </c>
      <c r="E6755">
        <f t="shared" si="105"/>
        <v>1.2695337310072487E-5</v>
      </c>
    </row>
    <row r="6756" spans="1:5" x14ac:dyDescent="0.25">
      <c r="A6756">
        <v>7</v>
      </c>
      <c r="B6756">
        <v>26</v>
      </c>
      <c r="C6756">
        <v>14</v>
      </c>
      <c r="D6756">
        <v>1</v>
      </c>
      <c r="E6756">
        <f t="shared" si="105"/>
        <v>3.9295091674033886E-6</v>
      </c>
    </row>
    <row r="6757" spans="1:5" x14ac:dyDescent="0.25">
      <c r="A6757">
        <v>7</v>
      </c>
      <c r="B6757">
        <v>26</v>
      </c>
      <c r="C6757">
        <v>15</v>
      </c>
      <c r="D6757">
        <v>0</v>
      </c>
      <c r="E6757">
        <f t="shared" si="105"/>
        <v>5.3441324676686064E-7</v>
      </c>
    </row>
    <row r="6758" spans="1:5" x14ac:dyDescent="0.25">
      <c r="A6758">
        <v>7</v>
      </c>
      <c r="B6758">
        <v>27</v>
      </c>
      <c r="C6758">
        <v>0</v>
      </c>
      <c r="D6758">
        <v>14</v>
      </c>
      <c r="E6758">
        <f t="shared" si="105"/>
        <v>1.1189096961944173E-13</v>
      </c>
    </row>
    <row r="6759" spans="1:5" x14ac:dyDescent="0.25">
      <c r="A6759">
        <v>7</v>
      </c>
      <c r="B6759">
        <v>27</v>
      </c>
      <c r="C6759">
        <v>1</v>
      </c>
      <c r="D6759">
        <v>13</v>
      </c>
      <c r="E6759">
        <f t="shared" si="105"/>
        <v>8.4850651961409997E-12</v>
      </c>
    </row>
    <row r="6760" spans="1:5" x14ac:dyDescent="0.25">
      <c r="A6760">
        <v>7</v>
      </c>
      <c r="B6760">
        <v>27</v>
      </c>
      <c r="C6760">
        <v>2</v>
      </c>
      <c r="D6760">
        <v>12</v>
      </c>
      <c r="E6760">
        <f t="shared" si="105"/>
        <v>2.7152208627651199E-10</v>
      </c>
    </row>
    <row r="6761" spans="1:5" x14ac:dyDescent="0.25">
      <c r="A6761">
        <v>7</v>
      </c>
      <c r="B6761">
        <v>27</v>
      </c>
      <c r="C6761">
        <v>3</v>
      </c>
      <c r="D6761">
        <v>11</v>
      </c>
      <c r="E6761">
        <f t="shared" si="105"/>
        <v>4.8873975529772153E-9</v>
      </c>
    </row>
    <row r="6762" spans="1:5" x14ac:dyDescent="0.25">
      <c r="A6762">
        <v>7</v>
      </c>
      <c r="B6762">
        <v>27</v>
      </c>
      <c r="C6762">
        <v>4</v>
      </c>
      <c r="D6762">
        <v>10</v>
      </c>
      <c r="E6762">
        <f t="shared" si="105"/>
        <v>5.5553418852174333E-8</v>
      </c>
    </row>
    <row r="6763" spans="1:5" x14ac:dyDescent="0.25">
      <c r="A6763">
        <v>7</v>
      </c>
      <c r="B6763">
        <v>27</v>
      </c>
      <c r="C6763">
        <v>5</v>
      </c>
      <c r="D6763">
        <v>9</v>
      </c>
      <c r="E6763">
        <f t="shared" si="105"/>
        <v>4.2359481874782946E-7</v>
      </c>
    </row>
    <row r="6764" spans="1:5" x14ac:dyDescent="0.25">
      <c r="A6764">
        <v>7</v>
      </c>
      <c r="B6764">
        <v>27</v>
      </c>
      <c r="C6764">
        <v>6</v>
      </c>
      <c r="D6764">
        <v>8</v>
      </c>
      <c r="E6764">
        <f t="shared" si="105"/>
        <v>2.2425608051355671E-6</v>
      </c>
    </row>
    <row r="6765" spans="1:5" x14ac:dyDescent="0.25">
      <c r="A6765">
        <v>7</v>
      </c>
      <c r="B6765">
        <v>27</v>
      </c>
      <c r="C6765">
        <v>7</v>
      </c>
      <c r="D6765">
        <v>7</v>
      </c>
      <c r="E6765">
        <f t="shared" si="105"/>
        <v>8.4007039684443483E-6</v>
      </c>
    </row>
    <row r="6766" spans="1:5" x14ac:dyDescent="0.25">
      <c r="A6766">
        <v>7</v>
      </c>
      <c r="B6766">
        <v>27</v>
      </c>
      <c r="C6766">
        <v>8</v>
      </c>
      <c r="D6766">
        <v>6</v>
      </c>
      <c r="E6766">
        <f t="shared" si="105"/>
        <v>2.2438722442028981E-5</v>
      </c>
    </row>
    <row r="6767" spans="1:5" x14ac:dyDescent="0.25">
      <c r="A6767">
        <v>7</v>
      </c>
      <c r="B6767">
        <v>27</v>
      </c>
      <c r="C6767">
        <v>9</v>
      </c>
      <c r="D6767">
        <v>5</v>
      </c>
      <c r="E6767">
        <f t="shared" si="105"/>
        <v>4.2633572639855053E-5</v>
      </c>
    </row>
    <row r="6768" spans="1:5" x14ac:dyDescent="0.25">
      <c r="A6768">
        <v>7</v>
      </c>
      <c r="B6768">
        <v>27</v>
      </c>
      <c r="C6768">
        <v>10</v>
      </c>
      <c r="D6768">
        <v>4</v>
      </c>
      <c r="E6768">
        <f t="shared" si="105"/>
        <v>5.6844763519806766E-5</v>
      </c>
    </row>
    <row r="6769" spans="1:5" x14ac:dyDescent="0.25">
      <c r="A6769">
        <v>7</v>
      </c>
      <c r="B6769">
        <v>27</v>
      </c>
      <c r="C6769">
        <v>11</v>
      </c>
      <c r="D6769">
        <v>3</v>
      </c>
      <c r="E6769">
        <f t="shared" si="105"/>
        <v>5.1677057745278875E-5</v>
      </c>
    </row>
    <row r="6770" spans="1:5" x14ac:dyDescent="0.25">
      <c r="A6770">
        <v>7</v>
      </c>
      <c r="B6770">
        <v>27</v>
      </c>
      <c r="C6770">
        <v>12</v>
      </c>
      <c r="D6770">
        <v>2</v>
      </c>
      <c r="E6770">
        <f t="shared" si="105"/>
        <v>3.033218606788106E-5</v>
      </c>
    </row>
    <row r="6771" spans="1:5" x14ac:dyDescent="0.25">
      <c r="A6771">
        <v>7</v>
      </c>
      <c r="B6771">
        <v>27</v>
      </c>
      <c r="C6771">
        <v>13</v>
      </c>
      <c r="D6771">
        <v>1</v>
      </c>
      <c r="E6771">
        <f t="shared" si="105"/>
        <v>1.0305165779472415E-5</v>
      </c>
    </row>
    <row r="6772" spans="1:5" x14ac:dyDescent="0.25">
      <c r="A6772">
        <v>7</v>
      </c>
      <c r="B6772">
        <v>27</v>
      </c>
      <c r="C6772">
        <v>14</v>
      </c>
      <c r="D6772">
        <v>0</v>
      </c>
      <c r="E6772">
        <f t="shared" si="105"/>
        <v>1.5310532015216164E-6</v>
      </c>
    </row>
    <row r="6773" spans="1:5" x14ac:dyDescent="0.25">
      <c r="A6773">
        <v>7</v>
      </c>
      <c r="B6773">
        <v>28</v>
      </c>
      <c r="C6773">
        <v>0</v>
      </c>
      <c r="D6773">
        <v>13</v>
      </c>
      <c r="E6773">
        <f t="shared" si="105"/>
        <v>1.2214764183455738E-12</v>
      </c>
    </row>
    <row r="6774" spans="1:5" x14ac:dyDescent="0.25">
      <c r="A6774">
        <v>7</v>
      </c>
      <c r="B6774">
        <v>28</v>
      </c>
      <c r="C6774">
        <v>1</v>
      </c>
      <c r="D6774">
        <v>12</v>
      </c>
      <c r="E6774">
        <f t="shared" si="105"/>
        <v>7.9395967192462294E-11</v>
      </c>
    </row>
    <row r="6775" spans="1:5" x14ac:dyDescent="0.25">
      <c r="A6775">
        <v>7</v>
      </c>
      <c r="B6775">
        <v>28</v>
      </c>
      <c r="C6775">
        <v>2</v>
      </c>
      <c r="D6775">
        <v>11</v>
      </c>
      <c r="E6775">
        <f t="shared" si="105"/>
        <v>2.1777179572789652E-9</v>
      </c>
    </row>
    <row r="6776" spans="1:5" x14ac:dyDescent="0.25">
      <c r="A6776">
        <v>7</v>
      </c>
      <c r="B6776">
        <v>28</v>
      </c>
      <c r="C6776">
        <v>3</v>
      </c>
      <c r="D6776">
        <v>10</v>
      </c>
      <c r="E6776">
        <f t="shared" si="105"/>
        <v>3.3536856542096062E-8</v>
      </c>
    </row>
    <row r="6777" spans="1:5" x14ac:dyDescent="0.25">
      <c r="A6777">
        <v>7</v>
      </c>
      <c r="B6777">
        <v>28</v>
      </c>
      <c r="C6777">
        <v>4</v>
      </c>
      <c r="D6777">
        <v>9</v>
      </c>
      <c r="E6777">
        <f t="shared" si="105"/>
        <v>3.2488829775155561E-7</v>
      </c>
    </row>
    <row r="6778" spans="1:5" x14ac:dyDescent="0.25">
      <c r="A6778">
        <v>7</v>
      </c>
      <c r="B6778">
        <v>28</v>
      </c>
      <c r="C6778">
        <v>5</v>
      </c>
      <c r="D6778">
        <v>8</v>
      </c>
      <c r="E6778">
        <f t="shared" si="105"/>
        <v>2.0983961819482831E-6</v>
      </c>
    </row>
    <row r="6779" spans="1:5" x14ac:dyDescent="0.25">
      <c r="A6779">
        <v>7</v>
      </c>
      <c r="B6779">
        <v>28</v>
      </c>
      <c r="C6779">
        <v>6</v>
      </c>
      <c r="D6779">
        <v>7</v>
      </c>
      <c r="E6779">
        <f t="shared" si="105"/>
        <v>9.3262052531034812E-6</v>
      </c>
    </row>
    <row r="6780" spans="1:5" x14ac:dyDescent="0.25">
      <c r="A6780">
        <v>7</v>
      </c>
      <c r="B6780">
        <v>28</v>
      </c>
      <c r="C6780">
        <v>7</v>
      </c>
      <c r="D6780">
        <v>6</v>
      </c>
      <c r="E6780">
        <f t="shared" si="105"/>
        <v>2.896032157542659E-5</v>
      </c>
    </row>
    <row r="6781" spans="1:5" x14ac:dyDescent="0.25">
      <c r="A6781">
        <v>7</v>
      </c>
      <c r="B6781">
        <v>28</v>
      </c>
      <c r="C6781">
        <v>8</v>
      </c>
      <c r="D6781">
        <v>5</v>
      </c>
      <c r="E6781">
        <f t="shared" si="105"/>
        <v>6.2988699426552849E-5</v>
      </c>
    </row>
    <row r="6782" spans="1:5" x14ac:dyDescent="0.25">
      <c r="A6782">
        <v>7</v>
      </c>
      <c r="B6782">
        <v>28</v>
      </c>
      <c r="C6782">
        <v>9</v>
      </c>
      <c r="D6782">
        <v>4</v>
      </c>
      <c r="E6782">
        <f t="shared" si="105"/>
        <v>9.4982959452738429E-5</v>
      </c>
    </row>
    <row r="6783" spans="1:5" x14ac:dyDescent="0.25">
      <c r="A6783">
        <v>7</v>
      </c>
      <c r="B6783">
        <v>28</v>
      </c>
      <c r="C6783">
        <v>10</v>
      </c>
      <c r="D6783">
        <v>3</v>
      </c>
      <c r="E6783">
        <f t="shared" si="105"/>
        <v>9.6709922351879117E-5</v>
      </c>
    </row>
    <row r="6784" spans="1:5" x14ac:dyDescent="0.25">
      <c r="A6784">
        <v>7</v>
      </c>
      <c r="B6784">
        <v>28</v>
      </c>
      <c r="C6784">
        <v>11</v>
      </c>
      <c r="D6784">
        <v>2</v>
      </c>
      <c r="E6784">
        <f t="shared" si="105"/>
        <v>6.307168849035596E-5</v>
      </c>
    </row>
    <row r="6785" spans="1:5" x14ac:dyDescent="0.25">
      <c r="A6785">
        <v>7</v>
      </c>
      <c r="B6785">
        <v>28</v>
      </c>
      <c r="C6785">
        <v>12</v>
      </c>
      <c r="D6785">
        <v>1</v>
      </c>
      <c r="E6785">
        <f t="shared" si="105"/>
        <v>2.3651883183883467E-5</v>
      </c>
    </row>
    <row r="6786" spans="1:5" x14ac:dyDescent="0.25">
      <c r="A6786">
        <v>7</v>
      </c>
      <c r="B6786">
        <v>28</v>
      </c>
      <c r="C6786">
        <v>13</v>
      </c>
      <c r="D6786">
        <v>0</v>
      </c>
      <c r="E6786">
        <f t="shared" si="105"/>
        <v>3.8570763346025367E-6</v>
      </c>
    </row>
    <row r="6787" spans="1:5" x14ac:dyDescent="0.25">
      <c r="A6787">
        <v>7</v>
      </c>
      <c r="B6787">
        <v>29</v>
      </c>
      <c r="C6787">
        <v>0</v>
      </c>
      <c r="D6787">
        <v>12</v>
      </c>
      <c r="E6787">
        <f t="shared" si="105"/>
        <v>1.0993287765110152E-11</v>
      </c>
    </row>
    <row r="6788" spans="1:5" x14ac:dyDescent="0.25">
      <c r="A6788">
        <v>7</v>
      </c>
      <c r="B6788">
        <v>29</v>
      </c>
      <c r="C6788">
        <v>1</v>
      </c>
      <c r="D6788">
        <v>11</v>
      </c>
      <c r="E6788">
        <f t="shared" si="105"/>
        <v>6.1248317548470821E-10</v>
      </c>
    </row>
    <row r="6789" spans="1:5" x14ac:dyDescent="0.25">
      <c r="A6789">
        <v>7</v>
      </c>
      <c r="B6789">
        <v>29</v>
      </c>
      <c r="C6789">
        <v>2</v>
      </c>
      <c r="D6789">
        <v>10</v>
      </c>
      <c r="E6789">
        <f t="shared" si="105"/>
        <v>1.4372938518041153E-8</v>
      </c>
    </row>
    <row r="6790" spans="1:5" x14ac:dyDescent="0.25">
      <c r="A6790">
        <v>7</v>
      </c>
      <c r="B6790">
        <v>29</v>
      </c>
      <c r="C6790">
        <v>3</v>
      </c>
      <c r="D6790">
        <v>9</v>
      </c>
      <c r="E6790">
        <f t="shared" si="105"/>
        <v>1.8864481804929018E-7</v>
      </c>
    </row>
    <row r="6791" spans="1:5" x14ac:dyDescent="0.25">
      <c r="A6791">
        <v>7</v>
      </c>
      <c r="B6791">
        <v>29</v>
      </c>
      <c r="C6791">
        <v>4</v>
      </c>
      <c r="D6791">
        <v>8</v>
      </c>
      <c r="E6791">
        <f t="shared" si="105"/>
        <v>1.5479971834044693E-6</v>
      </c>
    </row>
    <row r="6792" spans="1:5" x14ac:dyDescent="0.25">
      <c r="A6792">
        <v>7</v>
      </c>
      <c r="B6792">
        <v>29</v>
      </c>
      <c r="C6792">
        <v>5</v>
      </c>
      <c r="D6792">
        <v>7</v>
      </c>
      <c r="E6792">
        <f t="shared" si="105"/>
        <v>8.3935847277931258E-6</v>
      </c>
    </row>
    <row r="6793" spans="1:5" x14ac:dyDescent="0.25">
      <c r="A6793">
        <v>7</v>
      </c>
      <c r="B6793">
        <v>29</v>
      </c>
      <c r="C6793">
        <v>6</v>
      </c>
      <c r="D6793">
        <v>6</v>
      </c>
      <c r="E6793">
        <f t="shared" si="105"/>
        <v>3.0923733207658869E-5</v>
      </c>
    </row>
    <row r="6794" spans="1:5" x14ac:dyDescent="0.25">
      <c r="A6794">
        <v>7</v>
      </c>
      <c r="B6794">
        <v>29</v>
      </c>
      <c r="C6794">
        <v>7</v>
      </c>
      <c r="D6794">
        <v>5</v>
      </c>
      <c r="E6794">
        <f t="shared" si="105"/>
        <v>7.8192868253651714E-5</v>
      </c>
    </row>
    <row r="6795" spans="1:5" x14ac:dyDescent="0.25">
      <c r="A6795">
        <v>7</v>
      </c>
      <c r="B6795">
        <v>29</v>
      </c>
      <c r="C6795">
        <v>8</v>
      </c>
      <c r="D6795">
        <v>4</v>
      </c>
      <c r="E6795">
        <f t="shared" si="105"/>
        <v>1.3497578448547028E-4</v>
      </c>
    </row>
    <row r="6796" spans="1:5" x14ac:dyDescent="0.25">
      <c r="A6796">
        <v>7</v>
      </c>
      <c r="B6796">
        <v>29</v>
      </c>
      <c r="C6796">
        <v>9</v>
      </c>
      <c r="D6796">
        <v>3</v>
      </c>
      <c r="E6796">
        <f t="shared" si="105"/>
        <v>1.5542666092266269E-4</v>
      </c>
    </row>
    <row r="6797" spans="1:5" x14ac:dyDescent="0.25">
      <c r="A6797">
        <v>7</v>
      </c>
      <c r="B6797">
        <v>29</v>
      </c>
      <c r="C6797">
        <v>10</v>
      </c>
      <c r="D6797">
        <v>2</v>
      </c>
      <c r="E6797">
        <f t="shared" si="105"/>
        <v>1.1352903928264059E-4</v>
      </c>
    </row>
    <row r="6798" spans="1:5" x14ac:dyDescent="0.25">
      <c r="A6798">
        <v>7</v>
      </c>
      <c r="B6798">
        <v>29</v>
      </c>
      <c r="C6798">
        <v>11</v>
      </c>
      <c r="D6798">
        <v>1</v>
      </c>
      <c r="E6798">
        <f t="shared" ref="E6798:E6861" si="106">COMBIN(A$4,A6798)*COMBIN(B$4,B6798)*COMBIN(C$4,C6798)*COMBIN(D$4,D6798)/COMBIN($G$4,$F$4)</f>
        <v>4.730376636776692E-5</v>
      </c>
    </row>
    <row r="6799" spans="1:5" x14ac:dyDescent="0.25">
      <c r="A6799">
        <v>7</v>
      </c>
      <c r="B6799">
        <v>29</v>
      </c>
      <c r="C6799">
        <v>12</v>
      </c>
      <c r="D6799">
        <v>0</v>
      </c>
      <c r="E6799">
        <f t="shared" si="106"/>
        <v>8.5146779461980391E-6</v>
      </c>
    </row>
    <row r="6800" spans="1:5" x14ac:dyDescent="0.25">
      <c r="A6800">
        <v>7</v>
      </c>
      <c r="B6800">
        <v>30</v>
      </c>
      <c r="C6800">
        <v>0</v>
      </c>
      <c r="D6800">
        <v>11</v>
      </c>
      <c r="E6800">
        <f t="shared" si="106"/>
        <v>8.1664423397961097E-11</v>
      </c>
    </row>
    <row r="6801" spans="1:5" x14ac:dyDescent="0.25">
      <c r="A6801">
        <v>7</v>
      </c>
      <c r="B6801">
        <v>30</v>
      </c>
      <c r="C6801">
        <v>1</v>
      </c>
      <c r="D6801">
        <v>10</v>
      </c>
      <c r="E6801">
        <f t="shared" si="106"/>
        <v>3.8926708486361452E-9</v>
      </c>
    </row>
    <row r="6802" spans="1:5" x14ac:dyDescent="0.25">
      <c r="A6802">
        <v>7</v>
      </c>
      <c r="B6802">
        <v>30</v>
      </c>
      <c r="C6802">
        <v>2</v>
      </c>
      <c r="D6802">
        <v>9</v>
      </c>
      <c r="E6802">
        <f t="shared" si="106"/>
        <v>7.7853416972722925E-8</v>
      </c>
    </row>
    <row r="6803" spans="1:5" x14ac:dyDescent="0.25">
      <c r="A6803">
        <v>7</v>
      </c>
      <c r="B6803">
        <v>30</v>
      </c>
      <c r="C6803">
        <v>3</v>
      </c>
      <c r="D6803">
        <v>8</v>
      </c>
      <c r="E6803">
        <f t="shared" si="106"/>
        <v>8.6554681222615483E-7</v>
      </c>
    </row>
    <row r="6804" spans="1:5" x14ac:dyDescent="0.25">
      <c r="A6804">
        <v>7</v>
      </c>
      <c r="B6804">
        <v>30</v>
      </c>
      <c r="C6804">
        <v>4</v>
      </c>
      <c r="D6804">
        <v>7</v>
      </c>
      <c r="E6804">
        <f t="shared" si="106"/>
        <v>5.9626558175579565E-6</v>
      </c>
    </row>
    <row r="6805" spans="1:5" x14ac:dyDescent="0.25">
      <c r="A6805">
        <v>7</v>
      </c>
      <c r="B6805">
        <v>30</v>
      </c>
      <c r="C6805">
        <v>5</v>
      </c>
      <c r="D6805">
        <v>6</v>
      </c>
      <c r="E6805">
        <f t="shared" si="106"/>
        <v>2.6800568779971016E-5</v>
      </c>
    </row>
    <row r="6806" spans="1:5" x14ac:dyDescent="0.25">
      <c r="A6806">
        <v>7</v>
      </c>
      <c r="B6806">
        <v>30</v>
      </c>
      <c r="C6806">
        <v>6</v>
      </c>
      <c r="D6806">
        <v>5</v>
      </c>
      <c r="E6806">
        <f t="shared" si="106"/>
        <v>8.0401706339913051E-5</v>
      </c>
    </row>
    <row r="6807" spans="1:5" x14ac:dyDescent="0.25">
      <c r="A6807">
        <v>7</v>
      </c>
      <c r="B6807">
        <v>30</v>
      </c>
      <c r="C6807">
        <v>7</v>
      </c>
      <c r="D6807">
        <v>4</v>
      </c>
      <c r="E6807">
        <f t="shared" si="106"/>
        <v>1.6135036306309081E-4</v>
      </c>
    </row>
    <row r="6808" spans="1:5" x14ac:dyDescent="0.25">
      <c r="A6808">
        <v>7</v>
      </c>
      <c r="B6808">
        <v>30</v>
      </c>
      <c r="C6808">
        <v>8</v>
      </c>
      <c r="D6808">
        <v>3</v>
      </c>
      <c r="E6808">
        <f t="shared" si="106"/>
        <v>2.1268911494680157E-4</v>
      </c>
    </row>
    <row r="6809" spans="1:5" x14ac:dyDescent="0.25">
      <c r="A6809">
        <v>7</v>
      </c>
      <c r="B6809">
        <v>30</v>
      </c>
      <c r="C6809">
        <v>9</v>
      </c>
      <c r="D6809">
        <v>2</v>
      </c>
      <c r="E6809">
        <f t="shared" si="106"/>
        <v>1.7569970365170561E-4</v>
      </c>
    </row>
    <row r="6810" spans="1:5" x14ac:dyDescent="0.25">
      <c r="A6810">
        <v>7</v>
      </c>
      <c r="B6810">
        <v>30</v>
      </c>
      <c r="C6810">
        <v>10</v>
      </c>
      <c r="D6810">
        <v>1</v>
      </c>
      <c r="E6810">
        <f t="shared" si="106"/>
        <v>8.1993195037462633E-5</v>
      </c>
    </row>
    <row r="6811" spans="1:5" x14ac:dyDescent="0.25">
      <c r="A6811">
        <v>7</v>
      </c>
      <c r="B6811">
        <v>30</v>
      </c>
      <c r="C6811">
        <v>11</v>
      </c>
      <c r="D6811">
        <v>0</v>
      </c>
      <c r="E6811">
        <f t="shared" si="106"/>
        <v>1.6398639007492527E-5</v>
      </c>
    </row>
    <row r="6812" spans="1:5" x14ac:dyDescent="0.25">
      <c r="A6812">
        <v>7</v>
      </c>
      <c r="B6812">
        <v>31</v>
      </c>
      <c r="C6812">
        <v>0</v>
      </c>
      <c r="D6812">
        <v>10</v>
      </c>
      <c r="E6812">
        <f t="shared" si="106"/>
        <v>5.0034826292643311E-10</v>
      </c>
    </row>
    <row r="6813" spans="1:5" x14ac:dyDescent="0.25">
      <c r="A6813">
        <v>7</v>
      </c>
      <c r="B6813">
        <v>31</v>
      </c>
      <c r="C6813">
        <v>1</v>
      </c>
      <c r="D6813">
        <v>9</v>
      </c>
      <c r="E6813">
        <f t="shared" si="106"/>
        <v>2.0326648181386349E-8</v>
      </c>
    </row>
    <row r="6814" spans="1:5" x14ac:dyDescent="0.25">
      <c r="A6814">
        <v>7</v>
      </c>
      <c r="B6814">
        <v>31</v>
      </c>
      <c r="C6814">
        <v>2</v>
      </c>
      <c r="D6814">
        <v>8</v>
      </c>
      <c r="E6814">
        <f t="shared" si="106"/>
        <v>3.4435733389642752E-7</v>
      </c>
    </row>
    <row r="6815" spans="1:5" x14ac:dyDescent="0.25">
      <c r="A6815">
        <v>7</v>
      </c>
      <c r="B6815">
        <v>31</v>
      </c>
      <c r="C6815">
        <v>3</v>
      </c>
      <c r="D6815">
        <v>7</v>
      </c>
      <c r="E6815">
        <f t="shared" si="106"/>
        <v>3.2140017830333247E-6</v>
      </c>
    </row>
    <row r="6816" spans="1:5" x14ac:dyDescent="0.25">
      <c r="A6816">
        <v>7</v>
      </c>
      <c r="B6816">
        <v>31</v>
      </c>
      <c r="C6816">
        <v>4</v>
      </c>
      <c r="D6816">
        <v>6</v>
      </c>
      <c r="E6816">
        <f t="shared" si="106"/>
        <v>1.8353641761006084E-5</v>
      </c>
    </row>
    <row r="6817" spans="1:5" x14ac:dyDescent="0.25">
      <c r="A6817">
        <v>7</v>
      </c>
      <c r="B6817">
        <v>31</v>
      </c>
      <c r="C6817">
        <v>5</v>
      </c>
      <c r="D6817">
        <v>5</v>
      </c>
      <c r="E6817">
        <f t="shared" si="106"/>
        <v>6.7174328845282281E-5</v>
      </c>
    </row>
    <row r="6818" spans="1:5" x14ac:dyDescent="0.25">
      <c r="A6818">
        <v>7</v>
      </c>
      <c r="B6818">
        <v>31</v>
      </c>
      <c r="C6818">
        <v>6</v>
      </c>
      <c r="D6818">
        <v>4</v>
      </c>
      <c r="E6818">
        <f t="shared" si="106"/>
        <v>1.5993887820305307E-4</v>
      </c>
    </row>
    <row r="6819" spans="1:5" x14ac:dyDescent="0.25">
      <c r="A6819">
        <v>7</v>
      </c>
      <c r="B6819">
        <v>31</v>
      </c>
      <c r="C6819">
        <v>7</v>
      </c>
      <c r="D6819">
        <v>3</v>
      </c>
      <c r="E6819">
        <f t="shared" si="106"/>
        <v>2.4510113802545794E-4</v>
      </c>
    </row>
    <row r="6820" spans="1:5" x14ac:dyDescent="0.25">
      <c r="A6820">
        <v>7</v>
      </c>
      <c r="B6820">
        <v>31</v>
      </c>
      <c r="C6820">
        <v>8</v>
      </c>
      <c r="D6820">
        <v>2</v>
      </c>
      <c r="E6820">
        <f t="shared" si="106"/>
        <v>2.3178042400233523E-4</v>
      </c>
    </row>
    <row r="6821" spans="1:5" x14ac:dyDescent="0.25">
      <c r="A6821">
        <v>7</v>
      </c>
      <c r="B6821">
        <v>31</v>
      </c>
      <c r="C6821">
        <v>9</v>
      </c>
      <c r="D6821">
        <v>1</v>
      </c>
      <c r="E6821">
        <f t="shared" si="106"/>
        <v>1.2232855711234359E-4</v>
      </c>
    </row>
    <row r="6822" spans="1:5" x14ac:dyDescent="0.25">
      <c r="A6822">
        <v>7</v>
      </c>
      <c r="B6822">
        <v>31</v>
      </c>
      <c r="C6822">
        <v>10</v>
      </c>
      <c r="D6822">
        <v>0</v>
      </c>
      <c r="E6822">
        <f t="shared" si="106"/>
        <v>2.7401596793164967E-5</v>
      </c>
    </row>
    <row r="6823" spans="1:5" x14ac:dyDescent="0.25">
      <c r="A6823">
        <v>7</v>
      </c>
      <c r="B6823">
        <v>32</v>
      </c>
      <c r="C6823">
        <v>0</v>
      </c>
      <c r="D6823">
        <v>9</v>
      </c>
      <c r="E6823">
        <f t="shared" si="106"/>
        <v>2.5212861686527273E-9</v>
      </c>
    </row>
    <row r="6824" spans="1:5" x14ac:dyDescent="0.25">
      <c r="A6824">
        <v>7</v>
      </c>
      <c r="B6824">
        <v>32</v>
      </c>
      <c r="C6824">
        <v>1</v>
      </c>
      <c r="D6824">
        <v>8</v>
      </c>
      <c r="E6824">
        <f t="shared" si="106"/>
        <v>8.6761906391873278E-8</v>
      </c>
    </row>
    <row r="6825" spans="1:5" x14ac:dyDescent="0.25">
      <c r="A6825">
        <v>7</v>
      </c>
      <c r="B6825">
        <v>32</v>
      </c>
      <c r="C6825">
        <v>2</v>
      </c>
      <c r="D6825">
        <v>7</v>
      </c>
      <c r="E6825">
        <f t="shared" si="106"/>
        <v>1.2339471131288647E-6</v>
      </c>
    </row>
    <row r="6826" spans="1:5" x14ac:dyDescent="0.25">
      <c r="A6826">
        <v>7</v>
      </c>
      <c r="B6826">
        <v>32</v>
      </c>
      <c r="C6826">
        <v>3</v>
      </c>
      <c r="D6826">
        <v>6</v>
      </c>
      <c r="E6826">
        <f t="shared" si="106"/>
        <v>9.5468539805233168E-6</v>
      </c>
    </row>
    <row r="6827" spans="1:5" x14ac:dyDescent="0.25">
      <c r="A6827">
        <v>7</v>
      </c>
      <c r="B6827">
        <v>32</v>
      </c>
      <c r="C6827">
        <v>4</v>
      </c>
      <c r="D6827">
        <v>5</v>
      </c>
      <c r="E6827">
        <f t="shared" si="106"/>
        <v>4.439287100943342E-5</v>
      </c>
    </row>
    <row r="6828" spans="1:5" x14ac:dyDescent="0.25">
      <c r="A6828">
        <v>7</v>
      </c>
      <c r="B6828">
        <v>32</v>
      </c>
      <c r="C6828">
        <v>5</v>
      </c>
      <c r="D6828">
        <v>4</v>
      </c>
      <c r="E6828">
        <f t="shared" si="106"/>
        <v>1.2895072055121143E-4</v>
      </c>
    </row>
    <row r="6829" spans="1:5" x14ac:dyDescent="0.25">
      <c r="A6829">
        <v>7</v>
      </c>
      <c r="B6829">
        <v>32</v>
      </c>
      <c r="C6829">
        <v>6</v>
      </c>
      <c r="D6829">
        <v>3</v>
      </c>
      <c r="E6829">
        <f t="shared" si="106"/>
        <v>2.3445585554765708E-4</v>
      </c>
    </row>
    <row r="6830" spans="1:5" x14ac:dyDescent="0.25">
      <c r="A6830">
        <v>7</v>
      </c>
      <c r="B6830">
        <v>32</v>
      </c>
      <c r="C6830">
        <v>7</v>
      </c>
      <c r="D6830">
        <v>2</v>
      </c>
      <c r="E6830">
        <f t="shared" si="106"/>
        <v>2.5775581634742426E-4</v>
      </c>
    </row>
    <row r="6831" spans="1:5" x14ac:dyDescent="0.25">
      <c r="A6831">
        <v>7</v>
      </c>
      <c r="B6831">
        <v>32</v>
      </c>
      <c r="C6831">
        <v>8</v>
      </c>
      <c r="D6831">
        <v>1</v>
      </c>
      <c r="E6831">
        <f t="shared" si="106"/>
        <v>1.5572747237656883E-4</v>
      </c>
    </row>
    <row r="6832" spans="1:5" x14ac:dyDescent="0.25">
      <c r="A6832">
        <v>7</v>
      </c>
      <c r="B6832">
        <v>32</v>
      </c>
      <c r="C6832">
        <v>9</v>
      </c>
      <c r="D6832">
        <v>0</v>
      </c>
      <c r="E6832">
        <f t="shared" si="106"/>
        <v>3.9450959668730764E-5</v>
      </c>
    </row>
    <row r="6833" spans="1:5" x14ac:dyDescent="0.25">
      <c r="A6833">
        <v>7</v>
      </c>
      <c r="B6833">
        <v>33</v>
      </c>
      <c r="C6833">
        <v>0</v>
      </c>
      <c r="D6833">
        <v>8</v>
      </c>
      <c r="E6833">
        <f t="shared" si="106"/>
        <v>1.0395249390541467E-8</v>
      </c>
    </row>
    <row r="6834" spans="1:5" x14ac:dyDescent="0.25">
      <c r="A6834">
        <v>7</v>
      </c>
      <c r="B6834">
        <v>33</v>
      </c>
      <c r="C6834">
        <v>1</v>
      </c>
      <c r="D6834">
        <v>7</v>
      </c>
      <c r="E6834">
        <f t="shared" si="106"/>
        <v>3.0030720461564249E-7</v>
      </c>
    </row>
    <row r="6835" spans="1:5" x14ac:dyDescent="0.25">
      <c r="A6835">
        <v>7</v>
      </c>
      <c r="B6835">
        <v>33</v>
      </c>
      <c r="C6835">
        <v>2</v>
      </c>
      <c r="D6835">
        <v>6</v>
      </c>
      <c r="E6835">
        <f t="shared" si="106"/>
        <v>3.5404638859949414E-6</v>
      </c>
    </row>
    <row r="6836" spans="1:5" x14ac:dyDescent="0.25">
      <c r="A6836">
        <v>7</v>
      </c>
      <c r="B6836">
        <v>33</v>
      </c>
      <c r="C6836">
        <v>3</v>
      </c>
      <c r="D6836">
        <v>5</v>
      </c>
      <c r="E6836">
        <f t="shared" si="106"/>
        <v>2.2304922481768133E-5</v>
      </c>
    </row>
    <row r="6837" spans="1:5" x14ac:dyDescent="0.25">
      <c r="A6837">
        <v>7</v>
      </c>
      <c r="B6837">
        <v>33</v>
      </c>
      <c r="C6837">
        <v>4</v>
      </c>
      <c r="D6837">
        <v>4</v>
      </c>
      <c r="E6837">
        <f t="shared" si="106"/>
        <v>8.231578534938241E-5</v>
      </c>
    </row>
    <row r="6838" spans="1:5" x14ac:dyDescent="0.25">
      <c r="A6838">
        <v>7</v>
      </c>
      <c r="B6838">
        <v>33</v>
      </c>
      <c r="C6838">
        <v>5</v>
      </c>
      <c r="D6838">
        <v>3</v>
      </c>
      <c r="E6838">
        <f t="shared" si="106"/>
        <v>1.8259137841135733E-4</v>
      </c>
    </row>
    <row r="6839" spans="1:5" x14ac:dyDescent="0.25">
      <c r="A6839">
        <v>7</v>
      </c>
      <c r="B6839">
        <v>33</v>
      </c>
      <c r="C6839">
        <v>6</v>
      </c>
      <c r="D6839">
        <v>2</v>
      </c>
      <c r="E6839">
        <f t="shared" si="106"/>
        <v>2.3816266749307477E-4</v>
      </c>
    </row>
    <row r="6840" spans="1:5" x14ac:dyDescent="0.25">
      <c r="A6840">
        <v>7</v>
      </c>
      <c r="B6840">
        <v>33</v>
      </c>
      <c r="C6840">
        <v>7</v>
      </c>
      <c r="D6840">
        <v>1</v>
      </c>
      <c r="E6840">
        <f t="shared" si="106"/>
        <v>1.6728092121537396E-4</v>
      </c>
    </row>
    <row r="6841" spans="1:5" x14ac:dyDescent="0.25">
      <c r="A6841">
        <v>7</v>
      </c>
      <c r="B6841">
        <v>33</v>
      </c>
      <c r="C6841">
        <v>8</v>
      </c>
      <c r="D6841">
        <v>0</v>
      </c>
      <c r="E6841">
        <f t="shared" si="106"/>
        <v>4.8511467152458457E-5</v>
      </c>
    </row>
    <row r="6842" spans="1:5" x14ac:dyDescent="0.25">
      <c r="A6842">
        <v>7</v>
      </c>
      <c r="B6842">
        <v>34</v>
      </c>
      <c r="C6842">
        <v>0</v>
      </c>
      <c r="D6842">
        <v>7</v>
      </c>
      <c r="E6842">
        <f t="shared" si="106"/>
        <v>3.478671691475314E-8</v>
      </c>
    </row>
    <row r="6843" spans="1:5" x14ac:dyDescent="0.25">
      <c r="A6843">
        <v>7</v>
      </c>
      <c r="B6843">
        <v>34</v>
      </c>
      <c r="C6843">
        <v>1</v>
      </c>
      <c r="D6843">
        <v>6</v>
      </c>
      <c r="E6843">
        <f t="shared" si="106"/>
        <v>8.3305032611645637E-7</v>
      </c>
    </row>
    <row r="6844" spans="1:5" x14ac:dyDescent="0.25">
      <c r="A6844">
        <v>7</v>
      </c>
      <c r="B6844">
        <v>34</v>
      </c>
      <c r="C6844">
        <v>2</v>
      </c>
      <c r="D6844">
        <v>5</v>
      </c>
      <c r="E6844">
        <f t="shared" si="106"/>
        <v>7.9972831307179825E-6</v>
      </c>
    </row>
    <row r="6845" spans="1:5" x14ac:dyDescent="0.25">
      <c r="A6845">
        <v>7</v>
      </c>
      <c r="B6845">
        <v>34</v>
      </c>
      <c r="C6845">
        <v>3</v>
      </c>
      <c r="D6845">
        <v>4</v>
      </c>
      <c r="E6845">
        <f t="shared" si="106"/>
        <v>3.9986415653589923E-5</v>
      </c>
    </row>
    <row r="6846" spans="1:5" x14ac:dyDescent="0.25">
      <c r="A6846">
        <v>7</v>
      </c>
      <c r="B6846">
        <v>34</v>
      </c>
      <c r="C6846">
        <v>4</v>
      </c>
      <c r="D6846">
        <v>3</v>
      </c>
      <c r="E6846">
        <f t="shared" si="106"/>
        <v>1.1268898956920795E-4</v>
      </c>
    </row>
    <row r="6847" spans="1:5" x14ac:dyDescent="0.25">
      <c r="A6847">
        <v>7</v>
      </c>
      <c r="B6847">
        <v>34</v>
      </c>
      <c r="C6847">
        <v>5</v>
      </c>
      <c r="D6847">
        <v>2</v>
      </c>
      <c r="E6847">
        <f t="shared" si="106"/>
        <v>1.7932247905360916E-4</v>
      </c>
    </row>
    <row r="6848" spans="1:5" x14ac:dyDescent="0.25">
      <c r="A6848">
        <v>7</v>
      </c>
      <c r="B6848">
        <v>34</v>
      </c>
      <c r="C6848">
        <v>6</v>
      </c>
      <c r="D6848">
        <v>1</v>
      </c>
      <c r="E6848">
        <f t="shared" si="106"/>
        <v>1.4943539921134097E-4</v>
      </c>
    </row>
    <row r="6849" spans="1:5" x14ac:dyDescent="0.25">
      <c r="A6849">
        <v>7</v>
      </c>
      <c r="B6849">
        <v>34</v>
      </c>
      <c r="C6849">
        <v>7</v>
      </c>
      <c r="D6849">
        <v>0</v>
      </c>
      <c r="E6849">
        <f t="shared" si="106"/>
        <v>5.0381077448394951E-5</v>
      </c>
    </row>
    <row r="6850" spans="1:5" x14ac:dyDescent="0.25">
      <c r="A6850">
        <v>7</v>
      </c>
      <c r="B6850">
        <v>35</v>
      </c>
      <c r="C6850">
        <v>0</v>
      </c>
      <c r="D6850">
        <v>6</v>
      </c>
      <c r="E6850">
        <f t="shared" si="106"/>
        <v>9.3374871718547852E-8</v>
      </c>
    </row>
    <row r="6851" spans="1:5" x14ac:dyDescent="0.25">
      <c r="A6851">
        <v>7</v>
      </c>
      <c r="B6851">
        <v>35</v>
      </c>
      <c r="C6851">
        <v>1</v>
      </c>
      <c r="D6851">
        <v>5</v>
      </c>
      <c r="E6851">
        <f t="shared" si="106"/>
        <v>1.8208099985116833E-6</v>
      </c>
    </row>
    <row r="6852" spans="1:5" x14ac:dyDescent="0.25">
      <c r="A6852">
        <v>7</v>
      </c>
      <c r="B6852">
        <v>35</v>
      </c>
      <c r="C6852">
        <v>2</v>
      </c>
      <c r="D6852">
        <v>4</v>
      </c>
      <c r="E6852">
        <f t="shared" si="106"/>
        <v>1.3872838083898542E-5</v>
      </c>
    </row>
    <row r="6853" spans="1:5" x14ac:dyDescent="0.25">
      <c r="A6853">
        <v>7</v>
      </c>
      <c r="B6853">
        <v>35</v>
      </c>
      <c r="C6853">
        <v>3</v>
      </c>
      <c r="D6853">
        <v>3</v>
      </c>
      <c r="E6853">
        <f t="shared" si="106"/>
        <v>5.2969018138521698E-5</v>
      </c>
    </row>
    <row r="6854" spans="1:5" x14ac:dyDescent="0.25">
      <c r="A6854">
        <v>7</v>
      </c>
      <c r="B6854">
        <v>35</v>
      </c>
      <c r="C6854">
        <v>4</v>
      </c>
      <c r="D6854">
        <v>2</v>
      </c>
      <c r="E6854">
        <f t="shared" si="106"/>
        <v>1.0708953667135908E-4</v>
      </c>
    </row>
    <row r="6855" spans="1:5" x14ac:dyDescent="0.25">
      <c r="A6855">
        <v>7</v>
      </c>
      <c r="B6855">
        <v>35</v>
      </c>
      <c r="C6855">
        <v>5</v>
      </c>
      <c r="D6855">
        <v>1</v>
      </c>
      <c r="E6855">
        <f t="shared" si="106"/>
        <v>1.0887436228254842E-4</v>
      </c>
    </row>
    <row r="6856" spans="1:5" x14ac:dyDescent="0.25">
      <c r="A6856">
        <v>7</v>
      </c>
      <c r="B6856">
        <v>35</v>
      </c>
      <c r="C6856">
        <v>6</v>
      </c>
      <c r="D6856">
        <v>0</v>
      </c>
      <c r="E6856">
        <f t="shared" si="106"/>
        <v>4.3549744913019363E-5</v>
      </c>
    </row>
    <row r="6857" spans="1:5" x14ac:dyDescent="0.25">
      <c r="A6857">
        <v>7</v>
      </c>
      <c r="B6857">
        <v>36</v>
      </c>
      <c r="C6857">
        <v>0</v>
      </c>
      <c r="D6857">
        <v>5</v>
      </c>
      <c r="E6857">
        <f t="shared" si="106"/>
        <v>1.976434784709264E-7</v>
      </c>
    </row>
    <row r="6858" spans="1:5" x14ac:dyDescent="0.25">
      <c r="A6858">
        <v>7</v>
      </c>
      <c r="B6858">
        <v>36</v>
      </c>
      <c r="C6858">
        <v>1</v>
      </c>
      <c r="D6858">
        <v>4</v>
      </c>
      <c r="E6858">
        <f t="shared" si="106"/>
        <v>3.0587681191929095E-6</v>
      </c>
    </row>
    <row r="6859" spans="1:5" x14ac:dyDescent="0.25">
      <c r="A6859">
        <v>7</v>
      </c>
      <c r="B6859">
        <v>36</v>
      </c>
      <c r="C6859">
        <v>2</v>
      </c>
      <c r="D6859">
        <v>3</v>
      </c>
      <c r="E6859">
        <f t="shared" si="106"/>
        <v>1.7796469057122381E-5</v>
      </c>
    </row>
    <row r="6860" spans="1:5" x14ac:dyDescent="0.25">
      <c r="A6860">
        <v>7</v>
      </c>
      <c r="B6860">
        <v>36</v>
      </c>
      <c r="C6860">
        <v>3</v>
      </c>
      <c r="D6860">
        <v>2</v>
      </c>
      <c r="E6860">
        <f t="shared" si="106"/>
        <v>4.874685002603087E-5</v>
      </c>
    </row>
    <row r="6861" spans="1:5" x14ac:dyDescent="0.25">
      <c r="A6861">
        <v>7</v>
      </c>
      <c r="B6861">
        <v>36</v>
      </c>
      <c r="C6861">
        <v>4</v>
      </c>
      <c r="D6861">
        <v>1</v>
      </c>
      <c r="E6861">
        <f t="shared" si="106"/>
        <v>6.2964681283623201E-5</v>
      </c>
    </row>
    <row r="6862" spans="1:5" x14ac:dyDescent="0.25">
      <c r="A6862">
        <v>7</v>
      </c>
      <c r="B6862">
        <v>36</v>
      </c>
      <c r="C6862">
        <v>5</v>
      </c>
      <c r="D6862">
        <v>0</v>
      </c>
      <c r="E6862">
        <f t="shared" ref="E6862:E6925" si="107">COMBIN(A$4,A6862)*COMBIN(B$4,B6862)*COMBIN(C$4,C6862)*COMBIN(D$4,D6862)/COMBIN($G$4,$F$4)</f>
        <v>3.0726764466408122E-5</v>
      </c>
    </row>
    <row r="6863" spans="1:5" x14ac:dyDescent="0.25">
      <c r="A6863">
        <v>7</v>
      </c>
      <c r="B6863">
        <v>37</v>
      </c>
      <c r="C6863">
        <v>0</v>
      </c>
      <c r="D6863">
        <v>4</v>
      </c>
      <c r="E6863">
        <f t="shared" si="107"/>
        <v>3.21774775116759E-7</v>
      </c>
    </row>
    <row r="6864" spans="1:5" x14ac:dyDescent="0.25">
      <c r="A6864">
        <v>7</v>
      </c>
      <c r="B6864">
        <v>37</v>
      </c>
      <c r="C6864">
        <v>1</v>
      </c>
      <c r="D6864">
        <v>3</v>
      </c>
      <c r="E6864">
        <f t="shared" si="107"/>
        <v>3.8027927968344244E-6</v>
      </c>
    </row>
    <row r="6865" spans="1:5" x14ac:dyDescent="0.25">
      <c r="A6865">
        <v>7</v>
      </c>
      <c r="B6865">
        <v>37</v>
      </c>
      <c r="C6865">
        <v>2</v>
      </c>
      <c r="D6865">
        <v>2</v>
      </c>
      <c r="E6865">
        <f t="shared" si="107"/>
        <v>1.5872526456352382E-5</v>
      </c>
    </row>
    <row r="6866" spans="1:5" x14ac:dyDescent="0.25">
      <c r="A6866">
        <v>7</v>
      </c>
      <c r="B6866">
        <v>37</v>
      </c>
      <c r="C6866">
        <v>3</v>
      </c>
      <c r="D6866">
        <v>1</v>
      </c>
      <c r="E6866">
        <f t="shared" si="107"/>
        <v>2.777692129861666E-5</v>
      </c>
    </row>
    <row r="6867" spans="1:5" x14ac:dyDescent="0.25">
      <c r="A6867">
        <v>7</v>
      </c>
      <c r="B6867">
        <v>37</v>
      </c>
      <c r="C6867">
        <v>4</v>
      </c>
      <c r="D6867">
        <v>0</v>
      </c>
      <c r="E6867">
        <f t="shared" si="107"/>
        <v>1.7221691205142334E-5</v>
      </c>
    </row>
    <row r="6868" spans="1:5" x14ac:dyDescent="0.25">
      <c r="A6868">
        <v>7</v>
      </c>
      <c r="B6868">
        <v>38</v>
      </c>
      <c r="C6868">
        <v>0</v>
      </c>
      <c r="D6868">
        <v>3</v>
      </c>
      <c r="E6868">
        <f t="shared" si="107"/>
        <v>3.879772408106379E-7</v>
      </c>
    </row>
    <row r="6869" spans="1:5" x14ac:dyDescent="0.25">
      <c r="A6869">
        <v>7</v>
      </c>
      <c r="B6869">
        <v>38</v>
      </c>
      <c r="C6869">
        <v>1</v>
      </c>
      <c r="D6869">
        <v>2</v>
      </c>
      <c r="E6869">
        <f t="shared" si="107"/>
        <v>3.2893722590467127E-6</v>
      </c>
    </row>
    <row r="6870" spans="1:5" x14ac:dyDescent="0.25">
      <c r="A6870">
        <v>7</v>
      </c>
      <c r="B6870">
        <v>38</v>
      </c>
      <c r="C6870">
        <v>2</v>
      </c>
      <c r="D6870">
        <v>1</v>
      </c>
      <c r="E6870">
        <f t="shared" si="107"/>
        <v>8.7716593574578993E-6</v>
      </c>
    </row>
    <row r="6871" spans="1:5" x14ac:dyDescent="0.25">
      <c r="A6871">
        <v>7</v>
      </c>
      <c r="B6871">
        <v>38</v>
      </c>
      <c r="C6871">
        <v>3</v>
      </c>
      <c r="D6871">
        <v>0</v>
      </c>
      <c r="E6871">
        <f t="shared" si="107"/>
        <v>7.3681938602646362E-6</v>
      </c>
    </row>
    <row r="6872" spans="1:5" x14ac:dyDescent="0.25">
      <c r="A6872">
        <v>7</v>
      </c>
      <c r="B6872">
        <v>39</v>
      </c>
      <c r="C6872">
        <v>0</v>
      </c>
      <c r="D6872">
        <v>2</v>
      </c>
      <c r="E6872">
        <f t="shared" si="107"/>
        <v>3.25693269041706E-7</v>
      </c>
    </row>
    <row r="6873" spans="1:5" x14ac:dyDescent="0.25">
      <c r="A6873">
        <v>7</v>
      </c>
      <c r="B6873">
        <v>39</v>
      </c>
      <c r="C6873">
        <v>1</v>
      </c>
      <c r="D6873">
        <v>1</v>
      </c>
      <c r="E6873">
        <f t="shared" si="107"/>
        <v>1.7641718739759074E-6</v>
      </c>
    </row>
    <row r="6874" spans="1:5" x14ac:dyDescent="0.25">
      <c r="A6874">
        <v>7</v>
      </c>
      <c r="B6874">
        <v>39</v>
      </c>
      <c r="C6874">
        <v>2</v>
      </c>
      <c r="D6874">
        <v>0</v>
      </c>
      <c r="E6874">
        <f t="shared" si="107"/>
        <v>2.2581399986891617E-6</v>
      </c>
    </row>
    <row r="6875" spans="1:5" x14ac:dyDescent="0.25">
      <c r="A6875">
        <v>7</v>
      </c>
      <c r="B6875">
        <v>40</v>
      </c>
      <c r="C6875">
        <v>0</v>
      </c>
      <c r="D6875">
        <v>1</v>
      </c>
      <c r="E6875">
        <f t="shared" si="107"/>
        <v>1.6963191095922202E-7</v>
      </c>
    </row>
    <row r="6876" spans="1:5" x14ac:dyDescent="0.25">
      <c r="A6876">
        <v>7</v>
      </c>
      <c r="B6876">
        <v>40</v>
      </c>
      <c r="C6876">
        <v>1</v>
      </c>
      <c r="D6876">
        <v>0</v>
      </c>
      <c r="E6876">
        <f t="shared" si="107"/>
        <v>4.4104296849397723E-7</v>
      </c>
    </row>
    <row r="6877" spans="1:5" x14ac:dyDescent="0.25">
      <c r="A6877">
        <v>7</v>
      </c>
      <c r="B6877">
        <v>41</v>
      </c>
      <c r="C6877">
        <v>0</v>
      </c>
      <c r="D6877">
        <v>0</v>
      </c>
      <c r="E6877">
        <f t="shared" si="107"/>
        <v>4.1208142272045099E-8</v>
      </c>
    </row>
    <row r="6878" spans="1:5" x14ac:dyDescent="0.25">
      <c r="A6878">
        <v>8</v>
      </c>
      <c r="B6878">
        <v>0</v>
      </c>
      <c r="C6878">
        <v>15</v>
      </c>
      <c r="D6878">
        <v>25</v>
      </c>
      <c r="E6878">
        <f t="shared" si="107"/>
        <v>1.2491582158777955E-43</v>
      </c>
    </row>
    <row r="6879" spans="1:5" x14ac:dyDescent="0.25">
      <c r="A6879">
        <v>8</v>
      </c>
      <c r="B6879">
        <v>0</v>
      </c>
      <c r="C6879">
        <v>16</v>
      </c>
      <c r="D6879">
        <v>24</v>
      </c>
      <c r="E6879">
        <f t="shared" si="107"/>
        <v>9.7590485615452788E-42</v>
      </c>
    </row>
    <row r="6880" spans="1:5" x14ac:dyDescent="0.25">
      <c r="A6880">
        <v>8</v>
      </c>
      <c r="B6880">
        <v>0</v>
      </c>
      <c r="C6880">
        <v>17</v>
      </c>
      <c r="D6880">
        <v>23</v>
      </c>
      <c r="E6880">
        <f t="shared" si="107"/>
        <v>3.3754826789344867E-40</v>
      </c>
    </row>
    <row r="6881" spans="1:5" x14ac:dyDescent="0.25">
      <c r="A6881">
        <v>8</v>
      </c>
      <c r="B6881">
        <v>0</v>
      </c>
      <c r="C6881">
        <v>18</v>
      </c>
      <c r="D6881">
        <v>22</v>
      </c>
      <c r="E6881">
        <f t="shared" si="107"/>
        <v>6.9009868102660556E-39</v>
      </c>
    </row>
    <row r="6882" spans="1:5" x14ac:dyDescent="0.25">
      <c r="A6882">
        <v>8</v>
      </c>
      <c r="B6882">
        <v>0</v>
      </c>
      <c r="C6882">
        <v>19</v>
      </c>
      <c r="D6882">
        <v>21</v>
      </c>
      <c r="E6882">
        <f t="shared" si="107"/>
        <v>9.3889741602830342E-38</v>
      </c>
    </row>
    <row r="6883" spans="1:5" x14ac:dyDescent="0.25">
      <c r="A6883">
        <v>8</v>
      </c>
      <c r="B6883">
        <v>0</v>
      </c>
      <c r="C6883">
        <v>20</v>
      </c>
      <c r="D6883">
        <v>20</v>
      </c>
      <c r="E6883">
        <f t="shared" si="107"/>
        <v>9.0697490388334156E-37</v>
      </c>
    </row>
    <row r="6884" spans="1:5" x14ac:dyDescent="0.25">
      <c r="A6884">
        <v>8</v>
      </c>
      <c r="B6884">
        <v>0</v>
      </c>
      <c r="C6884">
        <v>21</v>
      </c>
      <c r="D6884">
        <v>19</v>
      </c>
      <c r="E6884">
        <f t="shared" si="107"/>
        <v>6.4783921705952875E-36</v>
      </c>
    </row>
    <row r="6885" spans="1:5" x14ac:dyDescent="0.25">
      <c r="A6885">
        <v>8</v>
      </c>
      <c r="B6885">
        <v>0</v>
      </c>
      <c r="C6885">
        <v>22</v>
      </c>
      <c r="D6885">
        <v>18</v>
      </c>
      <c r="E6885">
        <f t="shared" si="107"/>
        <v>3.5168414640374458E-35</v>
      </c>
    </row>
    <row r="6886" spans="1:5" x14ac:dyDescent="0.25">
      <c r="A6886">
        <v>8</v>
      </c>
      <c r="B6886">
        <v>0</v>
      </c>
      <c r="C6886">
        <v>23</v>
      </c>
      <c r="D6886">
        <v>17</v>
      </c>
      <c r="E6886">
        <f t="shared" si="107"/>
        <v>1.4793670071548813E-34</v>
      </c>
    </row>
    <row r="6887" spans="1:5" x14ac:dyDescent="0.25">
      <c r="A6887">
        <v>8</v>
      </c>
      <c r="B6887">
        <v>0</v>
      </c>
      <c r="C6887">
        <v>24</v>
      </c>
      <c r="D6887">
        <v>16</v>
      </c>
      <c r="E6887">
        <f t="shared" si="107"/>
        <v>4.8901298292064122E-34</v>
      </c>
    </row>
    <row r="6888" spans="1:5" x14ac:dyDescent="0.25">
      <c r="A6888">
        <v>8</v>
      </c>
      <c r="B6888">
        <v>0</v>
      </c>
      <c r="C6888">
        <v>25</v>
      </c>
      <c r="D6888">
        <v>15</v>
      </c>
      <c r="E6888">
        <f t="shared" si="107"/>
        <v>1.2831700671837631E-33</v>
      </c>
    </row>
    <row r="6889" spans="1:5" x14ac:dyDescent="0.25">
      <c r="A6889">
        <v>8</v>
      </c>
      <c r="B6889">
        <v>0</v>
      </c>
      <c r="C6889">
        <v>26</v>
      </c>
      <c r="D6889">
        <v>14</v>
      </c>
      <c r="E6889">
        <f t="shared" si="107"/>
        <v>2.691965175909991E-33</v>
      </c>
    </row>
    <row r="6890" spans="1:5" x14ac:dyDescent="0.25">
      <c r="A6890">
        <v>8</v>
      </c>
      <c r="B6890">
        <v>0</v>
      </c>
      <c r="C6890">
        <v>27</v>
      </c>
      <c r="D6890">
        <v>13</v>
      </c>
      <c r="E6890">
        <f t="shared" si="107"/>
        <v>4.5364598334779492E-33</v>
      </c>
    </row>
    <row r="6891" spans="1:5" x14ac:dyDescent="0.25">
      <c r="A6891">
        <v>8</v>
      </c>
      <c r="B6891">
        <v>0</v>
      </c>
      <c r="C6891">
        <v>28</v>
      </c>
      <c r="D6891">
        <v>12</v>
      </c>
      <c r="E6891">
        <f t="shared" si="107"/>
        <v>6.1566240597200748E-33</v>
      </c>
    </row>
    <row r="6892" spans="1:5" x14ac:dyDescent="0.25">
      <c r="A6892">
        <v>8</v>
      </c>
      <c r="B6892">
        <v>0</v>
      </c>
      <c r="C6892">
        <v>29</v>
      </c>
      <c r="D6892">
        <v>11</v>
      </c>
      <c r="E6892">
        <f t="shared" si="107"/>
        <v>6.7328598091520024E-33</v>
      </c>
    </row>
    <row r="6893" spans="1:5" x14ac:dyDescent="0.25">
      <c r="A6893">
        <v>8</v>
      </c>
      <c r="B6893">
        <v>0</v>
      </c>
      <c r="C6893">
        <v>30</v>
      </c>
      <c r="D6893">
        <v>10</v>
      </c>
      <c r="E6893">
        <f t="shared" si="107"/>
        <v>5.9249166320537606E-33</v>
      </c>
    </row>
    <row r="6894" spans="1:5" x14ac:dyDescent="0.25">
      <c r="A6894">
        <v>8</v>
      </c>
      <c r="B6894">
        <v>0</v>
      </c>
      <c r="C6894">
        <v>31</v>
      </c>
      <c r="D6894">
        <v>9</v>
      </c>
      <c r="E6894">
        <f t="shared" si="107"/>
        <v>4.1808887524572925E-33</v>
      </c>
    </row>
    <row r="6895" spans="1:5" x14ac:dyDescent="0.25">
      <c r="A6895">
        <v>8</v>
      </c>
      <c r="B6895">
        <v>0</v>
      </c>
      <c r="C6895">
        <v>32</v>
      </c>
      <c r="D6895">
        <v>8</v>
      </c>
      <c r="E6895">
        <f t="shared" si="107"/>
        <v>2.3517499232572263E-33</v>
      </c>
    </row>
    <row r="6896" spans="1:5" x14ac:dyDescent="0.25">
      <c r="A6896">
        <v>8</v>
      </c>
      <c r="B6896">
        <v>0</v>
      </c>
      <c r="C6896">
        <v>33</v>
      </c>
      <c r="D6896">
        <v>7</v>
      </c>
      <c r="E6896">
        <f t="shared" si="107"/>
        <v>1.0452221881143231E-33</v>
      </c>
    </row>
    <row r="6897" spans="1:5" x14ac:dyDescent="0.25">
      <c r="A6897">
        <v>8</v>
      </c>
      <c r="B6897">
        <v>0</v>
      </c>
      <c r="C6897">
        <v>34</v>
      </c>
      <c r="D6897">
        <v>6</v>
      </c>
      <c r="E6897">
        <f t="shared" si="107"/>
        <v>3.6242998473313978E-34</v>
      </c>
    </row>
    <row r="6898" spans="1:5" x14ac:dyDescent="0.25">
      <c r="A6898">
        <v>8</v>
      </c>
      <c r="B6898">
        <v>0</v>
      </c>
      <c r="C6898">
        <v>35</v>
      </c>
      <c r="D6898">
        <v>5</v>
      </c>
      <c r="E6898">
        <f t="shared" si="107"/>
        <v>9.6302824514805706E-35</v>
      </c>
    </row>
    <row r="6899" spans="1:5" x14ac:dyDescent="0.25">
      <c r="A6899">
        <v>8</v>
      </c>
      <c r="B6899">
        <v>0</v>
      </c>
      <c r="C6899">
        <v>36</v>
      </c>
      <c r="D6899">
        <v>4</v>
      </c>
      <c r="E6899">
        <f t="shared" si="107"/>
        <v>1.9107703276747172E-35</v>
      </c>
    </row>
    <row r="6900" spans="1:5" x14ac:dyDescent="0.25">
      <c r="A6900">
        <v>8</v>
      </c>
      <c r="B6900">
        <v>0</v>
      </c>
      <c r="C6900">
        <v>37</v>
      </c>
      <c r="D6900">
        <v>3</v>
      </c>
      <c r="E6900">
        <f t="shared" si="107"/>
        <v>2.7229650861212179E-36</v>
      </c>
    </row>
    <row r="6901" spans="1:5" x14ac:dyDescent="0.25">
      <c r="A6901">
        <v>8</v>
      </c>
      <c r="B6901">
        <v>0</v>
      </c>
      <c r="C6901">
        <v>38</v>
      </c>
      <c r="D6901">
        <v>2</v>
      </c>
      <c r="E6901">
        <f t="shared" si="107"/>
        <v>2.6170373825421311E-37</v>
      </c>
    </row>
    <row r="6902" spans="1:5" x14ac:dyDescent="0.25">
      <c r="A6902">
        <v>8</v>
      </c>
      <c r="B6902">
        <v>0</v>
      </c>
      <c r="C6902">
        <v>39</v>
      </c>
      <c r="D6902">
        <v>1</v>
      </c>
      <c r="E6902">
        <f t="shared" si="107"/>
        <v>1.509829259158922E-38</v>
      </c>
    </row>
    <row r="6903" spans="1:5" x14ac:dyDescent="0.25">
      <c r="A6903">
        <v>8</v>
      </c>
      <c r="B6903">
        <v>0</v>
      </c>
      <c r="C6903">
        <v>40</v>
      </c>
      <c r="D6903">
        <v>0</v>
      </c>
      <c r="E6903">
        <f t="shared" si="107"/>
        <v>3.9255560738131991E-40</v>
      </c>
    </row>
    <row r="6904" spans="1:5" x14ac:dyDescent="0.25">
      <c r="A6904">
        <v>8</v>
      </c>
      <c r="B6904">
        <v>1</v>
      </c>
      <c r="C6904">
        <v>14</v>
      </c>
      <c r="D6904">
        <v>25</v>
      </c>
      <c r="E6904">
        <f t="shared" si="107"/>
        <v>1.0617844834961267E-41</v>
      </c>
    </row>
    <row r="6905" spans="1:5" x14ac:dyDescent="0.25">
      <c r="A6905">
        <v>8</v>
      </c>
      <c r="B6905">
        <v>1</v>
      </c>
      <c r="C6905">
        <v>15</v>
      </c>
      <c r="D6905">
        <v>24</v>
      </c>
      <c r="E6905">
        <f t="shared" si="107"/>
        <v>9.0251681097170746E-40</v>
      </c>
    </row>
    <row r="6906" spans="1:5" x14ac:dyDescent="0.25">
      <c r="A6906">
        <v>8</v>
      </c>
      <c r="B6906">
        <v>1</v>
      </c>
      <c r="C6906">
        <v>16</v>
      </c>
      <c r="D6906">
        <v>23</v>
      </c>
      <c r="E6906">
        <f t="shared" si="107"/>
        <v>3.3844380411439026E-38</v>
      </c>
    </row>
    <row r="6907" spans="1:5" x14ac:dyDescent="0.25">
      <c r="A6907">
        <v>8</v>
      </c>
      <c r="B6907">
        <v>1</v>
      </c>
      <c r="C6907">
        <v>17</v>
      </c>
      <c r="D6907">
        <v>22</v>
      </c>
      <c r="E6907">
        <f t="shared" si="107"/>
        <v>7.4789444556258446E-37</v>
      </c>
    </row>
    <row r="6908" spans="1:5" x14ac:dyDescent="0.25">
      <c r="A6908">
        <v>8</v>
      </c>
      <c r="B6908">
        <v>1</v>
      </c>
      <c r="C6908">
        <v>18</v>
      </c>
      <c r="D6908">
        <v>21</v>
      </c>
      <c r="E6908">
        <f t="shared" si="107"/>
        <v>1.0969118534917897E-35</v>
      </c>
    </row>
    <row r="6909" spans="1:5" x14ac:dyDescent="0.25">
      <c r="A6909">
        <v>8</v>
      </c>
      <c r="B6909">
        <v>1</v>
      </c>
      <c r="C6909">
        <v>19</v>
      </c>
      <c r="D6909">
        <v>20</v>
      </c>
      <c r="E6909">
        <f t="shared" si="107"/>
        <v>1.1396336835751542E-34</v>
      </c>
    </row>
    <row r="6910" spans="1:5" x14ac:dyDescent="0.25">
      <c r="A6910">
        <v>8</v>
      </c>
      <c r="B6910">
        <v>1</v>
      </c>
      <c r="C6910">
        <v>20</v>
      </c>
      <c r="D6910">
        <v>19</v>
      </c>
      <c r="E6910">
        <f t="shared" si="107"/>
        <v>8.7371915740761896E-34</v>
      </c>
    </row>
    <row r="6911" spans="1:5" x14ac:dyDescent="0.25">
      <c r="A6911">
        <v>8</v>
      </c>
      <c r="B6911">
        <v>1</v>
      </c>
      <c r="C6911">
        <v>21</v>
      </c>
      <c r="D6911">
        <v>18</v>
      </c>
      <c r="E6911">
        <f t="shared" si="107"/>
        <v>5.081835915534106E-33</v>
      </c>
    </row>
    <row r="6912" spans="1:5" x14ac:dyDescent="0.25">
      <c r="A6912">
        <v>8</v>
      </c>
      <c r="B6912">
        <v>1</v>
      </c>
      <c r="C6912">
        <v>22</v>
      </c>
      <c r="D6912">
        <v>17</v>
      </c>
      <c r="E6912">
        <f t="shared" si="107"/>
        <v>2.2868261619903484E-32</v>
      </c>
    </row>
    <row r="6913" spans="1:5" x14ac:dyDescent="0.25">
      <c r="A6913">
        <v>8</v>
      </c>
      <c r="B6913">
        <v>1</v>
      </c>
      <c r="C6913">
        <v>23</v>
      </c>
      <c r="D6913">
        <v>16</v>
      </c>
      <c r="E6913">
        <f t="shared" si="107"/>
        <v>8.0757001179465912E-32</v>
      </c>
    </row>
    <row r="6914" spans="1:5" x14ac:dyDescent="0.25">
      <c r="A6914">
        <v>8</v>
      </c>
      <c r="B6914">
        <v>1</v>
      </c>
      <c r="C6914">
        <v>24</v>
      </c>
      <c r="D6914">
        <v>15</v>
      </c>
      <c r="E6914">
        <f t="shared" si="107"/>
        <v>2.2611960330250455E-31</v>
      </c>
    </row>
    <row r="6915" spans="1:5" x14ac:dyDescent="0.25">
      <c r="A6915">
        <v>8</v>
      </c>
      <c r="B6915">
        <v>1</v>
      </c>
      <c r="C6915">
        <v>25</v>
      </c>
      <c r="D6915">
        <v>14</v>
      </c>
      <c r="E6915">
        <f t="shared" si="107"/>
        <v>5.0568565829469219E-31</v>
      </c>
    </row>
    <row r="6916" spans="1:5" x14ac:dyDescent="0.25">
      <c r="A6916">
        <v>8</v>
      </c>
      <c r="B6916">
        <v>1</v>
      </c>
      <c r="C6916">
        <v>26</v>
      </c>
      <c r="D6916">
        <v>13</v>
      </c>
      <c r="E6916">
        <f t="shared" si="107"/>
        <v>9.076409251443189E-31</v>
      </c>
    </row>
    <row r="6917" spans="1:5" x14ac:dyDescent="0.25">
      <c r="A6917">
        <v>8</v>
      </c>
      <c r="B6917">
        <v>1</v>
      </c>
      <c r="C6917">
        <v>27</v>
      </c>
      <c r="D6917">
        <v>12</v>
      </c>
      <c r="E6917">
        <f t="shared" si="107"/>
        <v>1.3110368918751272E-30</v>
      </c>
    </row>
    <row r="6918" spans="1:5" x14ac:dyDescent="0.25">
      <c r="A6918">
        <v>8</v>
      </c>
      <c r="B6918">
        <v>1</v>
      </c>
      <c r="C6918">
        <v>28</v>
      </c>
      <c r="D6918">
        <v>11</v>
      </c>
      <c r="E6918">
        <f t="shared" si="107"/>
        <v>1.525083731364944E-30</v>
      </c>
    </row>
    <row r="6919" spans="1:5" x14ac:dyDescent="0.25">
      <c r="A6919">
        <v>8</v>
      </c>
      <c r="B6919">
        <v>1</v>
      </c>
      <c r="C6919">
        <v>29</v>
      </c>
      <c r="D6919">
        <v>10</v>
      </c>
      <c r="E6919">
        <f t="shared" si="107"/>
        <v>1.4269174222196141E-30</v>
      </c>
    </row>
    <row r="6920" spans="1:5" x14ac:dyDescent="0.25">
      <c r="A6920">
        <v>8</v>
      </c>
      <c r="B6920">
        <v>1</v>
      </c>
      <c r="C6920">
        <v>30</v>
      </c>
      <c r="D6920">
        <v>9</v>
      </c>
      <c r="E6920">
        <f t="shared" si="107"/>
        <v>1.0701880666647105E-30</v>
      </c>
    </row>
    <row r="6921" spans="1:5" x14ac:dyDescent="0.25">
      <c r="A6921">
        <v>8</v>
      </c>
      <c r="B6921">
        <v>1</v>
      </c>
      <c r="C6921">
        <v>31</v>
      </c>
      <c r="D6921">
        <v>8</v>
      </c>
      <c r="E6921">
        <f t="shared" si="107"/>
        <v>6.3967597912596558E-31</v>
      </c>
    </row>
    <row r="6922" spans="1:5" x14ac:dyDescent="0.25">
      <c r="A6922">
        <v>8</v>
      </c>
      <c r="B6922">
        <v>1</v>
      </c>
      <c r="C6922">
        <v>32</v>
      </c>
      <c r="D6922">
        <v>7</v>
      </c>
      <c r="E6922">
        <f t="shared" si="107"/>
        <v>3.0206921236503929E-31</v>
      </c>
    </row>
    <row r="6923" spans="1:5" x14ac:dyDescent="0.25">
      <c r="A6923">
        <v>8</v>
      </c>
      <c r="B6923">
        <v>1</v>
      </c>
      <c r="C6923">
        <v>33</v>
      </c>
      <c r="D6923">
        <v>6</v>
      </c>
      <c r="E6923">
        <f t="shared" si="107"/>
        <v>1.1128865718711972E-31</v>
      </c>
    </row>
    <row r="6924" spans="1:5" x14ac:dyDescent="0.25">
      <c r="A6924">
        <v>8</v>
      </c>
      <c r="B6924">
        <v>1</v>
      </c>
      <c r="C6924">
        <v>34</v>
      </c>
      <c r="D6924">
        <v>5</v>
      </c>
      <c r="E6924">
        <f t="shared" si="107"/>
        <v>3.1422679676363217E-32</v>
      </c>
    </row>
    <row r="6925" spans="1:5" x14ac:dyDescent="0.25">
      <c r="A6925">
        <v>8</v>
      </c>
      <c r="B6925">
        <v>1</v>
      </c>
      <c r="C6925">
        <v>35</v>
      </c>
      <c r="D6925">
        <v>4</v>
      </c>
      <c r="E6925">
        <f t="shared" si="107"/>
        <v>6.6265514963759173E-33</v>
      </c>
    </row>
    <row r="6926" spans="1:5" x14ac:dyDescent="0.25">
      <c r="A6926">
        <v>8</v>
      </c>
      <c r="B6926">
        <v>1</v>
      </c>
      <c r="C6926">
        <v>36</v>
      </c>
      <c r="D6926">
        <v>3</v>
      </c>
      <c r="E6926">
        <f t="shared" ref="E6926:E6989" si="108">COMBIN(A$4,A6926)*COMBIN(B$4,B6926)*COMBIN(C$4,C6926)*COMBIN(D$4,D6926)/COMBIN($G$4,$F$4)</f>
        <v>1.0040229539963511E-33</v>
      </c>
    </row>
    <row r="6927" spans="1:5" x14ac:dyDescent="0.25">
      <c r="A6927">
        <v>8</v>
      </c>
      <c r="B6927">
        <v>1</v>
      </c>
      <c r="C6927">
        <v>37</v>
      </c>
      <c r="D6927">
        <v>2</v>
      </c>
      <c r="E6927">
        <f t="shared" si="108"/>
        <v>1.0264394476813461E-34</v>
      </c>
    </row>
    <row r="6928" spans="1:5" x14ac:dyDescent="0.25">
      <c r="A6928">
        <v>8</v>
      </c>
      <c r="B6928">
        <v>1</v>
      </c>
      <c r="C6928">
        <v>38</v>
      </c>
      <c r="D6928">
        <v>1</v>
      </c>
      <c r="E6928">
        <f t="shared" si="108"/>
        <v>6.3026983629556316E-36</v>
      </c>
    </row>
    <row r="6929" spans="1:5" x14ac:dyDescent="0.25">
      <c r="A6929">
        <v>8</v>
      </c>
      <c r="B6929">
        <v>1</v>
      </c>
      <c r="C6929">
        <v>39</v>
      </c>
      <c r="D6929">
        <v>0</v>
      </c>
      <c r="E6929">
        <f t="shared" si="108"/>
        <v>1.7453626235877134E-37</v>
      </c>
    </row>
    <row r="6930" spans="1:5" x14ac:dyDescent="0.25">
      <c r="A6930">
        <v>8</v>
      </c>
      <c r="B6930">
        <v>2</v>
      </c>
      <c r="C6930">
        <v>13</v>
      </c>
      <c r="D6930">
        <v>25</v>
      </c>
      <c r="E6930">
        <f t="shared" si="108"/>
        <v>4.1164567667849826E-40</v>
      </c>
    </row>
    <row r="6931" spans="1:5" x14ac:dyDescent="0.25">
      <c r="A6931">
        <v>8</v>
      </c>
      <c r="B6931">
        <v>2</v>
      </c>
      <c r="C6931">
        <v>14</v>
      </c>
      <c r="D6931">
        <v>24</v>
      </c>
      <c r="E6931">
        <f t="shared" si="108"/>
        <v>3.8224241405860561E-38</v>
      </c>
    </row>
    <row r="6932" spans="1:5" x14ac:dyDescent="0.25">
      <c r="A6932">
        <v>8</v>
      </c>
      <c r="B6932">
        <v>2</v>
      </c>
      <c r="C6932">
        <v>15</v>
      </c>
      <c r="D6932">
        <v>23</v>
      </c>
      <c r="E6932">
        <f t="shared" si="108"/>
        <v>1.5595490493591103E-36</v>
      </c>
    </row>
    <row r="6933" spans="1:5" x14ac:dyDescent="0.25">
      <c r="A6933">
        <v>8</v>
      </c>
      <c r="B6933">
        <v>2</v>
      </c>
      <c r="C6933">
        <v>16</v>
      </c>
      <c r="D6933">
        <v>22</v>
      </c>
      <c r="E6933">
        <f t="shared" si="108"/>
        <v>3.7364195974228689E-35</v>
      </c>
    </row>
    <row r="6934" spans="1:5" x14ac:dyDescent="0.25">
      <c r="A6934">
        <v>8</v>
      </c>
      <c r="B6934">
        <v>2</v>
      </c>
      <c r="C6934">
        <v>17</v>
      </c>
      <c r="D6934">
        <v>21</v>
      </c>
      <c r="E6934">
        <f t="shared" si="108"/>
        <v>5.9233240088556696E-34</v>
      </c>
    </row>
    <row r="6935" spans="1:5" x14ac:dyDescent="0.25">
      <c r="A6935">
        <v>8</v>
      </c>
      <c r="B6935">
        <v>2</v>
      </c>
      <c r="C6935">
        <v>18</v>
      </c>
      <c r="D6935">
        <v>20</v>
      </c>
      <c r="E6935">
        <f t="shared" si="108"/>
        <v>6.6341228899183418E-33</v>
      </c>
    </row>
    <row r="6936" spans="1:5" x14ac:dyDescent="0.25">
      <c r="A6936">
        <v>8</v>
      </c>
      <c r="B6936">
        <v>2</v>
      </c>
      <c r="C6936">
        <v>19</v>
      </c>
      <c r="D6936">
        <v>19</v>
      </c>
      <c r="E6936">
        <f t="shared" si="108"/>
        <v>5.4702416811607391E-32</v>
      </c>
    </row>
    <row r="6937" spans="1:5" x14ac:dyDescent="0.25">
      <c r="A6937">
        <v>8</v>
      </c>
      <c r="B6937">
        <v>2</v>
      </c>
      <c r="C6937">
        <v>20</v>
      </c>
      <c r="D6937">
        <v>18</v>
      </c>
      <c r="E6937">
        <f t="shared" si="108"/>
        <v>3.4149937352389235E-31</v>
      </c>
    </row>
    <row r="6938" spans="1:5" x14ac:dyDescent="0.25">
      <c r="A6938">
        <v>8</v>
      </c>
      <c r="B6938">
        <v>2</v>
      </c>
      <c r="C6938">
        <v>21</v>
      </c>
      <c r="D6938">
        <v>17</v>
      </c>
      <c r="E6938">
        <f t="shared" si="108"/>
        <v>1.6465148366330499E-30</v>
      </c>
    </row>
    <row r="6939" spans="1:5" x14ac:dyDescent="0.25">
      <c r="A6939">
        <v>8</v>
      </c>
      <c r="B6939">
        <v>2</v>
      </c>
      <c r="C6939">
        <v>22</v>
      </c>
      <c r="D6939">
        <v>16</v>
      </c>
      <c r="E6939">
        <f t="shared" si="108"/>
        <v>6.2201671606137483E-30</v>
      </c>
    </row>
    <row r="6940" spans="1:5" x14ac:dyDescent="0.25">
      <c r="A6940">
        <v>8</v>
      </c>
      <c r="B6940">
        <v>2</v>
      </c>
      <c r="C6940">
        <v>23</v>
      </c>
      <c r="D6940">
        <v>15</v>
      </c>
      <c r="E6940">
        <f t="shared" si="108"/>
        <v>1.8606413071748941E-29</v>
      </c>
    </row>
    <row r="6941" spans="1:5" x14ac:dyDescent="0.25">
      <c r="A6941">
        <v>8</v>
      </c>
      <c r="B6941">
        <v>2</v>
      </c>
      <c r="C6941">
        <v>24</v>
      </c>
      <c r="D6941">
        <v>14</v>
      </c>
      <c r="E6941">
        <f t="shared" si="108"/>
        <v>4.4401667557582713E-29</v>
      </c>
    </row>
    <row r="6942" spans="1:5" x14ac:dyDescent="0.25">
      <c r="A6942">
        <v>8</v>
      </c>
      <c r="B6942">
        <v>2</v>
      </c>
      <c r="C6942">
        <v>25</v>
      </c>
      <c r="D6942">
        <v>13</v>
      </c>
      <c r="E6942">
        <f t="shared" si="108"/>
        <v>8.4955190593508303E-29</v>
      </c>
    </row>
    <row r="6943" spans="1:5" x14ac:dyDescent="0.25">
      <c r="A6943">
        <v>8</v>
      </c>
      <c r="B6943">
        <v>2</v>
      </c>
      <c r="C6943">
        <v>26</v>
      </c>
      <c r="D6943">
        <v>12</v>
      </c>
      <c r="E6943">
        <f t="shared" si="108"/>
        <v>1.307002932207819E-28</v>
      </c>
    </row>
    <row r="6944" spans="1:5" x14ac:dyDescent="0.25">
      <c r="A6944">
        <v>8</v>
      </c>
      <c r="B6944">
        <v>2</v>
      </c>
      <c r="C6944">
        <v>27</v>
      </c>
      <c r="D6944">
        <v>11</v>
      </c>
      <c r="E6944">
        <f t="shared" si="108"/>
        <v>1.618194106543014E-28</v>
      </c>
    </row>
    <row r="6945" spans="1:5" x14ac:dyDescent="0.25">
      <c r="A6945">
        <v>8</v>
      </c>
      <c r="B6945">
        <v>2</v>
      </c>
      <c r="C6945">
        <v>28</v>
      </c>
      <c r="D6945">
        <v>10</v>
      </c>
      <c r="E6945">
        <f t="shared" si="108"/>
        <v>1.6104884203213803E-28</v>
      </c>
    </row>
    <row r="6946" spans="1:5" x14ac:dyDescent="0.25">
      <c r="A6946">
        <v>8</v>
      </c>
      <c r="B6946">
        <v>2</v>
      </c>
      <c r="C6946">
        <v>29</v>
      </c>
      <c r="D6946">
        <v>9</v>
      </c>
      <c r="E6946">
        <f t="shared" si="108"/>
        <v>1.284225679997653E-28</v>
      </c>
    </row>
    <row r="6947" spans="1:5" x14ac:dyDescent="0.25">
      <c r="A6947">
        <v>8</v>
      </c>
      <c r="B6947">
        <v>2</v>
      </c>
      <c r="C6947">
        <v>30</v>
      </c>
      <c r="D6947">
        <v>8</v>
      </c>
      <c r="E6947">
        <f t="shared" si="108"/>
        <v>8.1586102023380299E-29</v>
      </c>
    </row>
    <row r="6948" spans="1:5" x14ac:dyDescent="0.25">
      <c r="A6948">
        <v>8</v>
      </c>
      <c r="B6948">
        <v>2</v>
      </c>
      <c r="C6948">
        <v>31</v>
      </c>
      <c r="D6948">
        <v>7</v>
      </c>
      <c r="E6948">
        <f t="shared" si="108"/>
        <v>4.0939262664061803E-29</v>
      </c>
    </row>
    <row r="6949" spans="1:5" x14ac:dyDescent="0.25">
      <c r="A6949">
        <v>8</v>
      </c>
      <c r="B6949">
        <v>2</v>
      </c>
      <c r="C6949">
        <v>32</v>
      </c>
      <c r="D6949">
        <v>6</v>
      </c>
      <c r="E6949">
        <f t="shared" si="108"/>
        <v>1.6025566634945238E-29</v>
      </c>
    </row>
    <row r="6950" spans="1:5" x14ac:dyDescent="0.25">
      <c r="A6950">
        <v>8</v>
      </c>
      <c r="B6950">
        <v>2</v>
      </c>
      <c r="C6950">
        <v>33</v>
      </c>
      <c r="D6950">
        <v>5</v>
      </c>
      <c r="E6950">
        <f t="shared" si="108"/>
        <v>4.8076699904835718E-30</v>
      </c>
    </row>
    <row r="6951" spans="1:5" x14ac:dyDescent="0.25">
      <c r="A6951">
        <v>8</v>
      </c>
      <c r="B6951">
        <v>2</v>
      </c>
      <c r="C6951">
        <v>34</v>
      </c>
      <c r="D6951">
        <v>4</v>
      </c>
      <c r="E6951">
        <f t="shared" si="108"/>
        <v>1.0773490174753107E-30</v>
      </c>
    </row>
    <row r="6952" spans="1:5" x14ac:dyDescent="0.25">
      <c r="A6952">
        <v>8</v>
      </c>
      <c r="B6952">
        <v>2</v>
      </c>
      <c r="C6952">
        <v>35</v>
      </c>
      <c r="D6952">
        <v>3</v>
      </c>
      <c r="E6952">
        <f t="shared" si="108"/>
        <v>1.7349516645056948E-31</v>
      </c>
    </row>
    <row r="6953" spans="1:5" x14ac:dyDescent="0.25">
      <c r="A6953">
        <v>8</v>
      </c>
      <c r="B6953">
        <v>2</v>
      </c>
      <c r="C6953">
        <v>36</v>
      </c>
      <c r="D6953">
        <v>2</v>
      </c>
      <c r="E6953">
        <f t="shared" si="108"/>
        <v>1.8858170266366253E-32</v>
      </c>
    </row>
    <row r="6954" spans="1:5" x14ac:dyDescent="0.25">
      <c r="A6954">
        <v>8</v>
      </c>
      <c r="B6954">
        <v>2</v>
      </c>
      <c r="C6954">
        <v>37</v>
      </c>
      <c r="D6954">
        <v>1</v>
      </c>
      <c r="E6954">
        <f t="shared" si="108"/>
        <v>1.2317273372176152E-33</v>
      </c>
    </row>
    <row r="6955" spans="1:5" x14ac:dyDescent="0.25">
      <c r="A6955">
        <v>8</v>
      </c>
      <c r="B6955">
        <v>2</v>
      </c>
      <c r="C6955">
        <v>38</v>
      </c>
      <c r="D6955">
        <v>0</v>
      </c>
      <c r="E6955">
        <f t="shared" si="108"/>
        <v>3.6303542570624442E-35</v>
      </c>
    </row>
    <row r="6956" spans="1:5" x14ac:dyDescent="0.25">
      <c r="A6956">
        <v>8</v>
      </c>
      <c r="B6956">
        <v>3</v>
      </c>
      <c r="C6956">
        <v>12</v>
      </c>
      <c r="D6956">
        <v>25</v>
      </c>
      <c r="E6956">
        <f t="shared" si="108"/>
        <v>9.6594340860847567E-39</v>
      </c>
    </row>
    <row r="6957" spans="1:5" x14ac:dyDescent="0.25">
      <c r="A6957">
        <v>8</v>
      </c>
      <c r="B6957">
        <v>3</v>
      </c>
      <c r="C6957">
        <v>13</v>
      </c>
      <c r="D6957">
        <v>24</v>
      </c>
      <c r="E6957">
        <f t="shared" si="108"/>
        <v>9.845192433894084E-37</v>
      </c>
    </row>
    <row r="6958" spans="1:5" x14ac:dyDescent="0.25">
      <c r="A6958">
        <v>8</v>
      </c>
      <c r="B6958">
        <v>3</v>
      </c>
      <c r="C6958">
        <v>14</v>
      </c>
      <c r="D6958">
        <v>23</v>
      </c>
      <c r="E6958">
        <f t="shared" si="108"/>
        <v>4.3881429133927926E-35</v>
      </c>
    </row>
    <row r="6959" spans="1:5" x14ac:dyDescent="0.25">
      <c r="A6959">
        <v>8</v>
      </c>
      <c r="B6959">
        <v>3</v>
      </c>
      <c r="C6959">
        <v>15</v>
      </c>
      <c r="D6959">
        <v>22</v>
      </c>
      <c r="E6959">
        <f t="shared" si="108"/>
        <v>1.143842586091054E-33</v>
      </c>
    </row>
    <row r="6960" spans="1:5" x14ac:dyDescent="0.25">
      <c r="A6960">
        <v>8</v>
      </c>
      <c r="B6960">
        <v>3</v>
      </c>
      <c r="C6960">
        <v>16</v>
      </c>
      <c r="D6960">
        <v>21</v>
      </c>
      <c r="E6960">
        <f t="shared" si="108"/>
        <v>1.9659794448439995E-32</v>
      </c>
    </row>
    <row r="6961" spans="1:5" x14ac:dyDescent="0.25">
      <c r="A6961">
        <v>8</v>
      </c>
      <c r="B6961">
        <v>3</v>
      </c>
      <c r="C6961">
        <v>17</v>
      </c>
      <c r="D6961">
        <v>20</v>
      </c>
      <c r="E6961">
        <f t="shared" si="108"/>
        <v>2.3799915867582072E-31</v>
      </c>
    </row>
    <row r="6962" spans="1:5" x14ac:dyDescent="0.25">
      <c r="A6962">
        <v>8</v>
      </c>
      <c r="B6962">
        <v>3</v>
      </c>
      <c r="C6962">
        <v>18</v>
      </c>
      <c r="D6962">
        <v>19</v>
      </c>
      <c r="E6962">
        <f t="shared" si="108"/>
        <v>2.1155480771184046E-30</v>
      </c>
    </row>
    <row r="6963" spans="1:5" x14ac:dyDescent="0.25">
      <c r="A6963">
        <v>8</v>
      </c>
      <c r="B6963">
        <v>3</v>
      </c>
      <c r="C6963">
        <v>19</v>
      </c>
      <c r="D6963">
        <v>18</v>
      </c>
      <c r="E6963">
        <f t="shared" si="108"/>
        <v>1.4204394232080728E-29</v>
      </c>
    </row>
    <row r="6964" spans="1:5" x14ac:dyDescent="0.25">
      <c r="A6964">
        <v>8</v>
      </c>
      <c r="B6964">
        <v>3</v>
      </c>
      <c r="C6964">
        <v>20</v>
      </c>
      <c r="D6964">
        <v>17</v>
      </c>
      <c r="E6964">
        <f t="shared" si="108"/>
        <v>7.3507740151017804E-29</v>
      </c>
    </row>
    <row r="6965" spans="1:5" x14ac:dyDescent="0.25">
      <c r="A6965">
        <v>8</v>
      </c>
      <c r="B6965">
        <v>3</v>
      </c>
      <c r="C6965">
        <v>21</v>
      </c>
      <c r="D6965">
        <v>16</v>
      </c>
      <c r="E6965">
        <f t="shared" si="108"/>
        <v>2.9753132918269075E-28</v>
      </c>
    </row>
    <row r="6966" spans="1:5" x14ac:dyDescent="0.25">
      <c r="A6966">
        <v>8</v>
      </c>
      <c r="B6966">
        <v>3</v>
      </c>
      <c r="C6966">
        <v>22</v>
      </c>
      <c r="D6966">
        <v>15</v>
      </c>
      <c r="E6966">
        <f t="shared" si="108"/>
        <v>9.5210025338461094E-28</v>
      </c>
    </row>
    <row r="6967" spans="1:5" x14ac:dyDescent="0.25">
      <c r="A6967">
        <v>8</v>
      </c>
      <c r="B6967">
        <v>3</v>
      </c>
      <c r="C6967">
        <v>23</v>
      </c>
      <c r="D6967">
        <v>14</v>
      </c>
      <c r="E6967">
        <f t="shared" si="108"/>
        <v>2.4272911598145216E-27</v>
      </c>
    </row>
    <row r="6968" spans="1:5" x14ac:dyDescent="0.25">
      <c r="A6968">
        <v>8</v>
      </c>
      <c r="B6968">
        <v>3</v>
      </c>
      <c r="C6968">
        <v>24</v>
      </c>
      <c r="D6968">
        <v>13</v>
      </c>
      <c r="E6968">
        <f t="shared" si="108"/>
        <v>4.955719451287982E-27</v>
      </c>
    </row>
    <row r="6969" spans="1:5" x14ac:dyDescent="0.25">
      <c r="A6969">
        <v>8</v>
      </c>
      <c r="B6969">
        <v>3</v>
      </c>
      <c r="C6969">
        <v>25</v>
      </c>
      <c r="D6969">
        <v>12</v>
      </c>
      <c r="E6969">
        <f t="shared" si="108"/>
        <v>8.1273799001122947E-27</v>
      </c>
    </row>
    <row r="6970" spans="1:5" x14ac:dyDescent="0.25">
      <c r="A6970">
        <v>8</v>
      </c>
      <c r="B6970">
        <v>3</v>
      </c>
      <c r="C6970">
        <v>26</v>
      </c>
      <c r="D6970">
        <v>11</v>
      </c>
      <c r="E6970">
        <f t="shared" si="108"/>
        <v>1.0717424044104116E-26</v>
      </c>
    </row>
    <row r="6971" spans="1:5" x14ac:dyDescent="0.25">
      <c r="A6971">
        <v>8</v>
      </c>
      <c r="B6971">
        <v>3</v>
      </c>
      <c r="C6971">
        <v>27</v>
      </c>
      <c r="D6971">
        <v>10</v>
      </c>
      <c r="E6971">
        <f t="shared" si="108"/>
        <v>1.13525306541251E-26</v>
      </c>
    </row>
    <row r="6972" spans="1:5" x14ac:dyDescent="0.25">
      <c r="A6972">
        <v>8</v>
      </c>
      <c r="B6972">
        <v>3</v>
      </c>
      <c r="C6972">
        <v>28</v>
      </c>
      <c r="D6972">
        <v>9</v>
      </c>
      <c r="E6972">
        <f t="shared" si="108"/>
        <v>9.629378679838257E-27</v>
      </c>
    </row>
    <row r="6973" spans="1:5" x14ac:dyDescent="0.25">
      <c r="A6973">
        <v>8</v>
      </c>
      <c r="B6973">
        <v>3</v>
      </c>
      <c r="C6973">
        <v>29</v>
      </c>
      <c r="D6973">
        <v>8</v>
      </c>
      <c r="E6973">
        <f t="shared" si="108"/>
        <v>6.5042253557528195E-27</v>
      </c>
    </row>
    <row r="6974" spans="1:5" x14ac:dyDescent="0.25">
      <c r="A6974">
        <v>8</v>
      </c>
      <c r="B6974">
        <v>3</v>
      </c>
      <c r="C6974">
        <v>30</v>
      </c>
      <c r="D6974">
        <v>7</v>
      </c>
      <c r="E6974">
        <f t="shared" si="108"/>
        <v>3.468920189734837E-27</v>
      </c>
    </row>
    <row r="6975" spans="1:5" x14ac:dyDescent="0.25">
      <c r="A6975">
        <v>8</v>
      </c>
      <c r="B6975">
        <v>3</v>
      </c>
      <c r="C6975">
        <v>31</v>
      </c>
      <c r="D6975">
        <v>6</v>
      </c>
      <c r="E6975">
        <f t="shared" si="108"/>
        <v>1.4429294507385991E-27</v>
      </c>
    </row>
    <row r="6976" spans="1:5" x14ac:dyDescent="0.25">
      <c r="A6976">
        <v>8</v>
      </c>
      <c r="B6976">
        <v>3</v>
      </c>
      <c r="C6976">
        <v>32</v>
      </c>
      <c r="D6976">
        <v>5</v>
      </c>
      <c r="E6976">
        <f t="shared" si="108"/>
        <v>4.5993376242292836E-28</v>
      </c>
    </row>
    <row r="6977" spans="1:5" x14ac:dyDescent="0.25">
      <c r="A6977">
        <v>8</v>
      </c>
      <c r="B6977">
        <v>3</v>
      </c>
      <c r="C6977">
        <v>33</v>
      </c>
      <c r="D6977">
        <v>4</v>
      </c>
      <c r="E6977">
        <f t="shared" si="108"/>
        <v>1.0950803867212581E-28</v>
      </c>
    </row>
    <row r="6978" spans="1:5" x14ac:dyDescent="0.25">
      <c r="A6978">
        <v>8</v>
      </c>
      <c r="B6978">
        <v>3</v>
      </c>
      <c r="C6978">
        <v>34</v>
      </c>
      <c r="D6978">
        <v>3</v>
      </c>
      <c r="E6978">
        <f t="shared" si="108"/>
        <v>1.8739343516085705E-29</v>
      </c>
    </row>
    <row r="6979" spans="1:5" x14ac:dyDescent="0.25">
      <c r="A6979">
        <v>8</v>
      </c>
      <c r="B6979">
        <v>3</v>
      </c>
      <c r="C6979">
        <v>35</v>
      </c>
      <c r="D6979">
        <v>2</v>
      </c>
      <c r="E6979">
        <f t="shared" si="108"/>
        <v>2.164917946578845E-30</v>
      </c>
    </row>
    <row r="6980" spans="1:5" x14ac:dyDescent="0.25">
      <c r="A6980">
        <v>8</v>
      </c>
      <c r="B6980">
        <v>3</v>
      </c>
      <c r="C6980">
        <v>36</v>
      </c>
      <c r="D6980">
        <v>1</v>
      </c>
      <c r="E6980">
        <f t="shared" si="108"/>
        <v>1.5034152406797541E-31</v>
      </c>
    </row>
    <row r="6981" spans="1:5" x14ac:dyDescent="0.25">
      <c r="A6981">
        <v>8</v>
      </c>
      <c r="B6981">
        <v>3</v>
      </c>
      <c r="C6981">
        <v>37</v>
      </c>
      <c r="D6981">
        <v>0</v>
      </c>
      <c r="E6981">
        <f t="shared" si="108"/>
        <v>4.713409943752741E-33</v>
      </c>
    </row>
    <row r="6982" spans="1:5" x14ac:dyDescent="0.25">
      <c r="A6982">
        <v>8</v>
      </c>
      <c r="B6982">
        <v>4</v>
      </c>
      <c r="C6982">
        <v>11</v>
      </c>
      <c r="D6982">
        <v>25</v>
      </c>
      <c r="E6982">
        <f t="shared" si="108"/>
        <v>1.5347767492334679E-37</v>
      </c>
    </row>
    <row r="6983" spans="1:5" x14ac:dyDescent="0.25">
      <c r="A6983">
        <v>8</v>
      </c>
      <c r="B6983">
        <v>4</v>
      </c>
      <c r="C6983">
        <v>12</v>
      </c>
      <c r="D6983">
        <v>24</v>
      </c>
      <c r="E6983">
        <f t="shared" si="108"/>
        <v>1.7266238428876503E-35</v>
      </c>
    </row>
    <row r="6984" spans="1:5" x14ac:dyDescent="0.25">
      <c r="A6984">
        <v>8</v>
      </c>
      <c r="B6984">
        <v>4</v>
      </c>
      <c r="C6984">
        <v>13</v>
      </c>
      <c r="D6984">
        <v>23</v>
      </c>
      <c r="E6984">
        <f t="shared" si="108"/>
        <v>8.4471751082811241E-34</v>
      </c>
    </row>
    <row r="6985" spans="1:5" x14ac:dyDescent="0.25">
      <c r="A6985">
        <v>8</v>
      </c>
      <c r="B6985">
        <v>4</v>
      </c>
      <c r="C6985">
        <v>14</v>
      </c>
      <c r="D6985">
        <v>22</v>
      </c>
      <c r="E6985">
        <f t="shared" si="108"/>
        <v>2.4054336736914824E-32</v>
      </c>
    </row>
    <row r="6986" spans="1:5" x14ac:dyDescent="0.25">
      <c r="A6986">
        <v>8</v>
      </c>
      <c r="B6986">
        <v>4</v>
      </c>
      <c r="C6986">
        <v>15</v>
      </c>
      <c r="D6986">
        <v>21</v>
      </c>
      <c r="E6986">
        <f t="shared" si="108"/>
        <v>4.4981609698030703E-31</v>
      </c>
    </row>
    <row r="6987" spans="1:5" x14ac:dyDescent="0.25">
      <c r="A6987">
        <v>8</v>
      </c>
      <c r="B6987">
        <v>4</v>
      </c>
      <c r="C6987">
        <v>16</v>
      </c>
      <c r="D6987">
        <v>20</v>
      </c>
      <c r="E6987">
        <f t="shared" si="108"/>
        <v>5.9038362728665295E-30</v>
      </c>
    </row>
    <row r="6988" spans="1:5" x14ac:dyDescent="0.25">
      <c r="A6988">
        <v>8</v>
      </c>
      <c r="B6988">
        <v>4</v>
      </c>
      <c r="C6988">
        <v>17</v>
      </c>
      <c r="D6988">
        <v>19</v>
      </c>
      <c r="E6988">
        <f t="shared" si="108"/>
        <v>5.672313281773727E-29</v>
      </c>
    </row>
    <row r="6989" spans="1:5" x14ac:dyDescent="0.25">
      <c r="A6989">
        <v>8</v>
      </c>
      <c r="B6989">
        <v>4</v>
      </c>
      <c r="C6989">
        <v>18</v>
      </c>
      <c r="D6989">
        <v>18</v>
      </c>
      <c r="E6989">
        <f t="shared" si="108"/>
        <v>4.1056743753790767E-28</v>
      </c>
    </row>
    <row r="6990" spans="1:5" x14ac:dyDescent="0.25">
      <c r="A6990">
        <v>8</v>
      </c>
      <c r="B6990">
        <v>4</v>
      </c>
      <c r="C6990">
        <v>19</v>
      </c>
      <c r="D6990">
        <v>17</v>
      </c>
      <c r="E6990">
        <f t="shared" ref="E6990:E7053" si="109">COMBIN(A$4,A6990)*COMBIN(B$4,B6990)*COMBIN(C$4,C6990)*COMBIN(D$4,D6990)/COMBIN($G$4,$F$4)</f>
        <v>2.2851319220859866E-27</v>
      </c>
    </row>
    <row r="6991" spans="1:5" x14ac:dyDescent="0.25">
      <c r="A6991">
        <v>8</v>
      </c>
      <c r="B6991">
        <v>4</v>
      </c>
      <c r="C6991">
        <v>20</v>
      </c>
      <c r="D6991">
        <v>16</v>
      </c>
      <c r="E6991">
        <f t="shared" si="109"/>
        <v>9.9276286837291276E-27</v>
      </c>
    </row>
    <row r="6992" spans="1:5" x14ac:dyDescent="0.25">
      <c r="A6992">
        <v>8</v>
      </c>
      <c r="B6992">
        <v>4</v>
      </c>
      <c r="C6992">
        <v>21</v>
      </c>
      <c r="D6992">
        <v>15</v>
      </c>
      <c r="E6992">
        <f t="shared" si="109"/>
        <v>3.4037584058499818E-26</v>
      </c>
    </row>
    <row r="6993" spans="1:5" x14ac:dyDescent="0.25">
      <c r="A6993">
        <v>8</v>
      </c>
      <c r="B6993">
        <v>4</v>
      </c>
      <c r="C6993">
        <v>22</v>
      </c>
      <c r="D6993">
        <v>14</v>
      </c>
      <c r="E6993">
        <f t="shared" si="109"/>
        <v>9.282977470499959E-26</v>
      </c>
    </row>
    <row r="6994" spans="1:5" x14ac:dyDescent="0.25">
      <c r="A6994">
        <v>8</v>
      </c>
      <c r="B6994">
        <v>4</v>
      </c>
      <c r="C6994">
        <v>23</v>
      </c>
      <c r="D6994">
        <v>13</v>
      </c>
      <c r="E6994">
        <f t="shared" si="109"/>
        <v>2.0247653758119472E-25</v>
      </c>
    </row>
    <row r="6995" spans="1:5" x14ac:dyDescent="0.25">
      <c r="A6995">
        <v>8</v>
      </c>
      <c r="B6995">
        <v>4</v>
      </c>
      <c r="C6995">
        <v>24</v>
      </c>
      <c r="D6995">
        <v>12</v>
      </c>
      <c r="E6995">
        <f t="shared" si="109"/>
        <v>3.543339407670907E-25</v>
      </c>
    </row>
    <row r="6996" spans="1:5" x14ac:dyDescent="0.25">
      <c r="A6996">
        <v>8</v>
      </c>
      <c r="B6996">
        <v>4</v>
      </c>
      <c r="C6996">
        <v>25</v>
      </c>
      <c r="D6996">
        <v>11</v>
      </c>
      <c r="E6996">
        <f t="shared" si="109"/>
        <v>4.9809228244973912E-25</v>
      </c>
    </row>
    <row r="6997" spans="1:5" x14ac:dyDescent="0.25">
      <c r="A6997">
        <v>8</v>
      </c>
      <c r="B6997">
        <v>4</v>
      </c>
      <c r="C6997">
        <v>26</v>
      </c>
      <c r="D6997">
        <v>10</v>
      </c>
      <c r="E6997">
        <f t="shared" si="109"/>
        <v>5.6195026737919227E-25</v>
      </c>
    </row>
    <row r="6998" spans="1:5" x14ac:dyDescent="0.25">
      <c r="A6998">
        <v>8</v>
      </c>
      <c r="B6998">
        <v>4</v>
      </c>
      <c r="C6998">
        <v>27</v>
      </c>
      <c r="D6998">
        <v>9</v>
      </c>
      <c r="E6998">
        <f t="shared" si="109"/>
        <v>5.0731621360621538E-25</v>
      </c>
    </row>
    <row r="6999" spans="1:5" x14ac:dyDescent="0.25">
      <c r="A6999">
        <v>8</v>
      </c>
      <c r="B6999">
        <v>4</v>
      </c>
      <c r="C6999">
        <v>28</v>
      </c>
      <c r="D6999">
        <v>8</v>
      </c>
      <c r="E6999">
        <f t="shared" si="109"/>
        <v>3.645003047338775E-25</v>
      </c>
    </row>
    <row r="7000" spans="1:5" x14ac:dyDescent="0.25">
      <c r="A7000">
        <v>8</v>
      </c>
      <c r="B7000">
        <v>4</v>
      </c>
      <c r="C7000">
        <v>29</v>
      </c>
      <c r="D7000">
        <v>7</v>
      </c>
      <c r="E7000">
        <f t="shared" si="109"/>
        <v>2.0668982797170074E-25</v>
      </c>
    </row>
    <row r="7001" spans="1:5" x14ac:dyDescent="0.25">
      <c r="A7001">
        <v>8</v>
      </c>
      <c r="B7001">
        <v>4</v>
      </c>
      <c r="C7001">
        <v>30</v>
      </c>
      <c r="D7001">
        <v>6</v>
      </c>
      <c r="E7001">
        <f t="shared" si="109"/>
        <v>9.1378660787488693E-26</v>
      </c>
    </row>
    <row r="7002" spans="1:5" x14ac:dyDescent="0.25">
      <c r="A7002">
        <v>8</v>
      </c>
      <c r="B7002">
        <v>4</v>
      </c>
      <c r="C7002">
        <v>31</v>
      </c>
      <c r="D7002">
        <v>5</v>
      </c>
      <c r="E7002">
        <f t="shared" si="109"/>
        <v>3.095083671834295E-26</v>
      </c>
    </row>
    <row r="7003" spans="1:5" x14ac:dyDescent="0.25">
      <c r="A7003">
        <v>8</v>
      </c>
      <c r="B7003">
        <v>4</v>
      </c>
      <c r="C7003">
        <v>32</v>
      </c>
      <c r="D7003">
        <v>4</v>
      </c>
      <c r="E7003">
        <f t="shared" si="109"/>
        <v>7.8298247650569971E-27</v>
      </c>
    </row>
    <row r="7004" spans="1:5" x14ac:dyDescent="0.25">
      <c r="A7004">
        <v>8</v>
      </c>
      <c r="B7004">
        <v>4</v>
      </c>
      <c r="C7004">
        <v>33</v>
      </c>
      <c r="D7004">
        <v>3</v>
      </c>
      <c r="E7004">
        <f t="shared" si="109"/>
        <v>1.4236045027376355E-27</v>
      </c>
    </row>
    <row r="7005" spans="1:5" x14ac:dyDescent="0.25">
      <c r="A7005">
        <v>8</v>
      </c>
      <c r="B7005">
        <v>4</v>
      </c>
      <c r="C7005">
        <v>34</v>
      </c>
      <c r="D7005">
        <v>2</v>
      </c>
      <c r="E7005">
        <f t="shared" si="109"/>
        <v>1.7476474713914712E-28</v>
      </c>
    </row>
    <row r="7006" spans="1:5" x14ac:dyDescent="0.25">
      <c r="A7006">
        <v>8</v>
      </c>
      <c r="B7006">
        <v>4</v>
      </c>
      <c r="C7006">
        <v>35</v>
      </c>
      <c r="D7006">
        <v>1</v>
      </c>
      <c r="E7006">
        <f t="shared" si="109"/>
        <v>1.2899302765032287E-29</v>
      </c>
    </row>
    <row r="7007" spans="1:5" x14ac:dyDescent="0.25">
      <c r="A7007">
        <v>8</v>
      </c>
      <c r="B7007">
        <v>4</v>
      </c>
      <c r="C7007">
        <v>36</v>
      </c>
      <c r="D7007">
        <v>0</v>
      </c>
      <c r="E7007">
        <f t="shared" si="109"/>
        <v>4.2997675883440965E-31</v>
      </c>
    </row>
    <row r="7008" spans="1:5" x14ac:dyDescent="0.25">
      <c r="A7008">
        <v>8</v>
      </c>
      <c r="B7008">
        <v>5</v>
      </c>
      <c r="C7008">
        <v>10</v>
      </c>
      <c r="D7008">
        <v>25</v>
      </c>
      <c r="E7008">
        <f t="shared" si="109"/>
        <v>1.749645494126153E-36</v>
      </c>
    </row>
    <row r="7009" spans="1:5" x14ac:dyDescent="0.25">
      <c r="A7009">
        <v>8</v>
      </c>
      <c r="B7009">
        <v>5</v>
      </c>
      <c r="C7009">
        <v>11</v>
      </c>
      <c r="D7009">
        <v>24</v>
      </c>
      <c r="E7009">
        <f t="shared" si="109"/>
        <v>2.1870568676576914E-34</v>
      </c>
    </row>
    <row r="7010" spans="1:5" x14ac:dyDescent="0.25">
      <c r="A7010">
        <v>8</v>
      </c>
      <c r="B7010">
        <v>5</v>
      </c>
      <c r="C7010">
        <v>12</v>
      </c>
      <c r="D7010">
        <v>23</v>
      </c>
      <c r="E7010">
        <f t="shared" si="109"/>
        <v>1.1810107085351528E-32</v>
      </c>
    </row>
    <row r="7011" spans="1:5" x14ac:dyDescent="0.25">
      <c r="A7011">
        <v>8</v>
      </c>
      <c r="B7011">
        <v>5</v>
      </c>
      <c r="C7011">
        <v>13</v>
      </c>
      <c r="D7011">
        <v>22</v>
      </c>
      <c r="E7011">
        <f t="shared" si="109"/>
        <v>3.6914155223188508E-31</v>
      </c>
    </row>
    <row r="7012" spans="1:5" x14ac:dyDescent="0.25">
      <c r="A7012">
        <v>8</v>
      </c>
      <c r="B7012">
        <v>5</v>
      </c>
      <c r="C7012">
        <v>14</v>
      </c>
      <c r="D7012">
        <v>21</v>
      </c>
      <c r="E7012">
        <f t="shared" si="109"/>
        <v>7.5410345670227969E-30</v>
      </c>
    </row>
    <row r="7013" spans="1:5" x14ac:dyDescent="0.25">
      <c r="A7013">
        <v>8</v>
      </c>
      <c r="B7013">
        <v>5</v>
      </c>
      <c r="C7013">
        <v>15</v>
      </c>
      <c r="D7013">
        <v>20</v>
      </c>
      <c r="E7013">
        <f t="shared" si="109"/>
        <v>1.0768597361708549E-28</v>
      </c>
    </row>
    <row r="7014" spans="1:5" x14ac:dyDescent="0.25">
      <c r="A7014">
        <v>8</v>
      </c>
      <c r="B7014">
        <v>5</v>
      </c>
      <c r="C7014">
        <v>16</v>
      </c>
      <c r="D7014">
        <v>19</v>
      </c>
      <c r="E7014">
        <f t="shared" si="109"/>
        <v>1.1217288918446407E-27</v>
      </c>
    </row>
    <row r="7015" spans="1:5" x14ac:dyDescent="0.25">
      <c r="A7015">
        <v>8</v>
      </c>
      <c r="B7015">
        <v>5</v>
      </c>
      <c r="C7015">
        <v>17</v>
      </c>
      <c r="D7015">
        <v>18</v>
      </c>
      <c r="E7015">
        <f t="shared" si="109"/>
        <v>8.7758789773727849E-27</v>
      </c>
    </row>
    <row r="7016" spans="1:5" x14ac:dyDescent="0.25">
      <c r="A7016">
        <v>8</v>
      </c>
      <c r="B7016">
        <v>5</v>
      </c>
      <c r="C7016">
        <v>18</v>
      </c>
      <c r="D7016">
        <v>17</v>
      </c>
      <c r="E7016">
        <f t="shared" si="109"/>
        <v>5.2655273864236635E-26</v>
      </c>
    </row>
    <row r="7017" spans="1:5" x14ac:dyDescent="0.25">
      <c r="A7017">
        <v>8</v>
      </c>
      <c r="B7017">
        <v>5</v>
      </c>
      <c r="C7017">
        <v>19</v>
      </c>
      <c r="D7017">
        <v>16</v>
      </c>
      <c r="E7017">
        <f t="shared" si="109"/>
        <v>2.4603253694459121E-25</v>
      </c>
    </row>
    <row r="7018" spans="1:5" x14ac:dyDescent="0.25">
      <c r="A7018">
        <v>8</v>
      </c>
      <c r="B7018">
        <v>5</v>
      </c>
      <c r="C7018">
        <v>20</v>
      </c>
      <c r="D7018">
        <v>15</v>
      </c>
      <c r="E7018">
        <f t="shared" si="109"/>
        <v>9.0539973595609619E-25</v>
      </c>
    </row>
    <row r="7019" spans="1:5" x14ac:dyDescent="0.25">
      <c r="A7019">
        <v>8</v>
      </c>
      <c r="B7019">
        <v>5</v>
      </c>
      <c r="C7019">
        <v>21</v>
      </c>
      <c r="D7019">
        <v>14</v>
      </c>
      <c r="E7019">
        <f t="shared" si="109"/>
        <v>2.6456485790924862E-24</v>
      </c>
    </row>
    <row r="7020" spans="1:5" x14ac:dyDescent="0.25">
      <c r="A7020">
        <v>8</v>
      </c>
      <c r="B7020">
        <v>5</v>
      </c>
      <c r="C7020">
        <v>22</v>
      </c>
      <c r="D7020">
        <v>13</v>
      </c>
      <c r="E7020">
        <f t="shared" si="109"/>
        <v>6.1731800178824733E-24</v>
      </c>
    </row>
    <row r="7021" spans="1:5" x14ac:dyDescent="0.25">
      <c r="A7021">
        <v>8</v>
      </c>
      <c r="B7021">
        <v>5</v>
      </c>
      <c r="C7021">
        <v>23</v>
      </c>
      <c r="D7021">
        <v>12</v>
      </c>
      <c r="E7021">
        <f t="shared" si="109"/>
        <v>1.1541162642128099E-23</v>
      </c>
    </row>
    <row r="7022" spans="1:5" x14ac:dyDescent="0.25">
      <c r="A7022">
        <v>8</v>
      </c>
      <c r="B7022">
        <v>5</v>
      </c>
      <c r="C7022">
        <v>24</v>
      </c>
      <c r="D7022">
        <v>11</v>
      </c>
      <c r="E7022">
        <f t="shared" si="109"/>
        <v>1.7311743963192145E-23</v>
      </c>
    </row>
    <row r="7023" spans="1:5" x14ac:dyDescent="0.25">
      <c r="A7023">
        <v>8</v>
      </c>
      <c r="B7023">
        <v>5</v>
      </c>
      <c r="C7023">
        <v>25</v>
      </c>
      <c r="D7023">
        <v>10</v>
      </c>
      <c r="E7023">
        <f t="shared" si="109"/>
        <v>2.0820257406399091E-23</v>
      </c>
    </row>
    <row r="7024" spans="1:5" x14ac:dyDescent="0.25">
      <c r="A7024">
        <v>8</v>
      </c>
      <c r="B7024">
        <v>5</v>
      </c>
      <c r="C7024">
        <v>26</v>
      </c>
      <c r="D7024">
        <v>9</v>
      </c>
      <c r="E7024">
        <f t="shared" si="109"/>
        <v>2.0019478275383731E-23</v>
      </c>
    </row>
    <row r="7025" spans="1:5" x14ac:dyDescent="0.25">
      <c r="A7025">
        <v>8</v>
      </c>
      <c r="B7025">
        <v>5</v>
      </c>
      <c r="C7025">
        <v>27</v>
      </c>
      <c r="D7025">
        <v>8</v>
      </c>
      <c r="E7025">
        <f t="shared" si="109"/>
        <v>1.5309012798822853E-23</v>
      </c>
    </row>
    <row r="7026" spans="1:5" x14ac:dyDescent="0.25">
      <c r="A7026">
        <v>8</v>
      </c>
      <c r="B7026">
        <v>5</v>
      </c>
      <c r="C7026">
        <v>28</v>
      </c>
      <c r="D7026">
        <v>7</v>
      </c>
      <c r="E7026">
        <f t="shared" si="109"/>
        <v>9.2340077199248994E-24</v>
      </c>
    </row>
    <row r="7027" spans="1:5" x14ac:dyDescent="0.25">
      <c r="A7027">
        <v>8</v>
      </c>
      <c r="B7027">
        <v>5</v>
      </c>
      <c r="C7027">
        <v>29</v>
      </c>
      <c r="D7027">
        <v>6</v>
      </c>
      <c r="E7027">
        <f t="shared" si="109"/>
        <v>4.3404863874057138E-24</v>
      </c>
    </row>
    <row r="7028" spans="1:5" x14ac:dyDescent="0.25">
      <c r="A7028">
        <v>8</v>
      </c>
      <c r="B7028">
        <v>5</v>
      </c>
      <c r="C7028">
        <v>30</v>
      </c>
      <c r="D7028">
        <v>5</v>
      </c>
      <c r="E7028">
        <f t="shared" si="109"/>
        <v>1.5625750994660567E-24</v>
      </c>
    </row>
    <row r="7029" spans="1:5" x14ac:dyDescent="0.25">
      <c r="A7029">
        <v>8</v>
      </c>
      <c r="B7029">
        <v>5</v>
      </c>
      <c r="C7029">
        <v>31</v>
      </c>
      <c r="D7029">
        <v>4</v>
      </c>
      <c r="E7029">
        <f t="shared" si="109"/>
        <v>4.2004706974894013E-25</v>
      </c>
    </row>
    <row r="7030" spans="1:5" x14ac:dyDescent="0.25">
      <c r="A7030">
        <v>8</v>
      </c>
      <c r="B7030">
        <v>5</v>
      </c>
      <c r="C7030">
        <v>32</v>
      </c>
      <c r="D7030">
        <v>3</v>
      </c>
      <c r="E7030">
        <f t="shared" si="109"/>
        <v>8.1145456656045221E-26</v>
      </c>
    </row>
    <row r="7031" spans="1:5" x14ac:dyDescent="0.25">
      <c r="A7031">
        <v>8</v>
      </c>
      <c r="B7031">
        <v>5</v>
      </c>
      <c r="C7031">
        <v>33</v>
      </c>
      <c r="D7031">
        <v>2</v>
      </c>
      <c r="E7031">
        <f t="shared" si="109"/>
        <v>1.0584189998614596E-26</v>
      </c>
    </row>
    <row r="7032" spans="1:5" x14ac:dyDescent="0.25">
      <c r="A7032">
        <v>8</v>
      </c>
      <c r="B7032">
        <v>5</v>
      </c>
      <c r="C7032">
        <v>34</v>
      </c>
      <c r="D7032">
        <v>1</v>
      </c>
      <c r="E7032">
        <f t="shared" si="109"/>
        <v>8.3013254891094875E-28</v>
      </c>
    </row>
    <row r="7033" spans="1:5" x14ac:dyDescent="0.25">
      <c r="A7033">
        <v>8</v>
      </c>
      <c r="B7033">
        <v>5</v>
      </c>
      <c r="C7033">
        <v>35</v>
      </c>
      <c r="D7033">
        <v>0</v>
      </c>
      <c r="E7033">
        <f t="shared" si="109"/>
        <v>2.9410410304273609E-29</v>
      </c>
    </row>
    <row r="7034" spans="1:5" x14ac:dyDescent="0.25">
      <c r="A7034">
        <v>8</v>
      </c>
      <c r="B7034">
        <v>6</v>
      </c>
      <c r="C7034">
        <v>9</v>
      </c>
      <c r="D7034">
        <v>25</v>
      </c>
      <c r="E7034">
        <f t="shared" si="109"/>
        <v>1.4788670247971053E-35</v>
      </c>
    </row>
    <row r="7035" spans="1:5" x14ac:dyDescent="0.25">
      <c r="A7035">
        <v>8</v>
      </c>
      <c r="B7035">
        <v>6</v>
      </c>
      <c r="C7035">
        <v>10</v>
      </c>
      <c r="D7035">
        <v>24</v>
      </c>
      <c r="E7035">
        <f t="shared" si="109"/>
        <v>2.0704138347159481E-33</v>
      </c>
    </row>
    <row r="7036" spans="1:5" x14ac:dyDescent="0.25">
      <c r="A7036">
        <v>8</v>
      </c>
      <c r="B7036">
        <v>6</v>
      </c>
      <c r="C7036">
        <v>11</v>
      </c>
      <c r="D7036">
        <v>23</v>
      </c>
      <c r="E7036">
        <f t="shared" si="109"/>
        <v>1.2422483008295688E-31</v>
      </c>
    </row>
    <row r="7037" spans="1:5" x14ac:dyDescent="0.25">
      <c r="A7037">
        <v>8</v>
      </c>
      <c r="B7037">
        <v>6</v>
      </c>
      <c r="C7037">
        <v>12</v>
      </c>
      <c r="D7037">
        <v>22</v>
      </c>
      <c r="E7037">
        <f t="shared" si="109"/>
        <v>4.2857566378620094E-30</v>
      </c>
    </row>
    <row r="7038" spans="1:5" x14ac:dyDescent="0.25">
      <c r="A7038">
        <v>8</v>
      </c>
      <c r="B7038">
        <v>6</v>
      </c>
      <c r="C7038">
        <v>13</v>
      </c>
      <c r="D7038">
        <v>21</v>
      </c>
      <c r="E7038">
        <f t="shared" si="109"/>
        <v>9.6099850764367423E-29</v>
      </c>
    </row>
    <row r="7039" spans="1:5" x14ac:dyDescent="0.25">
      <c r="A7039">
        <v>8</v>
      </c>
      <c r="B7039">
        <v>6</v>
      </c>
      <c r="C7039">
        <v>14</v>
      </c>
      <c r="D7039">
        <v>20</v>
      </c>
      <c r="E7039">
        <f t="shared" si="109"/>
        <v>1.4991576719241319E-27</v>
      </c>
    </row>
    <row r="7040" spans="1:5" x14ac:dyDescent="0.25">
      <c r="A7040">
        <v>8</v>
      </c>
      <c r="B7040">
        <v>6</v>
      </c>
      <c r="C7040">
        <v>15</v>
      </c>
      <c r="D7040">
        <v>19</v>
      </c>
      <c r="E7040">
        <f t="shared" si="109"/>
        <v>1.6990453615140155E-26</v>
      </c>
    </row>
    <row r="7041" spans="1:5" x14ac:dyDescent="0.25">
      <c r="A7041">
        <v>8</v>
      </c>
      <c r="B7041">
        <v>6</v>
      </c>
      <c r="C7041">
        <v>16</v>
      </c>
      <c r="D7041">
        <v>18</v>
      </c>
      <c r="E7041">
        <f t="shared" si="109"/>
        <v>1.4411545477127815E-25</v>
      </c>
    </row>
    <row r="7042" spans="1:5" x14ac:dyDescent="0.25">
      <c r="A7042">
        <v>8</v>
      </c>
      <c r="B7042">
        <v>6</v>
      </c>
      <c r="C7042">
        <v>17</v>
      </c>
      <c r="D7042">
        <v>17</v>
      </c>
      <c r="E7042">
        <f t="shared" si="109"/>
        <v>9.346311110902014E-25</v>
      </c>
    </row>
    <row r="7043" spans="1:5" x14ac:dyDescent="0.25">
      <c r="A7043">
        <v>8</v>
      </c>
      <c r="B7043">
        <v>6</v>
      </c>
      <c r="C7043">
        <v>18</v>
      </c>
      <c r="D7043">
        <v>16</v>
      </c>
      <c r="E7043">
        <f t="shared" si="109"/>
        <v>4.7077715225284165E-24</v>
      </c>
    </row>
    <row r="7044" spans="1:5" x14ac:dyDescent="0.25">
      <c r="A7044">
        <v>8</v>
      </c>
      <c r="B7044">
        <v>6</v>
      </c>
      <c r="C7044">
        <v>19</v>
      </c>
      <c r="D7044">
        <v>15</v>
      </c>
      <c r="E7044">
        <f t="shared" si="109"/>
        <v>1.8632864131270369E-23</v>
      </c>
    </row>
    <row r="7045" spans="1:5" x14ac:dyDescent="0.25">
      <c r="A7045">
        <v>8</v>
      </c>
      <c r="B7045">
        <v>6</v>
      </c>
      <c r="C7045">
        <v>20</v>
      </c>
      <c r="D7045">
        <v>14</v>
      </c>
      <c r="E7045">
        <f t="shared" si="109"/>
        <v>5.8439437502620768E-23</v>
      </c>
    </row>
    <row r="7046" spans="1:5" x14ac:dyDescent="0.25">
      <c r="A7046">
        <v>8</v>
      </c>
      <c r="B7046">
        <v>6</v>
      </c>
      <c r="C7046">
        <v>21</v>
      </c>
      <c r="D7046">
        <v>13</v>
      </c>
      <c r="E7046">
        <f t="shared" si="109"/>
        <v>1.4609859375655177E-22</v>
      </c>
    </row>
    <row r="7047" spans="1:5" x14ac:dyDescent="0.25">
      <c r="A7047">
        <v>8</v>
      </c>
      <c r="B7047">
        <v>6</v>
      </c>
      <c r="C7047">
        <v>22</v>
      </c>
      <c r="D7047">
        <v>12</v>
      </c>
      <c r="E7047">
        <f t="shared" si="109"/>
        <v>2.9219718751310374E-22</v>
      </c>
    </row>
    <row r="7048" spans="1:5" x14ac:dyDescent="0.25">
      <c r="A7048">
        <v>8</v>
      </c>
      <c r="B7048">
        <v>6</v>
      </c>
      <c r="C7048">
        <v>23</v>
      </c>
      <c r="D7048">
        <v>11</v>
      </c>
      <c r="E7048">
        <f t="shared" si="109"/>
        <v>4.6824145576633994E-22</v>
      </c>
    </row>
    <row r="7049" spans="1:5" x14ac:dyDescent="0.25">
      <c r="A7049">
        <v>8</v>
      </c>
      <c r="B7049">
        <v>6</v>
      </c>
      <c r="C7049">
        <v>24</v>
      </c>
      <c r="D7049">
        <v>10</v>
      </c>
      <c r="E7049">
        <f t="shared" si="109"/>
        <v>6.0090986823346946E-22</v>
      </c>
    </row>
    <row r="7050" spans="1:5" x14ac:dyDescent="0.25">
      <c r="A7050">
        <v>8</v>
      </c>
      <c r="B7050">
        <v>6</v>
      </c>
      <c r="C7050">
        <v>25</v>
      </c>
      <c r="D7050">
        <v>9</v>
      </c>
      <c r="E7050">
        <f t="shared" si="109"/>
        <v>6.1593261493930653E-22</v>
      </c>
    </row>
    <row r="7051" spans="1:5" x14ac:dyDescent="0.25">
      <c r="A7051">
        <v>8</v>
      </c>
      <c r="B7051">
        <v>6</v>
      </c>
      <c r="C7051">
        <v>26</v>
      </c>
      <c r="D7051">
        <v>8</v>
      </c>
      <c r="E7051">
        <f t="shared" si="109"/>
        <v>5.0166457325373356E-22</v>
      </c>
    </row>
    <row r="7052" spans="1:5" x14ac:dyDescent="0.25">
      <c r="A7052">
        <v>8</v>
      </c>
      <c r="B7052">
        <v>6</v>
      </c>
      <c r="C7052">
        <v>27</v>
      </c>
      <c r="D7052">
        <v>7</v>
      </c>
      <c r="E7052">
        <f t="shared" si="109"/>
        <v>3.2205626924931042E-22</v>
      </c>
    </row>
    <row r="7053" spans="1:5" x14ac:dyDescent="0.25">
      <c r="A7053">
        <v>8</v>
      </c>
      <c r="B7053">
        <v>6</v>
      </c>
      <c r="C7053">
        <v>28</v>
      </c>
      <c r="D7053">
        <v>6</v>
      </c>
      <c r="E7053">
        <f t="shared" si="109"/>
        <v>1.6102813462465519E-22</v>
      </c>
    </row>
    <row r="7054" spans="1:5" x14ac:dyDescent="0.25">
      <c r="A7054">
        <v>8</v>
      </c>
      <c r="B7054">
        <v>6</v>
      </c>
      <c r="C7054">
        <v>29</v>
      </c>
      <c r="D7054">
        <v>5</v>
      </c>
      <c r="E7054">
        <f t="shared" ref="E7054:E7117" si="110">COMBIN(A$4,A7054)*COMBIN(B$4,B7054)*COMBIN(C$4,C7054)*COMBIN(D$4,D7054)/COMBIN($G$4,$F$4)</f>
        <v>6.1634906701161128E-23</v>
      </c>
    </row>
    <row r="7055" spans="1:5" x14ac:dyDescent="0.25">
      <c r="A7055">
        <v>8</v>
      </c>
      <c r="B7055">
        <v>6</v>
      </c>
      <c r="C7055">
        <v>30</v>
      </c>
      <c r="D7055">
        <v>4</v>
      </c>
      <c r="E7055">
        <f t="shared" si="110"/>
        <v>1.7609973343188898E-23</v>
      </c>
    </row>
    <row r="7056" spans="1:5" x14ac:dyDescent="0.25">
      <c r="A7056">
        <v>8</v>
      </c>
      <c r="B7056">
        <v>6</v>
      </c>
      <c r="C7056">
        <v>31</v>
      </c>
      <c r="D7056">
        <v>3</v>
      </c>
      <c r="E7056">
        <f t="shared" si="110"/>
        <v>3.614950539657545E-24</v>
      </c>
    </row>
    <row r="7057" spans="1:5" x14ac:dyDescent="0.25">
      <c r="A7057">
        <v>8</v>
      </c>
      <c r="B7057">
        <v>6</v>
      </c>
      <c r="C7057">
        <v>32</v>
      </c>
      <c r="D7057">
        <v>2</v>
      </c>
      <c r="E7057">
        <f t="shared" si="110"/>
        <v>5.0098499326775748E-25</v>
      </c>
    </row>
    <row r="7058" spans="1:5" x14ac:dyDescent="0.25">
      <c r="A7058">
        <v>8</v>
      </c>
      <c r="B7058">
        <v>6</v>
      </c>
      <c r="C7058">
        <v>33</v>
      </c>
      <c r="D7058">
        <v>1</v>
      </c>
      <c r="E7058">
        <f t="shared" si="110"/>
        <v>4.1748749438979788E-26</v>
      </c>
    </row>
    <row r="7059" spans="1:5" x14ac:dyDescent="0.25">
      <c r="A7059">
        <v>8</v>
      </c>
      <c r="B7059">
        <v>6</v>
      </c>
      <c r="C7059">
        <v>34</v>
      </c>
      <c r="D7059">
        <v>0</v>
      </c>
      <c r="E7059">
        <f t="shared" si="110"/>
        <v>1.571717625938063E-27</v>
      </c>
    </row>
    <row r="7060" spans="1:5" x14ac:dyDescent="0.25">
      <c r="A7060">
        <v>8</v>
      </c>
      <c r="B7060">
        <v>7</v>
      </c>
      <c r="C7060">
        <v>8</v>
      </c>
      <c r="D7060">
        <v>25</v>
      </c>
      <c r="E7060">
        <f t="shared" si="110"/>
        <v>9.4402864966371648E-35</v>
      </c>
    </row>
    <row r="7061" spans="1:5" x14ac:dyDescent="0.25">
      <c r="A7061">
        <v>8</v>
      </c>
      <c r="B7061">
        <v>7</v>
      </c>
      <c r="C7061">
        <v>9</v>
      </c>
      <c r="D7061">
        <v>24</v>
      </c>
      <c r="E7061">
        <f t="shared" si="110"/>
        <v>1.4947120286342176E-32</v>
      </c>
    </row>
    <row r="7062" spans="1:5" x14ac:dyDescent="0.25">
      <c r="A7062">
        <v>8</v>
      </c>
      <c r="B7062">
        <v>7</v>
      </c>
      <c r="C7062">
        <v>10</v>
      </c>
      <c r="D7062">
        <v>23</v>
      </c>
      <c r="E7062">
        <f t="shared" si="110"/>
        <v>1.0044464832421945E-30</v>
      </c>
    </row>
    <row r="7063" spans="1:5" x14ac:dyDescent="0.25">
      <c r="A7063">
        <v>8</v>
      </c>
      <c r="B7063">
        <v>7</v>
      </c>
      <c r="C7063">
        <v>11</v>
      </c>
      <c r="D7063">
        <v>22</v>
      </c>
      <c r="E7063">
        <f t="shared" si="110"/>
        <v>3.850378185761745E-29</v>
      </c>
    </row>
    <row r="7064" spans="1:5" x14ac:dyDescent="0.25">
      <c r="A7064">
        <v>8</v>
      </c>
      <c r="B7064">
        <v>7</v>
      </c>
      <c r="C7064">
        <v>12</v>
      </c>
      <c r="D7064">
        <v>21</v>
      </c>
      <c r="E7064">
        <f t="shared" si="110"/>
        <v>9.5296860097603151E-28</v>
      </c>
    </row>
    <row r="7065" spans="1:5" x14ac:dyDescent="0.25">
      <c r="A7065">
        <v>8</v>
      </c>
      <c r="B7065">
        <v>7</v>
      </c>
      <c r="C7065">
        <v>13</v>
      </c>
      <c r="D7065">
        <v>20</v>
      </c>
      <c r="E7065">
        <f t="shared" si="110"/>
        <v>1.6317754659789591E-26</v>
      </c>
    </row>
    <row r="7066" spans="1:5" x14ac:dyDescent="0.25">
      <c r="A7066">
        <v>8</v>
      </c>
      <c r="B7066">
        <v>7</v>
      </c>
      <c r="C7066">
        <v>14</v>
      </c>
      <c r="D7066">
        <v>19</v>
      </c>
      <c r="E7066">
        <f t="shared" si="110"/>
        <v>2.020293434069187E-25</v>
      </c>
    </row>
    <row r="7067" spans="1:5" x14ac:dyDescent="0.25">
      <c r="A7067">
        <v>8</v>
      </c>
      <c r="B7067">
        <v>7</v>
      </c>
      <c r="C7067">
        <v>15</v>
      </c>
      <c r="D7067">
        <v>18</v>
      </c>
      <c r="E7067">
        <f t="shared" si="110"/>
        <v>1.8644422262981358E-24</v>
      </c>
    </row>
    <row r="7068" spans="1:5" x14ac:dyDescent="0.25">
      <c r="A7068">
        <v>8</v>
      </c>
      <c r="B7068">
        <v>7</v>
      </c>
      <c r="C7068">
        <v>16</v>
      </c>
      <c r="D7068">
        <v>17</v>
      </c>
      <c r="E7068">
        <f t="shared" si="110"/>
        <v>1.3109359403658765E-23</v>
      </c>
    </row>
    <row r="7069" spans="1:5" x14ac:dyDescent="0.25">
      <c r="A7069">
        <v>8</v>
      </c>
      <c r="B7069">
        <v>7</v>
      </c>
      <c r="C7069">
        <v>17</v>
      </c>
      <c r="D7069">
        <v>16</v>
      </c>
      <c r="E7069">
        <f t="shared" si="110"/>
        <v>7.1373178975475533E-23</v>
      </c>
    </row>
    <row r="7070" spans="1:5" x14ac:dyDescent="0.25">
      <c r="A7070">
        <v>8</v>
      </c>
      <c r="B7070">
        <v>7</v>
      </c>
      <c r="C7070">
        <v>18</v>
      </c>
      <c r="D7070">
        <v>15</v>
      </c>
      <c r="E7070">
        <f t="shared" si="110"/>
        <v>3.0452556362869533E-22</v>
      </c>
    </row>
    <row r="7071" spans="1:5" x14ac:dyDescent="0.25">
      <c r="A7071">
        <v>8</v>
      </c>
      <c r="B7071">
        <v>7</v>
      </c>
      <c r="C7071">
        <v>19</v>
      </c>
      <c r="D7071">
        <v>14</v>
      </c>
      <c r="E7071">
        <f t="shared" si="110"/>
        <v>1.0272273797044512E-21</v>
      </c>
    </row>
    <row r="7072" spans="1:5" x14ac:dyDescent="0.25">
      <c r="A7072">
        <v>8</v>
      </c>
      <c r="B7072">
        <v>7</v>
      </c>
      <c r="C7072">
        <v>20</v>
      </c>
      <c r="D7072">
        <v>13</v>
      </c>
      <c r="E7072">
        <f t="shared" si="110"/>
        <v>2.7563934688736141E-21</v>
      </c>
    </row>
    <row r="7073" spans="1:5" x14ac:dyDescent="0.25">
      <c r="A7073">
        <v>8</v>
      </c>
      <c r="B7073">
        <v>7</v>
      </c>
      <c r="C7073">
        <v>21</v>
      </c>
      <c r="D7073">
        <v>12</v>
      </c>
      <c r="E7073">
        <f t="shared" si="110"/>
        <v>5.9065574333005936E-21</v>
      </c>
    </row>
    <row r="7074" spans="1:5" x14ac:dyDescent="0.25">
      <c r="A7074">
        <v>8</v>
      </c>
      <c r="B7074">
        <v>7</v>
      </c>
      <c r="C7074">
        <v>22</v>
      </c>
      <c r="D7074">
        <v>11</v>
      </c>
      <c r="E7074">
        <f t="shared" si="110"/>
        <v>1.0125527028515307E-20</v>
      </c>
    </row>
    <row r="7075" spans="1:5" x14ac:dyDescent="0.25">
      <c r="A7075">
        <v>8</v>
      </c>
      <c r="B7075">
        <v>7</v>
      </c>
      <c r="C7075">
        <v>23</v>
      </c>
      <c r="D7075">
        <v>10</v>
      </c>
      <c r="E7075">
        <f t="shared" si="110"/>
        <v>1.3882244302863012E-20</v>
      </c>
    </row>
    <row r="7076" spans="1:5" x14ac:dyDescent="0.25">
      <c r="A7076">
        <v>8</v>
      </c>
      <c r="B7076">
        <v>7</v>
      </c>
      <c r="C7076">
        <v>24</v>
      </c>
      <c r="D7076">
        <v>9</v>
      </c>
      <c r="E7076">
        <f t="shared" si="110"/>
        <v>1.518370470625642E-20</v>
      </c>
    </row>
    <row r="7077" spans="1:5" x14ac:dyDescent="0.25">
      <c r="A7077">
        <v>8</v>
      </c>
      <c r="B7077">
        <v>7</v>
      </c>
      <c r="C7077">
        <v>25</v>
      </c>
      <c r="D7077">
        <v>8</v>
      </c>
      <c r="E7077">
        <f t="shared" si="110"/>
        <v>1.3183028321432049E-20</v>
      </c>
    </row>
    <row r="7078" spans="1:5" x14ac:dyDescent="0.25">
      <c r="A7078">
        <v>8</v>
      </c>
      <c r="B7078">
        <v>7</v>
      </c>
      <c r="C7078">
        <v>26</v>
      </c>
      <c r="D7078">
        <v>7</v>
      </c>
      <c r="E7078">
        <f t="shared" si="110"/>
        <v>9.0140364590988333E-21</v>
      </c>
    </row>
    <row r="7079" spans="1:5" x14ac:dyDescent="0.25">
      <c r="A7079">
        <v>8</v>
      </c>
      <c r="B7079">
        <v>7</v>
      </c>
      <c r="C7079">
        <v>27</v>
      </c>
      <c r="D7079">
        <v>6</v>
      </c>
      <c r="E7079">
        <f t="shared" si="110"/>
        <v>4.7969433788186759E-21</v>
      </c>
    </row>
    <row r="7080" spans="1:5" x14ac:dyDescent="0.25">
      <c r="A7080">
        <v>8</v>
      </c>
      <c r="B7080">
        <v>7</v>
      </c>
      <c r="C7080">
        <v>28</v>
      </c>
      <c r="D7080">
        <v>5</v>
      </c>
      <c r="E7080">
        <f t="shared" si="110"/>
        <v>1.9530412328047469E-21</v>
      </c>
    </row>
    <row r="7081" spans="1:5" x14ac:dyDescent="0.25">
      <c r="A7081">
        <v>8</v>
      </c>
      <c r="B7081">
        <v>7</v>
      </c>
      <c r="C7081">
        <v>29</v>
      </c>
      <c r="D7081">
        <v>4</v>
      </c>
      <c r="E7081">
        <f t="shared" si="110"/>
        <v>5.9328838763362613E-22</v>
      </c>
    </row>
    <row r="7082" spans="1:5" x14ac:dyDescent="0.25">
      <c r="A7082">
        <v>8</v>
      </c>
      <c r="B7082">
        <v>7</v>
      </c>
      <c r="C7082">
        <v>30</v>
      </c>
      <c r="D7082">
        <v>3</v>
      </c>
      <c r="E7082">
        <f t="shared" si="110"/>
        <v>1.2944473912006386E-22</v>
      </c>
    </row>
    <row r="7083" spans="1:5" x14ac:dyDescent="0.25">
      <c r="A7083">
        <v>8</v>
      </c>
      <c r="B7083">
        <v>7</v>
      </c>
      <c r="C7083">
        <v>31</v>
      </c>
      <c r="D7083">
        <v>2</v>
      </c>
      <c r="E7083">
        <f t="shared" si="110"/>
        <v>1.9062689491734509E-23</v>
      </c>
    </row>
    <row r="7084" spans="1:5" x14ac:dyDescent="0.25">
      <c r="A7084">
        <v>8</v>
      </c>
      <c r="B7084">
        <v>7</v>
      </c>
      <c r="C7084">
        <v>32</v>
      </c>
      <c r="D7084">
        <v>1</v>
      </c>
      <c r="E7084">
        <f t="shared" si="110"/>
        <v>1.6878422987473262E-24</v>
      </c>
    </row>
    <row r="7085" spans="1:5" x14ac:dyDescent="0.25">
      <c r="A7085">
        <v>8</v>
      </c>
      <c r="B7085">
        <v>7</v>
      </c>
      <c r="C7085">
        <v>33</v>
      </c>
      <c r="D7085">
        <v>0</v>
      </c>
      <c r="E7085">
        <f t="shared" si="110"/>
        <v>6.7513691949893046E-26</v>
      </c>
    </row>
    <row r="7086" spans="1:5" x14ac:dyDescent="0.25">
      <c r="A7086">
        <v>8</v>
      </c>
      <c r="B7086">
        <v>8</v>
      </c>
      <c r="C7086">
        <v>7</v>
      </c>
      <c r="D7086">
        <v>25</v>
      </c>
      <c r="E7086">
        <f t="shared" si="110"/>
        <v>4.5899324000891021E-34</v>
      </c>
    </row>
    <row r="7087" spans="1:5" x14ac:dyDescent="0.25">
      <c r="A7087">
        <v>8</v>
      </c>
      <c r="B7087">
        <v>8</v>
      </c>
      <c r="C7087">
        <v>8</v>
      </c>
      <c r="D7087">
        <v>24</v>
      </c>
      <c r="E7087">
        <f t="shared" si="110"/>
        <v>8.3192524751615001E-32</v>
      </c>
    </row>
    <row r="7088" spans="1:5" x14ac:dyDescent="0.25">
      <c r="A7088">
        <v>8</v>
      </c>
      <c r="B7088">
        <v>8</v>
      </c>
      <c r="C7088">
        <v>9</v>
      </c>
      <c r="D7088">
        <v>23</v>
      </c>
      <c r="E7088">
        <f t="shared" si="110"/>
        <v>6.322631881122739E-30</v>
      </c>
    </row>
    <row r="7089" spans="1:5" x14ac:dyDescent="0.25">
      <c r="A7089">
        <v>8</v>
      </c>
      <c r="B7089">
        <v>8</v>
      </c>
      <c r="C7089">
        <v>10</v>
      </c>
      <c r="D7089">
        <v>22</v>
      </c>
      <c r="E7089">
        <f t="shared" si="110"/>
        <v>2.7145166209620295E-28</v>
      </c>
    </row>
    <row r="7090" spans="1:5" x14ac:dyDescent="0.25">
      <c r="A7090">
        <v>8</v>
      </c>
      <c r="B7090">
        <v>8</v>
      </c>
      <c r="C7090">
        <v>11</v>
      </c>
      <c r="D7090">
        <v>21</v>
      </c>
      <c r="E7090">
        <f t="shared" si="110"/>
        <v>7.4649207076455823E-27</v>
      </c>
    </row>
    <row r="7091" spans="1:5" x14ac:dyDescent="0.25">
      <c r="A7091">
        <v>8</v>
      </c>
      <c r="B7091">
        <v>8</v>
      </c>
      <c r="C7091">
        <v>12</v>
      </c>
      <c r="D7091">
        <v>20</v>
      </c>
      <c r="E7091">
        <f t="shared" si="110"/>
        <v>1.4108700137450139E-25</v>
      </c>
    </row>
    <row r="7092" spans="1:5" x14ac:dyDescent="0.25">
      <c r="A7092">
        <v>8</v>
      </c>
      <c r="B7092">
        <v>8</v>
      </c>
      <c r="C7092">
        <v>13</v>
      </c>
      <c r="D7092">
        <v>19</v>
      </c>
      <c r="E7092">
        <f t="shared" si="110"/>
        <v>1.917336172525276E-24</v>
      </c>
    </row>
    <row r="7093" spans="1:5" x14ac:dyDescent="0.25">
      <c r="A7093">
        <v>8</v>
      </c>
      <c r="B7093">
        <v>8</v>
      </c>
      <c r="C7093">
        <v>14</v>
      </c>
      <c r="D7093">
        <v>18</v>
      </c>
      <c r="E7093">
        <f t="shared" si="110"/>
        <v>1.9329878963826262E-23</v>
      </c>
    </row>
    <row r="7094" spans="1:5" x14ac:dyDescent="0.25">
      <c r="A7094">
        <v>8</v>
      </c>
      <c r="B7094">
        <v>8</v>
      </c>
      <c r="C7094">
        <v>15</v>
      </c>
      <c r="D7094">
        <v>17</v>
      </c>
      <c r="E7094">
        <f t="shared" si="110"/>
        <v>1.4787357407327084E-22</v>
      </c>
    </row>
    <row r="7095" spans="1:5" x14ac:dyDescent="0.25">
      <c r="A7095">
        <v>8</v>
      </c>
      <c r="B7095">
        <v>8</v>
      </c>
      <c r="C7095">
        <v>16</v>
      </c>
      <c r="D7095">
        <v>16</v>
      </c>
      <c r="E7095">
        <f t="shared" si="110"/>
        <v>8.7286484696027921E-22</v>
      </c>
    </row>
    <row r="7096" spans="1:5" x14ac:dyDescent="0.25">
      <c r="A7096">
        <v>8</v>
      </c>
      <c r="B7096">
        <v>8</v>
      </c>
      <c r="C7096">
        <v>17</v>
      </c>
      <c r="D7096">
        <v>15</v>
      </c>
      <c r="E7096">
        <f t="shared" si="110"/>
        <v>4.0254472942168191E-21</v>
      </c>
    </row>
    <row r="7097" spans="1:5" x14ac:dyDescent="0.25">
      <c r="A7097">
        <v>8</v>
      </c>
      <c r="B7097">
        <v>8</v>
      </c>
      <c r="C7097">
        <v>18</v>
      </c>
      <c r="D7097">
        <v>14</v>
      </c>
      <c r="E7097">
        <f t="shared" si="110"/>
        <v>1.4637990160788422E-20</v>
      </c>
    </row>
    <row r="7098" spans="1:5" x14ac:dyDescent="0.25">
      <c r="A7098">
        <v>8</v>
      </c>
      <c r="B7098">
        <v>8</v>
      </c>
      <c r="C7098">
        <v>19</v>
      </c>
      <c r="D7098">
        <v>13</v>
      </c>
      <c r="E7098">
        <f t="shared" si="110"/>
        <v>4.2244725990345561E-20</v>
      </c>
    </row>
    <row r="7099" spans="1:5" x14ac:dyDescent="0.25">
      <c r="A7099">
        <v>8</v>
      </c>
      <c r="B7099">
        <v>8</v>
      </c>
      <c r="C7099">
        <v>20</v>
      </c>
      <c r="D7099">
        <v>12</v>
      </c>
      <c r="E7099">
        <f t="shared" si="110"/>
        <v>9.7162869777794863E-20</v>
      </c>
    </row>
    <row r="7100" spans="1:5" x14ac:dyDescent="0.25">
      <c r="A7100">
        <v>8</v>
      </c>
      <c r="B7100">
        <v>8</v>
      </c>
      <c r="C7100">
        <v>21</v>
      </c>
      <c r="D7100">
        <v>11</v>
      </c>
      <c r="E7100">
        <f t="shared" si="110"/>
        <v>1.7846241387758215E-19</v>
      </c>
    </row>
    <row r="7101" spans="1:5" x14ac:dyDescent="0.25">
      <c r="A7101">
        <v>8</v>
      </c>
      <c r="B7101">
        <v>8</v>
      </c>
      <c r="C7101">
        <v>22</v>
      </c>
      <c r="D7101">
        <v>10</v>
      </c>
      <c r="E7101">
        <f t="shared" si="110"/>
        <v>2.6174487368712064E-19</v>
      </c>
    </row>
    <row r="7102" spans="1:5" x14ac:dyDescent="0.25">
      <c r="A7102">
        <v>8</v>
      </c>
      <c r="B7102">
        <v>8</v>
      </c>
      <c r="C7102">
        <v>23</v>
      </c>
      <c r="D7102">
        <v>9</v>
      </c>
      <c r="E7102">
        <f t="shared" si="110"/>
        <v>3.0584319479745073E-19</v>
      </c>
    </row>
    <row r="7103" spans="1:5" x14ac:dyDescent="0.25">
      <c r="A7103">
        <v>8</v>
      </c>
      <c r="B7103">
        <v>8</v>
      </c>
      <c r="C7103">
        <v>24</v>
      </c>
      <c r="D7103">
        <v>8</v>
      </c>
      <c r="E7103">
        <f t="shared" si="110"/>
        <v>2.8335472459175577E-19</v>
      </c>
    </row>
    <row r="7104" spans="1:5" x14ac:dyDescent="0.25">
      <c r="A7104">
        <v>8</v>
      </c>
      <c r="B7104">
        <v>8</v>
      </c>
      <c r="C7104">
        <v>25</v>
      </c>
      <c r="D7104">
        <v>7</v>
      </c>
      <c r="E7104">
        <f t="shared" si="110"/>
        <v>2.0653411036910213E-19</v>
      </c>
    </row>
    <row r="7105" spans="1:5" x14ac:dyDescent="0.25">
      <c r="A7105">
        <v>8</v>
      </c>
      <c r="B7105">
        <v>8</v>
      </c>
      <c r="C7105">
        <v>26</v>
      </c>
      <c r="D7105">
        <v>6</v>
      </c>
      <c r="E7105">
        <f t="shared" si="110"/>
        <v>1.1706386822540189E-19</v>
      </c>
    </row>
    <row r="7106" spans="1:5" x14ac:dyDescent="0.25">
      <c r="A7106">
        <v>8</v>
      </c>
      <c r="B7106">
        <v>8</v>
      </c>
      <c r="C7106">
        <v>27</v>
      </c>
      <c r="D7106">
        <v>5</v>
      </c>
      <c r="E7106">
        <f t="shared" si="110"/>
        <v>5.0727676231007489E-20</v>
      </c>
    </row>
    <row r="7107" spans="1:5" x14ac:dyDescent="0.25">
      <c r="A7107">
        <v>8</v>
      </c>
      <c r="B7107">
        <v>8</v>
      </c>
      <c r="C7107">
        <v>28</v>
      </c>
      <c r="D7107">
        <v>4</v>
      </c>
      <c r="E7107">
        <f t="shared" si="110"/>
        <v>1.639159606103984E-20</v>
      </c>
    </row>
    <row r="7108" spans="1:5" x14ac:dyDescent="0.25">
      <c r="A7108">
        <v>8</v>
      </c>
      <c r="B7108">
        <v>8</v>
      </c>
      <c r="C7108">
        <v>29</v>
      </c>
      <c r="D7108">
        <v>3</v>
      </c>
      <c r="E7108">
        <f t="shared" si="110"/>
        <v>3.8024392116518755E-21</v>
      </c>
    </row>
    <row r="7109" spans="1:5" x14ac:dyDescent="0.25">
      <c r="A7109">
        <v>8</v>
      </c>
      <c r="B7109">
        <v>8</v>
      </c>
      <c r="C7109">
        <v>30</v>
      </c>
      <c r="D7109">
        <v>2</v>
      </c>
      <c r="E7109">
        <f t="shared" si="110"/>
        <v>5.951643983455108E-22</v>
      </c>
    </row>
    <row r="7110" spans="1:5" x14ac:dyDescent="0.25">
      <c r="A7110">
        <v>8</v>
      </c>
      <c r="B7110">
        <v>8</v>
      </c>
      <c r="C7110">
        <v>31</v>
      </c>
      <c r="D7110">
        <v>1</v>
      </c>
      <c r="E7110">
        <f t="shared" si="110"/>
        <v>5.5996650381970116E-23</v>
      </c>
    </row>
    <row r="7111" spans="1:5" x14ac:dyDescent="0.25">
      <c r="A7111">
        <v>8</v>
      </c>
      <c r="B7111">
        <v>8</v>
      </c>
      <c r="C7111">
        <v>32</v>
      </c>
      <c r="D7111">
        <v>0</v>
      </c>
      <c r="E7111">
        <f t="shared" si="110"/>
        <v>2.3798576412337293E-24</v>
      </c>
    </row>
    <row r="7112" spans="1:5" x14ac:dyDescent="0.25">
      <c r="A7112">
        <v>8</v>
      </c>
      <c r="B7112">
        <v>9</v>
      </c>
      <c r="C7112">
        <v>6</v>
      </c>
      <c r="D7112">
        <v>25</v>
      </c>
      <c r="E7112">
        <f t="shared" si="110"/>
        <v>1.7002630943456244E-33</v>
      </c>
    </row>
    <row r="7113" spans="1:5" x14ac:dyDescent="0.25">
      <c r="A7113">
        <v>8</v>
      </c>
      <c r="B7113">
        <v>9</v>
      </c>
      <c r="C7113">
        <v>7</v>
      </c>
      <c r="D7113">
        <v>24</v>
      </c>
      <c r="E7113">
        <f t="shared" si="110"/>
        <v>3.5826972345139945E-31</v>
      </c>
    </row>
    <row r="7114" spans="1:5" x14ac:dyDescent="0.25">
      <c r="A7114">
        <v>8</v>
      </c>
      <c r="B7114">
        <v>9</v>
      </c>
      <c r="C7114">
        <v>8</v>
      </c>
      <c r="D7114">
        <v>23</v>
      </c>
      <c r="E7114">
        <f t="shared" si="110"/>
        <v>3.1169465940271755E-29</v>
      </c>
    </row>
    <row r="7115" spans="1:5" x14ac:dyDescent="0.25">
      <c r="A7115">
        <v>8</v>
      </c>
      <c r="B7115">
        <v>9</v>
      </c>
      <c r="C7115">
        <v>9</v>
      </c>
      <c r="D7115">
        <v>22</v>
      </c>
      <c r="E7115">
        <f t="shared" si="110"/>
        <v>1.5134507350998616E-27</v>
      </c>
    </row>
    <row r="7116" spans="1:5" x14ac:dyDescent="0.25">
      <c r="A7116">
        <v>8</v>
      </c>
      <c r="B7116">
        <v>9</v>
      </c>
      <c r="C7116">
        <v>10</v>
      </c>
      <c r="D7116">
        <v>21</v>
      </c>
      <c r="E7116">
        <f t="shared" si="110"/>
        <v>4.6614282641075757E-26</v>
      </c>
    </row>
    <row r="7117" spans="1:5" x14ac:dyDescent="0.25">
      <c r="A7117">
        <v>8</v>
      </c>
      <c r="B7117">
        <v>9</v>
      </c>
      <c r="C7117">
        <v>11</v>
      </c>
      <c r="D7117">
        <v>20</v>
      </c>
      <c r="E7117">
        <f t="shared" si="110"/>
        <v>9.7889993546259064E-25</v>
      </c>
    </row>
    <row r="7118" spans="1:5" x14ac:dyDescent="0.25">
      <c r="A7118">
        <v>8</v>
      </c>
      <c r="B7118">
        <v>9</v>
      </c>
      <c r="C7118">
        <v>12</v>
      </c>
      <c r="D7118">
        <v>19</v>
      </c>
      <c r="E7118">
        <f t="shared" ref="E7118:E7181" si="111">COMBIN(A$4,A7118)*COMBIN(B$4,B7118)*COMBIN(C$4,C7118)*COMBIN(D$4,D7118)/COMBIN($G$4,$F$4)</f>
        <v>1.4683499031938849E-23</v>
      </c>
    </row>
    <row r="7119" spans="1:5" x14ac:dyDescent="0.25">
      <c r="A7119">
        <v>8</v>
      </c>
      <c r="B7119">
        <v>9</v>
      </c>
      <c r="C7119">
        <v>13</v>
      </c>
      <c r="D7119">
        <v>18</v>
      </c>
      <c r="E7119">
        <f t="shared" si="111"/>
        <v>1.6248663214464214E-22</v>
      </c>
    </row>
    <row r="7120" spans="1:5" x14ac:dyDescent="0.25">
      <c r="A7120">
        <v>8</v>
      </c>
      <c r="B7120">
        <v>9</v>
      </c>
      <c r="C7120">
        <v>14</v>
      </c>
      <c r="D7120">
        <v>17</v>
      </c>
      <c r="E7120">
        <f t="shared" si="111"/>
        <v>1.3579239972087948E-21</v>
      </c>
    </row>
    <row r="7121" spans="1:5" x14ac:dyDescent="0.25">
      <c r="A7121">
        <v>8</v>
      </c>
      <c r="B7121">
        <v>9</v>
      </c>
      <c r="C7121">
        <v>15</v>
      </c>
      <c r="D7121">
        <v>16</v>
      </c>
      <c r="E7121">
        <f t="shared" si="111"/>
        <v>8.7208896709631467E-21</v>
      </c>
    </row>
    <row r="7122" spans="1:5" x14ac:dyDescent="0.25">
      <c r="A7122">
        <v>8</v>
      </c>
      <c r="B7122">
        <v>9</v>
      </c>
      <c r="C7122">
        <v>16</v>
      </c>
      <c r="D7122">
        <v>15</v>
      </c>
      <c r="E7122">
        <f t="shared" si="111"/>
        <v>4.3604448354815735E-20</v>
      </c>
    </row>
    <row r="7123" spans="1:5" x14ac:dyDescent="0.25">
      <c r="A7123">
        <v>8</v>
      </c>
      <c r="B7123">
        <v>9</v>
      </c>
      <c r="C7123">
        <v>17</v>
      </c>
      <c r="D7123">
        <v>14</v>
      </c>
      <c r="E7123">
        <f t="shared" si="111"/>
        <v>1.7138646813256462E-19</v>
      </c>
    </row>
    <row r="7124" spans="1:5" x14ac:dyDescent="0.25">
      <c r="A7124">
        <v>8</v>
      </c>
      <c r="B7124">
        <v>9</v>
      </c>
      <c r="C7124">
        <v>18</v>
      </c>
      <c r="D7124">
        <v>13</v>
      </c>
      <c r="E7124">
        <f t="shared" si="111"/>
        <v>5.3320234530131167E-19</v>
      </c>
    </row>
    <row r="7125" spans="1:5" x14ac:dyDescent="0.25">
      <c r="A7125">
        <v>8</v>
      </c>
      <c r="B7125">
        <v>9</v>
      </c>
      <c r="C7125">
        <v>19</v>
      </c>
      <c r="D7125">
        <v>12</v>
      </c>
      <c r="E7125">
        <f t="shared" si="111"/>
        <v>1.3189742225874558E-18</v>
      </c>
    </row>
    <row r="7126" spans="1:5" x14ac:dyDescent="0.25">
      <c r="A7126">
        <v>8</v>
      </c>
      <c r="B7126">
        <v>9</v>
      </c>
      <c r="C7126">
        <v>20</v>
      </c>
      <c r="D7126">
        <v>11</v>
      </c>
      <c r="E7126">
        <f t="shared" si="111"/>
        <v>2.6002634673867007E-18</v>
      </c>
    </row>
    <row r="7127" spans="1:5" x14ac:dyDescent="0.25">
      <c r="A7127">
        <v>8</v>
      </c>
      <c r="B7127">
        <v>9</v>
      </c>
      <c r="C7127">
        <v>21</v>
      </c>
      <c r="D7127">
        <v>10</v>
      </c>
      <c r="E7127">
        <f t="shared" si="111"/>
        <v>4.0861283058933811E-18</v>
      </c>
    </row>
    <row r="7128" spans="1:5" x14ac:dyDescent="0.25">
      <c r="A7128">
        <v>8</v>
      </c>
      <c r="B7128">
        <v>9</v>
      </c>
      <c r="C7128">
        <v>22</v>
      </c>
      <c r="D7128">
        <v>9</v>
      </c>
      <c r="E7128">
        <f t="shared" si="111"/>
        <v>5.1076603823667299E-18</v>
      </c>
    </row>
    <row r="7129" spans="1:5" x14ac:dyDescent="0.25">
      <c r="A7129">
        <v>8</v>
      </c>
      <c r="B7129">
        <v>9</v>
      </c>
      <c r="C7129">
        <v>23</v>
      </c>
      <c r="D7129">
        <v>8</v>
      </c>
      <c r="E7129">
        <f t="shared" si="111"/>
        <v>5.0554081022402152E-18</v>
      </c>
    </row>
    <row r="7130" spans="1:5" x14ac:dyDescent="0.25">
      <c r="A7130">
        <v>8</v>
      </c>
      <c r="B7130">
        <v>9</v>
      </c>
      <c r="C7130">
        <v>24</v>
      </c>
      <c r="D7130">
        <v>7</v>
      </c>
      <c r="E7130">
        <f t="shared" si="111"/>
        <v>3.9319840795201687E-18</v>
      </c>
    </row>
    <row r="7131" spans="1:5" x14ac:dyDescent="0.25">
      <c r="A7131">
        <v>8</v>
      </c>
      <c r="B7131">
        <v>9</v>
      </c>
      <c r="C7131">
        <v>25</v>
      </c>
      <c r="D7131">
        <v>6</v>
      </c>
      <c r="E7131">
        <f t="shared" si="111"/>
        <v>2.3757461701521857E-18</v>
      </c>
    </row>
    <row r="7132" spans="1:5" x14ac:dyDescent="0.25">
      <c r="A7132">
        <v>8</v>
      </c>
      <c r="B7132">
        <v>9</v>
      </c>
      <c r="C7132">
        <v>26</v>
      </c>
      <c r="D7132">
        <v>5</v>
      </c>
      <c r="E7132">
        <f t="shared" si="111"/>
        <v>1.0964982323779311E-18</v>
      </c>
    </row>
    <row r="7133" spans="1:5" x14ac:dyDescent="0.25">
      <c r="A7133">
        <v>8</v>
      </c>
      <c r="B7133">
        <v>9</v>
      </c>
      <c r="C7133">
        <v>27</v>
      </c>
      <c r="D7133">
        <v>4</v>
      </c>
      <c r="E7133">
        <f t="shared" si="111"/>
        <v>3.7710256669082293E-19</v>
      </c>
    </row>
    <row r="7134" spans="1:5" x14ac:dyDescent="0.25">
      <c r="A7134">
        <v>8</v>
      </c>
      <c r="B7134">
        <v>9</v>
      </c>
      <c r="C7134">
        <v>28</v>
      </c>
      <c r="D7134">
        <v>3</v>
      </c>
      <c r="E7134">
        <f t="shared" si="111"/>
        <v>9.305128268994333E-20</v>
      </c>
    </row>
    <row r="7135" spans="1:5" x14ac:dyDescent="0.25">
      <c r="A7135">
        <v>8</v>
      </c>
      <c r="B7135">
        <v>9</v>
      </c>
      <c r="C7135">
        <v>29</v>
      </c>
      <c r="D7135">
        <v>2</v>
      </c>
      <c r="E7135">
        <f t="shared" si="111"/>
        <v>1.5485295919915612E-20</v>
      </c>
    </row>
    <row r="7136" spans="1:5" x14ac:dyDescent="0.25">
      <c r="A7136">
        <v>8</v>
      </c>
      <c r="B7136">
        <v>9</v>
      </c>
      <c r="C7136">
        <v>30</v>
      </c>
      <c r="D7136">
        <v>1</v>
      </c>
      <c r="E7136">
        <f t="shared" si="111"/>
        <v>1.5485295919915607E-21</v>
      </c>
    </row>
    <row r="7137" spans="1:5" x14ac:dyDescent="0.25">
      <c r="A7137">
        <v>8</v>
      </c>
      <c r="B7137">
        <v>9</v>
      </c>
      <c r="C7137">
        <v>31</v>
      </c>
      <c r="D7137">
        <v>0</v>
      </c>
      <c r="E7137">
        <f t="shared" si="111"/>
        <v>6.9933594477038234E-23</v>
      </c>
    </row>
    <row r="7138" spans="1:5" x14ac:dyDescent="0.25">
      <c r="A7138">
        <v>8</v>
      </c>
      <c r="B7138">
        <v>10</v>
      </c>
      <c r="C7138">
        <v>5</v>
      </c>
      <c r="D7138">
        <v>25</v>
      </c>
      <c r="E7138">
        <f t="shared" si="111"/>
        <v>4.7607366641677496E-33</v>
      </c>
    </row>
    <row r="7139" spans="1:5" x14ac:dyDescent="0.25">
      <c r="A7139">
        <v>8</v>
      </c>
      <c r="B7139">
        <v>10</v>
      </c>
      <c r="C7139">
        <v>6</v>
      </c>
      <c r="D7139">
        <v>24</v>
      </c>
      <c r="E7139">
        <f t="shared" si="111"/>
        <v>1.1901841660419371E-30</v>
      </c>
    </row>
    <row r="7140" spans="1:5" x14ac:dyDescent="0.25">
      <c r="A7140">
        <v>8</v>
      </c>
      <c r="B7140">
        <v>10</v>
      </c>
      <c r="C7140">
        <v>7</v>
      </c>
      <c r="D7140">
        <v>23</v>
      </c>
      <c r="E7140">
        <f t="shared" si="111"/>
        <v>1.2037862707967022E-28</v>
      </c>
    </row>
    <row r="7141" spans="1:5" x14ac:dyDescent="0.25">
      <c r="A7141">
        <v>8</v>
      </c>
      <c r="B7141">
        <v>10</v>
      </c>
      <c r="C7141">
        <v>8</v>
      </c>
      <c r="D7141">
        <v>22</v>
      </c>
      <c r="E7141">
        <f t="shared" si="111"/>
        <v>6.6910453551783374E-27</v>
      </c>
    </row>
    <row r="7142" spans="1:5" x14ac:dyDescent="0.25">
      <c r="A7142">
        <v>8</v>
      </c>
      <c r="B7142">
        <v>10</v>
      </c>
      <c r="C7142">
        <v>9</v>
      </c>
      <c r="D7142">
        <v>21</v>
      </c>
      <c r="E7142">
        <f t="shared" si="111"/>
        <v>2.3307141320537877E-25</v>
      </c>
    </row>
    <row r="7143" spans="1:5" x14ac:dyDescent="0.25">
      <c r="A7143">
        <v>8</v>
      </c>
      <c r="B7143">
        <v>10</v>
      </c>
      <c r="C7143">
        <v>10</v>
      </c>
      <c r="D7143">
        <v>20</v>
      </c>
      <c r="E7143">
        <f t="shared" si="111"/>
        <v>5.4818396385905082E-24</v>
      </c>
    </row>
    <row r="7144" spans="1:5" x14ac:dyDescent="0.25">
      <c r="A7144">
        <v>8</v>
      </c>
      <c r="B7144">
        <v>10</v>
      </c>
      <c r="C7144">
        <v>11</v>
      </c>
      <c r="D7144">
        <v>19</v>
      </c>
      <c r="E7144">
        <f t="shared" si="111"/>
        <v>9.1363993976508462E-23</v>
      </c>
    </row>
    <row r="7145" spans="1:5" x14ac:dyDescent="0.25">
      <c r="A7145">
        <v>8</v>
      </c>
      <c r="B7145">
        <v>10</v>
      </c>
      <c r="C7145">
        <v>12</v>
      </c>
      <c r="D7145">
        <v>18</v>
      </c>
      <c r="E7145">
        <f t="shared" si="111"/>
        <v>1.1159459264273531E-21</v>
      </c>
    </row>
    <row r="7146" spans="1:5" x14ac:dyDescent="0.25">
      <c r="A7146">
        <v>8</v>
      </c>
      <c r="B7146">
        <v>10</v>
      </c>
      <c r="C7146">
        <v>13</v>
      </c>
      <c r="D7146">
        <v>17</v>
      </c>
      <c r="E7146">
        <f t="shared" si="111"/>
        <v>1.0236657825112455E-20</v>
      </c>
    </row>
    <row r="7147" spans="1:5" x14ac:dyDescent="0.25">
      <c r="A7147">
        <v>8</v>
      </c>
      <c r="B7147">
        <v>10</v>
      </c>
      <c r="C7147">
        <v>14</v>
      </c>
      <c r="D7147">
        <v>16</v>
      </c>
      <c r="E7147">
        <f t="shared" si="111"/>
        <v>7.1819091407931828E-20</v>
      </c>
    </row>
    <row r="7148" spans="1:5" x14ac:dyDescent="0.25">
      <c r="A7148">
        <v>8</v>
      </c>
      <c r="B7148">
        <v>10</v>
      </c>
      <c r="C7148">
        <v>15</v>
      </c>
      <c r="D7148">
        <v>15</v>
      </c>
      <c r="E7148">
        <f t="shared" si="111"/>
        <v>3.9069585725914895E-19</v>
      </c>
    </row>
    <row r="7149" spans="1:5" x14ac:dyDescent="0.25">
      <c r="A7149">
        <v>8</v>
      </c>
      <c r="B7149">
        <v>10</v>
      </c>
      <c r="C7149">
        <v>16</v>
      </c>
      <c r="D7149">
        <v>14</v>
      </c>
      <c r="E7149">
        <f t="shared" si="111"/>
        <v>1.6648971190020555E-18</v>
      </c>
    </row>
    <row r="7150" spans="1:5" x14ac:dyDescent="0.25">
      <c r="A7150">
        <v>8</v>
      </c>
      <c r="B7150">
        <v>10</v>
      </c>
      <c r="C7150">
        <v>17</v>
      </c>
      <c r="D7150">
        <v>13</v>
      </c>
      <c r="E7150">
        <f t="shared" si="111"/>
        <v>5.5986246256637788E-18</v>
      </c>
    </row>
    <row r="7151" spans="1:5" x14ac:dyDescent="0.25">
      <c r="A7151">
        <v>8</v>
      </c>
      <c r="B7151">
        <v>10</v>
      </c>
      <c r="C7151">
        <v>18</v>
      </c>
      <c r="D7151">
        <v>12</v>
      </c>
      <c r="E7151">
        <f t="shared" si="111"/>
        <v>1.4929665668436729E-17</v>
      </c>
    </row>
    <row r="7152" spans="1:5" x14ac:dyDescent="0.25">
      <c r="A7152">
        <v>8</v>
      </c>
      <c r="B7152">
        <v>10</v>
      </c>
      <c r="C7152">
        <v>19</v>
      </c>
      <c r="D7152">
        <v>11</v>
      </c>
      <c r="E7152">
        <f t="shared" si="111"/>
        <v>3.1655381342098937E-17</v>
      </c>
    </row>
    <row r="7153" spans="1:5" x14ac:dyDescent="0.25">
      <c r="A7153">
        <v>8</v>
      </c>
      <c r="B7153">
        <v>10</v>
      </c>
      <c r="C7153">
        <v>20</v>
      </c>
      <c r="D7153">
        <v>10</v>
      </c>
      <c r="E7153">
        <f t="shared" si="111"/>
        <v>5.3392076530340254E-17</v>
      </c>
    </row>
    <row r="7154" spans="1:5" x14ac:dyDescent="0.25">
      <c r="A7154">
        <v>8</v>
      </c>
      <c r="B7154">
        <v>10</v>
      </c>
      <c r="C7154">
        <v>21</v>
      </c>
      <c r="D7154">
        <v>9</v>
      </c>
      <c r="E7154">
        <f t="shared" si="111"/>
        <v>7.1507245353134181E-17</v>
      </c>
    </row>
    <row r="7155" spans="1:5" x14ac:dyDescent="0.25">
      <c r="A7155">
        <v>8</v>
      </c>
      <c r="B7155">
        <v>10</v>
      </c>
      <c r="C7155">
        <v>22</v>
      </c>
      <c r="D7155">
        <v>8</v>
      </c>
      <c r="E7155">
        <f t="shared" si="111"/>
        <v>7.5713553903318583E-17</v>
      </c>
    </row>
    <row r="7156" spans="1:5" x14ac:dyDescent="0.25">
      <c r="A7156">
        <v>8</v>
      </c>
      <c r="B7156">
        <v>10</v>
      </c>
      <c r="C7156">
        <v>23</v>
      </c>
      <c r="D7156">
        <v>7</v>
      </c>
      <c r="E7156">
        <f t="shared" si="111"/>
        <v>6.29117452723227E-17</v>
      </c>
    </row>
    <row r="7157" spans="1:5" x14ac:dyDescent="0.25">
      <c r="A7157">
        <v>8</v>
      </c>
      <c r="B7157">
        <v>10</v>
      </c>
      <c r="C7157">
        <v>24</v>
      </c>
      <c r="D7157">
        <v>6</v>
      </c>
      <c r="E7157">
        <f t="shared" si="111"/>
        <v>4.0561519978208042E-17</v>
      </c>
    </row>
    <row r="7158" spans="1:5" x14ac:dyDescent="0.25">
      <c r="A7158">
        <v>8</v>
      </c>
      <c r="B7158">
        <v>10</v>
      </c>
      <c r="C7158">
        <v>25</v>
      </c>
      <c r="D7158">
        <v>5</v>
      </c>
      <c r="E7158">
        <f t="shared" si="111"/>
        <v>1.9956267829278365E-17</v>
      </c>
    </row>
    <row r="7159" spans="1:5" x14ac:dyDescent="0.25">
      <c r="A7159">
        <v>8</v>
      </c>
      <c r="B7159">
        <v>10</v>
      </c>
      <c r="C7159">
        <v>26</v>
      </c>
      <c r="D7159">
        <v>4</v>
      </c>
      <c r="E7159">
        <f t="shared" si="111"/>
        <v>7.3099882158528773E-18</v>
      </c>
    </row>
    <row r="7160" spans="1:5" x14ac:dyDescent="0.25">
      <c r="A7160">
        <v>8</v>
      </c>
      <c r="B7160">
        <v>10</v>
      </c>
      <c r="C7160">
        <v>27</v>
      </c>
      <c r="D7160">
        <v>3</v>
      </c>
      <c r="E7160">
        <f t="shared" si="111"/>
        <v>1.9197948849714626E-18</v>
      </c>
    </row>
    <row r="7161" spans="1:5" x14ac:dyDescent="0.25">
      <c r="A7161">
        <v>8</v>
      </c>
      <c r="B7161">
        <v>10</v>
      </c>
      <c r="C7161">
        <v>28</v>
      </c>
      <c r="D7161">
        <v>2</v>
      </c>
      <c r="E7161">
        <f t="shared" si="111"/>
        <v>3.3983946721544527E-19</v>
      </c>
    </row>
    <row r="7162" spans="1:5" x14ac:dyDescent="0.25">
      <c r="A7162">
        <v>8</v>
      </c>
      <c r="B7162">
        <v>10</v>
      </c>
      <c r="C7162">
        <v>29</v>
      </c>
      <c r="D7162">
        <v>1</v>
      </c>
      <c r="E7162">
        <f t="shared" si="111"/>
        <v>3.6132357146469762E-20</v>
      </c>
    </row>
    <row r="7163" spans="1:5" x14ac:dyDescent="0.25">
      <c r="A7163">
        <v>8</v>
      </c>
      <c r="B7163">
        <v>10</v>
      </c>
      <c r="C7163">
        <v>30</v>
      </c>
      <c r="D7163">
        <v>0</v>
      </c>
      <c r="E7163">
        <f t="shared" si="111"/>
        <v>1.7343531430305481E-21</v>
      </c>
    </row>
    <row r="7164" spans="1:5" x14ac:dyDescent="0.25">
      <c r="A7164">
        <v>8</v>
      </c>
      <c r="B7164">
        <v>11</v>
      </c>
      <c r="C7164">
        <v>4</v>
      </c>
      <c r="D7164">
        <v>25</v>
      </c>
      <c r="E7164">
        <f t="shared" si="111"/>
        <v>9.8975076699165543E-33</v>
      </c>
    </row>
    <row r="7165" spans="1:5" x14ac:dyDescent="0.25">
      <c r="A7165">
        <v>8</v>
      </c>
      <c r="B7165">
        <v>11</v>
      </c>
      <c r="C7165">
        <v>5</v>
      </c>
      <c r="D7165">
        <v>24</v>
      </c>
      <c r="E7165">
        <f t="shared" si="111"/>
        <v>3.0187398393245493E-30</v>
      </c>
    </row>
    <row r="7166" spans="1:5" x14ac:dyDescent="0.25">
      <c r="A7166">
        <v>8</v>
      </c>
      <c r="B7166">
        <v>11</v>
      </c>
      <c r="C7166">
        <v>6</v>
      </c>
      <c r="D7166">
        <v>23</v>
      </c>
      <c r="E7166">
        <f t="shared" si="111"/>
        <v>3.6224878071894593E-28</v>
      </c>
    </row>
    <row r="7167" spans="1:5" x14ac:dyDescent="0.25">
      <c r="A7167">
        <v>8</v>
      </c>
      <c r="B7167">
        <v>11</v>
      </c>
      <c r="C7167">
        <v>7</v>
      </c>
      <c r="D7167">
        <v>22</v>
      </c>
      <c r="E7167">
        <f t="shared" si="111"/>
        <v>2.3408171211219501E-26</v>
      </c>
    </row>
    <row r="7168" spans="1:5" x14ac:dyDescent="0.25">
      <c r="A7168">
        <v>8</v>
      </c>
      <c r="B7168">
        <v>11</v>
      </c>
      <c r="C7168">
        <v>8</v>
      </c>
      <c r="D7168">
        <v>21</v>
      </c>
      <c r="E7168">
        <f t="shared" si="111"/>
        <v>9.3340082704737803E-25</v>
      </c>
    </row>
    <row r="7169" spans="1:5" x14ac:dyDescent="0.25">
      <c r="A7169">
        <v>8</v>
      </c>
      <c r="B7169">
        <v>11</v>
      </c>
      <c r="C7169">
        <v>9</v>
      </c>
      <c r="D7169">
        <v>20</v>
      </c>
      <c r="E7169">
        <f t="shared" si="111"/>
        <v>2.4828461999460246E-23</v>
      </c>
    </row>
    <row r="7170" spans="1:5" x14ac:dyDescent="0.25">
      <c r="A7170">
        <v>8</v>
      </c>
      <c r="B7170">
        <v>11</v>
      </c>
      <c r="C7170">
        <v>10</v>
      </c>
      <c r="D7170">
        <v>19</v>
      </c>
      <c r="E7170">
        <f t="shared" si="111"/>
        <v>4.6346462398992461E-22</v>
      </c>
    </row>
    <row r="7171" spans="1:5" x14ac:dyDescent="0.25">
      <c r="A7171">
        <v>8</v>
      </c>
      <c r="B7171">
        <v>11</v>
      </c>
      <c r="C7171">
        <v>11</v>
      </c>
      <c r="D7171">
        <v>18</v>
      </c>
      <c r="E7171">
        <f t="shared" si="111"/>
        <v>6.2898770398632649E-21</v>
      </c>
    </row>
    <row r="7172" spans="1:5" x14ac:dyDescent="0.25">
      <c r="A7172">
        <v>8</v>
      </c>
      <c r="B7172">
        <v>11</v>
      </c>
      <c r="C7172">
        <v>12</v>
      </c>
      <c r="D7172">
        <v>17</v>
      </c>
      <c r="E7172">
        <f t="shared" si="111"/>
        <v>6.3685005028615508E-20</v>
      </c>
    </row>
    <row r="7173" spans="1:5" x14ac:dyDescent="0.25">
      <c r="A7173">
        <v>8</v>
      </c>
      <c r="B7173">
        <v>11</v>
      </c>
      <c r="C7173">
        <v>13</v>
      </c>
      <c r="D7173">
        <v>16</v>
      </c>
      <c r="E7173">
        <f t="shared" si="111"/>
        <v>4.904289703485693E-19</v>
      </c>
    </row>
    <row r="7174" spans="1:5" x14ac:dyDescent="0.25">
      <c r="A7174">
        <v>8</v>
      </c>
      <c r="B7174">
        <v>11</v>
      </c>
      <c r="C7174">
        <v>14</v>
      </c>
      <c r="D7174">
        <v>15</v>
      </c>
      <c r="E7174">
        <f t="shared" si="111"/>
        <v>2.9145493095000687E-18</v>
      </c>
    </row>
    <row r="7175" spans="1:5" x14ac:dyDescent="0.25">
      <c r="A7175">
        <v>8</v>
      </c>
      <c r="B7175">
        <v>11</v>
      </c>
      <c r="C7175">
        <v>15</v>
      </c>
      <c r="D7175">
        <v>14</v>
      </c>
      <c r="E7175">
        <f t="shared" si="111"/>
        <v>1.3512910434954861E-17</v>
      </c>
    </row>
    <row r="7176" spans="1:5" x14ac:dyDescent="0.25">
      <c r="A7176">
        <v>8</v>
      </c>
      <c r="B7176">
        <v>11</v>
      </c>
      <c r="C7176">
        <v>16</v>
      </c>
      <c r="D7176">
        <v>13</v>
      </c>
      <c r="E7176">
        <f t="shared" si="111"/>
        <v>4.9265819294106275E-17</v>
      </c>
    </row>
    <row r="7177" spans="1:5" x14ac:dyDescent="0.25">
      <c r="A7177">
        <v>8</v>
      </c>
      <c r="B7177">
        <v>11</v>
      </c>
      <c r="C7177">
        <v>17</v>
      </c>
      <c r="D7177">
        <v>12</v>
      </c>
      <c r="E7177">
        <f t="shared" si="111"/>
        <v>1.4200147914183581E-16</v>
      </c>
    </row>
    <row r="7178" spans="1:5" x14ac:dyDescent="0.25">
      <c r="A7178">
        <v>8</v>
      </c>
      <c r="B7178">
        <v>11</v>
      </c>
      <c r="C7178">
        <v>18</v>
      </c>
      <c r="D7178">
        <v>11</v>
      </c>
      <c r="E7178">
        <f t="shared" si="111"/>
        <v>3.2457480946705291E-16</v>
      </c>
    </row>
    <row r="7179" spans="1:5" x14ac:dyDescent="0.25">
      <c r="A7179">
        <v>8</v>
      </c>
      <c r="B7179">
        <v>11</v>
      </c>
      <c r="C7179">
        <v>19</v>
      </c>
      <c r="D7179">
        <v>10</v>
      </c>
      <c r="E7179">
        <f t="shared" si="111"/>
        <v>5.8879009296303998E-16</v>
      </c>
    </row>
    <row r="7180" spans="1:5" x14ac:dyDescent="0.25">
      <c r="A7180">
        <v>8</v>
      </c>
      <c r="B7180">
        <v>11</v>
      </c>
      <c r="C7180">
        <v>20</v>
      </c>
      <c r="D7180">
        <v>9</v>
      </c>
      <c r="E7180">
        <f t="shared" si="111"/>
        <v>8.4638575863437095E-16</v>
      </c>
    </row>
    <row r="7181" spans="1:5" x14ac:dyDescent="0.25">
      <c r="A7181">
        <v>8</v>
      </c>
      <c r="B7181">
        <v>11</v>
      </c>
      <c r="C7181">
        <v>21</v>
      </c>
      <c r="D7181">
        <v>8</v>
      </c>
      <c r="E7181">
        <f t="shared" si="111"/>
        <v>9.6018552450117598E-16</v>
      </c>
    </row>
    <row r="7182" spans="1:5" x14ac:dyDescent="0.25">
      <c r="A7182">
        <v>8</v>
      </c>
      <c r="B7182">
        <v>11</v>
      </c>
      <c r="C7182">
        <v>22</v>
      </c>
      <c r="D7182">
        <v>7</v>
      </c>
      <c r="E7182">
        <f t="shared" ref="E7182:E7245" si="112">COMBIN(A$4,A7182)*COMBIN(B$4,B7182)*COMBIN(C$4,C7182)*COMBIN(D$4,D7182)/COMBIN($G$4,$F$4)</f>
        <v>8.53498244001046E-16</v>
      </c>
    </row>
    <row r="7183" spans="1:5" x14ac:dyDescent="0.25">
      <c r="A7183">
        <v>8</v>
      </c>
      <c r="B7183">
        <v>11</v>
      </c>
      <c r="C7183">
        <v>23</v>
      </c>
      <c r="D7183">
        <v>6</v>
      </c>
      <c r="E7183">
        <f t="shared" si="112"/>
        <v>5.8787865319065142E-16</v>
      </c>
    </row>
    <row r="7184" spans="1:5" x14ac:dyDescent="0.25">
      <c r="A7184">
        <v>8</v>
      </c>
      <c r="B7184">
        <v>11</v>
      </c>
      <c r="C7184">
        <v>24</v>
      </c>
      <c r="D7184">
        <v>5</v>
      </c>
      <c r="E7184">
        <f t="shared" si="112"/>
        <v>3.08636292925092E-16</v>
      </c>
    </row>
    <row r="7185" spans="1:5" x14ac:dyDescent="0.25">
      <c r="A7185">
        <v>8</v>
      </c>
      <c r="B7185">
        <v>11</v>
      </c>
      <c r="C7185">
        <v>25</v>
      </c>
      <c r="D7185">
        <v>4</v>
      </c>
      <c r="E7185">
        <f t="shared" si="112"/>
        <v>1.2051512390408361E-16</v>
      </c>
    </row>
    <row r="7186" spans="1:5" x14ac:dyDescent="0.25">
      <c r="A7186">
        <v>8</v>
      </c>
      <c r="B7186">
        <v>11</v>
      </c>
      <c r="C7186">
        <v>26</v>
      </c>
      <c r="D7186">
        <v>3</v>
      </c>
      <c r="E7186">
        <f t="shared" si="112"/>
        <v>3.3710524168974413E-17</v>
      </c>
    </row>
    <row r="7187" spans="1:5" x14ac:dyDescent="0.25">
      <c r="A7187">
        <v>8</v>
      </c>
      <c r="B7187">
        <v>11</v>
      </c>
      <c r="C7187">
        <v>27</v>
      </c>
      <c r="D7187">
        <v>2</v>
      </c>
      <c r="E7187">
        <f t="shared" si="112"/>
        <v>6.3512581767632939E-18</v>
      </c>
    </row>
    <row r="7188" spans="1:5" x14ac:dyDescent="0.25">
      <c r="A7188">
        <v>8</v>
      </c>
      <c r="B7188">
        <v>11</v>
      </c>
      <c r="C7188">
        <v>28</v>
      </c>
      <c r="D7188">
        <v>1</v>
      </c>
      <c r="E7188">
        <f t="shared" si="112"/>
        <v>7.1829705570537275E-19</v>
      </c>
    </row>
    <row r="7189" spans="1:5" x14ac:dyDescent="0.25">
      <c r="A7189">
        <v>8</v>
      </c>
      <c r="B7189">
        <v>11</v>
      </c>
      <c r="C7189">
        <v>29</v>
      </c>
      <c r="D7189">
        <v>0</v>
      </c>
      <c r="E7189">
        <f t="shared" si="112"/>
        <v>3.6657918704963858E-20</v>
      </c>
    </row>
    <row r="7190" spans="1:5" x14ac:dyDescent="0.25">
      <c r="A7190">
        <v>8</v>
      </c>
      <c r="B7190">
        <v>12</v>
      </c>
      <c r="C7190">
        <v>3</v>
      </c>
      <c r="D7190">
        <v>25</v>
      </c>
      <c r="E7190">
        <f t="shared" si="112"/>
        <v>1.4793049098047324E-32</v>
      </c>
    </row>
    <row r="7191" spans="1:5" x14ac:dyDescent="0.25">
      <c r="A7191">
        <v>8</v>
      </c>
      <c r="B7191">
        <v>12</v>
      </c>
      <c r="C7191">
        <v>4</v>
      </c>
      <c r="D7191">
        <v>24</v>
      </c>
      <c r="E7191">
        <f t="shared" si="112"/>
        <v>5.7323065254933371E-30</v>
      </c>
    </row>
    <row r="7192" spans="1:5" x14ac:dyDescent="0.25">
      <c r="A7192">
        <v>8</v>
      </c>
      <c r="B7192">
        <v>12</v>
      </c>
      <c r="C7192">
        <v>5</v>
      </c>
      <c r="D7192">
        <v>23</v>
      </c>
      <c r="E7192">
        <f t="shared" si="112"/>
        <v>8.3920967533222465E-28</v>
      </c>
    </row>
    <row r="7193" spans="1:5" x14ac:dyDescent="0.25">
      <c r="A7193">
        <v>8</v>
      </c>
      <c r="B7193">
        <v>12</v>
      </c>
      <c r="C7193">
        <v>6</v>
      </c>
      <c r="D7193">
        <v>22</v>
      </c>
      <c r="E7193">
        <f t="shared" si="112"/>
        <v>6.4339408442137225E-26</v>
      </c>
    </row>
    <row r="7194" spans="1:5" x14ac:dyDescent="0.25">
      <c r="A7194">
        <v>8</v>
      </c>
      <c r="B7194">
        <v>12</v>
      </c>
      <c r="C7194">
        <v>7</v>
      </c>
      <c r="D7194">
        <v>21</v>
      </c>
      <c r="E7194">
        <f t="shared" si="112"/>
        <v>2.9825911484962189E-24</v>
      </c>
    </row>
    <row r="7195" spans="1:5" x14ac:dyDescent="0.25">
      <c r="A7195">
        <v>8</v>
      </c>
      <c r="B7195">
        <v>12</v>
      </c>
      <c r="C7195">
        <v>8</v>
      </c>
      <c r="D7195">
        <v>20</v>
      </c>
      <c r="E7195">
        <f t="shared" si="112"/>
        <v>9.0819900471709863E-23</v>
      </c>
    </row>
    <row r="7196" spans="1:5" x14ac:dyDescent="0.25">
      <c r="A7196">
        <v>8</v>
      </c>
      <c r="B7196">
        <v>12</v>
      </c>
      <c r="C7196">
        <v>9</v>
      </c>
      <c r="D7196">
        <v>19</v>
      </c>
      <c r="E7196">
        <f t="shared" si="112"/>
        <v>1.9173090099583185E-21</v>
      </c>
    </row>
    <row r="7197" spans="1:5" x14ac:dyDescent="0.25">
      <c r="A7197">
        <v>8</v>
      </c>
      <c r="B7197">
        <v>12</v>
      </c>
      <c r="C7197">
        <v>10</v>
      </c>
      <c r="D7197">
        <v>18</v>
      </c>
      <c r="E7197">
        <f t="shared" si="112"/>
        <v>2.9143096951366463E-20</v>
      </c>
    </row>
    <row r="7198" spans="1:5" x14ac:dyDescent="0.25">
      <c r="A7198">
        <v>8</v>
      </c>
      <c r="B7198">
        <v>12</v>
      </c>
      <c r="C7198">
        <v>11</v>
      </c>
      <c r="D7198">
        <v>17</v>
      </c>
      <c r="E7198">
        <f t="shared" si="112"/>
        <v>3.2785984070287266E-19</v>
      </c>
    </row>
    <row r="7199" spans="1:5" x14ac:dyDescent="0.25">
      <c r="A7199">
        <v>8</v>
      </c>
      <c r="B7199">
        <v>12</v>
      </c>
      <c r="C7199">
        <v>12</v>
      </c>
      <c r="D7199">
        <v>16</v>
      </c>
      <c r="E7199">
        <f t="shared" si="112"/>
        <v>2.7868086459744158E-18</v>
      </c>
    </row>
    <row r="7200" spans="1:5" x14ac:dyDescent="0.25">
      <c r="A7200">
        <v>8</v>
      </c>
      <c r="B7200">
        <v>12</v>
      </c>
      <c r="C7200">
        <v>13</v>
      </c>
      <c r="D7200">
        <v>15</v>
      </c>
      <c r="E7200">
        <f t="shared" si="112"/>
        <v>1.8178567167586965E-17</v>
      </c>
    </row>
    <row r="7201" spans="1:5" x14ac:dyDescent="0.25">
      <c r="A7201">
        <v>8</v>
      </c>
      <c r="B7201">
        <v>12</v>
      </c>
      <c r="C7201">
        <v>14</v>
      </c>
      <c r="D7201">
        <v>14</v>
      </c>
      <c r="E7201">
        <f t="shared" si="112"/>
        <v>9.2073262277388545E-17</v>
      </c>
    </row>
    <row r="7202" spans="1:5" x14ac:dyDescent="0.25">
      <c r="A7202">
        <v>8</v>
      </c>
      <c r="B7202">
        <v>12</v>
      </c>
      <c r="C7202">
        <v>15</v>
      </c>
      <c r="D7202">
        <v>13</v>
      </c>
      <c r="E7202">
        <f t="shared" si="112"/>
        <v>3.6522394036697442E-16</v>
      </c>
    </row>
    <row r="7203" spans="1:5" x14ac:dyDescent="0.25">
      <c r="A7203">
        <v>8</v>
      </c>
      <c r="B7203">
        <v>12</v>
      </c>
      <c r="C7203">
        <v>16</v>
      </c>
      <c r="D7203">
        <v>12</v>
      </c>
      <c r="E7203">
        <f t="shared" si="112"/>
        <v>1.1413248136467952E-15</v>
      </c>
    </row>
    <row r="7204" spans="1:5" x14ac:dyDescent="0.25">
      <c r="A7204">
        <v>8</v>
      </c>
      <c r="B7204">
        <v>12</v>
      </c>
      <c r="C7204">
        <v>17</v>
      </c>
      <c r="D7204">
        <v>11</v>
      </c>
      <c r="E7204">
        <f t="shared" si="112"/>
        <v>2.8197436572450248E-15</v>
      </c>
    </row>
    <row r="7205" spans="1:5" x14ac:dyDescent="0.25">
      <c r="A7205">
        <v>8</v>
      </c>
      <c r="B7205">
        <v>12</v>
      </c>
      <c r="C7205">
        <v>18</v>
      </c>
      <c r="D7205">
        <v>10</v>
      </c>
      <c r="E7205">
        <f t="shared" si="112"/>
        <v>5.5141653741680423E-15</v>
      </c>
    </row>
    <row r="7206" spans="1:5" x14ac:dyDescent="0.25">
      <c r="A7206">
        <v>8</v>
      </c>
      <c r="B7206">
        <v>12</v>
      </c>
      <c r="C7206">
        <v>19</v>
      </c>
      <c r="D7206">
        <v>9</v>
      </c>
      <c r="E7206">
        <f t="shared" si="112"/>
        <v>8.5251898876940184E-15</v>
      </c>
    </row>
    <row r="7207" spans="1:5" x14ac:dyDescent="0.25">
      <c r="A7207">
        <v>8</v>
      </c>
      <c r="B7207">
        <v>12</v>
      </c>
      <c r="C7207">
        <v>20</v>
      </c>
      <c r="D7207">
        <v>8</v>
      </c>
      <c r="E7207">
        <f t="shared" si="112"/>
        <v>1.0380672392662725E-14</v>
      </c>
    </row>
    <row r="7208" spans="1:5" x14ac:dyDescent="0.25">
      <c r="A7208">
        <v>8</v>
      </c>
      <c r="B7208">
        <v>12</v>
      </c>
      <c r="C7208">
        <v>21</v>
      </c>
      <c r="D7208">
        <v>7</v>
      </c>
      <c r="E7208">
        <f t="shared" si="112"/>
        <v>9.8863546596787768E-15</v>
      </c>
    </row>
    <row r="7209" spans="1:5" x14ac:dyDescent="0.25">
      <c r="A7209">
        <v>8</v>
      </c>
      <c r="B7209">
        <v>12</v>
      </c>
      <c r="C7209">
        <v>22</v>
      </c>
      <c r="D7209">
        <v>6</v>
      </c>
      <c r="E7209">
        <f t="shared" si="112"/>
        <v>7.2846823808159419E-15</v>
      </c>
    </row>
    <row r="7210" spans="1:5" x14ac:dyDescent="0.25">
      <c r="A7210">
        <v>8</v>
      </c>
      <c r="B7210">
        <v>12</v>
      </c>
      <c r="C7210">
        <v>23</v>
      </c>
      <c r="D7210">
        <v>5</v>
      </c>
      <c r="E7210">
        <f t="shared" si="112"/>
        <v>4.0857566396750273E-15</v>
      </c>
    </row>
    <row r="7211" spans="1:5" x14ac:dyDescent="0.25">
      <c r="A7211">
        <v>8</v>
      </c>
      <c r="B7211">
        <v>12</v>
      </c>
      <c r="C7211">
        <v>24</v>
      </c>
      <c r="D7211">
        <v>4</v>
      </c>
      <c r="E7211">
        <f t="shared" si="112"/>
        <v>1.7023985998645951E-15</v>
      </c>
    </row>
    <row r="7212" spans="1:5" x14ac:dyDescent="0.25">
      <c r="A7212">
        <v>8</v>
      </c>
      <c r="B7212">
        <v>12</v>
      </c>
      <c r="C7212">
        <v>25</v>
      </c>
      <c r="D7212">
        <v>3</v>
      </c>
      <c r="E7212">
        <f t="shared" si="112"/>
        <v>5.0762430977780664E-16</v>
      </c>
    </row>
    <row r="7213" spans="1:5" x14ac:dyDescent="0.25">
      <c r="A7213">
        <v>8</v>
      </c>
      <c r="B7213">
        <v>12</v>
      </c>
      <c r="C7213">
        <v>26</v>
      </c>
      <c r="D7213">
        <v>2</v>
      </c>
      <c r="E7213">
        <f t="shared" si="112"/>
        <v>1.0186440998885745E-16</v>
      </c>
    </row>
    <row r="7214" spans="1:5" x14ac:dyDescent="0.25">
      <c r="A7214">
        <v>8</v>
      </c>
      <c r="B7214">
        <v>12</v>
      </c>
      <c r="C7214">
        <v>27</v>
      </c>
      <c r="D7214">
        <v>1</v>
      </c>
      <c r="E7214">
        <f t="shared" si="112"/>
        <v>1.2261456757918028E-17</v>
      </c>
    </row>
    <row r="7215" spans="1:5" x14ac:dyDescent="0.25">
      <c r="A7215">
        <v>8</v>
      </c>
      <c r="B7215">
        <v>12</v>
      </c>
      <c r="C7215">
        <v>28</v>
      </c>
      <c r="D7215">
        <v>0</v>
      </c>
      <c r="E7215">
        <f t="shared" si="112"/>
        <v>6.6562193828697881E-19</v>
      </c>
    </row>
    <row r="7216" spans="1:5" x14ac:dyDescent="0.25">
      <c r="A7216">
        <v>8</v>
      </c>
      <c r="B7216">
        <v>13</v>
      </c>
      <c r="C7216">
        <v>2</v>
      </c>
      <c r="D7216">
        <v>25</v>
      </c>
      <c r="E7216">
        <f t="shared" si="112"/>
        <v>1.5009797070179888E-32</v>
      </c>
    </row>
    <row r="7217" spans="1:5" x14ac:dyDescent="0.25">
      <c r="A7217">
        <v>8</v>
      </c>
      <c r="B7217">
        <v>13</v>
      </c>
      <c r="C7217">
        <v>3</v>
      </c>
      <c r="D7217">
        <v>24</v>
      </c>
      <c r="E7217">
        <f t="shared" si="112"/>
        <v>7.8801434618444399E-30</v>
      </c>
    </row>
    <row r="7218" spans="1:5" x14ac:dyDescent="0.25">
      <c r="A7218">
        <v>8</v>
      </c>
      <c r="B7218">
        <v>13</v>
      </c>
      <c r="C7218">
        <v>4</v>
      </c>
      <c r="D7218">
        <v>23</v>
      </c>
      <c r="E7218">
        <f t="shared" si="112"/>
        <v>1.465706683903066E-27</v>
      </c>
    </row>
    <row r="7219" spans="1:5" x14ac:dyDescent="0.25">
      <c r="A7219">
        <v>8</v>
      </c>
      <c r="B7219">
        <v>13</v>
      </c>
      <c r="C7219">
        <v>5</v>
      </c>
      <c r="D7219">
        <v>22</v>
      </c>
      <c r="E7219">
        <f t="shared" si="112"/>
        <v>1.3709243183440012E-25</v>
      </c>
    </row>
    <row r="7220" spans="1:5" x14ac:dyDescent="0.25">
      <c r="A7220">
        <v>8</v>
      </c>
      <c r="B7220">
        <v>13</v>
      </c>
      <c r="C7220">
        <v>6</v>
      </c>
      <c r="D7220">
        <v>21</v>
      </c>
      <c r="E7220">
        <f t="shared" si="112"/>
        <v>7.5400837508920073E-24</v>
      </c>
    </row>
    <row r="7221" spans="1:5" x14ac:dyDescent="0.25">
      <c r="A7221">
        <v>8</v>
      </c>
      <c r="B7221">
        <v>13</v>
      </c>
      <c r="C7221">
        <v>7</v>
      </c>
      <c r="D7221">
        <v>20</v>
      </c>
      <c r="E7221">
        <f t="shared" si="112"/>
        <v>2.6691896478157694E-22</v>
      </c>
    </row>
    <row r="7222" spans="1:5" x14ac:dyDescent="0.25">
      <c r="A7222">
        <v>8</v>
      </c>
      <c r="B7222">
        <v>13</v>
      </c>
      <c r="C7222">
        <v>8</v>
      </c>
      <c r="D7222">
        <v>19</v>
      </c>
      <c r="E7222">
        <f t="shared" si="112"/>
        <v>6.45054164888811E-21</v>
      </c>
    </row>
    <row r="7223" spans="1:5" x14ac:dyDescent="0.25">
      <c r="A7223">
        <v>8</v>
      </c>
      <c r="B7223">
        <v>13</v>
      </c>
      <c r="C7223">
        <v>9</v>
      </c>
      <c r="D7223">
        <v>18</v>
      </c>
      <c r="E7223">
        <f t="shared" si="112"/>
        <v>1.1088788263088613E-19</v>
      </c>
    </row>
    <row r="7224" spans="1:5" x14ac:dyDescent="0.25">
      <c r="A7224">
        <v>8</v>
      </c>
      <c r="B7224">
        <v>13</v>
      </c>
      <c r="C7224">
        <v>10</v>
      </c>
      <c r="D7224">
        <v>17</v>
      </c>
      <c r="E7224">
        <f t="shared" si="112"/>
        <v>1.397187321149165E-18</v>
      </c>
    </row>
    <row r="7225" spans="1:5" x14ac:dyDescent="0.25">
      <c r="A7225">
        <v>8</v>
      </c>
      <c r="B7225">
        <v>13</v>
      </c>
      <c r="C7225">
        <v>11</v>
      </c>
      <c r="D7225">
        <v>16</v>
      </c>
      <c r="E7225">
        <f t="shared" si="112"/>
        <v>1.3195658033075448E-17</v>
      </c>
    </row>
    <row r="7226" spans="1:5" x14ac:dyDescent="0.25">
      <c r="A7226">
        <v>8</v>
      </c>
      <c r="B7226">
        <v>13</v>
      </c>
      <c r="C7226">
        <v>12</v>
      </c>
      <c r="D7226">
        <v>15</v>
      </c>
      <c r="E7226">
        <f t="shared" si="112"/>
        <v>9.5008737838143164E-17</v>
      </c>
    </row>
    <row r="7227" spans="1:5" x14ac:dyDescent="0.25">
      <c r="A7227">
        <v>8</v>
      </c>
      <c r="B7227">
        <v>13</v>
      </c>
      <c r="C7227">
        <v>13</v>
      </c>
      <c r="D7227">
        <v>14</v>
      </c>
      <c r="E7227">
        <f t="shared" si="112"/>
        <v>5.2819543063862838E-16</v>
      </c>
    </row>
    <row r="7228" spans="1:5" x14ac:dyDescent="0.25">
      <c r="A7228">
        <v>8</v>
      </c>
      <c r="B7228">
        <v>13</v>
      </c>
      <c r="C7228">
        <v>14</v>
      </c>
      <c r="D7228">
        <v>13</v>
      </c>
      <c r="E7228">
        <f t="shared" si="112"/>
        <v>2.2888468661007235E-15</v>
      </c>
    </row>
    <row r="7229" spans="1:5" x14ac:dyDescent="0.25">
      <c r="A7229">
        <v>8</v>
      </c>
      <c r="B7229">
        <v>13</v>
      </c>
      <c r="C7229">
        <v>15</v>
      </c>
      <c r="D7229">
        <v>12</v>
      </c>
      <c r="E7229">
        <f t="shared" si="112"/>
        <v>7.7820793447424572E-15</v>
      </c>
    </row>
    <row r="7230" spans="1:5" x14ac:dyDescent="0.25">
      <c r="A7230">
        <v>8</v>
      </c>
      <c r="B7230">
        <v>13</v>
      </c>
      <c r="C7230">
        <v>16</v>
      </c>
      <c r="D7230">
        <v>11</v>
      </c>
      <c r="E7230">
        <f t="shared" si="112"/>
        <v>2.0844855387703008E-14</v>
      </c>
    </row>
    <row r="7231" spans="1:5" x14ac:dyDescent="0.25">
      <c r="A7231">
        <v>8</v>
      </c>
      <c r="B7231">
        <v>13</v>
      </c>
      <c r="C7231">
        <v>17</v>
      </c>
      <c r="D7231">
        <v>10</v>
      </c>
      <c r="E7231">
        <f t="shared" si="112"/>
        <v>4.4060302172438923E-14</v>
      </c>
    </row>
    <row r="7232" spans="1:5" x14ac:dyDescent="0.25">
      <c r="A7232">
        <v>8</v>
      </c>
      <c r="B7232">
        <v>13</v>
      </c>
      <c r="C7232">
        <v>18</v>
      </c>
      <c r="D7232">
        <v>9</v>
      </c>
      <c r="E7232">
        <f t="shared" si="112"/>
        <v>7.3433836954064812E-14</v>
      </c>
    </row>
    <row r="7233" spans="1:5" x14ac:dyDescent="0.25">
      <c r="A7233">
        <v>8</v>
      </c>
      <c r="B7233">
        <v>13</v>
      </c>
      <c r="C7233">
        <v>19</v>
      </c>
      <c r="D7233">
        <v>8</v>
      </c>
      <c r="E7233">
        <f t="shared" si="112"/>
        <v>9.616877099557099E-14</v>
      </c>
    </row>
    <row r="7234" spans="1:5" x14ac:dyDescent="0.25">
      <c r="A7234">
        <v>8</v>
      </c>
      <c r="B7234">
        <v>13</v>
      </c>
      <c r="C7234">
        <v>20</v>
      </c>
      <c r="D7234">
        <v>7</v>
      </c>
      <c r="E7234">
        <f t="shared" si="112"/>
        <v>9.8305854795472684E-14</v>
      </c>
    </row>
    <row r="7235" spans="1:5" x14ac:dyDescent="0.25">
      <c r="A7235">
        <v>8</v>
      </c>
      <c r="B7235">
        <v>13</v>
      </c>
      <c r="C7235">
        <v>21</v>
      </c>
      <c r="D7235">
        <v>6</v>
      </c>
      <c r="E7235">
        <f t="shared" si="112"/>
        <v>7.7609885364846729E-14</v>
      </c>
    </row>
    <row r="7236" spans="1:5" x14ac:dyDescent="0.25">
      <c r="A7236">
        <v>8</v>
      </c>
      <c r="B7236">
        <v>13</v>
      </c>
      <c r="C7236">
        <v>22</v>
      </c>
      <c r="D7236">
        <v>5</v>
      </c>
      <c r="E7236">
        <f t="shared" si="112"/>
        <v>4.6565931218908066E-14</v>
      </c>
    </row>
    <row r="7237" spans="1:5" x14ac:dyDescent="0.25">
      <c r="A7237">
        <v>8</v>
      </c>
      <c r="B7237">
        <v>13</v>
      </c>
      <c r="C7237">
        <v>23</v>
      </c>
      <c r="D7237">
        <v>4</v>
      </c>
      <c r="E7237">
        <f t="shared" si="112"/>
        <v>2.0728106029120571E-14</v>
      </c>
    </row>
    <row r="7238" spans="1:5" x14ac:dyDescent="0.25">
      <c r="A7238">
        <v>8</v>
      </c>
      <c r="B7238">
        <v>13</v>
      </c>
      <c r="C7238">
        <v>24</v>
      </c>
      <c r="D7238">
        <v>3</v>
      </c>
      <c r="E7238">
        <f t="shared" si="112"/>
        <v>6.5953064638110889E-15</v>
      </c>
    </row>
    <row r="7239" spans="1:5" x14ac:dyDescent="0.25">
      <c r="A7239">
        <v>8</v>
      </c>
      <c r="B7239">
        <v>13</v>
      </c>
      <c r="C7239">
        <v>25</v>
      </c>
      <c r="D7239">
        <v>2</v>
      </c>
      <c r="E7239">
        <f t="shared" si="112"/>
        <v>1.410822078345677E-15</v>
      </c>
    </row>
    <row r="7240" spans="1:5" x14ac:dyDescent="0.25">
      <c r="A7240">
        <v>8</v>
      </c>
      <c r="B7240">
        <v>13</v>
      </c>
      <c r="C7240">
        <v>26</v>
      </c>
      <c r="D7240">
        <v>1</v>
      </c>
      <c r="E7240">
        <f t="shared" si="112"/>
        <v>1.8087462542893281E-16</v>
      </c>
    </row>
    <row r="7241" spans="1:5" x14ac:dyDescent="0.25">
      <c r="A7241">
        <v>8</v>
      </c>
      <c r="B7241">
        <v>13</v>
      </c>
      <c r="C7241">
        <v>27</v>
      </c>
      <c r="D7241">
        <v>0</v>
      </c>
      <c r="E7241">
        <f t="shared" si="112"/>
        <v>1.0450533913671674E-17</v>
      </c>
    </row>
    <row r="7242" spans="1:5" x14ac:dyDescent="0.25">
      <c r="A7242">
        <v>8</v>
      </c>
      <c r="B7242">
        <v>14</v>
      </c>
      <c r="C7242">
        <v>1</v>
      </c>
      <c r="D7242">
        <v>25</v>
      </c>
      <c r="E7242">
        <f t="shared" si="112"/>
        <v>9.2471071235929661E-33</v>
      </c>
    </row>
    <row r="7243" spans="1:5" x14ac:dyDescent="0.25">
      <c r="A7243">
        <v>8</v>
      </c>
      <c r="B7243">
        <v>14</v>
      </c>
      <c r="C7243">
        <v>2</v>
      </c>
      <c r="D7243">
        <v>24</v>
      </c>
      <c r="E7243">
        <f t="shared" si="112"/>
        <v>7.3976856988743722E-30</v>
      </c>
    </row>
    <row r="7244" spans="1:5" x14ac:dyDescent="0.25">
      <c r="A7244">
        <v>8</v>
      </c>
      <c r="B7244">
        <v>14</v>
      </c>
      <c r="C7244">
        <v>3</v>
      </c>
      <c r="D7244">
        <v>23</v>
      </c>
      <c r="E7244">
        <f t="shared" si="112"/>
        <v>1.8642167961163417E-27</v>
      </c>
    </row>
    <row r="7245" spans="1:5" x14ac:dyDescent="0.25">
      <c r="A7245">
        <v>8</v>
      </c>
      <c r="B7245">
        <v>14</v>
      </c>
      <c r="C7245">
        <v>4</v>
      </c>
      <c r="D7245">
        <v>22</v>
      </c>
      <c r="E7245">
        <f t="shared" si="112"/>
        <v>2.2153109593849198E-25</v>
      </c>
    </row>
    <row r="7246" spans="1:5" x14ac:dyDescent="0.25">
      <c r="A7246">
        <v>8</v>
      </c>
      <c r="B7246">
        <v>14</v>
      </c>
      <c r="C7246">
        <v>5</v>
      </c>
      <c r="D7246">
        <v>21</v>
      </c>
      <c r="E7246">
        <f t="shared" ref="E7246:E7309" si="113">COMBIN(A$4,A7246)*COMBIN(B$4,B7246)*COMBIN(C$4,C7246)*COMBIN(D$4,D7246)/COMBIN($G$4,$F$4)</f>
        <v>1.4864736537472813E-23</v>
      </c>
    </row>
    <row r="7247" spans="1:5" x14ac:dyDescent="0.25">
      <c r="A7247">
        <v>8</v>
      </c>
      <c r="B7247">
        <v>14</v>
      </c>
      <c r="C7247">
        <v>6</v>
      </c>
      <c r="D7247">
        <v>20</v>
      </c>
      <c r="E7247">
        <f t="shared" si="113"/>
        <v>6.2431893457385788E-22</v>
      </c>
    </row>
    <row r="7248" spans="1:5" x14ac:dyDescent="0.25">
      <c r="A7248">
        <v>8</v>
      </c>
      <c r="B7248">
        <v>14</v>
      </c>
      <c r="C7248">
        <v>7</v>
      </c>
      <c r="D7248">
        <v>19</v>
      </c>
      <c r="E7248">
        <f t="shared" si="113"/>
        <v>1.754038911421791E-20</v>
      </c>
    </row>
    <row r="7249" spans="1:5" x14ac:dyDescent="0.25">
      <c r="A7249">
        <v>8</v>
      </c>
      <c r="B7249">
        <v>14</v>
      </c>
      <c r="C7249">
        <v>8</v>
      </c>
      <c r="D7249">
        <v>18</v>
      </c>
      <c r="E7249">
        <f t="shared" si="113"/>
        <v>3.4516980006907415E-19</v>
      </c>
    </row>
    <row r="7250" spans="1:5" x14ac:dyDescent="0.25">
      <c r="A7250">
        <v>8</v>
      </c>
      <c r="B7250">
        <v>14</v>
      </c>
      <c r="C7250">
        <v>9</v>
      </c>
      <c r="D7250">
        <v>17</v>
      </c>
      <c r="E7250">
        <f t="shared" si="113"/>
        <v>4.9186696509843043E-18</v>
      </c>
    </row>
    <row r="7251" spans="1:5" x14ac:dyDescent="0.25">
      <c r="A7251">
        <v>8</v>
      </c>
      <c r="B7251">
        <v>14</v>
      </c>
      <c r="C7251">
        <v>10</v>
      </c>
      <c r="D7251">
        <v>16</v>
      </c>
      <c r="E7251">
        <f t="shared" si="113"/>
        <v>5.2028594530411766E-17</v>
      </c>
    </row>
    <row r="7252" spans="1:5" x14ac:dyDescent="0.25">
      <c r="A7252">
        <v>8</v>
      </c>
      <c r="B7252">
        <v>14</v>
      </c>
      <c r="C7252">
        <v>11</v>
      </c>
      <c r="D7252">
        <v>15</v>
      </c>
      <c r="E7252">
        <f t="shared" si="113"/>
        <v>4.1622875624329408E-16</v>
      </c>
    </row>
    <row r="7253" spans="1:5" x14ac:dyDescent="0.25">
      <c r="A7253">
        <v>8</v>
      </c>
      <c r="B7253">
        <v>14</v>
      </c>
      <c r="C7253">
        <v>12</v>
      </c>
      <c r="D7253">
        <v>14</v>
      </c>
      <c r="E7253">
        <f t="shared" si="113"/>
        <v>2.5541310042202123E-15</v>
      </c>
    </row>
    <row r="7254" spans="1:5" x14ac:dyDescent="0.25">
      <c r="A7254">
        <v>8</v>
      </c>
      <c r="B7254">
        <v>14</v>
      </c>
      <c r="C7254">
        <v>13</v>
      </c>
      <c r="D7254">
        <v>13</v>
      </c>
      <c r="E7254">
        <f t="shared" si="113"/>
        <v>1.2148494904688453E-14</v>
      </c>
    </row>
    <row r="7255" spans="1:5" x14ac:dyDescent="0.25">
      <c r="A7255">
        <v>8</v>
      </c>
      <c r="B7255">
        <v>14</v>
      </c>
      <c r="C7255">
        <v>14</v>
      </c>
      <c r="D7255">
        <v>12</v>
      </c>
      <c r="E7255">
        <f t="shared" si="113"/>
        <v>4.5122981074557119E-14</v>
      </c>
    </row>
    <row r="7256" spans="1:5" x14ac:dyDescent="0.25">
      <c r="A7256">
        <v>8</v>
      </c>
      <c r="B7256">
        <v>14</v>
      </c>
      <c r="C7256">
        <v>15</v>
      </c>
      <c r="D7256">
        <v>11</v>
      </c>
      <c r="E7256">
        <f t="shared" si="113"/>
        <v>1.315012591315664E-13</v>
      </c>
    </row>
    <row r="7257" spans="1:5" x14ac:dyDescent="0.25">
      <c r="A7257">
        <v>8</v>
      </c>
      <c r="B7257">
        <v>14</v>
      </c>
      <c r="C7257">
        <v>16</v>
      </c>
      <c r="D7257">
        <v>10</v>
      </c>
      <c r="E7257">
        <f t="shared" si="113"/>
        <v>3.0135705217650632E-13</v>
      </c>
    </row>
    <row r="7258" spans="1:5" x14ac:dyDescent="0.25">
      <c r="A7258">
        <v>8</v>
      </c>
      <c r="B7258">
        <v>14</v>
      </c>
      <c r="C7258">
        <v>17</v>
      </c>
      <c r="D7258">
        <v>9</v>
      </c>
      <c r="E7258">
        <f t="shared" si="113"/>
        <v>5.4288586605326545E-13</v>
      </c>
    </row>
    <row r="7259" spans="1:5" x14ac:dyDescent="0.25">
      <c r="A7259">
        <v>8</v>
      </c>
      <c r="B7259">
        <v>14</v>
      </c>
      <c r="C7259">
        <v>18</v>
      </c>
      <c r="D7259">
        <v>8</v>
      </c>
      <c r="E7259">
        <f t="shared" si="113"/>
        <v>7.6642710501637396E-13</v>
      </c>
    </row>
    <row r="7260" spans="1:5" x14ac:dyDescent="0.25">
      <c r="A7260">
        <v>8</v>
      </c>
      <c r="B7260">
        <v>14</v>
      </c>
      <c r="C7260">
        <v>19</v>
      </c>
      <c r="D7260">
        <v>7</v>
      </c>
      <c r="E7260">
        <f t="shared" si="113"/>
        <v>8.4262161253262216E-13</v>
      </c>
    </row>
    <row r="7261" spans="1:5" x14ac:dyDescent="0.25">
      <c r="A7261">
        <v>8</v>
      </c>
      <c r="B7261">
        <v>14</v>
      </c>
      <c r="C7261">
        <v>20</v>
      </c>
      <c r="D7261">
        <v>6</v>
      </c>
      <c r="E7261">
        <f t="shared" si="113"/>
        <v>7.1401094535659078E-13</v>
      </c>
    </row>
    <row r="7262" spans="1:5" x14ac:dyDescent="0.25">
      <c r="A7262">
        <v>8</v>
      </c>
      <c r="B7262">
        <v>14</v>
      </c>
      <c r="C7262">
        <v>21</v>
      </c>
      <c r="D7262">
        <v>5</v>
      </c>
      <c r="E7262">
        <f t="shared" si="113"/>
        <v>4.5900703630066484E-13</v>
      </c>
    </row>
    <row r="7263" spans="1:5" x14ac:dyDescent="0.25">
      <c r="A7263">
        <v>8</v>
      </c>
      <c r="B7263">
        <v>14</v>
      </c>
      <c r="C7263">
        <v>22</v>
      </c>
      <c r="D7263">
        <v>4</v>
      </c>
      <c r="E7263">
        <f t="shared" si="113"/>
        <v>2.1857477919079299E-13</v>
      </c>
    </row>
    <row r="7264" spans="1:5" x14ac:dyDescent="0.25">
      <c r="A7264">
        <v>8</v>
      </c>
      <c r="B7264">
        <v>14</v>
      </c>
      <c r="C7264">
        <v>23</v>
      </c>
      <c r="D7264">
        <v>3</v>
      </c>
      <c r="E7264">
        <f t="shared" si="113"/>
        <v>7.4298146286198385E-14</v>
      </c>
    </row>
    <row r="7265" spans="1:5" x14ac:dyDescent="0.25">
      <c r="A7265">
        <v>8</v>
      </c>
      <c r="B7265">
        <v>14</v>
      </c>
      <c r="C7265">
        <v>24</v>
      </c>
      <c r="D7265">
        <v>2</v>
      </c>
      <c r="E7265">
        <f t="shared" si="113"/>
        <v>1.6959359478371371E-14</v>
      </c>
    </row>
    <row r="7266" spans="1:5" x14ac:dyDescent="0.25">
      <c r="A7266">
        <v>8</v>
      </c>
      <c r="B7266">
        <v>14</v>
      </c>
      <c r="C7266">
        <v>25</v>
      </c>
      <c r="D7266">
        <v>1</v>
      </c>
      <c r="E7266">
        <f t="shared" si="113"/>
        <v>2.3177791287107549E-15</v>
      </c>
    </row>
    <row r="7267" spans="1:5" x14ac:dyDescent="0.25">
      <c r="A7267">
        <v>8</v>
      </c>
      <c r="B7267">
        <v>14</v>
      </c>
      <c r="C7267">
        <v>26</v>
      </c>
      <c r="D7267">
        <v>0</v>
      </c>
      <c r="E7267">
        <f t="shared" si="113"/>
        <v>1.4263256176681561E-16</v>
      </c>
    </row>
    <row r="7268" spans="1:5" x14ac:dyDescent="0.25">
      <c r="A7268">
        <v>8</v>
      </c>
      <c r="B7268">
        <v>15</v>
      </c>
      <c r="C7268">
        <v>0</v>
      </c>
      <c r="D7268">
        <v>25</v>
      </c>
      <c r="E7268">
        <f t="shared" si="113"/>
        <v>2.6081584194749388E-33</v>
      </c>
    </row>
    <row r="7269" spans="1:5" x14ac:dyDescent="0.25">
      <c r="A7269">
        <v>8</v>
      </c>
      <c r="B7269">
        <v>15</v>
      </c>
      <c r="C7269">
        <v>1</v>
      </c>
      <c r="D7269">
        <v>24</v>
      </c>
      <c r="E7269">
        <f t="shared" si="113"/>
        <v>4.2382574316467756E-30</v>
      </c>
    </row>
    <row r="7270" spans="1:5" x14ac:dyDescent="0.25">
      <c r="A7270">
        <v>8</v>
      </c>
      <c r="B7270">
        <v>15</v>
      </c>
      <c r="C7270">
        <v>2</v>
      </c>
      <c r="D7270">
        <v>23</v>
      </c>
      <c r="E7270">
        <f t="shared" si="113"/>
        <v>1.6274908537523618E-27</v>
      </c>
    </row>
    <row r="7271" spans="1:5" x14ac:dyDescent="0.25">
      <c r="A7271">
        <v>8</v>
      </c>
      <c r="B7271">
        <v>15</v>
      </c>
      <c r="C7271">
        <v>3</v>
      </c>
      <c r="D7271">
        <v>22</v>
      </c>
      <c r="E7271">
        <f t="shared" si="113"/>
        <v>2.6202602745413026E-25</v>
      </c>
    </row>
    <row r="7272" spans="1:5" x14ac:dyDescent="0.25">
      <c r="A7272">
        <v>8</v>
      </c>
      <c r="B7272">
        <v>15</v>
      </c>
      <c r="C7272">
        <v>4</v>
      </c>
      <c r="D7272">
        <v>21</v>
      </c>
      <c r="E7272">
        <f t="shared" si="113"/>
        <v>2.2337718840464606E-23</v>
      </c>
    </row>
    <row r="7273" spans="1:5" x14ac:dyDescent="0.25">
      <c r="A7273">
        <v>8</v>
      </c>
      <c r="B7273">
        <v>15</v>
      </c>
      <c r="C7273">
        <v>5</v>
      </c>
      <c r="D7273">
        <v>20</v>
      </c>
      <c r="E7273">
        <f t="shared" si="113"/>
        <v>1.1445847133854063E-21</v>
      </c>
    </row>
    <row r="7274" spans="1:5" x14ac:dyDescent="0.25">
      <c r="A7274">
        <v>8</v>
      </c>
      <c r="B7274">
        <v>15</v>
      </c>
      <c r="C7274">
        <v>6</v>
      </c>
      <c r="D7274">
        <v>19</v>
      </c>
      <c r="E7274">
        <f t="shared" si="113"/>
        <v>3.8152823779513536E-20</v>
      </c>
    </row>
    <row r="7275" spans="1:5" x14ac:dyDescent="0.25">
      <c r="A7275">
        <v>8</v>
      </c>
      <c r="B7275">
        <v>15</v>
      </c>
      <c r="C7275">
        <v>7</v>
      </c>
      <c r="D7275">
        <v>18</v>
      </c>
      <c r="E7275">
        <f t="shared" si="113"/>
        <v>8.7284317258846304E-19</v>
      </c>
    </row>
    <row r="7276" spans="1:5" x14ac:dyDescent="0.25">
      <c r="A7276">
        <v>8</v>
      </c>
      <c r="B7276">
        <v>15</v>
      </c>
      <c r="C7276">
        <v>8</v>
      </c>
      <c r="D7276">
        <v>17</v>
      </c>
      <c r="E7276">
        <f t="shared" si="113"/>
        <v>1.4238254252849306E-17</v>
      </c>
    </row>
    <row r="7277" spans="1:5" x14ac:dyDescent="0.25">
      <c r="A7277">
        <v>8</v>
      </c>
      <c r="B7277">
        <v>15</v>
      </c>
      <c r="C7277">
        <v>9</v>
      </c>
      <c r="D7277">
        <v>16</v>
      </c>
      <c r="E7277">
        <f t="shared" si="113"/>
        <v>1.7033170828408609E-16</v>
      </c>
    </row>
    <row r="7278" spans="1:5" x14ac:dyDescent="0.25">
      <c r="A7278">
        <v>8</v>
      </c>
      <c r="B7278">
        <v>15</v>
      </c>
      <c r="C7278">
        <v>10</v>
      </c>
      <c r="D7278">
        <v>15</v>
      </c>
      <c r="E7278">
        <f t="shared" si="113"/>
        <v>1.5261721062254113E-15</v>
      </c>
    </row>
    <row r="7279" spans="1:5" x14ac:dyDescent="0.25">
      <c r="A7279">
        <v>8</v>
      </c>
      <c r="B7279">
        <v>15</v>
      </c>
      <c r="C7279">
        <v>11</v>
      </c>
      <c r="D7279">
        <v>14</v>
      </c>
      <c r="E7279">
        <f t="shared" si="113"/>
        <v>1.0405718906082353E-14</v>
      </c>
    </row>
    <row r="7280" spans="1:5" x14ac:dyDescent="0.25">
      <c r="A7280">
        <v>8</v>
      </c>
      <c r="B7280">
        <v>15</v>
      </c>
      <c r="C7280">
        <v>12</v>
      </c>
      <c r="D7280">
        <v>13</v>
      </c>
      <c r="E7280">
        <f t="shared" si="113"/>
        <v>5.4630024256932324E-14</v>
      </c>
    </row>
    <row r="7281" spans="1:5" x14ac:dyDescent="0.25">
      <c r="A7281">
        <v>8</v>
      </c>
      <c r="B7281">
        <v>15</v>
      </c>
      <c r="C7281">
        <v>13</v>
      </c>
      <c r="D7281">
        <v>12</v>
      </c>
      <c r="E7281">
        <f t="shared" si="113"/>
        <v>2.2272240658595497E-13</v>
      </c>
    </row>
    <row r="7282" spans="1:5" x14ac:dyDescent="0.25">
      <c r="A7282">
        <v>8</v>
      </c>
      <c r="B7282">
        <v>15</v>
      </c>
      <c r="C7282">
        <v>14</v>
      </c>
      <c r="D7282">
        <v>11</v>
      </c>
      <c r="E7282">
        <f t="shared" si="113"/>
        <v>7.0907541688589742E-13</v>
      </c>
    </row>
    <row r="7283" spans="1:5" x14ac:dyDescent="0.25">
      <c r="A7283">
        <v>8</v>
      </c>
      <c r="B7283">
        <v>15</v>
      </c>
      <c r="C7283">
        <v>15</v>
      </c>
      <c r="D7283">
        <v>10</v>
      </c>
      <c r="E7283">
        <f t="shared" si="113"/>
        <v>1.7679613727688369E-12</v>
      </c>
    </row>
    <row r="7284" spans="1:5" x14ac:dyDescent="0.25">
      <c r="A7284">
        <v>8</v>
      </c>
      <c r="B7284">
        <v>15</v>
      </c>
      <c r="C7284">
        <v>16</v>
      </c>
      <c r="D7284">
        <v>9</v>
      </c>
      <c r="E7284">
        <f t="shared" si="113"/>
        <v>3.4530495561891352E-12</v>
      </c>
    </row>
    <row r="7285" spans="1:5" x14ac:dyDescent="0.25">
      <c r="A7285">
        <v>8</v>
      </c>
      <c r="B7285">
        <v>15</v>
      </c>
      <c r="C7285">
        <v>17</v>
      </c>
      <c r="D7285">
        <v>8</v>
      </c>
      <c r="E7285">
        <f t="shared" si="113"/>
        <v>5.2691863469875766E-12</v>
      </c>
    </row>
    <row r="7286" spans="1:5" x14ac:dyDescent="0.25">
      <c r="A7286">
        <v>8</v>
      </c>
      <c r="B7286">
        <v>15</v>
      </c>
      <c r="C7286">
        <v>18</v>
      </c>
      <c r="D7286">
        <v>7</v>
      </c>
      <c r="E7286">
        <f t="shared" si="113"/>
        <v>6.2449615964297146E-12</v>
      </c>
    </row>
    <row r="7287" spans="1:5" x14ac:dyDescent="0.25">
      <c r="A7287">
        <v>8</v>
      </c>
      <c r="B7287">
        <v>15</v>
      </c>
      <c r="C7287">
        <v>19</v>
      </c>
      <c r="D7287">
        <v>6</v>
      </c>
      <c r="E7287">
        <f t="shared" si="113"/>
        <v>5.6913915934220947E-12</v>
      </c>
    </row>
    <row r="7288" spans="1:5" x14ac:dyDescent="0.25">
      <c r="A7288">
        <v>8</v>
      </c>
      <c r="B7288">
        <v>15</v>
      </c>
      <c r="C7288">
        <v>20</v>
      </c>
      <c r="D7288">
        <v>5</v>
      </c>
      <c r="E7288">
        <f t="shared" si="113"/>
        <v>3.9270601994612491E-12</v>
      </c>
    </row>
    <row r="7289" spans="1:5" x14ac:dyDescent="0.25">
      <c r="A7289">
        <v>8</v>
      </c>
      <c r="B7289">
        <v>15</v>
      </c>
      <c r="C7289">
        <v>21</v>
      </c>
      <c r="D7289">
        <v>4</v>
      </c>
      <c r="E7289">
        <f t="shared" si="113"/>
        <v>2.003602142582268E-12</v>
      </c>
    </row>
    <row r="7290" spans="1:5" x14ac:dyDescent="0.25">
      <c r="A7290">
        <v>8</v>
      </c>
      <c r="B7290">
        <v>15</v>
      </c>
      <c r="C7290">
        <v>22</v>
      </c>
      <c r="D7290">
        <v>3</v>
      </c>
      <c r="E7290">
        <f t="shared" si="113"/>
        <v>7.2858259730264318E-13</v>
      </c>
    </row>
    <row r="7291" spans="1:5" x14ac:dyDescent="0.25">
      <c r="A7291">
        <v>8</v>
      </c>
      <c r="B7291">
        <v>15</v>
      </c>
      <c r="C7291">
        <v>23</v>
      </c>
      <c r="D7291">
        <v>2</v>
      </c>
      <c r="E7291">
        <f t="shared" si="113"/>
        <v>1.7766948024960484E-13</v>
      </c>
    </row>
    <row r="7292" spans="1:5" x14ac:dyDescent="0.25">
      <c r="A7292">
        <v>8</v>
      </c>
      <c r="B7292">
        <v>15</v>
      </c>
      <c r="C7292">
        <v>24</v>
      </c>
      <c r="D7292">
        <v>1</v>
      </c>
      <c r="E7292">
        <f t="shared" si="113"/>
        <v>2.5910132536400707E-14</v>
      </c>
    </row>
    <row r="7293" spans="1:5" x14ac:dyDescent="0.25">
      <c r="A7293">
        <v>8</v>
      </c>
      <c r="B7293">
        <v>15</v>
      </c>
      <c r="C7293">
        <v>25</v>
      </c>
      <c r="D7293">
        <v>0</v>
      </c>
      <c r="E7293">
        <f t="shared" si="113"/>
        <v>1.6997046943878869E-15</v>
      </c>
    </row>
    <row r="7294" spans="1:5" x14ac:dyDescent="0.25">
      <c r="A7294">
        <v>8</v>
      </c>
      <c r="B7294">
        <v>16</v>
      </c>
      <c r="C7294">
        <v>0</v>
      </c>
      <c r="D7294">
        <v>24</v>
      </c>
      <c r="E7294">
        <f t="shared" si="113"/>
        <v>1.1166178233377081E-30</v>
      </c>
    </row>
    <row r="7295" spans="1:5" x14ac:dyDescent="0.25">
      <c r="A7295">
        <v>8</v>
      </c>
      <c r="B7295">
        <v>16</v>
      </c>
      <c r="C7295">
        <v>1</v>
      </c>
      <c r="D7295">
        <v>23</v>
      </c>
      <c r="E7295">
        <f t="shared" si="113"/>
        <v>8.7096190220341243E-28</v>
      </c>
    </row>
    <row r="7296" spans="1:5" x14ac:dyDescent="0.25">
      <c r="A7296">
        <v>8</v>
      </c>
      <c r="B7296">
        <v>16</v>
      </c>
      <c r="C7296">
        <v>2</v>
      </c>
      <c r="D7296">
        <v>22</v>
      </c>
      <c r="E7296">
        <f t="shared" si="113"/>
        <v>2.1367598667390385E-25</v>
      </c>
    </row>
    <row r="7297" spans="1:5" x14ac:dyDescent="0.25">
      <c r="A7297">
        <v>8</v>
      </c>
      <c r="B7297">
        <v>16</v>
      </c>
      <c r="C7297">
        <v>3</v>
      </c>
      <c r="D7297">
        <v>21</v>
      </c>
      <c r="E7297">
        <f t="shared" si="113"/>
        <v>2.4679576460835892E-23</v>
      </c>
    </row>
    <row r="7298" spans="1:5" x14ac:dyDescent="0.25">
      <c r="A7298">
        <v>8</v>
      </c>
      <c r="B7298">
        <v>16</v>
      </c>
      <c r="C7298">
        <v>4</v>
      </c>
      <c r="D7298">
        <v>20</v>
      </c>
      <c r="E7298">
        <f t="shared" si="113"/>
        <v>1.6066404276004164E-21</v>
      </c>
    </row>
    <row r="7299" spans="1:5" x14ac:dyDescent="0.25">
      <c r="A7299">
        <v>8</v>
      </c>
      <c r="B7299">
        <v>16</v>
      </c>
      <c r="C7299">
        <v>5</v>
      </c>
      <c r="D7299">
        <v>19</v>
      </c>
      <c r="E7299">
        <f t="shared" si="113"/>
        <v>6.5336710722416937E-20</v>
      </c>
    </row>
    <row r="7300" spans="1:5" x14ac:dyDescent="0.25">
      <c r="A7300">
        <v>8</v>
      </c>
      <c r="B7300">
        <v>16</v>
      </c>
      <c r="C7300">
        <v>6</v>
      </c>
      <c r="D7300">
        <v>18</v>
      </c>
      <c r="E7300">
        <f t="shared" si="113"/>
        <v>1.773425005322746E-18</v>
      </c>
    </row>
    <row r="7301" spans="1:5" x14ac:dyDescent="0.25">
      <c r="A7301">
        <v>8</v>
      </c>
      <c r="B7301">
        <v>16</v>
      </c>
      <c r="C7301">
        <v>7</v>
      </c>
      <c r="D7301">
        <v>17</v>
      </c>
      <c r="E7301">
        <f t="shared" si="113"/>
        <v>3.3631738493799208E-17</v>
      </c>
    </row>
    <row r="7302" spans="1:5" x14ac:dyDescent="0.25">
      <c r="A7302">
        <v>8</v>
      </c>
      <c r="B7302">
        <v>16</v>
      </c>
      <c r="C7302">
        <v>8</v>
      </c>
      <c r="D7302">
        <v>16</v>
      </c>
      <c r="E7302">
        <f t="shared" si="113"/>
        <v>4.6056797437341703E-16</v>
      </c>
    </row>
    <row r="7303" spans="1:5" x14ac:dyDescent="0.25">
      <c r="A7303">
        <v>8</v>
      </c>
      <c r="B7303">
        <v>16</v>
      </c>
      <c r="C7303">
        <v>9</v>
      </c>
      <c r="D7303">
        <v>15</v>
      </c>
      <c r="E7303">
        <f t="shared" si="113"/>
        <v>4.6670888069839577E-15</v>
      </c>
    </row>
    <row r="7304" spans="1:5" x14ac:dyDescent="0.25">
      <c r="A7304">
        <v>8</v>
      </c>
      <c r="B7304">
        <v>16</v>
      </c>
      <c r="C7304">
        <v>10</v>
      </c>
      <c r="D7304">
        <v>14</v>
      </c>
      <c r="E7304">
        <f t="shared" si="113"/>
        <v>3.5639587253332057E-14</v>
      </c>
    </row>
    <row r="7305" spans="1:5" x14ac:dyDescent="0.25">
      <c r="A7305">
        <v>8</v>
      </c>
      <c r="B7305">
        <v>16</v>
      </c>
      <c r="C7305">
        <v>11</v>
      </c>
      <c r="D7305">
        <v>13</v>
      </c>
      <c r="E7305">
        <f t="shared" si="113"/>
        <v>2.078975923111037E-13</v>
      </c>
    </row>
    <row r="7306" spans="1:5" x14ac:dyDescent="0.25">
      <c r="A7306">
        <v>8</v>
      </c>
      <c r="B7306">
        <v>16</v>
      </c>
      <c r="C7306">
        <v>12</v>
      </c>
      <c r="D7306">
        <v>12</v>
      </c>
      <c r="E7306">
        <f t="shared" si="113"/>
        <v>9.3553916539996617E-13</v>
      </c>
    </row>
    <row r="7307" spans="1:5" x14ac:dyDescent="0.25">
      <c r="A7307">
        <v>8</v>
      </c>
      <c r="B7307">
        <v>16</v>
      </c>
      <c r="C7307">
        <v>13</v>
      </c>
      <c r="D7307">
        <v>11</v>
      </c>
      <c r="E7307">
        <f t="shared" si="113"/>
        <v>3.2692467538152669E-12</v>
      </c>
    </row>
    <row r="7308" spans="1:5" x14ac:dyDescent="0.25">
      <c r="A7308">
        <v>8</v>
      </c>
      <c r="B7308">
        <v>16</v>
      </c>
      <c r="C7308">
        <v>14</v>
      </c>
      <c r="D7308">
        <v>10</v>
      </c>
      <c r="E7308">
        <f t="shared" si="113"/>
        <v>8.9048054437253921E-12</v>
      </c>
    </row>
    <row r="7309" spans="1:5" x14ac:dyDescent="0.25">
      <c r="A7309">
        <v>8</v>
      </c>
      <c r="B7309">
        <v>16</v>
      </c>
      <c r="C7309">
        <v>15</v>
      </c>
      <c r="D7309">
        <v>9</v>
      </c>
      <c r="E7309">
        <f t="shared" si="113"/>
        <v>1.8922711567916458E-11</v>
      </c>
    </row>
    <row r="7310" spans="1:5" x14ac:dyDescent="0.25">
      <c r="A7310">
        <v>8</v>
      </c>
      <c r="B7310">
        <v>16</v>
      </c>
      <c r="C7310">
        <v>16</v>
      </c>
      <c r="D7310">
        <v>8</v>
      </c>
      <c r="E7310">
        <f t="shared" ref="E7310:E7373" si="114">COMBIN(A$4,A7310)*COMBIN(B$4,B7310)*COMBIN(C$4,C7310)*COMBIN(D$4,D7310)/COMBIN($G$4,$F$4)</f>
        <v>3.1305956638097081E-11</v>
      </c>
    </row>
    <row r="7311" spans="1:5" x14ac:dyDescent="0.25">
      <c r="A7311">
        <v>8</v>
      </c>
      <c r="B7311">
        <v>16</v>
      </c>
      <c r="C7311">
        <v>17</v>
      </c>
      <c r="D7311">
        <v>7</v>
      </c>
      <c r="E7311">
        <f t="shared" si="114"/>
        <v>4.0104362752072115E-11</v>
      </c>
    </row>
    <row r="7312" spans="1:5" x14ac:dyDescent="0.25">
      <c r="A7312">
        <v>8</v>
      </c>
      <c r="B7312">
        <v>16</v>
      </c>
      <c r="C7312">
        <v>18</v>
      </c>
      <c r="D7312">
        <v>6</v>
      </c>
      <c r="E7312">
        <f t="shared" si="114"/>
        <v>3.9400777440632201E-11</v>
      </c>
    </row>
    <row r="7313" spans="1:5" x14ac:dyDescent="0.25">
      <c r="A7313">
        <v>8</v>
      </c>
      <c r="B7313">
        <v>16</v>
      </c>
      <c r="C7313">
        <v>19</v>
      </c>
      <c r="D7313">
        <v>5</v>
      </c>
      <c r="E7313">
        <f t="shared" si="114"/>
        <v>2.923952431120601E-11</v>
      </c>
    </row>
    <row r="7314" spans="1:5" x14ac:dyDescent="0.25">
      <c r="A7314">
        <v>8</v>
      </c>
      <c r="B7314">
        <v>16</v>
      </c>
      <c r="C7314">
        <v>20</v>
      </c>
      <c r="D7314">
        <v>4</v>
      </c>
      <c r="E7314">
        <f t="shared" si="114"/>
        <v>1.6012120456136642E-11</v>
      </c>
    </row>
    <row r="7315" spans="1:5" x14ac:dyDescent="0.25">
      <c r="A7315">
        <v>8</v>
      </c>
      <c r="B7315">
        <v>16</v>
      </c>
      <c r="C7315">
        <v>21</v>
      </c>
      <c r="D7315">
        <v>3</v>
      </c>
      <c r="E7315">
        <f t="shared" si="114"/>
        <v>6.2384884894038785E-12</v>
      </c>
    </row>
    <row r="7316" spans="1:5" x14ac:dyDescent="0.25">
      <c r="A7316">
        <v>8</v>
      </c>
      <c r="B7316">
        <v>16</v>
      </c>
      <c r="C7316">
        <v>22</v>
      </c>
      <c r="D7316">
        <v>2</v>
      </c>
      <c r="E7316">
        <f t="shared" si="114"/>
        <v>1.6274317798444908E-12</v>
      </c>
    </row>
    <row r="7317" spans="1:5" x14ac:dyDescent="0.25">
      <c r="A7317">
        <v>8</v>
      </c>
      <c r="B7317">
        <v>16</v>
      </c>
      <c r="C7317">
        <v>23</v>
      </c>
      <c r="D7317">
        <v>1</v>
      </c>
      <c r="E7317">
        <f t="shared" si="114"/>
        <v>2.5354915410620683E-13</v>
      </c>
    </row>
    <row r="7318" spans="1:5" x14ac:dyDescent="0.25">
      <c r="A7318">
        <v>8</v>
      </c>
      <c r="B7318">
        <v>16</v>
      </c>
      <c r="C7318">
        <v>24</v>
      </c>
      <c r="D7318">
        <v>0</v>
      </c>
      <c r="E7318">
        <f t="shared" si="114"/>
        <v>1.7748440787434481E-14</v>
      </c>
    </row>
    <row r="7319" spans="1:5" x14ac:dyDescent="0.25">
      <c r="A7319">
        <v>8</v>
      </c>
      <c r="B7319">
        <v>17</v>
      </c>
      <c r="C7319">
        <v>0</v>
      </c>
      <c r="D7319">
        <v>23</v>
      </c>
      <c r="E7319">
        <f t="shared" si="114"/>
        <v>2.1517882289731371E-28</v>
      </c>
    </row>
    <row r="7320" spans="1:5" x14ac:dyDescent="0.25">
      <c r="A7320">
        <v>8</v>
      </c>
      <c r="B7320">
        <v>17</v>
      </c>
      <c r="C7320">
        <v>1</v>
      </c>
      <c r="D7320">
        <v>22</v>
      </c>
      <c r="E7320">
        <f t="shared" si="114"/>
        <v>1.0723078007716133E-25</v>
      </c>
    </row>
    <row r="7321" spans="1:5" x14ac:dyDescent="0.25">
      <c r="A7321">
        <v>8</v>
      </c>
      <c r="B7321">
        <v>17</v>
      </c>
      <c r="C7321">
        <v>2</v>
      </c>
      <c r="D7321">
        <v>21</v>
      </c>
      <c r="E7321">
        <f t="shared" si="114"/>
        <v>1.8872617293580396E-23</v>
      </c>
    </row>
    <row r="7322" spans="1:5" x14ac:dyDescent="0.25">
      <c r="A7322">
        <v>8</v>
      </c>
      <c r="B7322">
        <v>17</v>
      </c>
      <c r="C7322">
        <v>3</v>
      </c>
      <c r="D7322">
        <v>20</v>
      </c>
      <c r="E7322">
        <f t="shared" si="114"/>
        <v>1.6645648452937905E-21</v>
      </c>
    </row>
    <row r="7323" spans="1:5" x14ac:dyDescent="0.25">
      <c r="A7323">
        <v>8</v>
      </c>
      <c r="B7323">
        <v>17</v>
      </c>
      <c r="C7323">
        <v>4</v>
      </c>
      <c r="D7323">
        <v>19</v>
      </c>
      <c r="E7323">
        <f t="shared" si="114"/>
        <v>8.6002517006845842E-20</v>
      </c>
    </row>
    <row r="7324" spans="1:5" x14ac:dyDescent="0.25">
      <c r="A7324">
        <v>8</v>
      </c>
      <c r="B7324">
        <v>17</v>
      </c>
      <c r="C7324">
        <v>5</v>
      </c>
      <c r="D7324">
        <v>18</v>
      </c>
      <c r="E7324">
        <f t="shared" si="114"/>
        <v>2.847911920312411E-18</v>
      </c>
    </row>
    <row r="7325" spans="1:5" x14ac:dyDescent="0.25">
      <c r="A7325">
        <v>8</v>
      </c>
      <c r="B7325">
        <v>17</v>
      </c>
      <c r="C7325">
        <v>6</v>
      </c>
      <c r="D7325">
        <v>17</v>
      </c>
      <c r="E7325">
        <f t="shared" si="114"/>
        <v>6.407801820702923E-17</v>
      </c>
    </row>
    <row r="7326" spans="1:5" x14ac:dyDescent="0.25">
      <c r="A7326">
        <v>8</v>
      </c>
      <c r="B7326">
        <v>17</v>
      </c>
      <c r="C7326">
        <v>7</v>
      </c>
      <c r="D7326">
        <v>16</v>
      </c>
      <c r="E7326">
        <f t="shared" si="114"/>
        <v>1.0201627343119097E-15</v>
      </c>
    </row>
    <row r="7327" spans="1:5" x14ac:dyDescent="0.25">
      <c r="A7327">
        <v>8</v>
      </c>
      <c r="B7327">
        <v>17</v>
      </c>
      <c r="C7327">
        <v>8</v>
      </c>
      <c r="D7327">
        <v>15</v>
      </c>
      <c r="E7327">
        <f t="shared" si="114"/>
        <v>1.1833887718018153E-14</v>
      </c>
    </row>
    <row r="7328" spans="1:5" x14ac:dyDescent="0.25">
      <c r="A7328">
        <v>8</v>
      </c>
      <c r="B7328">
        <v>17</v>
      </c>
      <c r="C7328">
        <v>9</v>
      </c>
      <c r="D7328">
        <v>14</v>
      </c>
      <c r="E7328">
        <f t="shared" si="114"/>
        <v>1.0220175756470222E-13</v>
      </c>
    </row>
    <row r="7329" spans="1:5" x14ac:dyDescent="0.25">
      <c r="A7329">
        <v>8</v>
      </c>
      <c r="B7329">
        <v>17</v>
      </c>
      <c r="C7329">
        <v>10</v>
      </c>
      <c r="D7329">
        <v>13</v>
      </c>
      <c r="E7329">
        <f t="shared" si="114"/>
        <v>6.6771814942272138E-13</v>
      </c>
    </row>
    <row r="7330" spans="1:5" x14ac:dyDescent="0.25">
      <c r="A7330">
        <v>8</v>
      </c>
      <c r="B7330">
        <v>17</v>
      </c>
      <c r="C7330">
        <v>11</v>
      </c>
      <c r="D7330">
        <v>12</v>
      </c>
      <c r="E7330">
        <f t="shared" si="114"/>
        <v>3.3385907471136072E-12</v>
      </c>
    </row>
    <row r="7331" spans="1:5" x14ac:dyDescent="0.25">
      <c r="A7331">
        <v>8</v>
      </c>
      <c r="B7331">
        <v>17</v>
      </c>
      <c r="C7331">
        <v>12</v>
      </c>
      <c r="D7331">
        <v>11</v>
      </c>
      <c r="E7331">
        <f t="shared" si="114"/>
        <v>1.2877421453152475E-11</v>
      </c>
    </row>
    <row r="7332" spans="1:5" x14ac:dyDescent="0.25">
      <c r="A7332">
        <v>8</v>
      </c>
      <c r="B7332">
        <v>17</v>
      </c>
      <c r="C7332">
        <v>13</v>
      </c>
      <c r="D7332">
        <v>10</v>
      </c>
      <c r="E7332">
        <f t="shared" si="114"/>
        <v>3.8500188241989208E-11</v>
      </c>
    </row>
    <row r="7333" spans="1:5" x14ac:dyDescent="0.25">
      <c r="A7333">
        <v>8</v>
      </c>
      <c r="B7333">
        <v>17</v>
      </c>
      <c r="C7333">
        <v>14</v>
      </c>
      <c r="D7333">
        <v>9</v>
      </c>
      <c r="E7333">
        <f t="shared" si="114"/>
        <v>8.9375436990332122E-11</v>
      </c>
    </row>
    <row r="7334" spans="1:5" x14ac:dyDescent="0.25">
      <c r="A7334">
        <v>8</v>
      </c>
      <c r="B7334">
        <v>17</v>
      </c>
      <c r="C7334">
        <v>15</v>
      </c>
      <c r="D7334">
        <v>8</v>
      </c>
      <c r="E7334">
        <f t="shared" si="114"/>
        <v>1.6087578658259776E-10</v>
      </c>
    </row>
    <row r="7335" spans="1:5" x14ac:dyDescent="0.25">
      <c r="A7335">
        <v>8</v>
      </c>
      <c r="B7335">
        <v>17</v>
      </c>
      <c r="C7335">
        <v>16</v>
      </c>
      <c r="D7335">
        <v>7</v>
      </c>
      <c r="E7335">
        <f t="shared" si="114"/>
        <v>2.2343859247583029E-10</v>
      </c>
    </row>
    <row r="7336" spans="1:5" x14ac:dyDescent="0.25">
      <c r="A7336">
        <v>8</v>
      </c>
      <c r="B7336">
        <v>17</v>
      </c>
      <c r="C7336">
        <v>17</v>
      </c>
      <c r="D7336">
        <v>6</v>
      </c>
      <c r="E7336">
        <f t="shared" si="114"/>
        <v>2.3727379944027797E-10</v>
      </c>
    </row>
    <row r="7337" spans="1:5" x14ac:dyDescent="0.25">
      <c r="A7337">
        <v>8</v>
      </c>
      <c r="B7337">
        <v>17</v>
      </c>
      <c r="C7337">
        <v>18</v>
      </c>
      <c r="D7337">
        <v>5</v>
      </c>
      <c r="E7337">
        <f t="shared" si="114"/>
        <v>1.8981903955222225E-10</v>
      </c>
    </row>
    <row r="7338" spans="1:5" x14ac:dyDescent="0.25">
      <c r="A7338">
        <v>8</v>
      </c>
      <c r="B7338">
        <v>17</v>
      </c>
      <c r="C7338">
        <v>19</v>
      </c>
      <c r="D7338">
        <v>4</v>
      </c>
      <c r="E7338">
        <f t="shared" si="114"/>
        <v>1.117981811899054E-10</v>
      </c>
    </row>
    <row r="7339" spans="1:5" x14ac:dyDescent="0.25">
      <c r="A7339">
        <v>8</v>
      </c>
      <c r="B7339">
        <v>17</v>
      </c>
      <c r="C7339">
        <v>20</v>
      </c>
      <c r="D7339">
        <v>3</v>
      </c>
      <c r="E7339">
        <f t="shared" si="114"/>
        <v>4.6751966679415024E-11</v>
      </c>
    </row>
    <row r="7340" spans="1:5" x14ac:dyDescent="0.25">
      <c r="A7340">
        <v>8</v>
      </c>
      <c r="B7340">
        <v>17</v>
      </c>
      <c r="C7340">
        <v>21</v>
      </c>
      <c r="D7340">
        <v>2</v>
      </c>
      <c r="E7340">
        <f t="shared" si="114"/>
        <v>1.3067319879339586E-11</v>
      </c>
    </row>
    <row r="7341" spans="1:5" x14ac:dyDescent="0.25">
      <c r="A7341">
        <v>8</v>
      </c>
      <c r="B7341">
        <v>17</v>
      </c>
      <c r="C7341">
        <v>22</v>
      </c>
      <c r="D7341">
        <v>1</v>
      </c>
      <c r="E7341">
        <f t="shared" si="114"/>
        <v>2.1778866465565992E-12</v>
      </c>
    </row>
    <row r="7342" spans="1:5" x14ac:dyDescent="0.25">
      <c r="A7342">
        <v>8</v>
      </c>
      <c r="B7342">
        <v>17</v>
      </c>
      <c r="C7342">
        <v>23</v>
      </c>
      <c r="D7342">
        <v>0</v>
      </c>
      <c r="E7342">
        <f t="shared" si="114"/>
        <v>1.6286804487292825E-13</v>
      </c>
    </row>
    <row r="7343" spans="1:5" x14ac:dyDescent="0.25">
      <c r="A7343">
        <v>8</v>
      </c>
      <c r="B7343">
        <v>18</v>
      </c>
      <c r="C7343">
        <v>0</v>
      </c>
      <c r="D7343">
        <v>22</v>
      </c>
      <c r="E7343">
        <f t="shared" si="114"/>
        <v>2.4928865111955452E-26</v>
      </c>
    </row>
    <row r="7344" spans="1:5" x14ac:dyDescent="0.25">
      <c r="A7344">
        <v>8</v>
      </c>
      <c r="B7344">
        <v>18</v>
      </c>
      <c r="C7344">
        <v>1</v>
      </c>
      <c r="D7344">
        <v>21</v>
      </c>
      <c r="E7344">
        <f t="shared" si="114"/>
        <v>8.9120692775240757E-24</v>
      </c>
    </row>
    <row r="7345" spans="1:5" x14ac:dyDescent="0.25">
      <c r="A7345">
        <v>8</v>
      </c>
      <c r="B7345">
        <v>18</v>
      </c>
      <c r="C7345">
        <v>2</v>
      </c>
      <c r="D7345">
        <v>20</v>
      </c>
      <c r="E7345">
        <f t="shared" si="114"/>
        <v>1.1977821108992354E-21</v>
      </c>
    </row>
    <row r="7346" spans="1:5" x14ac:dyDescent="0.25">
      <c r="A7346">
        <v>8</v>
      </c>
      <c r="B7346">
        <v>18</v>
      </c>
      <c r="C7346">
        <v>3</v>
      </c>
      <c r="D7346">
        <v>19</v>
      </c>
      <c r="E7346">
        <f t="shared" si="114"/>
        <v>8.3844747762946463E-20</v>
      </c>
    </row>
    <row r="7347" spans="1:5" x14ac:dyDescent="0.25">
      <c r="A7347">
        <v>8</v>
      </c>
      <c r="B7347">
        <v>18</v>
      </c>
      <c r="C7347">
        <v>4</v>
      </c>
      <c r="D7347">
        <v>18</v>
      </c>
      <c r="E7347">
        <f t="shared" si="114"/>
        <v>3.5274683165982496E-18</v>
      </c>
    </row>
    <row r="7348" spans="1:5" x14ac:dyDescent="0.25">
      <c r="A7348">
        <v>8</v>
      </c>
      <c r="B7348">
        <v>18</v>
      </c>
      <c r="C7348">
        <v>5</v>
      </c>
      <c r="D7348">
        <v>17</v>
      </c>
      <c r="E7348">
        <f t="shared" si="114"/>
        <v>9.6829005290621936E-17</v>
      </c>
    </row>
    <row r="7349" spans="1:5" x14ac:dyDescent="0.25">
      <c r="A7349">
        <v>8</v>
      </c>
      <c r="B7349">
        <v>18</v>
      </c>
      <c r="C7349">
        <v>6</v>
      </c>
      <c r="D7349">
        <v>16</v>
      </c>
      <c r="E7349">
        <f t="shared" si="114"/>
        <v>1.8289923221561917E-15</v>
      </c>
    </row>
    <row r="7350" spans="1:5" x14ac:dyDescent="0.25">
      <c r="A7350">
        <v>8</v>
      </c>
      <c r="B7350">
        <v>18</v>
      </c>
      <c r="C7350">
        <v>7</v>
      </c>
      <c r="D7350">
        <v>15</v>
      </c>
      <c r="E7350">
        <f t="shared" si="114"/>
        <v>2.46652678873635E-14</v>
      </c>
    </row>
    <row r="7351" spans="1:5" x14ac:dyDescent="0.25">
      <c r="A7351">
        <v>8</v>
      </c>
      <c r="B7351">
        <v>18</v>
      </c>
      <c r="C7351">
        <v>8</v>
      </c>
      <c r="D7351">
        <v>14</v>
      </c>
      <c r="E7351">
        <f t="shared" si="114"/>
        <v>2.4384980752279827E-13</v>
      </c>
    </row>
    <row r="7352" spans="1:5" x14ac:dyDescent="0.25">
      <c r="A7352">
        <v>8</v>
      </c>
      <c r="B7352">
        <v>18</v>
      </c>
      <c r="C7352">
        <v>9</v>
      </c>
      <c r="D7352">
        <v>13</v>
      </c>
      <c r="E7352">
        <f t="shared" si="114"/>
        <v>1.8017791333628987E-12</v>
      </c>
    </row>
    <row r="7353" spans="1:5" x14ac:dyDescent="0.25">
      <c r="A7353">
        <v>8</v>
      </c>
      <c r="B7353">
        <v>18</v>
      </c>
      <c r="C7353">
        <v>10</v>
      </c>
      <c r="D7353">
        <v>12</v>
      </c>
      <c r="E7353">
        <f t="shared" si="114"/>
        <v>1.0089963146832235E-11</v>
      </c>
    </row>
    <row r="7354" spans="1:5" x14ac:dyDescent="0.25">
      <c r="A7354">
        <v>8</v>
      </c>
      <c r="B7354">
        <v>18</v>
      </c>
      <c r="C7354">
        <v>11</v>
      </c>
      <c r="D7354">
        <v>11</v>
      </c>
      <c r="E7354">
        <f t="shared" si="114"/>
        <v>4.3242699200709577E-11</v>
      </c>
    </row>
    <row r="7355" spans="1:5" x14ac:dyDescent="0.25">
      <c r="A7355">
        <v>8</v>
      </c>
      <c r="B7355">
        <v>18</v>
      </c>
      <c r="C7355">
        <v>12</v>
      </c>
      <c r="D7355">
        <v>10</v>
      </c>
      <c r="E7355">
        <f t="shared" si="114"/>
        <v>1.4270090736234145E-10</v>
      </c>
    </row>
    <row r="7356" spans="1:5" x14ac:dyDescent="0.25">
      <c r="A7356">
        <v>8</v>
      </c>
      <c r="B7356">
        <v>18</v>
      </c>
      <c r="C7356">
        <v>13</v>
      </c>
      <c r="D7356">
        <v>9</v>
      </c>
      <c r="E7356">
        <f t="shared" si="114"/>
        <v>3.6361288895212036E-10</v>
      </c>
    </row>
    <row r="7357" spans="1:5" x14ac:dyDescent="0.25">
      <c r="A7357">
        <v>8</v>
      </c>
      <c r="B7357">
        <v>18</v>
      </c>
      <c r="C7357">
        <v>14</v>
      </c>
      <c r="D7357">
        <v>8</v>
      </c>
      <c r="E7357">
        <f t="shared" si="114"/>
        <v>7.1500349592265687E-10</v>
      </c>
    </row>
    <row r="7358" spans="1:5" x14ac:dyDescent="0.25">
      <c r="A7358">
        <v>8</v>
      </c>
      <c r="B7358">
        <v>18</v>
      </c>
      <c r="C7358">
        <v>15</v>
      </c>
      <c r="D7358">
        <v>7</v>
      </c>
      <c r="E7358">
        <f t="shared" si="114"/>
        <v>1.0804497271720146E-9</v>
      </c>
    </row>
    <row r="7359" spans="1:5" x14ac:dyDescent="0.25">
      <c r="A7359">
        <v>8</v>
      </c>
      <c r="B7359">
        <v>18</v>
      </c>
      <c r="C7359">
        <v>16</v>
      </c>
      <c r="D7359">
        <v>6</v>
      </c>
      <c r="E7359">
        <f t="shared" si="114"/>
        <v>1.2439388306256744E-9</v>
      </c>
    </row>
    <row r="7360" spans="1:5" x14ac:dyDescent="0.25">
      <c r="A7360">
        <v>8</v>
      </c>
      <c r="B7360">
        <v>18</v>
      </c>
      <c r="C7360">
        <v>17</v>
      </c>
      <c r="D7360">
        <v>5</v>
      </c>
      <c r="E7360">
        <f t="shared" si="114"/>
        <v>1.0756412241292603E-9</v>
      </c>
    </row>
    <row r="7361" spans="1:5" x14ac:dyDescent="0.25">
      <c r="A7361">
        <v>8</v>
      </c>
      <c r="B7361">
        <v>18</v>
      </c>
      <c r="C7361">
        <v>18</v>
      </c>
      <c r="D7361">
        <v>4</v>
      </c>
      <c r="E7361">
        <f t="shared" si="114"/>
        <v>6.8294680897095843E-10</v>
      </c>
    </row>
    <row r="7362" spans="1:5" x14ac:dyDescent="0.25">
      <c r="A7362">
        <v>8</v>
      </c>
      <c r="B7362">
        <v>18</v>
      </c>
      <c r="C7362">
        <v>19</v>
      </c>
      <c r="D7362">
        <v>3</v>
      </c>
      <c r="E7362">
        <f t="shared" si="114"/>
        <v>3.0716267963287134E-10</v>
      </c>
    </row>
    <row r="7363" spans="1:5" x14ac:dyDescent="0.25">
      <c r="A7363">
        <v>8</v>
      </c>
      <c r="B7363">
        <v>18</v>
      </c>
      <c r="C7363">
        <v>20</v>
      </c>
      <c r="D7363">
        <v>2</v>
      </c>
      <c r="E7363">
        <f t="shared" si="114"/>
        <v>9.2148803889861464E-11</v>
      </c>
    </row>
    <row r="7364" spans="1:5" x14ac:dyDescent="0.25">
      <c r="A7364">
        <v>8</v>
      </c>
      <c r="B7364">
        <v>18</v>
      </c>
      <c r="C7364">
        <v>21</v>
      </c>
      <c r="D7364">
        <v>1</v>
      </c>
      <c r="E7364">
        <f t="shared" si="114"/>
        <v>1.6455143551760958E-11</v>
      </c>
    </row>
    <row r="7365" spans="1:5" x14ac:dyDescent="0.25">
      <c r="A7365">
        <v>8</v>
      </c>
      <c r="B7365">
        <v>18</v>
      </c>
      <c r="C7365">
        <v>22</v>
      </c>
      <c r="D7365">
        <v>0</v>
      </c>
      <c r="E7365">
        <f t="shared" si="114"/>
        <v>1.3164114841408774E-12</v>
      </c>
    </row>
    <row r="7366" spans="1:5" x14ac:dyDescent="0.25">
      <c r="A7366">
        <v>8</v>
      </c>
      <c r="B7366">
        <v>19</v>
      </c>
      <c r="C7366">
        <v>0</v>
      </c>
      <c r="D7366">
        <v>21</v>
      </c>
      <c r="E7366">
        <f t="shared" si="114"/>
        <v>1.9556038657562946E-24</v>
      </c>
    </row>
    <row r="7367" spans="1:5" x14ac:dyDescent="0.25">
      <c r="A7367">
        <v>8</v>
      </c>
      <c r="B7367">
        <v>19</v>
      </c>
      <c r="C7367">
        <v>1</v>
      </c>
      <c r="D7367">
        <v>20</v>
      </c>
      <c r="E7367">
        <f t="shared" si="114"/>
        <v>5.338798553514683E-22</v>
      </c>
    </row>
    <row r="7368" spans="1:5" x14ac:dyDescent="0.25">
      <c r="A7368">
        <v>8</v>
      </c>
      <c r="B7368">
        <v>19</v>
      </c>
      <c r="C7368">
        <v>2</v>
      </c>
      <c r="D7368">
        <v>19</v>
      </c>
      <c r="E7368">
        <f t="shared" si="114"/>
        <v>5.6947184570823285E-20</v>
      </c>
    </row>
    <row r="7369" spans="1:5" x14ac:dyDescent="0.25">
      <c r="A7369">
        <v>8</v>
      </c>
      <c r="B7369">
        <v>19</v>
      </c>
      <c r="C7369">
        <v>3</v>
      </c>
      <c r="D7369">
        <v>18</v>
      </c>
      <c r="E7369">
        <f t="shared" si="114"/>
        <v>3.2459895205369287E-18</v>
      </c>
    </row>
    <row r="7370" spans="1:5" x14ac:dyDescent="0.25">
      <c r="A7370">
        <v>8</v>
      </c>
      <c r="B7370">
        <v>19</v>
      </c>
      <c r="C7370">
        <v>4</v>
      </c>
      <c r="D7370">
        <v>17</v>
      </c>
      <c r="E7370">
        <f t="shared" si="114"/>
        <v>1.1320388452872536E-16</v>
      </c>
    </row>
    <row r="7371" spans="1:5" x14ac:dyDescent="0.25">
      <c r="A7371">
        <v>8</v>
      </c>
      <c r="B7371">
        <v>19</v>
      </c>
      <c r="C7371">
        <v>5</v>
      </c>
      <c r="D7371">
        <v>16</v>
      </c>
      <c r="E7371">
        <f t="shared" si="114"/>
        <v>2.6087206279175155E-15</v>
      </c>
    </row>
    <row r="7372" spans="1:5" x14ac:dyDescent="0.25">
      <c r="A7372">
        <v>8</v>
      </c>
      <c r="B7372">
        <v>19</v>
      </c>
      <c r="C7372">
        <v>6</v>
      </c>
      <c r="D7372">
        <v>15</v>
      </c>
      <c r="E7372">
        <f t="shared" si="114"/>
        <v>4.1739530046680241E-14</v>
      </c>
    </row>
    <row r="7373" spans="1:5" x14ac:dyDescent="0.25">
      <c r="A7373">
        <v>8</v>
      </c>
      <c r="B7373">
        <v>19</v>
      </c>
      <c r="C7373">
        <v>7</v>
      </c>
      <c r="D7373">
        <v>14</v>
      </c>
      <c r="E7373">
        <f t="shared" si="114"/>
        <v>4.7973355962742888E-13</v>
      </c>
    </row>
    <row r="7374" spans="1:5" x14ac:dyDescent="0.25">
      <c r="A7374">
        <v>8</v>
      </c>
      <c r="B7374">
        <v>19</v>
      </c>
      <c r="C7374">
        <v>8</v>
      </c>
      <c r="D7374">
        <v>13</v>
      </c>
      <c r="E7374">
        <f t="shared" ref="E7374:E7437" si="115">COMBIN(A$4,A7374)*COMBIN(B$4,B7374)*COMBIN(C$4,C7374)*COMBIN(D$4,D7374)/COMBIN($G$4,$F$4)</f>
        <v>4.057746358515337E-12</v>
      </c>
    </row>
    <row r="7375" spans="1:5" x14ac:dyDescent="0.25">
      <c r="A7375">
        <v>8</v>
      </c>
      <c r="B7375">
        <v>19</v>
      </c>
      <c r="C7375">
        <v>9</v>
      </c>
      <c r="D7375">
        <v>12</v>
      </c>
      <c r="E7375">
        <f t="shared" si="115"/>
        <v>2.5699060270597128E-11</v>
      </c>
    </row>
    <row r="7376" spans="1:5" x14ac:dyDescent="0.25">
      <c r="A7376">
        <v>8</v>
      </c>
      <c r="B7376">
        <v>19</v>
      </c>
      <c r="C7376">
        <v>10</v>
      </c>
      <c r="D7376">
        <v>11</v>
      </c>
      <c r="E7376">
        <f t="shared" si="115"/>
        <v>1.2335548929886622E-10</v>
      </c>
    </row>
    <row r="7377" spans="1:5" x14ac:dyDescent="0.25">
      <c r="A7377">
        <v>8</v>
      </c>
      <c r="B7377">
        <v>19</v>
      </c>
      <c r="C7377">
        <v>11</v>
      </c>
      <c r="D7377">
        <v>10</v>
      </c>
      <c r="E7377">
        <f t="shared" si="115"/>
        <v>4.523034607625095E-10</v>
      </c>
    </row>
    <row r="7378" spans="1:5" x14ac:dyDescent="0.25">
      <c r="A7378">
        <v>8</v>
      </c>
      <c r="B7378">
        <v>19</v>
      </c>
      <c r="C7378">
        <v>12</v>
      </c>
      <c r="D7378">
        <v>9</v>
      </c>
      <c r="E7378">
        <f t="shared" si="115"/>
        <v>1.2721034833945571E-9</v>
      </c>
    </row>
    <row r="7379" spans="1:5" x14ac:dyDescent="0.25">
      <c r="A7379">
        <v>8</v>
      </c>
      <c r="B7379">
        <v>19</v>
      </c>
      <c r="C7379">
        <v>13</v>
      </c>
      <c r="D7379">
        <v>8</v>
      </c>
      <c r="E7379">
        <f t="shared" si="115"/>
        <v>2.7456713193629144E-9</v>
      </c>
    </row>
    <row r="7380" spans="1:5" x14ac:dyDescent="0.25">
      <c r="A7380">
        <v>8</v>
      </c>
      <c r="B7380">
        <v>19</v>
      </c>
      <c r="C7380">
        <v>14</v>
      </c>
      <c r="D7380">
        <v>7</v>
      </c>
      <c r="E7380">
        <f t="shared" si="115"/>
        <v>4.5325367811705274E-9</v>
      </c>
    </row>
    <row r="7381" spans="1:5" x14ac:dyDescent="0.25">
      <c r="A7381">
        <v>8</v>
      </c>
      <c r="B7381">
        <v>19</v>
      </c>
      <c r="C7381">
        <v>15</v>
      </c>
      <c r="D7381">
        <v>6</v>
      </c>
      <c r="E7381">
        <f t="shared" si="115"/>
        <v>5.6775987048346555E-9</v>
      </c>
    </row>
    <row r="7382" spans="1:5" x14ac:dyDescent="0.25">
      <c r="A7382">
        <v>8</v>
      </c>
      <c r="B7382">
        <v>19</v>
      </c>
      <c r="C7382">
        <v>16</v>
      </c>
      <c r="D7382">
        <v>5</v>
      </c>
      <c r="E7382">
        <f t="shared" si="115"/>
        <v>5.32274878578249E-9</v>
      </c>
    </row>
    <row r="7383" spans="1:5" x14ac:dyDescent="0.25">
      <c r="A7383">
        <v>8</v>
      </c>
      <c r="B7383">
        <v>19</v>
      </c>
      <c r="C7383">
        <v>17</v>
      </c>
      <c r="D7383">
        <v>4</v>
      </c>
      <c r="E7383">
        <f t="shared" si="115"/>
        <v>3.6528668137723002E-9</v>
      </c>
    </row>
    <row r="7384" spans="1:5" x14ac:dyDescent="0.25">
      <c r="A7384">
        <v>8</v>
      </c>
      <c r="B7384">
        <v>19</v>
      </c>
      <c r="C7384">
        <v>18</v>
      </c>
      <c r="D7384">
        <v>3</v>
      </c>
      <c r="E7384">
        <f t="shared" si="115"/>
        <v>1.7710869400108104E-9</v>
      </c>
    </row>
    <row r="7385" spans="1:5" x14ac:dyDescent="0.25">
      <c r="A7385">
        <v>8</v>
      </c>
      <c r="B7385">
        <v>19</v>
      </c>
      <c r="C7385">
        <v>19</v>
      </c>
      <c r="D7385">
        <v>2</v>
      </c>
      <c r="E7385">
        <f t="shared" si="115"/>
        <v>5.714491042140145E-10</v>
      </c>
    </row>
    <row r="7386" spans="1:5" x14ac:dyDescent="0.25">
      <c r="A7386">
        <v>8</v>
      </c>
      <c r="B7386">
        <v>19</v>
      </c>
      <c r="C7386">
        <v>20</v>
      </c>
      <c r="D7386">
        <v>1</v>
      </c>
      <c r="E7386">
        <f t="shared" si="115"/>
        <v>1.0952774497435288E-10</v>
      </c>
    </row>
    <row r="7387" spans="1:5" x14ac:dyDescent="0.25">
      <c r="A7387">
        <v>8</v>
      </c>
      <c r="B7387">
        <v>19</v>
      </c>
      <c r="C7387">
        <v>21</v>
      </c>
      <c r="D7387">
        <v>0</v>
      </c>
      <c r="E7387">
        <f t="shared" si="115"/>
        <v>9.3880924263730932E-12</v>
      </c>
    </row>
    <row r="7388" spans="1:5" x14ac:dyDescent="0.25">
      <c r="A7388">
        <v>8</v>
      </c>
      <c r="B7388">
        <v>20</v>
      </c>
      <c r="C7388">
        <v>0</v>
      </c>
      <c r="D7388">
        <v>20</v>
      </c>
      <c r="E7388">
        <f t="shared" si="115"/>
        <v>1.1088273918838189E-22</v>
      </c>
    </row>
    <row r="7389" spans="1:5" x14ac:dyDescent="0.25">
      <c r="A7389">
        <v>8</v>
      </c>
      <c r="B7389">
        <v>20</v>
      </c>
      <c r="C7389">
        <v>1</v>
      </c>
      <c r="D7389">
        <v>19</v>
      </c>
      <c r="E7389">
        <f t="shared" si="115"/>
        <v>2.4024593490816076E-20</v>
      </c>
    </row>
    <row r="7390" spans="1:5" x14ac:dyDescent="0.25">
      <c r="A7390">
        <v>8</v>
      </c>
      <c r="B7390">
        <v>20</v>
      </c>
      <c r="C7390">
        <v>2</v>
      </c>
      <c r="D7390">
        <v>18</v>
      </c>
      <c r="E7390">
        <f t="shared" si="115"/>
        <v>2.0867075489165969E-18</v>
      </c>
    </row>
    <row r="7391" spans="1:5" x14ac:dyDescent="0.25">
      <c r="A7391">
        <v>8</v>
      </c>
      <c r="B7391">
        <v>20</v>
      </c>
      <c r="C7391">
        <v>3</v>
      </c>
      <c r="D7391">
        <v>17</v>
      </c>
      <c r="E7391">
        <f t="shared" si="115"/>
        <v>9.8596931686309168E-17</v>
      </c>
    </row>
    <row r="7392" spans="1:5" x14ac:dyDescent="0.25">
      <c r="A7392">
        <v>8</v>
      </c>
      <c r="B7392">
        <v>20</v>
      </c>
      <c r="C7392">
        <v>4</v>
      </c>
      <c r="D7392">
        <v>16</v>
      </c>
      <c r="E7392">
        <f t="shared" si="115"/>
        <v>2.8866990554824968E-15</v>
      </c>
    </row>
    <row r="7393" spans="1:5" x14ac:dyDescent="0.25">
      <c r="A7393">
        <v>8</v>
      </c>
      <c r="B7393">
        <v>20</v>
      </c>
      <c r="C7393">
        <v>5</v>
      </c>
      <c r="D7393">
        <v>15</v>
      </c>
      <c r="E7393">
        <f t="shared" si="115"/>
        <v>5.6348365563018332E-14</v>
      </c>
    </row>
    <row r="7394" spans="1:5" x14ac:dyDescent="0.25">
      <c r="A7394">
        <v>8</v>
      </c>
      <c r="B7394">
        <v>20</v>
      </c>
      <c r="C7394">
        <v>6</v>
      </c>
      <c r="D7394">
        <v>14</v>
      </c>
      <c r="E7394">
        <f t="shared" si="115"/>
        <v>7.6838680313206809E-13</v>
      </c>
    </row>
    <row r="7395" spans="1:5" x14ac:dyDescent="0.25">
      <c r="A7395">
        <v>8</v>
      </c>
      <c r="B7395">
        <v>20</v>
      </c>
      <c r="C7395">
        <v>7</v>
      </c>
      <c r="D7395">
        <v>13</v>
      </c>
      <c r="E7395">
        <f t="shared" si="115"/>
        <v>7.5558035641320045E-12</v>
      </c>
    </row>
    <row r="7396" spans="1:5" x14ac:dyDescent="0.25">
      <c r="A7396">
        <v>8</v>
      </c>
      <c r="B7396">
        <v>20</v>
      </c>
      <c r="C7396">
        <v>8</v>
      </c>
      <c r="D7396">
        <v>12</v>
      </c>
      <c r="E7396">
        <f t="shared" si="115"/>
        <v>5.4779575839957041E-11</v>
      </c>
    </row>
    <row r="7397" spans="1:5" x14ac:dyDescent="0.25">
      <c r="A7397">
        <v>8</v>
      </c>
      <c r="B7397">
        <v>20</v>
      </c>
      <c r="C7397">
        <v>9</v>
      </c>
      <c r="D7397">
        <v>11</v>
      </c>
      <c r="E7397">
        <f t="shared" si="115"/>
        <v>2.9737484027405241E-10</v>
      </c>
    </row>
    <row r="7398" spans="1:5" x14ac:dyDescent="0.25">
      <c r="A7398">
        <v>8</v>
      </c>
      <c r="B7398">
        <v>20</v>
      </c>
      <c r="C7398">
        <v>10</v>
      </c>
      <c r="D7398">
        <v>10</v>
      </c>
      <c r="E7398">
        <f t="shared" si="115"/>
        <v>1.2212193440587753E-9</v>
      </c>
    </row>
    <row r="7399" spans="1:5" x14ac:dyDescent="0.25">
      <c r="A7399">
        <v>8</v>
      </c>
      <c r="B7399">
        <v>20</v>
      </c>
      <c r="C7399">
        <v>11</v>
      </c>
      <c r="D7399">
        <v>9</v>
      </c>
      <c r="E7399">
        <f t="shared" si="115"/>
        <v>3.8163104501836736E-9</v>
      </c>
    </row>
    <row r="7400" spans="1:5" x14ac:dyDescent="0.25">
      <c r="A7400">
        <v>8</v>
      </c>
      <c r="B7400">
        <v>20</v>
      </c>
      <c r="C7400">
        <v>12</v>
      </c>
      <c r="D7400">
        <v>8</v>
      </c>
      <c r="E7400">
        <f t="shared" si="115"/>
        <v>9.0917984254375689E-9</v>
      </c>
    </row>
    <row r="7401" spans="1:5" x14ac:dyDescent="0.25">
      <c r="A7401">
        <v>8</v>
      </c>
      <c r="B7401">
        <v>20</v>
      </c>
      <c r="C7401">
        <v>13</v>
      </c>
      <c r="D7401">
        <v>7</v>
      </c>
      <c r="E7401">
        <f t="shared" si="115"/>
        <v>1.6474027916177489E-8</v>
      </c>
    </row>
    <row r="7402" spans="1:5" x14ac:dyDescent="0.25">
      <c r="A7402">
        <v>8</v>
      </c>
      <c r="B7402">
        <v>20</v>
      </c>
      <c r="C7402">
        <v>14</v>
      </c>
      <c r="D7402">
        <v>6</v>
      </c>
      <c r="E7402">
        <f t="shared" si="115"/>
        <v>2.2543406622137609E-8</v>
      </c>
    </row>
    <row r="7403" spans="1:5" x14ac:dyDescent="0.25">
      <c r="A7403">
        <v>8</v>
      </c>
      <c r="B7403">
        <v>20</v>
      </c>
      <c r="C7403">
        <v>15</v>
      </c>
      <c r="D7403">
        <v>5</v>
      </c>
      <c r="E7403">
        <f t="shared" si="115"/>
        <v>2.2994274754580355E-8</v>
      </c>
    </row>
    <row r="7404" spans="1:5" x14ac:dyDescent="0.25">
      <c r="A7404">
        <v>8</v>
      </c>
      <c r="B7404">
        <v>20</v>
      </c>
      <c r="C7404">
        <v>16</v>
      </c>
      <c r="D7404">
        <v>4</v>
      </c>
      <c r="E7404">
        <f t="shared" si="115"/>
        <v>1.7108835382872297E-8</v>
      </c>
    </row>
    <row r="7405" spans="1:5" x14ac:dyDescent="0.25">
      <c r="A7405">
        <v>8</v>
      </c>
      <c r="B7405">
        <v>20</v>
      </c>
      <c r="C7405">
        <v>17</v>
      </c>
      <c r="D7405">
        <v>3</v>
      </c>
      <c r="E7405">
        <f t="shared" si="115"/>
        <v>8.9661276338047358E-9</v>
      </c>
    </row>
    <row r="7406" spans="1:5" x14ac:dyDescent="0.25">
      <c r="A7406">
        <v>8</v>
      </c>
      <c r="B7406">
        <v>20</v>
      </c>
      <c r="C7406">
        <v>18</v>
      </c>
      <c r="D7406">
        <v>2</v>
      </c>
      <c r="E7406">
        <f t="shared" si="115"/>
        <v>3.1186530900190356E-9</v>
      </c>
    </row>
    <row r="7407" spans="1:5" x14ac:dyDescent="0.25">
      <c r="A7407">
        <v>8</v>
      </c>
      <c r="B7407">
        <v>20</v>
      </c>
      <c r="C7407">
        <v>19</v>
      </c>
      <c r="D7407">
        <v>1</v>
      </c>
      <c r="E7407">
        <f t="shared" si="115"/>
        <v>6.4288024224076641E-10</v>
      </c>
    </row>
    <row r="7408" spans="1:5" x14ac:dyDescent="0.25">
      <c r="A7408">
        <v>8</v>
      </c>
      <c r="B7408">
        <v>20</v>
      </c>
      <c r="C7408">
        <v>20</v>
      </c>
      <c r="D7408">
        <v>0</v>
      </c>
      <c r="E7408">
        <f t="shared" si="115"/>
        <v>5.9144982286150553E-11</v>
      </c>
    </row>
    <row r="7409" spans="1:5" x14ac:dyDescent="0.25">
      <c r="A7409">
        <v>8</v>
      </c>
      <c r="B7409">
        <v>21</v>
      </c>
      <c r="C7409">
        <v>0</v>
      </c>
      <c r="D7409">
        <v>19</v>
      </c>
      <c r="E7409">
        <f t="shared" si="115"/>
        <v>4.7345169589959889E-21</v>
      </c>
    </row>
    <row r="7410" spans="1:5" x14ac:dyDescent="0.25">
      <c r="A7410">
        <v>8</v>
      </c>
      <c r="B7410">
        <v>21</v>
      </c>
      <c r="C7410">
        <v>1</v>
      </c>
      <c r="D7410">
        <v>18</v>
      </c>
      <c r="E7410">
        <f t="shared" si="115"/>
        <v>8.3530406348000708E-19</v>
      </c>
    </row>
    <row r="7411" spans="1:5" x14ac:dyDescent="0.25">
      <c r="A7411">
        <v>8</v>
      </c>
      <c r="B7411">
        <v>21</v>
      </c>
      <c r="C7411">
        <v>2</v>
      </c>
      <c r="D7411">
        <v>17</v>
      </c>
      <c r="E7411">
        <f t="shared" si="115"/>
        <v>6.0141892570560496E-17</v>
      </c>
    </row>
    <row r="7412" spans="1:5" x14ac:dyDescent="0.25">
      <c r="A7412">
        <v>8</v>
      </c>
      <c r="B7412">
        <v>21</v>
      </c>
      <c r="C7412">
        <v>3</v>
      </c>
      <c r="D7412">
        <v>16</v>
      </c>
      <c r="E7412">
        <f t="shared" si="115"/>
        <v>2.3856284052988998E-15</v>
      </c>
    </row>
    <row r="7413" spans="1:5" x14ac:dyDescent="0.25">
      <c r="A7413">
        <v>8</v>
      </c>
      <c r="B7413">
        <v>21</v>
      </c>
      <c r="C7413">
        <v>4</v>
      </c>
      <c r="D7413">
        <v>15</v>
      </c>
      <c r="E7413">
        <f t="shared" si="115"/>
        <v>5.9163584451412711E-14</v>
      </c>
    </row>
    <row r="7414" spans="1:5" x14ac:dyDescent="0.25">
      <c r="A7414">
        <v>8</v>
      </c>
      <c r="B7414">
        <v>21</v>
      </c>
      <c r="C7414">
        <v>5</v>
      </c>
      <c r="D7414">
        <v>14</v>
      </c>
      <c r="E7414">
        <f t="shared" si="115"/>
        <v>9.8426690496441152E-13</v>
      </c>
    </row>
    <row r="7415" spans="1:5" x14ac:dyDescent="0.25">
      <c r="A7415">
        <v>8</v>
      </c>
      <c r="B7415">
        <v>21</v>
      </c>
      <c r="C7415">
        <v>6</v>
      </c>
      <c r="D7415">
        <v>13</v>
      </c>
      <c r="E7415">
        <f t="shared" si="115"/>
        <v>1.1483113891251469E-11</v>
      </c>
    </row>
    <row r="7416" spans="1:5" x14ac:dyDescent="0.25">
      <c r="A7416">
        <v>8</v>
      </c>
      <c r="B7416">
        <v>21</v>
      </c>
      <c r="C7416">
        <v>7</v>
      </c>
      <c r="D7416">
        <v>12</v>
      </c>
      <c r="E7416">
        <f t="shared" si="115"/>
        <v>9.6786245654833829E-11</v>
      </c>
    </row>
    <row r="7417" spans="1:5" x14ac:dyDescent="0.25">
      <c r="A7417">
        <v>8</v>
      </c>
      <c r="B7417">
        <v>21</v>
      </c>
      <c r="C7417">
        <v>8</v>
      </c>
      <c r="D7417">
        <v>11</v>
      </c>
      <c r="E7417">
        <f t="shared" si="115"/>
        <v>6.0145738371218168E-10</v>
      </c>
    </row>
    <row r="7418" spans="1:5" x14ac:dyDescent="0.25">
      <c r="A7418">
        <v>8</v>
      </c>
      <c r="B7418">
        <v>21</v>
      </c>
      <c r="C7418">
        <v>9</v>
      </c>
      <c r="D7418">
        <v>10</v>
      </c>
      <c r="E7418">
        <f t="shared" si="115"/>
        <v>2.793435404352131E-9</v>
      </c>
    </row>
    <row r="7419" spans="1:5" x14ac:dyDescent="0.25">
      <c r="A7419">
        <v>8</v>
      </c>
      <c r="B7419">
        <v>21</v>
      </c>
      <c r="C7419">
        <v>10</v>
      </c>
      <c r="D7419">
        <v>9</v>
      </c>
      <c r="E7419">
        <f t="shared" si="115"/>
        <v>9.7770239152324613E-9</v>
      </c>
    </row>
    <row r="7420" spans="1:5" x14ac:dyDescent="0.25">
      <c r="A7420">
        <v>8</v>
      </c>
      <c r="B7420">
        <v>21</v>
      </c>
      <c r="C7420">
        <v>11</v>
      </c>
      <c r="D7420">
        <v>8</v>
      </c>
      <c r="E7420">
        <f t="shared" si="115"/>
        <v>2.5880357422674168E-8</v>
      </c>
    </row>
    <row r="7421" spans="1:5" x14ac:dyDescent="0.25">
      <c r="A7421">
        <v>8</v>
      </c>
      <c r="B7421">
        <v>21</v>
      </c>
      <c r="C7421">
        <v>12</v>
      </c>
      <c r="D7421">
        <v>7</v>
      </c>
      <c r="E7421">
        <f t="shared" si="115"/>
        <v>5.1760714845348309E-8</v>
      </c>
    </row>
    <row r="7422" spans="1:5" x14ac:dyDescent="0.25">
      <c r="A7422">
        <v>8</v>
      </c>
      <c r="B7422">
        <v>21</v>
      </c>
      <c r="C7422">
        <v>13</v>
      </c>
      <c r="D7422">
        <v>6</v>
      </c>
      <c r="E7422">
        <f t="shared" si="115"/>
        <v>7.7745851043013063E-8</v>
      </c>
    </row>
    <row r="7423" spans="1:5" x14ac:dyDescent="0.25">
      <c r="A7423">
        <v>8</v>
      </c>
      <c r="B7423">
        <v>21</v>
      </c>
      <c r="C7423">
        <v>14</v>
      </c>
      <c r="D7423">
        <v>5</v>
      </c>
      <c r="E7423">
        <f t="shared" si="115"/>
        <v>8.6631091162214568E-8</v>
      </c>
    </row>
    <row r="7424" spans="1:5" x14ac:dyDescent="0.25">
      <c r="A7424">
        <v>8</v>
      </c>
      <c r="B7424">
        <v>21</v>
      </c>
      <c r="C7424">
        <v>15</v>
      </c>
      <c r="D7424">
        <v>4</v>
      </c>
      <c r="E7424">
        <f t="shared" si="115"/>
        <v>7.0129930940840355E-8</v>
      </c>
    </row>
    <row r="7425" spans="1:5" x14ac:dyDescent="0.25">
      <c r="A7425">
        <v>8</v>
      </c>
      <c r="B7425">
        <v>21</v>
      </c>
      <c r="C7425">
        <v>16</v>
      </c>
      <c r="D7425">
        <v>3</v>
      </c>
      <c r="E7425">
        <f t="shared" si="115"/>
        <v>3.9846551670932023E-8</v>
      </c>
    </row>
    <row r="7426" spans="1:5" x14ac:dyDescent="0.25">
      <c r="A7426">
        <v>8</v>
      </c>
      <c r="B7426">
        <v>21</v>
      </c>
      <c r="C7426">
        <v>17</v>
      </c>
      <c r="D7426">
        <v>2</v>
      </c>
      <c r="E7426">
        <f t="shared" si="115"/>
        <v>1.4980672878841458E-8</v>
      </c>
    </row>
    <row r="7427" spans="1:5" x14ac:dyDescent="0.25">
      <c r="A7427">
        <v>8</v>
      </c>
      <c r="B7427">
        <v>21</v>
      </c>
      <c r="C7427">
        <v>18</v>
      </c>
      <c r="D7427">
        <v>1</v>
      </c>
      <c r="E7427">
        <f t="shared" si="115"/>
        <v>3.3290384175203209E-9</v>
      </c>
    </row>
    <row r="7428" spans="1:5" x14ac:dyDescent="0.25">
      <c r="A7428">
        <v>8</v>
      </c>
      <c r="B7428">
        <v>21</v>
      </c>
      <c r="C7428">
        <v>19</v>
      </c>
      <c r="D7428">
        <v>0</v>
      </c>
      <c r="E7428">
        <f t="shared" si="115"/>
        <v>3.2939959078622132E-10</v>
      </c>
    </row>
    <row r="7429" spans="1:5" x14ac:dyDescent="0.25">
      <c r="A7429">
        <v>8</v>
      </c>
      <c r="B7429">
        <v>22</v>
      </c>
      <c r="C7429">
        <v>0</v>
      </c>
      <c r="D7429">
        <v>18</v>
      </c>
      <c r="E7429">
        <f t="shared" si="115"/>
        <v>1.5654649581303629E-19</v>
      </c>
    </row>
    <row r="7430" spans="1:5" x14ac:dyDescent="0.25">
      <c r="A7430">
        <v>8</v>
      </c>
      <c r="B7430">
        <v>22</v>
      </c>
      <c r="C7430">
        <v>1</v>
      </c>
      <c r="D7430">
        <v>17</v>
      </c>
      <c r="E7430">
        <f t="shared" si="115"/>
        <v>2.2894925012656547E-17</v>
      </c>
    </row>
    <row r="7431" spans="1:5" x14ac:dyDescent="0.25">
      <c r="A7431">
        <v>8</v>
      </c>
      <c r="B7431">
        <v>22</v>
      </c>
      <c r="C7431">
        <v>2</v>
      </c>
      <c r="D7431">
        <v>16</v>
      </c>
      <c r="E7431">
        <f t="shared" si="115"/>
        <v>1.3838710229872405E-15</v>
      </c>
    </row>
    <row r="7432" spans="1:5" x14ac:dyDescent="0.25">
      <c r="A7432">
        <v>8</v>
      </c>
      <c r="B7432">
        <v>22</v>
      </c>
      <c r="C7432">
        <v>3</v>
      </c>
      <c r="D7432">
        <v>15</v>
      </c>
      <c r="E7432">
        <f t="shared" si="115"/>
        <v>4.6498066372371275E-14</v>
      </c>
    </row>
    <row r="7433" spans="1:5" x14ac:dyDescent="0.25">
      <c r="A7433">
        <v>8</v>
      </c>
      <c r="B7433">
        <v>22</v>
      </c>
      <c r="C7433">
        <v>4</v>
      </c>
      <c r="D7433">
        <v>14</v>
      </c>
      <c r="E7433">
        <f t="shared" si="115"/>
        <v>9.8280003923421105E-13</v>
      </c>
    </row>
    <row r="7434" spans="1:5" x14ac:dyDescent="0.25">
      <c r="A7434">
        <v>8</v>
      </c>
      <c r="B7434">
        <v>22</v>
      </c>
      <c r="C7434">
        <v>5</v>
      </c>
      <c r="D7434">
        <v>13</v>
      </c>
      <c r="E7434">
        <f t="shared" si="115"/>
        <v>1.3988520558433608E-11</v>
      </c>
    </row>
    <row r="7435" spans="1:5" x14ac:dyDescent="0.25">
      <c r="A7435">
        <v>8</v>
      </c>
      <c r="B7435">
        <v>22</v>
      </c>
      <c r="C7435">
        <v>6</v>
      </c>
      <c r="D7435">
        <v>12</v>
      </c>
      <c r="E7435">
        <f t="shared" si="115"/>
        <v>1.3988520558433609E-10</v>
      </c>
    </row>
    <row r="7436" spans="1:5" x14ac:dyDescent="0.25">
      <c r="A7436">
        <v>8</v>
      </c>
      <c r="B7436">
        <v>22</v>
      </c>
      <c r="C7436">
        <v>7</v>
      </c>
      <c r="D7436">
        <v>11</v>
      </c>
      <c r="E7436">
        <f t="shared" si="115"/>
        <v>1.0105992403439786E-9</v>
      </c>
    </row>
    <row r="7437" spans="1:5" x14ac:dyDescent="0.25">
      <c r="A7437">
        <v>8</v>
      </c>
      <c r="B7437">
        <v>22</v>
      </c>
      <c r="C7437">
        <v>8</v>
      </c>
      <c r="D7437">
        <v>10</v>
      </c>
      <c r="E7437">
        <f t="shared" si="115"/>
        <v>5.3730192944954876E-9</v>
      </c>
    </row>
    <row r="7438" spans="1:5" x14ac:dyDescent="0.25">
      <c r="A7438">
        <v>8</v>
      </c>
      <c r="B7438">
        <v>22</v>
      </c>
      <c r="C7438">
        <v>9</v>
      </c>
      <c r="D7438">
        <v>9</v>
      </c>
      <c r="E7438">
        <f t="shared" ref="E7438:E7501" si="116">COMBIN(A$4,A7438)*COMBIN(B$4,B7438)*COMBIN(C$4,C7438)*COMBIN(D$4,D7438)/COMBIN($G$4,$F$4)</f>
        <v>2.1268201374044638E-8</v>
      </c>
    </row>
    <row r="7439" spans="1:5" x14ac:dyDescent="0.25">
      <c r="A7439">
        <v>8</v>
      </c>
      <c r="B7439">
        <v>22</v>
      </c>
      <c r="C7439">
        <v>10</v>
      </c>
      <c r="D7439">
        <v>8</v>
      </c>
      <c r="E7439">
        <f t="shared" si="116"/>
        <v>6.3053961720697051E-8</v>
      </c>
    </row>
    <row r="7440" spans="1:5" x14ac:dyDescent="0.25">
      <c r="A7440">
        <v>8</v>
      </c>
      <c r="B7440">
        <v>22</v>
      </c>
      <c r="C7440">
        <v>11</v>
      </c>
      <c r="D7440">
        <v>7</v>
      </c>
      <c r="E7440">
        <f t="shared" si="116"/>
        <v>1.4011991493488238E-7</v>
      </c>
    </row>
    <row r="7441" spans="1:5" x14ac:dyDescent="0.25">
      <c r="A7441">
        <v>8</v>
      </c>
      <c r="B7441">
        <v>22</v>
      </c>
      <c r="C7441">
        <v>12</v>
      </c>
      <c r="D7441">
        <v>6</v>
      </c>
      <c r="E7441">
        <f t="shared" si="116"/>
        <v>2.3230406949730474E-7</v>
      </c>
    </row>
    <row r="7442" spans="1:5" x14ac:dyDescent="0.25">
      <c r="A7442">
        <v>8</v>
      </c>
      <c r="B7442">
        <v>22</v>
      </c>
      <c r="C7442">
        <v>13</v>
      </c>
      <c r="D7442">
        <v>5</v>
      </c>
      <c r="E7442">
        <f t="shared" si="116"/>
        <v>2.8412574653901134E-7</v>
      </c>
    </row>
    <row r="7443" spans="1:5" x14ac:dyDescent="0.25">
      <c r="A7443">
        <v>8</v>
      </c>
      <c r="B7443">
        <v>22</v>
      </c>
      <c r="C7443">
        <v>14</v>
      </c>
      <c r="D7443">
        <v>4</v>
      </c>
      <c r="E7443">
        <f t="shared" si="116"/>
        <v>2.5126766700728904E-7</v>
      </c>
    </row>
    <row r="7444" spans="1:5" x14ac:dyDescent="0.25">
      <c r="A7444">
        <v>8</v>
      </c>
      <c r="B7444">
        <v>22</v>
      </c>
      <c r="C7444">
        <v>15</v>
      </c>
      <c r="D7444">
        <v>3</v>
      </c>
      <c r="E7444">
        <f t="shared" si="116"/>
        <v>1.5532910324086952E-7</v>
      </c>
    </row>
    <row r="7445" spans="1:5" x14ac:dyDescent="0.25">
      <c r="A7445">
        <v>8</v>
      </c>
      <c r="B7445">
        <v>22</v>
      </c>
      <c r="C7445">
        <v>16</v>
      </c>
      <c r="D7445">
        <v>2</v>
      </c>
      <c r="E7445">
        <f t="shared" si="116"/>
        <v>6.3313493168832692E-8</v>
      </c>
    </row>
    <row r="7446" spans="1:5" x14ac:dyDescent="0.25">
      <c r="A7446">
        <v>8</v>
      </c>
      <c r="B7446">
        <v>22</v>
      </c>
      <c r="C7446">
        <v>17</v>
      </c>
      <c r="D7446">
        <v>1</v>
      </c>
      <c r="E7446">
        <f t="shared" si="116"/>
        <v>1.5207652770945114E-8</v>
      </c>
    </row>
    <row r="7447" spans="1:5" x14ac:dyDescent="0.25">
      <c r="A7447">
        <v>8</v>
      </c>
      <c r="B7447">
        <v>22</v>
      </c>
      <c r="C7447">
        <v>18</v>
      </c>
      <c r="D7447">
        <v>0</v>
      </c>
      <c r="E7447">
        <f t="shared" si="116"/>
        <v>1.6221496289008108E-9</v>
      </c>
    </row>
    <row r="7448" spans="1:5" x14ac:dyDescent="0.25">
      <c r="A7448">
        <v>8</v>
      </c>
      <c r="B7448">
        <v>23</v>
      </c>
      <c r="C7448">
        <v>0</v>
      </c>
      <c r="D7448">
        <v>17</v>
      </c>
      <c r="E7448">
        <f t="shared" si="116"/>
        <v>4.0889264069426728E-18</v>
      </c>
    </row>
    <row r="7449" spans="1:5" x14ac:dyDescent="0.25">
      <c r="A7449">
        <v>8</v>
      </c>
      <c r="B7449">
        <v>23</v>
      </c>
      <c r="C7449">
        <v>1</v>
      </c>
      <c r="D7449">
        <v>16</v>
      </c>
      <c r="E7449">
        <f t="shared" si="116"/>
        <v>5.0202929774129482E-16</v>
      </c>
    </row>
    <row r="7450" spans="1:5" x14ac:dyDescent="0.25">
      <c r="A7450">
        <v>8</v>
      </c>
      <c r="B7450">
        <v>23</v>
      </c>
      <c r="C7450">
        <v>2</v>
      </c>
      <c r="D7450">
        <v>15</v>
      </c>
      <c r="E7450">
        <f t="shared" si="116"/>
        <v>2.570390004435429E-14</v>
      </c>
    </row>
    <row r="7451" spans="1:5" x14ac:dyDescent="0.25">
      <c r="A7451">
        <v>8</v>
      </c>
      <c r="B7451">
        <v>23</v>
      </c>
      <c r="C7451">
        <v>3</v>
      </c>
      <c r="D7451">
        <v>14</v>
      </c>
      <c r="E7451">
        <f t="shared" si="116"/>
        <v>7.3606622854287288E-13</v>
      </c>
    </row>
    <row r="7452" spans="1:5" x14ac:dyDescent="0.25">
      <c r="A7452">
        <v>8</v>
      </c>
      <c r="B7452">
        <v>23</v>
      </c>
      <c r="C7452">
        <v>4</v>
      </c>
      <c r="D7452">
        <v>13</v>
      </c>
      <c r="E7452">
        <f t="shared" si="116"/>
        <v>1.3310530966150289E-11</v>
      </c>
    </row>
    <row r="7453" spans="1:5" x14ac:dyDescent="0.25">
      <c r="A7453">
        <v>8</v>
      </c>
      <c r="B7453">
        <v>23</v>
      </c>
      <c r="C7453">
        <v>5</v>
      </c>
      <c r="D7453">
        <v>12</v>
      </c>
      <c r="E7453">
        <f t="shared" si="116"/>
        <v>1.6238847778703354E-10</v>
      </c>
    </row>
    <row r="7454" spans="1:5" x14ac:dyDescent="0.25">
      <c r="A7454">
        <v>8</v>
      </c>
      <c r="B7454">
        <v>23</v>
      </c>
      <c r="C7454">
        <v>6</v>
      </c>
      <c r="D7454">
        <v>11</v>
      </c>
      <c r="E7454">
        <f t="shared" si="116"/>
        <v>1.3919012381745729E-9</v>
      </c>
    </row>
    <row r="7455" spans="1:5" x14ac:dyDescent="0.25">
      <c r="A7455">
        <v>8</v>
      </c>
      <c r="B7455">
        <v>23</v>
      </c>
      <c r="C7455">
        <v>7</v>
      </c>
      <c r="D7455">
        <v>10</v>
      </c>
      <c r="E7455">
        <f t="shared" si="116"/>
        <v>8.6032752721456915E-9</v>
      </c>
    </row>
    <row r="7456" spans="1:5" x14ac:dyDescent="0.25">
      <c r="A7456">
        <v>8</v>
      </c>
      <c r="B7456">
        <v>23</v>
      </c>
      <c r="C7456">
        <v>8</v>
      </c>
      <c r="D7456">
        <v>9</v>
      </c>
      <c r="E7456">
        <f t="shared" si="116"/>
        <v>3.898359107691018E-8</v>
      </c>
    </row>
    <row r="7457" spans="1:5" x14ac:dyDescent="0.25">
      <c r="A7457">
        <v>8</v>
      </c>
      <c r="B7457">
        <v>23</v>
      </c>
      <c r="C7457">
        <v>9</v>
      </c>
      <c r="D7457">
        <v>8</v>
      </c>
      <c r="E7457">
        <f t="shared" si="116"/>
        <v>1.3070968772846352E-7</v>
      </c>
    </row>
    <row r="7458" spans="1:5" x14ac:dyDescent="0.25">
      <c r="A7458">
        <v>8</v>
      </c>
      <c r="B7458">
        <v>23</v>
      </c>
      <c r="C7458">
        <v>10</v>
      </c>
      <c r="D7458">
        <v>7</v>
      </c>
      <c r="E7458">
        <f t="shared" si="116"/>
        <v>3.2532188945750931E-7</v>
      </c>
    </row>
    <row r="7459" spans="1:5" x14ac:dyDescent="0.25">
      <c r="A7459">
        <v>8</v>
      </c>
      <c r="B7459">
        <v>23</v>
      </c>
      <c r="C7459">
        <v>11</v>
      </c>
      <c r="D7459">
        <v>6</v>
      </c>
      <c r="E7459">
        <f t="shared" si="116"/>
        <v>5.9927716479014864E-7</v>
      </c>
    </row>
    <row r="7460" spans="1:5" x14ac:dyDescent="0.25">
      <c r="A7460">
        <v>8</v>
      </c>
      <c r="B7460">
        <v>23</v>
      </c>
      <c r="C7460">
        <v>12</v>
      </c>
      <c r="D7460">
        <v>5</v>
      </c>
      <c r="E7460">
        <f t="shared" si="116"/>
        <v>8.0902417246670014E-7</v>
      </c>
    </row>
    <row r="7461" spans="1:5" x14ac:dyDescent="0.25">
      <c r="A7461">
        <v>8</v>
      </c>
      <c r="B7461">
        <v>23</v>
      </c>
      <c r="C7461">
        <v>13</v>
      </c>
      <c r="D7461">
        <v>4</v>
      </c>
      <c r="E7461">
        <f t="shared" si="116"/>
        <v>7.8531650440906849E-7</v>
      </c>
    </row>
    <row r="7462" spans="1:5" x14ac:dyDescent="0.25">
      <c r="A7462">
        <v>8</v>
      </c>
      <c r="B7462">
        <v>23</v>
      </c>
      <c r="C7462">
        <v>14</v>
      </c>
      <c r="D7462">
        <v>3</v>
      </c>
      <c r="E7462">
        <f t="shared" si="116"/>
        <v>5.3034361336716311E-7</v>
      </c>
    </row>
    <row r="7463" spans="1:5" x14ac:dyDescent="0.25">
      <c r="A7463">
        <v>8</v>
      </c>
      <c r="B7463">
        <v>23</v>
      </c>
      <c r="C7463">
        <v>15</v>
      </c>
      <c r="D7463">
        <v>2</v>
      </c>
      <c r="E7463">
        <f t="shared" si="116"/>
        <v>2.351958633193505E-7</v>
      </c>
    </row>
    <row r="7464" spans="1:5" x14ac:dyDescent="0.25">
      <c r="A7464">
        <v>8</v>
      </c>
      <c r="B7464">
        <v>23</v>
      </c>
      <c r="C7464">
        <v>16</v>
      </c>
      <c r="D7464">
        <v>1</v>
      </c>
      <c r="E7464">
        <f t="shared" si="116"/>
        <v>6.1248922739414211E-8</v>
      </c>
    </row>
    <row r="7465" spans="1:5" x14ac:dyDescent="0.25">
      <c r="A7465">
        <v>8</v>
      </c>
      <c r="B7465">
        <v>23</v>
      </c>
      <c r="C7465">
        <v>17</v>
      </c>
      <c r="D7465">
        <v>0</v>
      </c>
      <c r="E7465">
        <f t="shared" si="116"/>
        <v>7.0616405040736405E-9</v>
      </c>
    </row>
    <row r="7466" spans="1:5" x14ac:dyDescent="0.25">
      <c r="A7466">
        <v>8</v>
      </c>
      <c r="B7466">
        <v>24</v>
      </c>
      <c r="C7466">
        <v>0</v>
      </c>
      <c r="D7466">
        <v>16</v>
      </c>
      <c r="E7466">
        <f t="shared" si="116"/>
        <v>8.5602431537938773E-17</v>
      </c>
    </row>
    <row r="7467" spans="1:5" x14ac:dyDescent="0.25">
      <c r="A7467">
        <v>8</v>
      </c>
      <c r="B7467">
        <v>24</v>
      </c>
      <c r="C7467">
        <v>1</v>
      </c>
      <c r="D7467">
        <v>15</v>
      </c>
      <c r="E7467">
        <f t="shared" si="116"/>
        <v>8.9026528799456324E-15</v>
      </c>
    </row>
    <row r="7468" spans="1:5" x14ac:dyDescent="0.25">
      <c r="A7468">
        <v>8</v>
      </c>
      <c r="B7468">
        <v>24</v>
      </c>
      <c r="C7468">
        <v>2</v>
      </c>
      <c r="D7468">
        <v>14</v>
      </c>
      <c r="E7468">
        <f t="shared" si="116"/>
        <v>3.8847939839762765E-13</v>
      </c>
    </row>
    <row r="7469" spans="1:5" x14ac:dyDescent="0.25">
      <c r="A7469">
        <v>8</v>
      </c>
      <c r="B7469">
        <v>24</v>
      </c>
      <c r="C7469">
        <v>3</v>
      </c>
      <c r="D7469">
        <v>13</v>
      </c>
      <c r="E7469">
        <f t="shared" si="116"/>
        <v>9.5177452607418761E-12</v>
      </c>
    </row>
    <row r="7470" spans="1:5" x14ac:dyDescent="0.25">
      <c r="A7470">
        <v>8</v>
      </c>
      <c r="B7470">
        <v>24</v>
      </c>
      <c r="C7470">
        <v>4</v>
      </c>
      <c r="D7470">
        <v>12</v>
      </c>
      <c r="E7470">
        <f t="shared" si="116"/>
        <v>1.4752505154149911E-10</v>
      </c>
    </row>
    <row r="7471" spans="1:5" x14ac:dyDescent="0.25">
      <c r="A7471">
        <v>8</v>
      </c>
      <c r="B7471">
        <v>24</v>
      </c>
      <c r="C7471">
        <v>5</v>
      </c>
      <c r="D7471">
        <v>11</v>
      </c>
      <c r="E7471">
        <f t="shared" si="116"/>
        <v>1.542690538976819E-9</v>
      </c>
    </row>
    <row r="7472" spans="1:5" x14ac:dyDescent="0.25">
      <c r="A7472">
        <v>8</v>
      </c>
      <c r="B7472">
        <v>24</v>
      </c>
      <c r="C7472">
        <v>6</v>
      </c>
      <c r="D7472">
        <v>10</v>
      </c>
      <c r="E7472">
        <f t="shared" si="116"/>
        <v>1.1313063952496671E-8</v>
      </c>
    </row>
    <row r="7473" spans="1:5" x14ac:dyDescent="0.25">
      <c r="A7473">
        <v>8</v>
      </c>
      <c r="B7473">
        <v>24</v>
      </c>
      <c r="C7473">
        <v>7</v>
      </c>
      <c r="D7473">
        <v>9</v>
      </c>
      <c r="E7473">
        <f t="shared" si="116"/>
        <v>5.9595604749759253E-8</v>
      </c>
    </row>
    <row r="7474" spans="1:5" x14ac:dyDescent="0.25">
      <c r="A7474">
        <v>8</v>
      </c>
      <c r="B7474">
        <v>24</v>
      </c>
      <c r="C7474">
        <v>8</v>
      </c>
      <c r="D7474">
        <v>8</v>
      </c>
      <c r="E7474">
        <f t="shared" si="116"/>
        <v>2.287419535248113E-7</v>
      </c>
    </row>
    <row r="7475" spans="1:5" x14ac:dyDescent="0.25">
      <c r="A7475">
        <v>8</v>
      </c>
      <c r="B7475">
        <v>24</v>
      </c>
      <c r="C7475">
        <v>9</v>
      </c>
      <c r="D7475">
        <v>7</v>
      </c>
      <c r="E7475">
        <f t="shared" si="116"/>
        <v>6.4386623955132075E-7</v>
      </c>
    </row>
    <row r="7476" spans="1:5" x14ac:dyDescent="0.25">
      <c r="A7476">
        <v>8</v>
      </c>
      <c r="B7476">
        <v>24</v>
      </c>
      <c r="C7476">
        <v>10</v>
      </c>
      <c r="D7476">
        <v>6</v>
      </c>
      <c r="E7476">
        <f t="shared" si="116"/>
        <v>1.3283977152848298E-6</v>
      </c>
    </row>
    <row r="7477" spans="1:5" x14ac:dyDescent="0.25">
      <c r="A7477">
        <v>8</v>
      </c>
      <c r="B7477">
        <v>24</v>
      </c>
      <c r="C7477">
        <v>11</v>
      </c>
      <c r="D7477">
        <v>5</v>
      </c>
      <c r="E7477">
        <f t="shared" si="116"/>
        <v>1.9925965729272445E-6</v>
      </c>
    </row>
    <row r="7478" spans="1:5" x14ac:dyDescent="0.25">
      <c r="A7478">
        <v>8</v>
      </c>
      <c r="B7478">
        <v>24</v>
      </c>
      <c r="C7478">
        <v>12</v>
      </c>
      <c r="D7478">
        <v>4</v>
      </c>
      <c r="E7478">
        <f t="shared" si="116"/>
        <v>2.1349248995649044E-6</v>
      </c>
    </row>
    <row r="7479" spans="1:5" x14ac:dyDescent="0.25">
      <c r="A7479">
        <v>8</v>
      </c>
      <c r="B7479">
        <v>24</v>
      </c>
      <c r="C7479">
        <v>13</v>
      </c>
      <c r="D7479">
        <v>3</v>
      </c>
      <c r="E7479">
        <f t="shared" si="116"/>
        <v>1.5825317437334261E-6</v>
      </c>
    </row>
    <row r="7480" spans="1:5" x14ac:dyDescent="0.25">
      <c r="A7480">
        <v>8</v>
      </c>
      <c r="B7480">
        <v>24</v>
      </c>
      <c r="C7480">
        <v>14</v>
      </c>
      <c r="D7480">
        <v>2</v>
      </c>
      <c r="E7480">
        <f t="shared" si="116"/>
        <v>7.6669239758513825E-7</v>
      </c>
    </row>
    <row r="7481" spans="1:5" x14ac:dyDescent="0.25">
      <c r="A7481">
        <v>8</v>
      </c>
      <c r="B7481">
        <v>24</v>
      </c>
      <c r="C7481">
        <v>15</v>
      </c>
      <c r="D7481">
        <v>1</v>
      </c>
      <c r="E7481">
        <f t="shared" si="116"/>
        <v>2.1722951264912245E-7</v>
      </c>
    </row>
    <row r="7482" spans="1:5" x14ac:dyDescent="0.25">
      <c r="A7482">
        <v>8</v>
      </c>
      <c r="B7482">
        <v>24</v>
      </c>
      <c r="C7482">
        <v>16</v>
      </c>
      <c r="D7482">
        <v>0</v>
      </c>
      <c r="E7482">
        <f t="shared" si="116"/>
        <v>2.715368908114031E-8</v>
      </c>
    </row>
    <row r="7483" spans="1:5" x14ac:dyDescent="0.25">
      <c r="A7483">
        <v>8</v>
      </c>
      <c r="B7483">
        <v>25</v>
      </c>
      <c r="C7483">
        <v>0</v>
      </c>
      <c r="D7483">
        <v>15</v>
      </c>
      <c r="E7483">
        <f t="shared" si="116"/>
        <v>1.4518172388834418E-15</v>
      </c>
    </row>
    <row r="7484" spans="1:5" x14ac:dyDescent="0.25">
      <c r="A7484">
        <v>8</v>
      </c>
      <c r="B7484">
        <v>25</v>
      </c>
      <c r="C7484">
        <v>1</v>
      </c>
      <c r="D7484">
        <v>14</v>
      </c>
      <c r="E7484">
        <f t="shared" si="116"/>
        <v>1.2868380071921419E-13</v>
      </c>
    </row>
    <row r="7485" spans="1:5" x14ac:dyDescent="0.25">
      <c r="A7485">
        <v>8</v>
      </c>
      <c r="B7485">
        <v>25</v>
      </c>
      <c r="C7485">
        <v>2</v>
      </c>
      <c r="D7485">
        <v>13</v>
      </c>
      <c r="E7485">
        <f t="shared" si="116"/>
        <v>4.8041952268506637E-12</v>
      </c>
    </row>
    <row r="7486" spans="1:5" x14ac:dyDescent="0.25">
      <c r="A7486">
        <v>8</v>
      </c>
      <c r="B7486">
        <v>25</v>
      </c>
      <c r="C7486">
        <v>3</v>
      </c>
      <c r="D7486">
        <v>12</v>
      </c>
      <c r="E7486">
        <f t="shared" si="116"/>
        <v>1.0088809976386393E-10</v>
      </c>
    </row>
    <row r="7487" spans="1:5" x14ac:dyDescent="0.25">
      <c r="A7487">
        <v>8</v>
      </c>
      <c r="B7487">
        <v>25</v>
      </c>
      <c r="C7487">
        <v>4</v>
      </c>
      <c r="D7487">
        <v>11</v>
      </c>
      <c r="E7487">
        <f t="shared" si="116"/>
        <v>1.3403704682913348E-9</v>
      </c>
    </row>
    <row r="7488" spans="1:5" x14ac:dyDescent="0.25">
      <c r="A7488">
        <v>8</v>
      </c>
      <c r="B7488">
        <v>25</v>
      </c>
      <c r="C7488">
        <v>5</v>
      </c>
      <c r="D7488">
        <v>10</v>
      </c>
      <c r="E7488">
        <f t="shared" si="116"/>
        <v>1.1991847789646477E-8</v>
      </c>
    </row>
    <row r="7489" spans="1:5" x14ac:dyDescent="0.25">
      <c r="A7489">
        <v>8</v>
      </c>
      <c r="B7489">
        <v>25</v>
      </c>
      <c r="C7489">
        <v>6</v>
      </c>
      <c r="D7489">
        <v>9</v>
      </c>
      <c r="E7489">
        <f t="shared" si="116"/>
        <v>7.4949048685290478E-8</v>
      </c>
    </row>
    <row r="7490" spans="1:5" x14ac:dyDescent="0.25">
      <c r="A7490">
        <v>8</v>
      </c>
      <c r="B7490">
        <v>25</v>
      </c>
      <c r="C7490">
        <v>7</v>
      </c>
      <c r="D7490">
        <v>8</v>
      </c>
      <c r="E7490">
        <f t="shared" si="116"/>
        <v>3.3443651136041381E-7</v>
      </c>
    </row>
    <row r="7491" spans="1:5" x14ac:dyDescent="0.25">
      <c r="A7491">
        <v>8</v>
      </c>
      <c r="B7491">
        <v>25</v>
      </c>
      <c r="C7491">
        <v>8</v>
      </c>
      <c r="D7491">
        <v>7</v>
      </c>
      <c r="E7491">
        <f t="shared" si="116"/>
        <v>1.0776287588280007E-6</v>
      </c>
    </row>
    <row r="7492" spans="1:5" x14ac:dyDescent="0.25">
      <c r="A7492">
        <v>8</v>
      </c>
      <c r="B7492">
        <v>25</v>
      </c>
      <c r="C7492">
        <v>9</v>
      </c>
      <c r="D7492">
        <v>6</v>
      </c>
      <c r="E7492">
        <f t="shared" si="116"/>
        <v>2.5144671039319997E-6</v>
      </c>
    </row>
    <row r="7493" spans="1:5" x14ac:dyDescent="0.25">
      <c r="A7493">
        <v>8</v>
      </c>
      <c r="B7493">
        <v>25</v>
      </c>
      <c r="C7493">
        <v>10</v>
      </c>
      <c r="D7493">
        <v>5</v>
      </c>
      <c r="E7493">
        <f t="shared" si="116"/>
        <v>4.2243047346057607E-6</v>
      </c>
    </row>
    <row r="7494" spans="1:5" x14ac:dyDescent="0.25">
      <c r="A7494">
        <v>8</v>
      </c>
      <c r="B7494">
        <v>25</v>
      </c>
      <c r="C7494">
        <v>11</v>
      </c>
      <c r="D7494">
        <v>4</v>
      </c>
      <c r="E7494">
        <f t="shared" si="116"/>
        <v>5.0289342078640019E-6</v>
      </c>
    </row>
    <row r="7495" spans="1:5" x14ac:dyDescent="0.25">
      <c r="A7495">
        <v>8</v>
      </c>
      <c r="B7495">
        <v>25</v>
      </c>
      <c r="C7495">
        <v>12</v>
      </c>
      <c r="D7495">
        <v>3</v>
      </c>
      <c r="E7495">
        <f t="shared" si="116"/>
        <v>4.1145825337069087E-6</v>
      </c>
    </row>
    <row r="7496" spans="1:5" x14ac:dyDescent="0.25">
      <c r="A7496">
        <v>8</v>
      </c>
      <c r="B7496">
        <v>25</v>
      </c>
      <c r="C7496">
        <v>13</v>
      </c>
      <c r="D7496">
        <v>2</v>
      </c>
      <c r="E7496">
        <f t="shared" si="116"/>
        <v>2.1880221500314335E-6</v>
      </c>
    </row>
    <row r="7497" spans="1:5" x14ac:dyDescent="0.25">
      <c r="A7497">
        <v>8</v>
      </c>
      <c r="B7497">
        <v>25</v>
      </c>
      <c r="C7497">
        <v>14</v>
      </c>
      <c r="D7497">
        <v>1</v>
      </c>
      <c r="E7497">
        <f t="shared" si="116"/>
        <v>6.7724495120020572E-7</v>
      </c>
    </row>
    <row r="7498" spans="1:5" x14ac:dyDescent="0.25">
      <c r="A7498">
        <v>8</v>
      </c>
      <c r="B7498">
        <v>25</v>
      </c>
      <c r="C7498">
        <v>15</v>
      </c>
      <c r="D7498">
        <v>0</v>
      </c>
      <c r="E7498">
        <f t="shared" si="116"/>
        <v>9.2105313363227938E-8</v>
      </c>
    </row>
    <row r="7499" spans="1:5" x14ac:dyDescent="0.25">
      <c r="A7499">
        <v>8</v>
      </c>
      <c r="B7499">
        <v>26</v>
      </c>
      <c r="C7499">
        <v>0</v>
      </c>
      <c r="D7499">
        <v>14</v>
      </c>
      <c r="E7499">
        <f t="shared" si="116"/>
        <v>2.0102084846078414E-14</v>
      </c>
    </row>
    <row r="7500" spans="1:5" x14ac:dyDescent="0.25">
      <c r="A7500">
        <v>8</v>
      </c>
      <c r="B7500">
        <v>26</v>
      </c>
      <c r="C7500">
        <v>1</v>
      </c>
      <c r="D7500">
        <v>13</v>
      </c>
      <c r="E7500">
        <f t="shared" si="116"/>
        <v>1.5244081008276133E-12</v>
      </c>
    </row>
    <row r="7501" spans="1:5" x14ac:dyDescent="0.25">
      <c r="A7501">
        <v>8</v>
      </c>
      <c r="B7501">
        <v>26</v>
      </c>
      <c r="C7501">
        <v>2</v>
      </c>
      <c r="D7501">
        <v>12</v>
      </c>
      <c r="E7501">
        <f t="shared" si="116"/>
        <v>4.8781059226483624E-11</v>
      </c>
    </row>
    <row r="7502" spans="1:5" x14ac:dyDescent="0.25">
      <c r="A7502">
        <v>8</v>
      </c>
      <c r="B7502">
        <v>26</v>
      </c>
      <c r="C7502">
        <v>3</v>
      </c>
      <c r="D7502">
        <v>11</v>
      </c>
      <c r="E7502">
        <f t="shared" ref="E7502:E7565" si="117">COMBIN(A$4,A7502)*COMBIN(B$4,B7502)*COMBIN(C$4,C7502)*COMBIN(D$4,D7502)/COMBIN($G$4,$F$4)</f>
        <v>8.7805906607670527E-10</v>
      </c>
    </row>
    <row r="7503" spans="1:5" x14ac:dyDescent="0.25">
      <c r="A7503">
        <v>8</v>
      </c>
      <c r="B7503">
        <v>26</v>
      </c>
      <c r="C7503">
        <v>4</v>
      </c>
      <c r="D7503">
        <v>10</v>
      </c>
      <c r="E7503">
        <f t="shared" si="117"/>
        <v>9.9806047177385457E-9</v>
      </c>
    </row>
    <row r="7504" spans="1:5" x14ac:dyDescent="0.25">
      <c r="A7504">
        <v>8</v>
      </c>
      <c r="B7504">
        <v>26</v>
      </c>
      <c r="C7504">
        <v>5</v>
      </c>
      <c r="D7504">
        <v>9</v>
      </c>
      <c r="E7504">
        <f t="shared" si="117"/>
        <v>7.610211097275645E-8</v>
      </c>
    </row>
    <row r="7505" spans="1:5" x14ac:dyDescent="0.25">
      <c r="A7505">
        <v>8</v>
      </c>
      <c r="B7505">
        <v>26</v>
      </c>
      <c r="C7505">
        <v>6</v>
      </c>
      <c r="D7505">
        <v>8</v>
      </c>
      <c r="E7505">
        <f t="shared" si="117"/>
        <v>4.0289352867929879E-7</v>
      </c>
    </row>
    <row r="7506" spans="1:5" x14ac:dyDescent="0.25">
      <c r="A7506">
        <v>8</v>
      </c>
      <c r="B7506">
        <v>26</v>
      </c>
      <c r="C7506">
        <v>7</v>
      </c>
      <c r="D7506">
        <v>7</v>
      </c>
      <c r="E7506">
        <f t="shared" si="117"/>
        <v>1.5092519487034055E-6</v>
      </c>
    </row>
    <row r="7507" spans="1:5" x14ac:dyDescent="0.25">
      <c r="A7507">
        <v>8</v>
      </c>
      <c r="B7507">
        <v>26</v>
      </c>
      <c r="C7507">
        <v>8</v>
      </c>
      <c r="D7507">
        <v>6</v>
      </c>
      <c r="E7507">
        <f t="shared" si="117"/>
        <v>4.0312913892998842E-6</v>
      </c>
    </row>
    <row r="7508" spans="1:5" x14ac:dyDescent="0.25">
      <c r="A7508">
        <v>8</v>
      </c>
      <c r="B7508">
        <v>26</v>
      </c>
      <c r="C7508">
        <v>9</v>
      </c>
      <c r="D7508">
        <v>5</v>
      </c>
      <c r="E7508">
        <f t="shared" si="117"/>
        <v>7.6594536396697796E-6</v>
      </c>
    </row>
    <row r="7509" spans="1:5" x14ac:dyDescent="0.25">
      <c r="A7509">
        <v>8</v>
      </c>
      <c r="B7509">
        <v>26</v>
      </c>
      <c r="C7509">
        <v>10</v>
      </c>
      <c r="D7509">
        <v>4</v>
      </c>
      <c r="E7509">
        <f t="shared" si="117"/>
        <v>1.0212604852893042E-5</v>
      </c>
    </row>
    <row r="7510" spans="1:5" x14ac:dyDescent="0.25">
      <c r="A7510">
        <v>8</v>
      </c>
      <c r="B7510">
        <v>26</v>
      </c>
      <c r="C7510">
        <v>11</v>
      </c>
      <c r="D7510">
        <v>3</v>
      </c>
      <c r="E7510">
        <f t="shared" si="117"/>
        <v>9.2841862299027668E-6</v>
      </c>
    </row>
    <row r="7511" spans="1:5" x14ac:dyDescent="0.25">
      <c r="A7511">
        <v>8</v>
      </c>
      <c r="B7511">
        <v>26</v>
      </c>
      <c r="C7511">
        <v>12</v>
      </c>
      <c r="D7511">
        <v>2</v>
      </c>
      <c r="E7511">
        <f t="shared" si="117"/>
        <v>5.4494136566820549E-6</v>
      </c>
    </row>
    <row r="7512" spans="1:5" x14ac:dyDescent="0.25">
      <c r="A7512">
        <v>8</v>
      </c>
      <c r="B7512">
        <v>26</v>
      </c>
      <c r="C7512">
        <v>13</v>
      </c>
      <c r="D7512">
        <v>1</v>
      </c>
      <c r="E7512">
        <f t="shared" si="117"/>
        <v>1.8514033577189046E-6</v>
      </c>
    </row>
    <row r="7513" spans="1:5" x14ac:dyDescent="0.25">
      <c r="A7513">
        <v>8</v>
      </c>
      <c r="B7513">
        <v>26</v>
      </c>
      <c r="C7513">
        <v>14</v>
      </c>
      <c r="D7513">
        <v>0</v>
      </c>
      <c r="E7513">
        <f t="shared" si="117"/>
        <v>2.7506564171823725E-7</v>
      </c>
    </row>
    <row r="7514" spans="1:5" x14ac:dyDescent="0.25">
      <c r="A7514">
        <v>8</v>
      </c>
      <c r="B7514">
        <v>27</v>
      </c>
      <c r="C7514">
        <v>0</v>
      </c>
      <c r="D7514">
        <v>13</v>
      </c>
      <c r="E7514">
        <f t="shared" si="117"/>
        <v>2.2844406297302691E-13</v>
      </c>
    </row>
    <row r="7515" spans="1:5" x14ac:dyDescent="0.25">
      <c r="A7515">
        <v>8</v>
      </c>
      <c r="B7515">
        <v>27</v>
      </c>
      <c r="C7515">
        <v>1</v>
      </c>
      <c r="D7515">
        <v>12</v>
      </c>
      <c r="E7515">
        <f t="shared" si="117"/>
        <v>1.4848864093246748E-11</v>
      </c>
    </row>
    <row r="7516" spans="1:5" x14ac:dyDescent="0.25">
      <c r="A7516">
        <v>8</v>
      </c>
      <c r="B7516">
        <v>27</v>
      </c>
      <c r="C7516">
        <v>2</v>
      </c>
      <c r="D7516">
        <v>11</v>
      </c>
      <c r="E7516">
        <f t="shared" si="117"/>
        <v>4.0728312941476791E-10</v>
      </c>
    </row>
    <row r="7517" spans="1:5" x14ac:dyDescent="0.25">
      <c r="A7517">
        <v>8</v>
      </c>
      <c r="B7517">
        <v>27</v>
      </c>
      <c r="C7517">
        <v>3</v>
      </c>
      <c r="D7517">
        <v>10</v>
      </c>
      <c r="E7517">
        <f t="shared" si="117"/>
        <v>6.2721601929874246E-9</v>
      </c>
    </row>
    <row r="7518" spans="1:5" x14ac:dyDescent="0.25">
      <c r="A7518">
        <v>8</v>
      </c>
      <c r="B7518">
        <v>27</v>
      </c>
      <c r="C7518">
        <v>4</v>
      </c>
      <c r="D7518">
        <v>9</v>
      </c>
      <c r="E7518">
        <f t="shared" si="117"/>
        <v>6.0761551869565689E-8</v>
      </c>
    </row>
    <row r="7519" spans="1:5" x14ac:dyDescent="0.25">
      <c r="A7519">
        <v>8</v>
      </c>
      <c r="B7519">
        <v>27</v>
      </c>
      <c r="C7519">
        <v>5</v>
      </c>
      <c r="D7519">
        <v>8</v>
      </c>
      <c r="E7519">
        <f t="shared" si="117"/>
        <v>3.9244814089872432E-7</v>
      </c>
    </row>
    <row r="7520" spans="1:5" x14ac:dyDescent="0.25">
      <c r="A7520">
        <v>8</v>
      </c>
      <c r="B7520">
        <v>27</v>
      </c>
      <c r="C7520">
        <v>6</v>
      </c>
      <c r="D7520">
        <v>7</v>
      </c>
      <c r="E7520">
        <f t="shared" si="117"/>
        <v>1.7442139595498858E-6</v>
      </c>
    </row>
    <row r="7521" spans="1:5" x14ac:dyDescent="0.25">
      <c r="A7521">
        <v>8</v>
      </c>
      <c r="B7521">
        <v>27</v>
      </c>
      <c r="C7521">
        <v>7</v>
      </c>
      <c r="D7521">
        <v>6</v>
      </c>
      <c r="E7521">
        <f t="shared" si="117"/>
        <v>5.4162433480759594E-6</v>
      </c>
    </row>
    <row r="7522" spans="1:5" x14ac:dyDescent="0.25">
      <c r="A7522">
        <v>8</v>
      </c>
      <c r="B7522">
        <v>27</v>
      </c>
      <c r="C7522">
        <v>8</v>
      </c>
      <c r="D7522">
        <v>5</v>
      </c>
      <c r="E7522">
        <f t="shared" si="117"/>
        <v>1.1780329282065216E-5</v>
      </c>
    </row>
    <row r="7523" spans="1:5" x14ac:dyDescent="0.25">
      <c r="A7523">
        <v>8</v>
      </c>
      <c r="B7523">
        <v>27</v>
      </c>
      <c r="C7523">
        <v>9</v>
      </c>
      <c r="D7523">
        <v>4</v>
      </c>
      <c r="E7523">
        <f t="shared" si="117"/>
        <v>1.7763988599939611E-5</v>
      </c>
    </row>
    <row r="7524" spans="1:5" x14ac:dyDescent="0.25">
      <c r="A7524">
        <v>8</v>
      </c>
      <c r="B7524">
        <v>27</v>
      </c>
      <c r="C7524">
        <v>10</v>
      </c>
      <c r="D7524">
        <v>3</v>
      </c>
      <c r="E7524">
        <f t="shared" si="117"/>
        <v>1.8086970210847605E-5</v>
      </c>
    </row>
    <row r="7525" spans="1:5" x14ac:dyDescent="0.25">
      <c r="A7525">
        <v>8</v>
      </c>
      <c r="B7525">
        <v>27</v>
      </c>
      <c r="C7525">
        <v>11</v>
      </c>
      <c r="D7525">
        <v>2</v>
      </c>
      <c r="E7525">
        <f t="shared" si="117"/>
        <v>1.1795850137509307E-5</v>
      </c>
    </row>
    <row r="7526" spans="1:5" x14ac:dyDescent="0.25">
      <c r="A7526">
        <v>8</v>
      </c>
      <c r="B7526">
        <v>27</v>
      </c>
      <c r="C7526">
        <v>12</v>
      </c>
      <c r="D7526">
        <v>1</v>
      </c>
      <c r="E7526">
        <f t="shared" si="117"/>
        <v>4.4234438015659872E-6</v>
      </c>
    </row>
    <row r="7527" spans="1:5" x14ac:dyDescent="0.25">
      <c r="A7527">
        <v>8</v>
      </c>
      <c r="B7527">
        <v>27</v>
      </c>
      <c r="C7527">
        <v>13</v>
      </c>
      <c r="D7527">
        <v>0</v>
      </c>
      <c r="E7527">
        <f t="shared" si="117"/>
        <v>7.2136160456306911E-7</v>
      </c>
    </row>
    <row r="7528" spans="1:5" x14ac:dyDescent="0.25">
      <c r="A7528">
        <v>8</v>
      </c>
      <c r="B7528">
        <v>28</v>
      </c>
      <c r="C7528">
        <v>0</v>
      </c>
      <c r="D7528">
        <v>12</v>
      </c>
      <c r="E7528">
        <f t="shared" si="117"/>
        <v>2.137583732104754E-12</v>
      </c>
    </row>
    <row r="7529" spans="1:5" x14ac:dyDescent="0.25">
      <c r="A7529">
        <v>8</v>
      </c>
      <c r="B7529">
        <v>28</v>
      </c>
      <c r="C7529">
        <v>1</v>
      </c>
      <c r="D7529">
        <v>11</v>
      </c>
      <c r="E7529">
        <f t="shared" si="117"/>
        <v>1.1909395078869342E-10</v>
      </c>
    </row>
    <row r="7530" spans="1:5" x14ac:dyDescent="0.25">
      <c r="A7530">
        <v>8</v>
      </c>
      <c r="B7530">
        <v>28</v>
      </c>
      <c r="C7530">
        <v>2</v>
      </c>
      <c r="D7530">
        <v>10</v>
      </c>
      <c r="E7530">
        <f t="shared" si="117"/>
        <v>2.7947380451746721E-9</v>
      </c>
    </row>
    <row r="7531" spans="1:5" x14ac:dyDescent="0.25">
      <c r="A7531">
        <v>8</v>
      </c>
      <c r="B7531">
        <v>28</v>
      </c>
      <c r="C7531">
        <v>3</v>
      </c>
      <c r="D7531">
        <v>9</v>
      </c>
      <c r="E7531">
        <f t="shared" si="117"/>
        <v>3.6680936842917574E-8</v>
      </c>
    </row>
    <row r="7532" spans="1:5" x14ac:dyDescent="0.25">
      <c r="A7532">
        <v>8</v>
      </c>
      <c r="B7532">
        <v>28</v>
      </c>
      <c r="C7532">
        <v>4</v>
      </c>
      <c r="D7532">
        <v>8</v>
      </c>
      <c r="E7532">
        <f t="shared" si="117"/>
        <v>3.0099945232864712E-7</v>
      </c>
    </row>
    <row r="7533" spans="1:5" x14ac:dyDescent="0.25">
      <c r="A7533">
        <v>8</v>
      </c>
      <c r="B7533">
        <v>28</v>
      </c>
      <c r="C7533">
        <v>5</v>
      </c>
      <c r="D7533">
        <v>7</v>
      </c>
      <c r="E7533">
        <f t="shared" si="117"/>
        <v>1.6320859192931095E-6</v>
      </c>
    </row>
    <row r="7534" spans="1:5" x14ac:dyDescent="0.25">
      <c r="A7534">
        <v>8</v>
      </c>
      <c r="B7534">
        <v>28</v>
      </c>
      <c r="C7534">
        <v>6</v>
      </c>
      <c r="D7534">
        <v>6</v>
      </c>
      <c r="E7534">
        <f t="shared" si="117"/>
        <v>6.0129481237114524E-6</v>
      </c>
    </row>
    <row r="7535" spans="1:5" x14ac:dyDescent="0.25">
      <c r="A7535">
        <v>8</v>
      </c>
      <c r="B7535">
        <v>28</v>
      </c>
      <c r="C7535">
        <v>7</v>
      </c>
      <c r="D7535">
        <v>5</v>
      </c>
      <c r="E7535">
        <f t="shared" si="117"/>
        <v>1.520416882709896E-5</v>
      </c>
    </row>
    <row r="7536" spans="1:5" x14ac:dyDescent="0.25">
      <c r="A7536">
        <v>8</v>
      </c>
      <c r="B7536">
        <v>28</v>
      </c>
      <c r="C7536">
        <v>8</v>
      </c>
      <c r="D7536">
        <v>4</v>
      </c>
      <c r="E7536">
        <f t="shared" si="117"/>
        <v>2.6245291427730361E-5</v>
      </c>
    </row>
    <row r="7537" spans="1:5" x14ac:dyDescent="0.25">
      <c r="A7537">
        <v>8</v>
      </c>
      <c r="B7537">
        <v>28</v>
      </c>
      <c r="C7537">
        <v>9</v>
      </c>
      <c r="D7537">
        <v>3</v>
      </c>
      <c r="E7537">
        <f t="shared" si="117"/>
        <v>3.0221850734962224E-5</v>
      </c>
    </row>
    <row r="7538" spans="1:5" x14ac:dyDescent="0.25">
      <c r="A7538">
        <v>8</v>
      </c>
      <c r="B7538">
        <v>28</v>
      </c>
      <c r="C7538">
        <v>10</v>
      </c>
      <c r="D7538">
        <v>2</v>
      </c>
      <c r="E7538">
        <f t="shared" si="117"/>
        <v>2.2075090971624583E-5</v>
      </c>
    </row>
    <row r="7539" spans="1:5" x14ac:dyDescent="0.25">
      <c r="A7539">
        <v>8</v>
      </c>
      <c r="B7539">
        <v>28</v>
      </c>
      <c r="C7539">
        <v>11</v>
      </c>
      <c r="D7539">
        <v>1</v>
      </c>
      <c r="E7539">
        <f t="shared" si="117"/>
        <v>9.1979545715102462E-6</v>
      </c>
    </row>
    <row r="7540" spans="1:5" x14ac:dyDescent="0.25">
      <c r="A7540">
        <v>8</v>
      </c>
      <c r="B7540">
        <v>28</v>
      </c>
      <c r="C7540">
        <v>12</v>
      </c>
      <c r="D7540">
        <v>0</v>
      </c>
      <c r="E7540">
        <f t="shared" si="117"/>
        <v>1.6556318228718431E-6</v>
      </c>
    </row>
    <row r="7541" spans="1:5" x14ac:dyDescent="0.25">
      <c r="A7541">
        <v>8</v>
      </c>
      <c r="B7541">
        <v>29</v>
      </c>
      <c r="C7541">
        <v>0</v>
      </c>
      <c r="D7541">
        <v>11</v>
      </c>
      <c r="E7541">
        <f t="shared" si="117"/>
        <v>1.6489931647665225E-11</v>
      </c>
    </row>
    <row r="7542" spans="1:5" x14ac:dyDescent="0.25">
      <c r="A7542">
        <v>8</v>
      </c>
      <c r="B7542">
        <v>29</v>
      </c>
      <c r="C7542">
        <v>1</v>
      </c>
      <c r="D7542">
        <v>10</v>
      </c>
      <c r="E7542">
        <f t="shared" si="117"/>
        <v>7.8602007520537578E-10</v>
      </c>
    </row>
    <row r="7543" spans="1:5" x14ac:dyDescent="0.25">
      <c r="A7543">
        <v>8</v>
      </c>
      <c r="B7543">
        <v>29</v>
      </c>
      <c r="C7543">
        <v>2</v>
      </c>
      <c r="D7543">
        <v>9</v>
      </c>
      <c r="E7543">
        <f t="shared" si="117"/>
        <v>1.5720401504107516E-8</v>
      </c>
    </row>
    <row r="7544" spans="1:5" x14ac:dyDescent="0.25">
      <c r="A7544">
        <v>8</v>
      </c>
      <c r="B7544">
        <v>29</v>
      </c>
      <c r="C7544">
        <v>3</v>
      </c>
      <c r="D7544">
        <v>8</v>
      </c>
      <c r="E7544">
        <f t="shared" si="117"/>
        <v>1.7477387554566593E-7</v>
      </c>
    </row>
    <row r="7545" spans="1:5" x14ac:dyDescent="0.25">
      <c r="A7545">
        <v>8</v>
      </c>
      <c r="B7545">
        <v>29</v>
      </c>
      <c r="C7545">
        <v>4</v>
      </c>
      <c r="D7545">
        <v>7</v>
      </c>
      <c r="E7545">
        <f t="shared" si="117"/>
        <v>1.2039978093145879E-6</v>
      </c>
    </row>
    <row r="7546" spans="1:5" x14ac:dyDescent="0.25">
      <c r="A7546">
        <v>8</v>
      </c>
      <c r="B7546">
        <v>29</v>
      </c>
      <c r="C7546">
        <v>5</v>
      </c>
      <c r="D7546">
        <v>6</v>
      </c>
      <c r="E7546">
        <f t="shared" si="117"/>
        <v>5.411653311340303E-6</v>
      </c>
    </row>
    <row r="7547" spans="1:5" x14ac:dyDescent="0.25">
      <c r="A7547">
        <v>8</v>
      </c>
      <c r="B7547">
        <v>29</v>
      </c>
      <c r="C7547">
        <v>6</v>
      </c>
      <c r="D7547">
        <v>5</v>
      </c>
      <c r="E7547">
        <f t="shared" si="117"/>
        <v>1.6234959934020907E-5</v>
      </c>
    </row>
    <row r="7548" spans="1:5" x14ac:dyDescent="0.25">
      <c r="A7548">
        <v>8</v>
      </c>
      <c r="B7548">
        <v>29</v>
      </c>
      <c r="C7548">
        <v>7</v>
      </c>
      <c r="D7548">
        <v>4</v>
      </c>
      <c r="E7548">
        <f t="shared" si="117"/>
        <v>3.2580361772354895E-5</v>
      </c>
    </row>
    <row r="7549" spans="1:5" x14ac:dyDescent="0.25">
      <c r="A7549">
        <v>8</v>
      </c>
      <c r="B7549">
        <v>29</v>
      </c>
      <c r="C7549">
        <v>8</v>
      </c>
      <c r="D7549">
        <v>3</v>
      </c>
      <c r="E7549">
        <f t="shared" si="117"/>
        <v>4.2946840518104172E-5</v>
      </c>
    </row>
    <row r="7550" spans="1:5" x14ac:dyDescent="0.25">
      <c r="A7550">
        <v>8</v>
      </c>
      <c r="B7550">
        <v>29</v>
      </c>
      <c r="C7550">
        <v>9</v>
      </c>
      <c r="D7550">
        <v>2</v>
      </c>
      <c r="E7550">
        <f t="shared" si="117"/>
        <v>3.5477824775825185E-5</v>
      </c>
    </row>
    <row r="7551" spans="1:5" x14ac:dyDescent="0.25">
      <c r="A7551">
        <v>8</v>
      </c>
      <c r="B7551">
        <v>29</v>
      </c>
      <c r="C7551">
        <v>10</v>
      </c>
      <c r="D7551">
        <v>1</v>
      </c>
      <c r="E7551">
        <f t="shared" si="117"/>
        <v>1.6556318228718424E-5</v>
      </c>
    </row>
    <row r="7552" spans="1:5" x14ac:dyDescent="0.25">
      <c r="A7552">
        <v>8</v>
      </c>
      <c r="B7552">
        <v>29</v>
      </c>
      <c r="C7552">
        <v>11</v>
      </c>
      <c r="D7552">
        <v>0</v>
      </c>
      <c r="E7552">
        <f t="shared" si="117"/>
        <v>3.3112636457436845E-6</v>
      </c>
    </row>
    <row r="7553" spans="1:5" x14ac:dyDescent="0.25">
      <c r="A7553">
        <v>8</v>
      </c>
      <c r="B7553">
        <v>30</v>
      </c>
      <c r="C7553">
        <v>0</v>
      </c>
      <c r="D7553">
        <v>10</v>
      </c>
      <c r="E7553">
        <f t="shared" si="117"/>
        <v>1.0480267669405008E-10</v>
      </c>
    </row>
    <row r="7554" spans="1:5" x14ac:dyDescent="0.25">
      <c r="A7554">
        <v>8</v>
      </c>
      <c r="B7554">
        <v>30</v>
      </c>
      <c r="C7554">
        <v>1</v>
      </c>
      <c r="D7554">
        <v>9</v>
      </c>
      <c r="E7554">
        <f t="shared" si="117"/>
        <v>4.257608740695785E-9</v>
      </c>
    </row>
    <row r="7555" spans="1:5" x14ac:dyDescent="0.25">
      <c r="A7555">
        <v>8</v>
      </c>
      <c r="B7555">
        <v>30</v>
      </c>
      <c r="C7555">
        <v>2</v>
      </c>
      <c r="D7555">
        <v>8</v>
      </c>
      <c r="E7555">
        <f t="shared" si="117"/>
        <v>7.212890101884624E-8</v>
      </c>
    </row>
    <row r="7556" spans="1:5" x14ac:dyDescent="0.25">
      <c r="A7556">
        <v>8</v>
      </c>
      <c r="B7556">
        <v>30</v>
      </c>
      <c r="C7556">
        <v>3</v>
      </c>
      <c r="D7556">
        <v>7</v>
      </c>
      <c r="E7556">
        <f t="shared" si="117"/>
        <v>6.7320307617589836E-7</v>
      </c>
    </row>
    <row r="7557" spans="1:5" x14ac:dyDescent="0.25">
      <c r="A7557">
        <v>8</v>
      </c>
      <c r="B7557">
        <v>30</v>
      </c>
      <c r="C7557">
        <v>4</v>
      </c>
      <c r="D7557">
        <v>6</v>
      </c>
      <c r="E7557">
        <f t="shared" si="117"/>
        <v>3.8443438823728922E-6</v>
      </c>
    </row>
    <row r="7558" spans="1:5" x14ac:dyDescent="0.25">
      <c r="A7558">
        <v>8</v>
      </c>
      <c r="B7558">
        <v>30</v>
      </c>
      <c r="C7558">
        <v>5</v>
      </c>
      <c r="D7558">
        <v>5</v>
      </c>
      <c r="E7558">
        <f t="shared" si="117"/>
        <v>1.4070298609484788E-5</v>
      </c>
    </row>
    <row r="7559" spans="1:5" x14ac:dyDescent="0.25">
      <c r="A7559">
        <v>8</v>
      </c>
      <c r="B7559">
        <v>30</v>
      </c>
      <c r="C7559">
        <v>6</v>
      </c>
      <c r="D7559">
        <v>4</v>
      </c>
      <c r="E7559">
        <f t="shared" si="117"/>
        <v>3.3500710974963786E-5</v>
      </c>
    </row>
    <row r="7560" spans="1:5" x14ac:dyDescent="0.25">
      <c r="A7560">
        <v>8</v>
      </c>
      <c r="B7560">
        <v>30</v>
      </c>
      <c r="C7560">
        <v>7</v>
      </c>
      <c r="D7560">
        <v>3</v>
      </c>
      <c r="E7560">
        <f t="shared" si="117"/>
        <v>5.1338751883710724E-5</v>
      </c>
    </row>
    <row r="7561" spans="1:5" x14ac:dyDescent="0.25">
      <c r="A7561">
        <v>8</v>
      </c>
      <c r="B7561">
        <v>30</v>
      </c>
      <c r="C7561">
        <v>8</v>
      </c>
      <c r="D7561">
        <v>2</v>
      </c>
      <c r="E7561">
        <f t="shared" si="117"/>
        <v>4.8548602324813415E-5</v>
      </c>
    </row>
    <row r="7562" spans="1:5" x14ac:dyDescent="0.25">
      <c r="A7562">
        <v>8</v>
      </c>
      <c r="B7562">
        <v>30</v>
      </c>
      <c r="C7562">
        <v>9</v>
      </c>
      <c r="D7562">
        <v>1</v>
      </c>
      <c r="E7562">
        <f t="shared" si="117"/>
        <v>2.5622873449207075E-5</v>
      </c>
    </row>
    <row r="7563" spans="1:5" x14ac:dyDescent="0.25">
      <c r="A7563">
        <v>8</v>
      </c>
      <c r="B7563">
        <v>30</v>
      </c>
      <c r="C7563">
        <v>10</v>
      </c>
      <c r="D7563">
        <v>0</v>
      </c>
      <c r="E7563">
        <f t="shared" si="117"/>
        <v>5.7395236526223859E-6</v>
      </c>
    </row>
    <row r="7564" spans="1:5" x14ac:dyDescent="0.25">
      <c r="A7564">
        <v>8</v>
      </c>
      <c r="B7564">
        <v>31</v>
      </c>
      <c r="C7564">
        <v>0</v>
      </c>
      <c r="D7564">
        <v>9</v>
      </c>
      <c r="E7564">
        <f t="shared" si="117"/>
        <v>5.4725591257578636E-10</v>
      </c>
    </row>
    <row r="7565" spans="1:5" x14ac:dyDescent="0.25">
      <c r="A7565">
        <v>8</v>
      </c>
      <c r="B7565">
        <v>31</v>
      </c>
      <c r="C7565">
        <v>1</v>
      </c>
      <c r="D7565">
        <v>8</v>
      </c>
      <c r="E7565">
        <f t="shared" si="117"/>
        <v>1.8832041697460881E-8</v>
      </c>
    </row>
    <row r="7566" spans="1:5" x14ac:dyDescent="0.25">
      <c r="A7566">
        <v>8</v>
      </c>
      <c r="B7566">
        <v>31</v>
      </c>
      <c r="C7566">
        <v>2</v>
      </c>
      <c r="D7566">
        <v>7</v>
      </c>
      <c r="E7566">
        <f t="shared" ref="E7566:E7629" si="118">COMBIN(A$4,A7566)*COMBIN(B$4,B7566)*COMBIN(C$4,C7566)*COMBIN(D$4,D7566)/COMBIN($G$4,$F$4)</f>
        <v>2.6783348191944374E-7</v>
      </c>
    </row>
    <row r="7567" spans="1:5" x14ac:dyDescent="0.25">
      <c r="A7567">
        <v>8</v>
      </c>
      <c r="B7567">
        <v>31</v>
      </c>
      <c r="C7567">
        <v>3</v>
      </c>
      <c r="D7567">
        <v>6</v>
      </c>
      <c r="E7567">
        <f t="shared" si="118"/>
        <v>2.0721853601135906E-6</v>
      </c>
    </row>
    <row r="7568" spans="1:5" x14ac:dyDescent="0.25">
      <c r="A7568">
        <v>8</v>
      </c>
      <c r="B7568">
        <v>31</v>
      </c>
      <c r="C7568">
        <v>4</v>
      </c>
      <c r="D7568">
        <v>5</v>
      </c>
      <c r="E7568">
        <f t="shared" si="118"/>
        <v>9.6356619245281948E-6</v>
      </c>
    </row>
    <row r="7569" spans="1:5" x14ac:dyDescent="0.25">
      <c r="A7569">
        <v>8</v>
      </c>
      <c r="B7569">
        <v>31</v>
      </c>
      <c r="C7569">
        <v>5</v>
      </c>
      <c r="D7569">
        <v>4</v>
      </c>
      <c r="E7569">
        <f t="shared" si="118"/>
        <v>2.7989303685534289E-5</v>
      </c>
    </row>
    <row r="7570" spans="1:5" x14ac:dyDescent="0.25">
      <c r="A7570">
        <v>8</v>
      </c>
      <c r="B7570">
        <v>31</v>
      </c>
      <c r="C7570">
        <v>6</v>
      </c>
      <c r="D7570">
        <v>3</v>
      </c>
      <c r="E7570">
        <f t="shared" si="118"/>
        <v>5.0889643064607789E-5</v>
      </c>
    </row>
    <row r="7571" spans="1:5" x14ac:dyDescent="0.25">
      <c r="A7571">
        <v>8</v>
      </c>
      <c r="B7571">
        <v>31</v>
      </c>
      <c r="C7571">
        <v>7</v>
      </c>
      <c r="D7571">
        <v>2</v>
      </c>
      <c r="E7571">
        <f t="shared" si="118"/>
        <v>5.5946998897115396E-5</v>
      </c>
    </row>
    <row r="7572" spans="1:5" x14ac:dyDescent="0.25">
      <c r="A7572">
        <v>8</v>
      </c>
      <c r="B7572">
        <v>31</v>
      </c>
      <c r="C7572">
        <v>8</v>
      </c>
      <c r="D7572">
        <v>1</v>
      </c>
      <c r="E7572">
        <f t="shared" si="118"/>
        <v>3.380131183367389E-5</v>
      </c>
    </row>
    <row r="7573" spans="1:5" x14ac:dyDescent="0.25">
      <c r="A7573">
        <v>8</v>
      </c>
      <c r="B7573">
        <v>31</v>
      </c>
      <c r="C7573">
        <v>9</v>
      </c>
      <c r="D7573">
        <v>0</v>
      </c>
      <c r="E7573">
        <f t="shared" si="118"/>
        <v>8.562998997864052E-6</v>
      </c>
    </row>
    <row r="7574" spans="1:5" x14ac:dyDescent="0.25">
      <c r="A7574">
        <v>8</v>
      </c>
      <c r="B7574">
        <v>32</v>
      </c>
      <c r="C7574">
        <v>0</v>
      </c>
      <c r="D7574">
        <v>8</v>
      </c>
      <c r="E7574">
        <f t="shared" si="118"/>
        <v>2.3358974797812034E-9</v>
      </c>
    </row>
    <row r="7575" spans="1:5" x14ac:dyDescent="0.25">
      <c r="A7575">
        <v>8</v>
      </c>
      <c r="B7575">
        <v>32</v>
      </c>
      <c r="C7575">
        <v>1</v>
      </c>
      <c r="D7575">
        <v>7</v>
      </c>
      <c r="E7575">
        <f t="shared" si="118"/>
        <v>6.7481482749234783E-8</v>
      </c>
    </row>
    <row r="7576" spans="1:5" x14ac:dyDescent="0.25">
      <c r="A7576">
        <v>8</v>
      </c>
      <c r="B7576">
        <v>32</v>
      </c>
      <c r="C7576">
        <v>2</v>
      </c>
      <c r="D7576">
        <v>6</v>
      </c>
      <c r="E7576">
        <f t="shared" si="118"/>
        <v>7.9557116504360977E-7</v>
      </c>
    </row>
    <row r="7577" spans="1:5" x14ac:dyDescent="0.25">
      <c r="A7577">
        <v>8</v>
      </c>
      <c r="B7577">
        <v>32</v>
      </c>
      <c r="C7577">
        <v>3</v>
      </c>
      <c r="D7577">
        <v>5</v>
      </c>
      <c r="E7577">
        <f t="shared" si="118"/>
        <v>5.0120983397747411E-6</v>
      </c>
    </row>
    <row r="7578" spans="1:5" x14ac:dyDescent="0.25">
      <c r="A7578">
        <v>8</v>
      </c>
      <c r="B7578">
        <v>32</v>
      </c>
      <c r="C7578">
        <v>4</v>
      </c>
      <c r="D7578">
        <v>4</v>
      </c>
      <c r="E7578">
        <f t="shared" si="118"/>
        <v>1.8497029587263929E-5</v>
      </c>
    </row>
    <row r="7579" spans="1:5" x14ac:dyDescent="0.25">
      <c r="A7579">
        <v>8</v>
      </c>
      <c r="B7579">
        <v>32</v>
      </c>
      <c r="C7579">
        <v>5</v>
      </c>
      <c r="D7579">
        <v>3</v>
      </c>
      <c r="E7579">
        <f t="shared" si="118"/>
        <v>4.1029774720839994E-5</v>
      </c>
    </row>
    <row r="7580" spans="1:5" x14ac:dyDescent="0.25">
      <c r="A7580">
        <v>8</v>
      </c>
      <c r="B7580">
        <v>32</v>
      </c>
      <c r="C7580">
        <v>6</v>
      </c>
      <c r="D7580">
        <v>2</v>
      </c>
      <c r="E7580">
        <f t="shared" si="118"/>
        <v>5.3517097461965198E-5</v>
      </c>
    </row>
    <row r="7581" spans="1:5" x14ac:dyDescent="0.25">
      <c r="A7581">
        <v>8</v>
      </c>
      <c r="B7581">
        <v>32</v>
      </c>
      <c r="C7581">
        <v>7</v>
      </c>
      <c r="D7581">
        <v>1</v>
      </c>
      <c r="E7581">
        <f t="shared" si="118"/>
        <v>3.7589389883999369E-5</v>
      </c>
    </row>
    <row r="7582" spans="1:5" x14ac:dyDescent="0.25">
      <c r="A7582">
        <v>8</v>
      </c>
      <c r="B7582">
        <v>32</v>
      </c>
      <c r="C7582">
        <v>8</v>
      </c>
      <c r="D7582">
        <v>0</v>
      </c>
      <c r="E7582">
        <f t="shared" si="118"/>
        <v>1.0900923066359818E-5</v>
      </c>
    </row>
    <row r="7583" spans="1:5" x14ac:dyDescent="0.25">
      <c r="A7583">
        <v>8</v>
      </c>
      <c r="B7583">
        <v>33</v>
      </c>
      <c r="C7583">
        <v>0</v>
      </c>
      <c r="D7583">
        <v>7</v>
      </c>
      <c r="E7583">
        <f t="shared" si="118"/>
        <v>8.0851939704211445E-9</v>
      </c>
    </row>
    <row r="7584" spans="1:5" x14ac:dyDescent="0.25">
      <c r="A7584">
        <v>8</v>
      </c>
      <c r="B7584">
        <v>33</v>
      </c>
      <c r="C7584">
        <v>1</v>
      </c>
      <c r="D7584">
        <v>6</v>
      </c>
      <c r="E7584">
        <f t="shared" si="118"/>
        <v>1.9361911876534838E-7</v>
      </c>
    </row>
    <row r="7585" spans="1:5" x14ac:dyDescent="0.25">
      <c r="A7585">
        <v>8</v>
      </c>
      <c r="B7585">
        <v>33</v>
      </c>
      <c r="C7585">
        <v>2</v>
      </c>
      <c r="D7585">
        <v>5</v>
      </c>
      <c r="E7585">
        <f t="shared" si="118"/>
        <v>1.8587435401473444E-6</v>
      </c>
    </row>
    <row r="7586" spans="1:5" x14ac:dyDescent="0.25">
      <c r="A7586">
        <v>8</v>
      </c>
      <c r="B7586">
        <v>33</v>
      </c>
      <c r="C7586">
        <v>3</v>
      </c>
      <c r="D7586">
        <v>4</v>
      </c>
      <c r="E7586">
        <f t="shared" si="118"/>
        <v>9.2937177007367237E-6</v>
      </c>
    </row>
    <row r="7587" spans="1:5" x14ac:dyDescent="0.25">
      <c r="A7587">
        <v>8</v>
      </c>
      <c r="B7587">
        <v>33</v>
      </c>
      <c r="C7587">
        <v>4</v>
      </c>
      <c r="D7587">
        <v>3</v>
      </c>
      <c r="E7587">
        <f t="shared" si="118"/>
        <v>2.6191386247530769E-5</v>
      </c>
    </row>
    <row r="7588" spans="1:5" x14ac:dyDescent="0.25">
      <c r="A7588">
        <v>8</v>
      </c>
      <c r="B7588">
        <v>33</v>
      </c>
      <c r="C7588">
        <v>5</v>
      </c>
      <c r="D7588">
        <v>2</v>
      </c>
      <c r="E7588">
        <f t="shared" si="118"/>
        <v>4.1678466811288094E-5</v>
      </c>
    </row>
    <row r="7589" spans="1:5" x14ac:dyDescent="0.25">
      <c r="A7589">
        <v>8</v>
      </c>
      <c r="B7589">
        <v>33</v>
      </c>
      <c r="C7589">
        <v>6</v>
      </c>
      <c r="D7589">
        <v>1</v>
      </c>
      <c r="E7589">
        <f t="shared" si="118"/>
        <v>3.4732055676073403E-5</v>
      </c>
    </row>
    <row r="7590" spans="1:5" x14ac:dyDescent="0.25">
      <c r="A7590">
        <v>8</v>
      </c>
      <c r="B7590">
        <v>33</v>
      </c>
      <c r="C7590">
        <v>7</v>
      </c>
      <c r="D7590">
        <v>0</v>
      </c>
      <c r="E7590">
        <f t="shared" si="118"/>
        <v>1.1709664485076176E-5</v>
      </c>
    </row>
    <row r="7591" spans="1:5" x14ac:dyDescent="0.25">
      <c r="A7591">
        <v>8</v>
      </c>
      <c r="B7591">
        <v>34</v>
      </c>
      <c r="C7591">
        <v>0</v>
      </c>
      <c r="D7591">
        <v>6</v>
      </c>
      <c r="E7591">
        <f t="shared" si="118"/>
        <v>2.2428278010827672E-8</v>
      </c>
    </row>
    <row r="7592" spans="1:5" x14ac:dyDescent="0.25">
      <c r="A7592">
        <v>8</v>
      </c>
      <c r="B7592">
        <v>34</v>
      </c>
      <c r="C7592">
        <v>1</v>
      </c>
      <c r="D7592">
        <v>5</v>
      </c>
      <c r="E7592">
        <f t="shared" si="118"/>
        <v>4.3735142121113964E-7</v>
      </c>
    </row>
    <row r="7593" spans="1:5" x14ac:dyDescent="0.25">
      <c r="A7593">
        <v>8</v>
      </c>
      <c r="B7593">
        <v>34</v>
      </c>
      <c r="C7593">
        <v>2</v>
      </c>
      <c r="D7593">
        <v>4</v>
      </c>
      <c r="E7593">
        <f t="shared" si="118"/>
        <v>3.3322013044658267E-6</v>
      </c>
    </row>
    <row r="7594" spans="1:5" x14ac:dyDescent="0.25">
      <c r="A7594">
        <v>8</v>
      </c>
      <c r="B7594">
        <v>34</v>
      </c>
      <c r="C7594">
        <v>3</v>
      </c>
      <c r="D7594">
        <v>3</v>
      </c>
      <c r="E7594">
        <f t="shared" si="118"/>
        <v>1.2722950435233155E-5</v>
      </c>
    </row>
    <row r="7595" spans="1:5" x14ac:dyDescent="0.25">
      <c r="A7595">
        <v>8</v>
      </c>
      <c r="B7595">
        <v>34</v>
      </c>
      <c r="C7595">
        <v>4</v>
      </c>
      <c r="D7595">
        <v>2</v>
      </c>
      <c r="E7595">
        <f t="shared" si="118"/>
        <v>2.572248674949312E-5</v>
      </c>
    </row>
    <row r="7596" spans="1:5" x14ac:dyDescent="0.25">
      <c r="A7596">
        <v>8</v>
      </c>
      <c r="B7596">
        <v>34</v>
      </c>
      <c r="C7596">
        <v>5</v>
      </c>
      <c r="D7596">
        <v>1</v>
      </c>
      <c r="E7596">
        <f t="shared" si="118"/>
        <v>2.6151194861984673E-5</v>
      </c>
    </row>
    <row r="7597" spans="1:5" x14ac:dyDescent="0.25">
      <c r="A7597">
        <v>8</v>
      </c>
      <c r="B7597">
        <v>34</v>
      </c>
      <c r="C7597">
        <v>6</v>
      </c>
      <c r="D7597">
        <v>0</v>
      </c>
      <c r="E7597">
        <f t="shared" si="118"/>
        <v>1.0460477944793868E-5</v>
      </c>
    </row>
    <row r="7598" spans="1:5" x14ac:dyDescent="0.25">
      <c r="A7598">
        <v>8</v>
      </c>
      <c r="B7598">
        <v>35</v>
      </c>
      <c r="C7598">
        <v>0</v>
      </c>
      <c r="D7598">
        <v>5</v>
      </c>
      <c r="E7598">
        <f t="shared" si="118"/>
        <v>4.9021807652237626E-8</v>
      </c>
    </row>
    <row r="7599" spans="1:5" x14ac:dyDescent="0.25">
      <c r="A7599">
        <v>8</v>
      </c>
      <c r="B7599">
        <v>35</v>
      </c>
      <c r="C7599">
        <v>1</v>
      </c>
      <c r="D7599">
        <v>4</v>
      </c>
      <c r="E7599">
        <f t="shared" si="118"/>
        <v>7.5867083271320153E-7</v>
      </c>
    </row>
    <row r="7600" spans="1:5" x14ac:dyDescent="0.25">
      <c r="A7600">
        <v>8</v>
      </c>
      <c r="B7600">
        <v>35</v>
      </c>
      <c r="C7600">
        <v>2</v>
      </c>
      <c r="D7600">
        <v>3</v>
      </c>
      <c r="E7600">
        <f t="shared" si="118"/>
        <v>4.4140848448768082E-6</v>
      </c>
    </row>
    <row r="7601" spans="1:5" x14ac:dyDescent="0.25">
      <c r="A7601">
        <v>8</v>
      </c>
      <c r="B7601">
        <v>35</v>
      </c>
      <c r="C7601">
        <v>3</v>
      </c>
      <c r="D7601">
        <v>2</v>
      </c>
      <c r="E7601">
        <f t="shared" si="118"/>
        <v>1.2090754140314735E-5</v>
      </c>
    </row>
    <row r="7602" spans="1:5" x14ac:dyDescent="0.25">
      <c r="A7602">
        <v>8</v>
      </c>
      <c r="B7602">
        <v>35</v>
      </c>
      <c r="C7602">
        <v>4</v>
      </c>
      <c r="D7602">
        <v>1</v>
      </c>
      <c r="E7602">
        <f t="shared" si="118"/>
        <v>1.5617224097906535E-5</v>
      </c>
    </row>
    <row r="7603" spans="1:5" x14ac:dyDescent="0.25">
      <c r="A7603">
        <v>8</v>
      </c>
      <c r="B7603">
        <v>35</v>
      </c>
      <c r="C7603">
        <v>5</v>
      </c>
      <c r="D7603">
        <v>0</v>
      </c>
      <c r="E7603">
        <f t="shared" si="118"/>
        <v>7.621205359778389E-6</v>
      </c>
    </row>
    <row r="7604" spans="1:5" x14ac:dyDescent="0.25">
      <c r="A7604">
        <v>8</v>
      </c>
      <c r="B7604">
        <v>36</v>
      </c>
      <c r="C7604">
        <v>0</v>
      </c>
      <c r="D7604">
        <v>4</v>
      </c>
      <c r="E7604">
        <f t="shared" si="118"/>
        <v>8.2351449362886022E-8</v>
      </c>
    </row>
    <row r="7605" spans="1:5" x14ac:dyDescent="0.25">
      <c r="A7605">
        <v>8</v>
      </c>
      <c r="B7605">
        <v>36</v>
      </c>
      <c r="C7605">
        <v>1</v>
      </c>
      <c r="D7605">
        <v>3</v>
      </c>
      <c r="E7605">
        <f t="shared" si="118"/>
        <v>9.7324440156138006E-7</v>
      </c>
    </row>
    <row r="7606" spans="1:5" x14ac:dyDescent="0.25">
      <c r="A7606">
        <v>8</v>
      </c>
      <c r="B7606">
        <v>36</v>
      </c>
      <c r="C7606">
        <v>2</v>
      </c>
      <c r="D7606">
        <v>2</v>
      </c>
      <c r="E7606">
        <f t="shared" si="118"/>
        <v>4.0622375021692386E-6</v>
      </c>
    </row>
    <row r="7607" spans="1:5" x14ac:dyDescent="0.25">
      <c r="A7607">
        <v>8</v>
      </c>
      <c r="B7607">
        <v>36</v>
      </c>
      <c r="C7607">
        <v>3</v>
      </c>
      <c r="D7607">
        <v>1</v>
      </c>
      <c r="E7607">
        <f t="shared" si="118"/>
        <v>7.1089156287961671E-6</v>
      </c>
    </row>
    <row r="7608" spans="1:5" x14ac:dyDescent="0.25">
      <c r="A7608">
        <v>8</v>
      </c>
      <c r="B7608">
        <v>36</v>
      </c>
      <c r="C7608">
        <v>4</v>
      </c>
      <c r="D7608">
        <v>0</v>
      </c>
      <c r="E7608">
        <f t="shared" si="118"/>
        <v>4.4075276898536242E-6</v>
      </c>
    </row>
    <row r="7609" spans="1:5" x14ac:dyDescent="0.25">
      <c r="A7609">
        <v>8</v>
      </c>
      <c r="B7609">
        <v>37</v>
      </c>
      <c r="C7609">
        <v>0</v>
      </c>
      <c r="D7609">
        <v>3</v>
      </c>
      <c r="E7609">
        <f t="shared" si="118"/>
        <v>1.0238288299169604E-7</v>
      </c>
    </row>
    <row r="7610" spans="1:5" x14ac:dyDescent="0.25">
      <c r="A7610">
        <v>8</v>
      </c>
      <c r="B7610">
        <v>37</v>
      </c>
      <c r="C7610">
        <v>1</v>
      </c>
      <c r="D7610">
        <v>2</v>
      </c>
      <c r="E7610">
        <f t="shared" si="118"/>
        <v>8.6802879058177084E-7</v>
      </c>
    </row>
    <row r="7611" spans="1:5" x14ac:dyDescent="0.25">
      <c r="A7611">
        <v>8</v>
      </c>
      <c r="B7611">
        <v>37</v>
      </c>
      <c r="C7611">
        <v>2</v>
      </c>
      <c r="D7611">
        <v>1</v>
      </c>
      <c r="E7611">
        <f t="shared" si="118"/>
        <v>2.3147434415513888E-6</v>
      </c>
    </row>
    <row r="7612" spans="1:5" x14ac:dyDescent="0.25">
      <c r="A7612">
        <v>8</v>
      </c>
      <c r="B7612">
        <v>37</v>
      </c>
      <c r="C7612">
        <v>3</v>
      </c>
      <c r="D7612">
        <v>0</v>
      </c>
      <c r="E7612">
        <f t="shared" si="118"/>
        <v>1.9443844909031665E-6</v>
      </c>
    </row>
    <row r="7613" spans="1:5" x14ac:dyDescent="0.25">
      <c r="A7613">
        <v>8</v>
      </c>
      <c r="B7613">
        <v>38</v>
      </c>
      <c r="C7613">
        <v>0</v>
      </c>
      <c r="D7613">
        <v>2</v>
      </c>
      <c r="E7613">
        <f t="shared" si="118"/>
        <v>8.8560022358949952E-8</v>
      </c>
    </row>
    <row r="7614" spans="1:5" x14ac:dyDescent="0.25">
      <c r="A7614">
        <v>8</v>
      </c>
      <c r="B7614">
        <v>38</v>
      </c>
      <c r="C7614">
        <v>1</v>
      </c>
      <c r="D7614">
        <v>1</v>
      </c>
      <c r="E7614">
        <f t="shared" si="118"/>
        <v>4.7970012111097884E-7</v>
      </c>
    </row>
    <row r="7615" spans="1:5" x14ac:dyDescent="0.25">
      <c r="A7615">
        <v>8</v>
      </c>
      <c r="B7615">
        <v>38</v>
      </c>
      <c r="C7615">
        <v>2</v>
      </c>
      <c r="D7615">
        <v>0</v>
      </c>
      <c r="E7615">
        <f t="shared" si="118"/>
        <v>6.1401615502205294E-7</v>
      </c>
    </row>
    <row r="7616" spans="1:5" x14ac:dyDescent="0.25">
      <c r="A7616">
        <v>8</v>
      </c>
      <c r="B7616">
        <v>39</v>
      </c>
      <c r="C7616">
        <v>0</v>
      </c>
      <c r="D7616">
        <v>1</v>
      </c>
      <c r="E7616">
        <f t="shared" si="118"/>
        <v>4.7496935068582128E-8</v>
      </c>
    </row>
    <row r="7617" spans="1:5" x14ac:dyDescent="0.25">
      <c r="A7617">
        <v>8</v>
      </c>
      <c r="B7617">
        <v>39</v>
      </c>
      <c r="C7617">
        <v>1</v>
      </c>
      <c r="D7617">
        <v>0</v>
      </c>
      <c r="E7617">
        <f t="shared" si="118"/>
        <v>1.2349203117831352E-7</v>
      </c>
    </row>
    <row r="7618" spans="1:5" x14ac:dyDescent="0.25">
      <c r="A7618">
        <v>8</v>
      </c>
      <c r="B7618">
        <v>40</v>
      </c>
      <c r="C7618">
        <v>0</v>
      </c>
      <c r="D7618">
        <v>0</v>
      </c>
      <c r="E7618">
        <f t="shared" si="118"/>
        <v>1.1874233767145542E-8</v>
      </c>
    </row>
    <row r="7619" spans="1:5" x14ac:dyDescent="0.25">
      <c r="A7619">
        <v>9</v>
      </c>
      <c r="B7619">
        <v>0</v>
      </c>
      <c r="C7619">
        <v>14</v>
      </c>
      <c r="D7619">
        <v>25</v>
      </c>
      <c r="E7619">
        <f t="shared" si="118"/>
        <v>5.3068813092847558E-44</v>
      </c>
    </row>
    <row r="7620" spans="1:5" x14ac:dyDescent="0.25">
      <c r="A7620">
        <v>9</v>
      </c>
      <c r="B7620">
        <v>0</v>
      </c>
      <c r="C7620">
        <v>15</v>
      </c>
      <c r="D7620">
        <v>24</v>
      </c>
      <c r="E7620">
        <f t="shared" si="118"/>
        <v>4.5108491128920404E-42</v>
      </c>
    </row>
    <row r="7621" spans="1:5" x14ac:dyDescent="0.25">
      <c r="A7621">
        <v>9</v>
      </c>
      <c r="B7621">
        <v>0</v>
      </c>
      <c r="C7621">
        <v>16</v>
      </c>
      <c r="D7621">
        <v>23</v>
      </c>
      <c r="E7621">
        <f t="shared" si="118"/>
        <v>1.6915684173345156E-40</v>
      </c>
    </row>
    <row r="7622" spans="1:5" x14ac:dyDescent="0.25">
      <c r="A7622">
        <v>9</v>
      </c>
      <c r="B7622">
        <v>0</v>
      </c>
      <c r="C7622">
        <v>17</v>
      </c>
      <c r="D7622">
        <v>22</v>
      </c>
      <c r="E7622">
        <f t="shared" si="118"/>
        <v>3.7380345222274504E-39</v>
      </c>
    </row>
    <row r="7623" spans="1:5" x14ac:dyDescent="0.25">
      <c r="A7623">
        <v>9</v>
      </c>
      <c r="B7623">
        <v>0</v>
      </c>
      <c r="C7623">
        <v>18</v>
      </c>
      <c r="D7623">
        <v>21</v>
      </c>
      <c r="E7623">
        <f t="shared" si="118"/>
        <v>5.4824506326002561E-38</v>
      </c>
    </row>
    <row r="7624" spans="1:5" x14ac:dyDescent="0.25">
      <c r="A7624">
        <v>9</v>
      </c>
      <c r="B7624">
        <v>0</v>
      </c>
      <c r="C7624">
        <v>19</v>
      </c>
      <c r="D7624">
        <v>20</v>
      </c>
      <c r="E7624">
        <f t="shared" si="118"/>
        <v>5.6959776572383728E-37</v>
      </c>
    </row>
    <row r="7625" spans="1:5" x14ac:dyDescent="0.25">
      <c r="A7625">
        <v>9</v>
      </c>
      <c r="B7625">
        <v>0</v>
      </c>
      <c r="C7625">
        <v>20</v>
      </c>
      <c r="D7625">
        <v>19</v>
      </c>
      <c r="E7625">
        <f t="shared" si="118"/>
        <v>4.366916203882756E-36</v>
      </c>
    </row>
    <row r="7626" spans="1:5" x14ac:dyDescent="0.25">
      <c r="A7626">
        <v>9</v>
      </c>
      <c r="B7626">
        <v>0</v>
      </c>
      <c r="C7626">
        <v>21</v>
      </c>
      <c r="D7626">
        <v>18</v>
      </c>
      <c r="E7626">
        <f t="shared" si="118"/>
        <v>2.5399410573603765E-35</v>
      </c>
    </row>
    <row r="7627" spans="1:5" x14ac:dyDescent="0.25">
      <c r="A7627">
        <v>9</v>
      </c>
      <c r="B7627">
        <v>0</v>
      </c>
      <c r="C7627">
        <v>22</v>
      </c>
      <c r="D7627">
        <v>17</v>
      </c>
      <c r="E7627">
        <f t="shared" si="118"/>
        <v>1.1429734758121698E-34</v>
      </c>
    </row>
    <row r="7628" spans="1:5" x14ac:dyDescent="0.25">
      <c r="A7628">
        <v>9</v>
      </c>
      <c r="B7628">
        <v>0</v>
      </c>
      <c r="C7628">
        <v>23</v>
      </c>
      <c r="D7628">
        <v>16</v>
      </c>
      <c r="E7628">
        <f t="shared" si="118"/>
        <v>4.0362976368052948E-34</v>
      </c>
    </row>
    <row r="7629" spans="1:5" x14ac:dyDescent="0.25">
      <c r="A7629">
        <v>9</v>
      </c>
      <c r="B7629">
        <v>0</v>
      </c>
      <c r="C7629">
        <v>24</v>
      </c>
      <c r="D7629">
        <v>15</v>
      </c>
      <c r="E7629">
        <f t="shared" si="118"/>
        <v>1.1301633383054823E-33</v>
      </c>
    </row>
    <row r="7630" spans="1:5" x14ac:dyDescent="0.25">
      <c r="A7630">
        <v>9</v>
      </c>
      <c r="B7630">
        <v>0</v>
      </c>
      <c r="C7630">
        <v>25</v>
      </c>
      <c r="D7630">
        <v>14</v>
      </c>
      <c r="E7630">
        <f t="shared" ref="E7630:E7693" si="119">COMBIN(A$4,A7630)*COMBIN(B$4,B7630)*COMBIN(C$4,C7630)*COMBIN(D$4,D7630)/COMBIN($G$4,$F$4)</f>
        <v>2.5274561929377164E-33</v>
      </c>
    </row>
    <row r="7631" spans="1:5" x14ac:dyDescent="0.25">
      <c r="A7631">
        <v>9</v>
      </c>
      <c r="B7631">
        <v>0</v>
      </c>
      <c r="C7631">
        <v>26</v>
      </c>
      <c r="D7631">
        <v>13</v>
      </c>
      <c r="E7631">
        <f t="shared" si="119"/>
        <v>4.5364598334779499E-33</v>
      </c>
    </row>
    <row r="7632" spans="1:5" x14ac:dyDescent="0.25">
      <c r="A7632">
        <v>9</v>
      </c>
      <c r="B7632">
        <v>0</v>
      </c>
      <c r="C7632">
        <v>27</v>
      </c>
      <c r="D7632">
        <v>12</v>
      </c>
      <c r="E7632">
        <f t="shared" si="119"/>
        <v>6.5526642039125942E-33</v>
      </c>
    </row>
    <row r="7633" spans="1:5" x14ac:dyDescent="0.25">
      <c r="A7633">
        <v>9</v>
      </c>
      <c r="B7633">
        <v>0</v>
      </c>
      <c r="C7633">
        <v>28</v>
      </c>
      <c r="D7633">
        <v>11</v>
      </c>
      <c r="E7633">
        <f t="shared" si="119"/>
        <v>7.622486931081997E-33</v>
      </c>
    </row>
    <row r="7634" spans="1:5" x14ac:dyDescent="0.25">
      <c r="A7634">
        <v>9</v>
      </c>
      <c r="B7634">
        <v>0</v>
      </c>
      <c r="C7634">
        <v>29</v>
      </c>
      <c r="D7634">
        <v>10</v>
      </c>
      <c r="E7634">
        <f t="shared" si="119"/>
        <v>7.1318440941387888E-33</v>
      </c>
    </row>
    <row r="7635" spans="1:5" x14ac:dyDescent="0.25">
      <c r="A7635">
        <v>9</v>
      </c>
      <c r="B7635">
        <v>0</v>
      </c>
      <c r="C7635">
        <v>30</v>
      </c>
      <c r="D7635">
        <v>9</v>
      </c>
      <c r="E7635">
        <f t="shared" si="119"/>
        <v>5.3488830706040906E-33</v>
      </c>
    </row>
    <row r="7636" spans="1:5" x14ac:dyDescent="0.25">
      <c r="A7636">
        <v>9</v>
      </c>
      <c r="B7636">
        <v>0</v>
      </c>
      <c r="C7636">
        <v>31</v>
      </c>
      <c r="D7636">
        <v>8</v>
      </c>
      <c r="E7636">
        <f t="shared" si="119"/>
        <v>3.1971502224673414E-33</v>
      </c>
    </row>
    <row r="7637" spans="1:5" x14ac:dyDescent="0.25">
      <c r="A7637">
        <v>9</v>
      </c>
      <c r="B7637">
        <v>0</v>
      </c>
      <c r="C7637">
        <v>32</v>
      </c>
      <c r="D7637">
        <v>7</v>
      </c>
      <c r="E7637">
        <f t="shared" si="119"/>
        <v>1.5097653828318002E-33</v>
      </c>
    </row>
    <row r="7638" spans="1:5" x14ac:dyDescent="0.25">
      <c r="A7638">
        <v>9</v>
      </c>
      <c r="B7638">
        <v>0</v>
      </c>
      <c r="C7638">
        <v>33</v>
      </c>
      <c r="D7638">
        <v>6</v>
      </c>
      <c r="E7638">
        <f t="shared" si="119"/>
        <v>5.5622935156961029E-34</v>
      </c>
    </row>
    <row r="7639" spans="1:5" x14ac:dyDescent="0.25">
      <c r="A7639">
        <v>9</v>
      </c>
      <c r="B7639">
        <v>0</v>
      </c>
      <c r="C7639">
        <v>34</v>
      </c>
      <c r="D7639">
        <v>5</v>
      </c>
      <c r="E7639">
        <f t="shared" si="119"/>
        <v>1.5705299338436059E-34</v>
      </c>
    </row>
    <row r="7640" spans="1:5" x14ac:dyDescent="0.25">
      <c r="A7640">
        <v>9</v>
      </c>
      <c r="B7640">
        <v>0</v>
      </c>
      <c r="C7640">
        <v>35</v>
      </c>
      <c r="D7640">
        <v>4</v>
      </c>
      <c r="E7640">
        <f t="shared" si="119"/>
        <v>3.3120019013028431E-35</v>
      </c>
    </row>
    <row r="7641" spans="1:5" x14ac:dyDescent="0.25">
      <c r="A7641">
        <v>9</v>
      </c>
      <c r="B7641">
        <v>0</v>
      </c>
      <c r="C7641">
        <v>36</v>
      </c>
      <c r="D7641">
        <v>3</v>
      </c>
      <c r="E7641">
        <f t="shared" si="119"/>
        <v>5.0181846989437026E-36</v>
      </c>
    </row>
    <row r="7642" spans="1:5" x14ac:dyDescent="0.25">
      <c r="A7642">
        <v>9</v>
      </c>
      <c r="B7642">
        <v>0</v>
      </c>
      <c r="C7642">
        <v>37</v>
      </c>
      <c r="D7642">
        <v>2</v>
      </c>
      <c r="E7642">
        <f t="shared" si="119"/>
        <v>5.1302240753008453E-37</v>
      </c>
    </row>
    <row r="7643" spans="1:5" x14ac:dyDescent="0.25">
      <c r="A7643">
        <v>9</v>
      </c>
      <c r="B7643">
        <v>0</v>
      </c>
      <c r="C7643">
        <v>38</v>
      </c>
      <c r="D7643">
        <v>1</v>
      </c>
      <c r="E7643">
        <f t="shared" si="119"/>
        <v>3.1501375900970098E-38</v>
      </c>
    </row>
    <row r="7644" spans="1:5" x14ac:dyDescent="0.25">
      <c r="A7644">
        <v>9</v>
      </c>
      <c r="B7644">
        <v>0</v>
      </c>
      <c r="C7644">
        <v>39</v>
      </c>
      <c r="D7644">
        <v>0</v>
      </c>
      <c r="E7644">
        <f t="shared" si="119"/>
        <v>8.7234579418071047E-40</v>
      </c>
    </row>
    <row r="7645" spans="1:5" x14ac:dyDescent="0.25">
      <c r="A7645">
        <v>9</v>
      </c>
      <c r="B7645">
        <v>1</v>
      </c>
      <c r="C7645">
        <v>13</v>
      </c>
      <c r="D7645">
        <v>25</v>
      </c>
      <c r="E7645">
        <f t="shared" si="119"/>
        <v>4.1291618802627153E-42</v>
      </c>
    </row>
    <row r="7646" spans="1:5" x14ac:dyDescent="0.25">
      <c r="A7646">
        <v>9</v>
      </c>
      <c r="B7646">
        <v>1</v>
      </c>
      <c r="C7646">
        <v>14</v>
      </c>
      <c r="D7646">
        <v>24</v>
      </c>
      <c r="E7646">
        <f t="shared" si="119"/>
        <v>3.8342217459582363E-40</v>
      </c>
    </row>
    <row r="7647" spans="1:5" x14ac:dyDescent="0.25">
      <c r="A7647">
        <v>9</v>
      </c>
      <c r="B7647">
        <v>1</v>
      </c>
      <c r="C7647">
        <v>15</v>
      </c>
      <c r="D7647">
        <v>23</v>
      </c>
      <c r="E7647">
        <f t="shared" si="119"/>
        <v>1.5643624723509598E-38</v>
      </c>
    </row>
    <row r="7648" spans="1:5" x14ac:dyDescent="0.25">
      <c r="A7648">
        <v>9</v>
      </c>
      <c r="B7648">
        <v>1</v>
      </c>
      <c r="C7648">
        <v>16</v>
      </c>
      <c r="D7648">
        <v>22</v>
      </c>
      <c r="E7648">
        <f t="shared" si="119"/>
        <v>3.7479517566741749E-37</v>
      </c>
    </row>
    <row r="7649" spans="1:5" x14ac:dyDescent="0.25">
      <c r="A7649">
        <v>9</v>
      </c>
      <c r="B7649">
        <v>1</v>
      </c>
      <c r="C7649">
        <v>17</v>
      </c>
      <c r="D7649">
        <v>21</v>
      </c>
      <c r="E7649">
        <f t="shared" si="119"/>
        <v>5.941605873080534E-36</v>
      </c>
    </row>
    <row r="7650" spans="1:5" x14ac:dyDescent="0.25">
      <c r="A7650">
        <v>9</v>
      </c>
      <c r="B7650">
        <v>1</v>
      </c>
      <c r="C7650">
        <v>18</v>
      </c>
      <c r="D7650">
        <v>20</v>
      </c>
      <c r="E7650">
        <f t="shared" si="119"/>
        <v>6.6545985778501895E-35</v>
      </c>
    </row>
    <row r="7651" spans="1:5" x14ac:dyDescent="0.25">
      <c r="A7651">
        <v>9</v>
      </c>
      <c r="B7651">
        <v>1</v>
      </c>
      <c r="C7651">
        <v>19</v>
      </c>
      <c r="D7651">
        <v>19</v>
      </c>
      <c r="E7651">
        <f t="shared" si="119"/>
        <v>5.4871251431396313E-34</v>
      </c>
    </row>
    <row r="7652" spans="1:5" x14ac:dyDescent="0.25">
      <c r="A7652">
        <v>9</v>
      </c>
      <c r="B7652">
        <v>1</v>
      </c>
      <c r="C7652">
        <v>20</v>
      </c>
      <c r="D7652">
        <v>18</v>
      </c>
      <c r="E7652">
        <f t="shared" si="119"/>
        <v>3.425533839360032E-33</v>
      </c>
    </row>
    <row r="7653" spans="1:5" x14ac:dyDescent="0.25">
      <c r="A7653">
        <v>9</v>
      </c>
      <c r="B7653">
        <v>1</v>
      </c>
      <c r="C7653">
        <v>21</v>
      </c>
      <c r="D7653">
        <v>17</v>
      </c>
      <c r="E7653">
        <f t="shared" si="119"/>
        <v>1.6515966725485844E-32</v>
      </c>
    </row>
    <row r="7654" spans="1:5" x14ac:dyDescent="0.25">
      <c r="A7654">
        <v>9</v>
      </c>
      <c r="B7654">
        <v>1</v>
      </c>
      <c r="C7654">
        <v>22</v>
      </c>
      <c r="D7654">
        <v>16</v>
      </c>
      <c r="E7654">
        <f t="shared" si="119"/>
        <v>6.2393652074057668E-32</v>
      </c>
    </row>
    <row r="7655" spans="1:5" x14ac:dyDescent="0.25">
      <c r="A7655">
        <v>9</v>
      </c>
      <c r="B7655">
        <v>1</v>
      </c>
      <c r="C7655">
        <v>23</v>
      </c>
      <c r="D7655">
        <v>15</v>
      </c>
      <c r="E7655">
        <f t="shared" si="119"/>
        <v>1.8663840272587679E-31</v>
      </c>
    </row>
    <row r="7656" spans="1:5" x14ac:dyDescent="0.25">
      <c r="A7656">
        <v>9</v>
      </c>
      <c r="B7656">
        <v>1</v>
      </c>
      <c r="C7656">
        <v>24</v>
      </c>
      <c r="D7656">
        <v>14</v>
      </c>
      <c r="E7656">
        <f t="shared" si="119"/>
        <v>4.453870974140242E-31</v>
      </c>
    </row>
    <row r="7657" spans="1:5" x14ac:dyDescent="0.25">
      <c r="A7657">
        <v>9</v>
      </c>
      <c r="B7657">
        <v>1</v>
      </c>
      <c r="C7657">
        <v>25</v>
      </c>
      <c r="D7657">
        <v>13</v>
      </c>
      <c r="E7657">
        <f t="shared" si="119"/>
        <v>8.5217397971883346E-31</v>
      </c>
    </row>
    <row r="7658" spans="1:5" x14ac:dyDescent="0.25">
      <c r="A7658">
        <v>9</v>
      </c>
      <c r="B7658">
        <v>1</v>
      </c>
      <c r="C7658">
        <v>26</v>
      </c>
      <c r="D7658">
        <v>12</v>
      </c>
      <c r="E7658">
        <f t="shared" si="119"/>
        <v>1.3110368918751273E-30</v>
      </c>
    </row>
    <row r="7659" spans="1:5" x14ac:dyDescent="0.25">
      <c r="A7659">
        <v>9</v>
      </c>
      <c r="B7659">
        <v>1</v>
      </c>
      <c r="C7659">
        <v>27</v>
      </c>
      <c r="D7659">
        <v>11</v>
      </c>
      <c r="E7659">
        <f t="shared" si="119"/>
        <v>1.6231885327977766E-30</v>
      </c>
    </row>
    <row r="7660" spans="1:5" x14ac:dyDescent="0.25">
      <c r="A7660">
        <v>9</v>
      </c>
      <c r="B7660">
        <v>1</v>
      </c>
      <c r="C7660">
        <v>28</v>
      </c>
      <c r="D7660">
        <v>10</v>
      </c>
      <c r="E7660">
        <f t="shared" si="119"/>
        <v>1.6154590635939776E-30</v>
      </c>
    </row>
    <row r="7661" spans="1:5" x14ac:dyDescent="0.25">
      <c r="A7661">
        <v>9</v>
      </c>
      <c r="B7661">
        <v>1</v>
      </c>
      <c r="C7661">
        <v>29</v>
      </c>
      <c r="D7661">
        <v>9</v>
      </c>
      <c r="E7661">
        <f t="shared" si="119"/>
        <v>1.2881893395038188E-30</v>
      </c>
    </row>
    <row r="7662" spans="1:5" x14ac:dyDescent="0.25">
      <c r="A7662">
        <v>9</v>
      </c>
      <c r="B7662">
        <v>1</v>
      </c>
      <c r="C7662">
        <v>30</v>
      </c>
      <c r="D7662">
        <v>8</v>
      </c>
      <c r="E7662">
        <f t="shared" si="119"/>
        <v>8.1837910980242589E-31</v>
      </c>
    </row>
    <row r="7663" spans="1:5" x14ac:dyDescent="0.25">
      <c r="A7663">
        <v>9</v>
      </c>
      <c r="B7663">
        <v>1</v>
      </c>
      <c r="C7663">
        <v>31</v>
      </c>
      <c r="D7663">
        <v>7</v>
      </c>
      <c r="E7663">
        <f t="shared" si="119"/>
        <v>4.1065618413024973E-31</v>
      </c>
    </row>
    <row r="7664" spans="1:5" x14ac:dyDescent="0.25">
      <c r="A7664">
        <v>9</v>
      </c>
      <c r="B7664">
        <v>1</v>
      </c>
      <c r="C7664">
        <v>32</v>
      </c>
      <c r="D7664">
        <v>6</v>
      </c>
      <c r="E7664">
        <f t="shared" si="119"/>
        <v>1.6075028260361738E-31</v>
      </c>
    </row>
    <row r="7665" spans="1:5" x14ac:dyDescent="0.25">
      <c r="A7665">
        <v>9</v>
      </c>
      <c r="B7665">
        <v>1</v>
      </c>
      <c r="C7665">
        <v>33</v>
      </c>
      <c r="D7665">
        <v>5</v>
      </c>
      <c r="E7665">
        <f t="shared" si="119"/>
        <v>4.8225084781085214E-32</v>
      </c>
    </row>
    <row r="7666" spans="1:5" x14ac:dyDescent="0.25">
      <c r="A7666">
        <v>9</v>
      </c>
      <c r="B7666">
        <v>1</v>
      </c>
      <c r="C7666">
        <v>34</v>
      </c>
      <c r="D7666">
        <v>4</v>
      </c>
      <c r="E7666">
        <f t="shared" si="119"/>
        <v>1.0806741687638149E-32</v>
      </c>
    </row>
    <row r="7667" spans="1:5" x14ac:dyDescent="0.25">
      <c r="A7667">
        <v>9</v>
      </c>
      <c r="B7667">
        <v>1</v>
      </c>
      <c r="C7667">
        <v>35</v>
      </c>
      <c r="D7667">
        <v>3</v>
      </c>
      <c r="E7667">
        <f t="shared" si="119"/>
        <v>1.7403064535936753E-33</v>
      </c>
    </row>
    <row r="7668" spans="1:5" x14ac:dyDescent="0.25">
      <c r="A7668">
        <v>9</v>
      </c>
      <c r="B7668">
        <v>1</v>
      </c>
      <c r="C7668">
        <v>36</v>
      </c>
      <c r="D7668">
        <v>2</v>
      </c>
      <c r="E7668">
        <f t="shared" si="119"/>
        <v>1.8916374495583434E-34</v>
      </c>
    </row>
    <row r="7669" spans="1:5" x14ac:dyDescent="0.25">
      <c r="A7669">
        <v>9</v>
      </c>
      <c r="B7669">
        <v>1</v>
      </c>
      <c r="C7669">
        <v>37</v>
      </c>
      <c r="D7669">
        <v>1</v>
      </c>
      <c r="E7669">
        <f t="shared" si="119"/>
        <v>1.2355289648016205E-35</v>
      </c>
    </row>
    <row r="7670" spans="1:5" x14ac:dyDescent="0.25">
      <c r="A7670">
        <v>9</v>
      </c>
      <c r="B7670">
        <v>1</v>
      </c>
      <c r="C7670">
        <v>38</v>
      </c>
      <c r="D7670">
        <v>0</v>
      </c>
      <c r="E7670">
        <f t="shared" si="119"/>
        <v>3.6415590541521437E-37</v>
      </c>
    </row>
    <row r="7671" spans="1:5" x14ac:dyDescent="0.25">
      <c r="A7671">
        <v>9</v>
      </c>
      <c r="B7671">
        <v>2</v>
      </c>
      <c r="C7671">
        <v>12</v>
      </c>
      <c r="D7671">
        <v>25</v>
      </c>
      <c r="E7671">
        <f t="shared" si="119"/>
        <v>1.4584511395946791E-40</v>
      </c>
    </row>
    <row r="7672" spans="1:5" x14ac:dyDescent="0.25">
      <c r="A7672">
        <v>9</v>
      </c>
      <c r="B7672">
        <v>2</v>
      </c>
      <c r="C7672">
        <v>13</v>
      </c>
      <c r="D7672">
        <v>24</v>
      </c>
      <c r="E7672">
        <f t="shared" si="119"/>
        <v>1.4864982768945771E-38</v>
      </c>
    </row>
    <row r="7673" spans="1:5" x14ac:dyDescent="0.25">
      <c r="A7673">
        <v>9</v>
      </c>
      <c r="B7673">
        <v>2</v>
      </c>
      <c r="C7673">
        <v>14</v>
      </c>
      <c r="D7673">
        <v>23</v>
      </c>
      <c r="E7673">
        <f t="shared" si="119"/>
        <v>6.6255351770158314E-37</v>
      </c>
    </row>
    <row r="7674" spans="1:5" x14ac:dyDescent="0.25">
      <c r="A7674">
        <v>9</v>
      </c>
      <c r="B7674">
        <v>2</v>
      </c>
      <c r="C7674">
        <v>15</v>
      </c>
      <c r="D7674">
        <v>22</v>
      </c>
      <c r="E7674">
        <f t="shared" si="119"/>
        <v>1.727056169475459E-35</v>
      </c>
    </row>
    <row r="7675" spans="1:5" x14ac:dyDescent="0.25">
      <c r="A7675">
        <v>9</v>
      </c>
      <c r="B7675">
        <v>2</v>
      </c>
      <c r="C7675">
        <v>16</v>
      </c>
      <c r="D7675">
        <v>21</v>
      </c>
      <c r="E7675">
        <f t="shared" si="119"/>
        <v>2.9683777912859465E-34</v>
      </c>
    </row>
    <row r="7676" spans="1:5" x14ac:dyDescent="0.25">
      <c r="A7676">
        <v>9</v>
      </c>
      <c r="B7676">
        <v>2</v>
      </c>
      <c r="C7676">
        <v>17</v>
      </c>
      <c r="D7676">
        <v>20</v>
      </c>
      <c r="E7676">
        <f t="shared" si="119"/>
        <v>3.5934832320391064E-33</v>
      </c>
    </row>
    <row r="7677" spans="1:5" x14ac:dyDescent="0.25">
      <c r="A7677">
        <v>9</v>
      </c>
      <c r="B7677">
        <v>2</v>
      </c>
      <c r="C7677">
        <v>18</v>
      </c>
      <c r="D7677">
        <v>19</v>
      </c>
      <c r="E7677">
        <f t="shared" si="119"/>
        <v>3.1942073173680904E-32</v>
      </c>
    </row>
    <row r="7678" spans="1:5" x14ac:dyDescent="0.25">
      <c r="A7678">
        <v>9</v>
      </c>
      <c r="B7678">
        <v>2</v>
      </c>
      <c r="C7678">
        <v>19</v>
      </c>
      <c r="D7678">
        <v>18</v>
      </c>
      <c r="E7678">
        <f t="shared" si="119"/>
        <v>2.1446820559471484E-31</v>
      </c>
    </row>
    <row r="7679" spans="1:5" x14ac:dyDescent="0.25">
      <c r="A7679">
        <v>9</v>
      </c>
      <c r="B7679">
        <v>2</v>
      </c>
      <c r="C7679">
        <v>20</v>
      </c>
      <c r="D7679">
        <v>17</v>
      </c>
      <c r="E7679">
        <f t="shared" si="119"/>
        <v>1.1098729639526499E-30</v>
      </c>
    </row>
    <row r="7680" spans="1:5" x14ac:dyDescent="0.25">
      <c r="A7680">
        <v>9</v>
      </c>
      <c r="B7680">
        <v>2</v>
      </c>
      <c r="C7680">
        <v>21</v>
      </c>
      <c r="D7680">
        <v>16</v>
      </c>
      <c r="E7680">
        <f t="shared" si="119"/>
        <v>4.4923429493321494E-30</v>
      </c>
    </row>
    <row r="7681" spans="1:5" x14ac:dyDescent="0.25">
      <c r="A7681">
        <v>9</v>
      </c>
      <c r="B7681">
        <v>2</v>
      </c>
      <c r="C7681">
        <v>22</v>
      </c>
      <c r="D7681">
        <v>15</v>
      </c>
      <c r="E7681">
        <f t="shared" si="119"/>
        <v>1.4375497437862885E-29</v>
      </c>
    </row>
    <row r="7682" spans="1:5" x14ac:dyDescent="0.25">
      <c r="A7682">
        <v>9</v>
      </c>
      <c r="B7682">
        <v>2</v>
      </c>
      <c r="C7682">
        <v>23</v>
      </c>
      <c r="D7682">
        <v>14</v>
      </c>
      <c r="E7682">
        <f t="shared" si="119"/>
        <v>3.6648995444353988E-29</v>
      </c>
    </row>
    <row r="7683" spans="1:5" x14ac:dyDescent="0.25">
      <c r="A7683">
        <v>9</v>
      </c>
      <c r="B7683">
        <v>2</v>
      </c>
      <c r="C7683">
        <v>24</v>
      </c>
      <c r="D7683">
        <v>13</v>
      </c>
      <c r="E7683">
        <f t="shared" si="119"/>
        <v>7.482503236555607E-29</v>
      </c>
    </row>
    <row r="7684" spans="1:5" x14ac:dyDescent="0.25">
      <c r="A7684">
        <v>9</v>
      </c>
      <c r="B7684">
        <v>2</v>
      </c>
      <c r="C7684">
        <v>25</v>
      </c>
      <c r="D7684">
        <v>12</v>
      </c>
      <c r="E7684">
        <f t="shared" si="119"/>
        <v>1.2271305307951199E-28</v>
      </c>
    </row>
    <row r="7685" spans="1:5" x14ac:dyDescent="0.25">
      <c r="A7685">
        <v>9</v>
      </c>
      <c r="B7685">
        <v>2</v>
      </c>
      <c r="C7685">
        <v>26</v>
      </c>
      <c r="D7685">
        <v>11</v>
      </c>
      <c r="E7685">
        <f t="shared" si="119"/>
        <v>1.6181941065430142E-28</v>
      </c>
    </row>
    <row r="7686" spans="1:5" x14ac:dyDescent="0.25">
      <c r="A7686">
        <v>9</v>
      </c>
      <c r="B7686">
        <v>2</v>
      </c>
      <c r="C7686">
        <v>27</v>
      </c>
      <c r="D7686">
        <v>10</v>
      </c>
      <c r="E7686">
        <f t="shared" si="119"/>
        <v>1.7140870906344518E-28</v>
      </c>
    </row>
    <row r="7687" spans="1:5" x14ac:dyDescent="0.25">
      <c r="A7687">
        <v>9</v>
      </c>
      <c r="B7687">
        <v>2</v>
      </c>
      <c r="C7687">
        <v>28</v>
      </c>
      <c r="D7687">
        <v>9</v>
      </c>
      <c r="E7687">
        <f t="shared" si="119"/>
        <v>1.4539131572345798E-28</v>
      </c>
    </row>
    <row r="7688" spans="1:5" x14ac:dyDescent="0.25">
      <c r="A7688">
        <v>9</v>
      </c>
      <c r="B7688">
        <v>2</v>
      </c>
      <c r="C7688">
        <v>29</v>
      </c>
      <c r="D7688">
        <v>8</v>
      </c>
      <c r="E7688">
        <f t="shared" si="119"/>
        <v>9.8205493176291128E-29</v>
      </c>
    </row>
    <row r="7689" spans="1:5" x14ac:dyDescent="0.25">
      <c r="A7689">
        <v>9</v>
      </c>
      <c r="B7689">
        <v>2</v>
      </c>
      <c r="C7689">
        <v>30</v>
      </c>
      <c r="D7689">
        <v>7</v>
      </c>
      <c r="E7689">
        <f t="shared" si="119"/>
        <v>5.2376263027355268E-29</v>
      </c>
    </row>
    <row r="7690" spans="1:5" x14ac:dyDescent="0.25">
      <c r="A7690">
        <v>9</v>
      </c>
      <c r="B7690">
        <v>2</v>
      </c>
      <c r="C7690">
        <v>31</v>
      </c>
      <c r="D7690">
        <v>6</v>
      </c>
      <c r="E7690">
        <f t="shared" si="119"/>
        <v>2.1786391242278506E-29</v>
      </c>
    </row>
    <row r="7691" spans="1:5" x14ac:dyDescent="0.25">
      <c r="A7691">
        <v>9</v>
      </c>
      <c r="B7691">
        <v>2</v>
      </c>
      <c r="C7691">
        <v>32</v>
      </c>
      <c r="D7691">
        <v>5</v>
      </c>
      <c r="E7691">
        <f t="shared" si="119"/>
        <v>6.9444122084762703E-30</v>
      </c>
    </row>
    <row r="7692" spans="1:5" x14ac:dyDescent="0.25">
      <c r="A7692">
        <v>9</v>
      </c>
      <c r="B7692">
        <v>2</v>
      </c>
      <c r="C7692">
        <v>33</v>
      </c>
      <c r="D7692">
        <v>4</v>
      </c>
      <c r="E7692">
        <f t="shared" si="119"/>
        <v>1.6534314782086365E-30</v>
      </c>
    </row>
    <row r="7693" spans="1:5" x14ac:dyDescent="0.25">
      <c r="A7693">
        <v>9</v>
      </c>
      <c r="B7693">
        <v>2</v>
      </c>
      <c r="C7693">
        <v>34</v>
      </c>
      <c r="D7693">
        <v>3</v>
      </c>
      <c r="E7693">
        <f t="shared" si="119"/>
        <v>2.8294014600361698E-31</v>
      </c>
    </row>
    <row r="7694" spans="1:5" x14ac:dyDescent="0.25">
      <c r="A7694">
        <v>9</v>
      </c>
      <c r="B7694">
        <v>2</v>
      </c>
      <c r="C7694">
        <v>35</v>
      </c>
      <c r="D7694">
        <v>2</v>
      </c>
      <c r="E7694">
        <f t="shared" ref="E7694:E7757" si="120">COMBIN(A$4,A7694)*COMBIN(B$4,B7694)*COMBIN(C$4,C7694)*COMBIN(D$4,D7694)/COMBIN($G$4,$F$4)</f>
        <v>3.2687495128368164E-32</v>
      </c>
    </row>
    <row r="7695" spans="1:5" x14ac:dyDescent="0.25">
      <c r="A7695">
        <v>9</v>
      </c>
      <c r="B7695">
        <v>2</v>
      </c>
      <c r="C7695">
        <v>36</v>
      </c>
      <c r="D7695">
        <v>1</v>
      </c>
      <c r="E7695">
        <f t="shared" si="120"/>
        <v>2.269964939470012E-33</v>
      </c>
    </row>
    <row r="7696" spans="1:5" x14ac:dyDescent="0.25">
      <c r="A7696">
        <v>9</v>
      </c>
      <c r="B7696">
        <v>2</v>
      </c>
      <c r="C7696">
        <v>37</v>
      </c>
      <c r="D7696">
        <v>0</v>
      </c>
      <c r="E7696">
        <f t="shared" si="120"/>
        <v>7.1166468372573333E-35</v>
      </c>
    </row>
    <row r="7697" spans="1:5" x14ac:dyDescent="0.25">
      <c r="A7697">
        <v>9</v>
      </c>
      <c r="B7697">
        <v>3</v>
      </c>
      <c r="C7697">
        <v>11</v>
      </c>
      <c r="D7697">
        <v>25</v>
      </c>
      <c r="E7697">
        <f t="shared" si="120"/>
        <v>3.1005590893605416E-39</v>
      </c>
    </row>
    <row r="7698" spans="1:5" x14ac:dyDescent="0.25">
      <c r="A7698">
        <v>9</v>
      </c>
      <c r="B7698">
        <v>3</v>
      </c>
      <c r="C7698">
        <v>12</v>
      </c>
      <c r="D7698">
        <v>24</v>
      </c>
      <c r="E7698">
        <f t="shared" si="120"/>
        <v>3.4881289755306077E-37</v>
      </c>
    </row>
    <row r="7699" spans="1:5" x14ac:dyDescent="0.25">
      <c r="A7699">
        <v>9</v>
      </c>
      <c r="B7699">
        <v>3</v>
      </c>
      <c r="C7699">
        <v>13</v>
      </c>
      <c r="D7699">
        <v>23</v>
      </c>
      <c r="E7699">
        <f t="shared" si="120"/>
        <v>1.7065000218749748E-35</v>
      </c>
    </row>
    <row r="7700" spans="1:5" x14ac:dyDescent="0.25">
      <c r="A7700">
        <v>9</v>
      </c>
      <c r="B7700">
        <v>3</v>
      </c>
      <c r="C7700">
        <v>14</v>
      </c>
      <c r="D7700">
        <v>22</v>
      </c>
      <c r="E7700">
        <f t="shared" si="120"/>
        <v>4.8594619670535005E-34</v>
      </c>
    </row>
    <row r="7701" spans="1:5" x14ac:dyDescent="0.25">
      <c r="A7701">
        <v>9</v>
      </c>
      <c r="B7701">
        <v>3</v>
      </c>
      <c r="C7701">
        <v>15</v>
      </c>
      <c r="D7701">
        <v>21</v>
      </c>
      <c r="E7701">
        <f t="shared" si="120"/>
        <v>9.0871938783900445E-33</v>
      </c>
    </row>
    <row r="7702" spans="1:5" x14ac:dyDescent="0.25">
      <c r="A7702">
        <v>9</v>
      </c>
      <c r="B7702">
        <v>3</v>
      </c>
      <c r="C7702">
        <v>16</v>
      </c>
      <c r="D7702">
        <v>20</v>
      </c>
      <c r="E7702">
        <f t="shared" si="120"/>
        <v>1.1926941965386931E-31</v>
      </c>
    </row>
    <row r="7703" spans="1:5" x14ac:dyDescent="0.25">
      <c r="A7703">
        <v>9</v>
      </c>
      <c r="B7703">
        <v>3</v>
      </c>
      <c r="C7703">
        <v>17</v>
      </c>
      <c r="D7703">
        <v>19</v>
      </c>
      <c r="E7703">
        <f t="shared" si="120"/>
        <v>1.1459218751058036E-30</v>
      </c>
    </row>
    <row r="7704" spans="1:5" x14ac:dyDescent="0.25">
      <c r="A7704">
        <v>9</v>
      </c>
      <c r="B7704">
        <v>3</v>
      </c>
      <c r="C7704">
        <v>18</v>
      </c>
      <c r="D7704">
        <v>18</v>
      </c>
      <c r="E7704">
        <f t="shared" si="120"/>
        <v>8.2942916674324801E-30</v>
      </c>
    </row>
    <row r="7705" spans="1:5" x14ac:dyDescent="0.25">
      <c r="A7705">
        <v>9</v>
      </c>
      <c r="B7705">
        <v>3</v>
      </c>
      <c r="C7705">
        <v>19</v>
      </c>
      <c r="D7705">
        <v>17</v>
      </c>
      <c r="E7705">
        <f t="shared" si="120"/>
        <v>4.6164281254262368E-29</v>
      </c>
    </row>
    <row r="7706" spans="1:5" x14ac:dyDescent="0.25">
      <c r="A7706">
        <v>9</v>
      </c>
      <c r="B7706">
        <v>3</v>
      </c>
      <c r="C7706">
        <v>20</v>
      </c>
      <c r="D7706">
        <v>16</v>
      </c>
      <c r="E7706">
        <f t="shared" si="120"/>
        <v>2.005581552268511E-28</v>
      </c>
    </row>
    <row r="7707" spans="1:5" x14ac:dyDescent="0.25">
      <c r="A7707">
        <v>9</v>
      </c>
      <c r="B7707">
        <v>3</v>
      </c>
      <c r="C7707">
        <v>21</v>
      </c>
      <c r="D7707">
        <v>15</v>
      </c>
      <c r="E7707">
        <f t="shared" si="120"/>
        <v>6.8762796077777422E-28</v>
      </c>
    </row>
    <row r="7708" spans="1:5" x14ac:dyDescent="0.25">
      <c r="A7708">
        <v>9</v>
      </c>
      <c r="B7708">
        <v>3</v>
      </c>
      <c r="C7708">
        <v>22</v>
      </c>
      <c r="D7708">
        <v>14</v>
      </c>
      <c r="E7708">
        <f t="shared" si="120"/>
        <v>1.875348983939386E-27</v>
      </c>
    </row>
    <row r="7709" spans="1:5" x14ac:dyDescent="0.25">
      <c r="A7709">
        <v>9</v>
      </c>
      <c r="B7709">
        <v>3</v>
      </c>
      <c r="C7709">
        <v>23</v>
      </c>
      <c r="D7709">
        <v>13</v>
      </c>
      <c r="E7709">
        <f t="shared" si="120"/>
        <v>4.0904351026503996E-27</v>
      </c>
    </row>
    <row r="7710" spans="1:5" x14ac:dyDescent="0.25">
      <c r="A7710">
        <v>9</v>
      </c>
      <c r="B7710">
        <v>3</v>
      </c>
      <c r="C7710">
        <v>24</v>
      </c>
      <c r="D7710">
        <v>12</v>
      </c>
      <c r="E7710">
        <f t="shared" si="120"/>
        <v>7.1582614296381984E-27</v>
      </c>
    </row>
    <row r="7711" spans="1:5" x14ac:dyDescent="0.25">
      <c r="A7711">
        <v>9</v>
      </c>
      <c r="B7711">
        <v>3</v>
      </c>
      <c r="C7711">
        <v>25</v>
      </c>
      <c r="D7711">
        <v>11</v>
      </c>
      <c r="E7711">
        <f t="shared" si="120"/>
        <v>1.0062470352519983E-26</v>
      </c>
    </row>
    <row r="7712" spans="1:5" x14ac:dyDescent="0.25">
      <c r="A7712">
        <v>9</v>
      </c>
      <c r="B7712">
        <v>3</v>
      </c>
      <c r="C7712">
        <v>26</v>
      </c>
      <c r="D7712">
        <v>10</v>
      </c>
      <c r="E7712">
        <f t="shared" si="120"/>
        <v>1.1352530654125101E-26</v>
      </c>
    </row>
    <row r="7713" spans="1:5" x14ac:dyDescent="0.25">
      <c r="A7713">
        <v>9</v>
      </c>
      <c r="B7713">
        <v>3</v>
      </c>
      <c r="C7713">
        <v>27</v>
      </c>
      <c r="D7713">
        <v>9</v>
      </c>
      <c r="E7713">
        <f t="shared" si="120"/>
        <v>1.0248812396085162E-26</v>
      </c>
    </row>
    <row r="7714" spans="1:5" x14ac:dyDescent="0.25">
      <c r="A7714">
        <v>9</v>
      </c>
      <c r="B7714">
        <v>3</v>
      </c>
      <c r="C7714">
        <v>28</v>
      </c>
      <c r="D7714">
        <v>8</v>
      </c>
      <c r="E7714">
        <f t="shared" si="120"/>
        <v>7.363642519876314E-27</v>
      </c>
    </row>
    <row r="7715" spans="1:5" x14ac:dyDescent="0.25">
      <c r="A7715">
        <v>9</v>
      </c>
      <c r="B7715">
        <v>3</v>
      </c>
      <c r="C7715">
        <v>29</v>
      </c>
      <c r="D7715">
        <v>7</v>
      </c>
      <c r="E7715">
        <f t="shared" si="120"/>
        <v>4.175552080236379E-27</v>
      </c>
    </row>
    <row r="7716" spans="1:5" x14ac:dyDescent="0.25">
      <c r="A7716">
        <v>9</v>
      </c>
      <c r="B7716">
        <v>3</v>
      </c>
      <c r="C7716">
        <v>30</v>
      </c>
      <c r="D7716">
        <v>6</v>
      </c>
      <c r="E7716">
        <f t="shared" si="120"/>
        <v>1.8460335512623981E-27</v>
      </c>
    </row>
    <row r="7717" spans="1:5" x14ac:dyDescent="0.25">
      <c r="A7717">
        <v>9</v>
      </c>
      <c r="B7717">
        <v>3</v>
      </c>
      <c r="C7717">
        <v>31</v>
      </c>
      <c r="D7717">
        <v>5</v>
      </c>
      <c r="E7717">
        <f t="shared" si="120"/>
        <v>6.25269428653393E-28</v>
      </c>
    </row>
    <row r="7718" spans="1:5" x14ac:dyDescent="0.25">
      <c r="A7718">
        <v>9</v>
      </c>
      <c r="B7718">
        <v>3</v>
      </c>
      <c r="C7718">
        <v>32</v>
      </c>
      <c r="D7718">
        <v>4</v>
      </c>
      <c r="E7718">
        <f t="shared" si="120"/>
        <v>1.5817827808195957E-28</v>
      </c>
    </row>
    <row r="7719" spans="1:5" x14ac:dyDescent="0.25">
      <c r="A7719">
        <v>9</v>
      </c>
      <c r="B7719">
        <v>3</v>
      </c>
      <c r="C7719">
        <v>33</v>
      </c>
      <c r="D7719">
        <v>3</v>
      </c>
      <c r="E7719">
        <f t="shared" si="120"/>
        <v>2.8759686923992643E-29</v>
      </c>
    </row>
    <row r="7720" spans="1:5" x14ac:dyDescent="0.25">
      <c r="A7720">
        <v>9</v>
      </c>
      <c r="B7720">
        <v>3</v>
      </c>
      <c r="C7720">
        <v>34</v>
      </c>
      <c r="D7720">
        <v>2</v>
      </c>
      <c r="E7720">
        <f t="shared" si="120"/>
        <v>3.5306009523060027E-30</v>
      </c>
    </row>
    <row r="7721" spans="1:5" x14ac:dyDescent="0.25">
      <c r="A7721">
        <v>9</v>
      </c>
      <c r="B7721">
        <v>3</v>
      </c>
      <c r="C7721">
        <v>35</v>
      </c>
      <c r="D7721">
        <v>1</v>
      </c>
      <c r="E7721">
        <f t="shared" si="120"/>
        <v>2.605919750511573E-31</v>
      </c>
    </row>
    <row r="7722" spans="1:5" x14ac:dyDescent="0.25">
      <c r="A7722">
        <v>9</v>
      </c>
      <c r="B7722">
        <v>3</v>
      </c>
      <c r="C7722">
        <v>36</v>
      </c>
      <c r="D7722">
        <v>0</v>
      </c>
      <c r="E7722">
        <f t="shared" si="120"/>
        <v>8.6863991683719114E-33</v>
      </c>
    </row>
    <row r="7723" spans="1:5" x14ac:dyDescent="0.25">
      <c r="A7723">
        <v>9</v>
      </c>
      <c r="B7723">
        <v>4</v>
      </c>
      <c r="C7723">
        <v>10</v>
      </c>
      <c r="D7723">
        <v>25</v>
      </c>
      <c r="E7723">
        <f t="shared" si="120"/>
        <v>4.433799497785574E-38</v>
      </c>
    </row>
    <row r="7724" spans="1:5" x14ac:dyDescent="0.25">
      <c r="A7724">
        <v>9</v>
      </c>
      <c r="B7724">
        <v>4</v>
      </c>
      <c r="C7724">
        <v>11</v>
      </c>
      <c r="D7724">
        <v>24</v>
      </c>
      <c r="E7724">
        <f t="shared" si="120"/>
        <v>5.5422493722319682E-36</v>
      </c>
    </row>
    <row r="7725" spans="1:5" x14ac:dyDescent="0.25">
      <c r="A7725">
        <v>9</v>
      </c>
      <c r="B7725">
        <v>4</v>
      </c>
      <c r="C7725">
        <v>12</v>
      </c>
      <c r="D7725">
        <v>23</v>
      </c>
      <c r="E7725">
        <f t="shared" si="120"/>
        <v>2.9928146610052609E-34</v>
      </c>
    </row>
    <row r="7726" spans="1:5" x14ac:dyDescent="0.25">
      <c r="A7726">
        <v>9</v>
      </c>
      <c r="B7726">
        <v>4</v>
      </c>
      <c r="C7726">
        <v>13</v>
      </c>
      <c r="D7726">
        <v>22</v>
      </c>
      <c r="E7726">
        <f t="shared" si="120"/>
        <v>9.3544642865779865E-33</v>
      </c>
    </row>
    <row r="7727" spans="1:5" x14ac:dyDescent="0.25">
      <c r="A7727">
        <v>9</v>
      </c>
      <c r="B7727">
        <v>4</v>
      </c>
      <c r="C7727">
        <v>14</v>
      </c>
      <c r="D7727">
        <v>21</v>
      </c>
      <c r="E7727">
        <f t="shared" si="120"/>
        <v>1.9109834185437893E-31</v>
      </c>
    </row>
    <row r="7728" spans="1:5" x14ac:dyDescent="0.25">
      <c r="A7728">
        <v>9</v>
      </c>
      <c r="B7728">
        <v>4</v>
      </c>
      <c r="C7728">
        <v>15</v>
      </c>
      <c r="D7728">
        <v>20</v>
      </c>
      <c r="E7728">
        <f t="shared" si="120"/>
        <v>2.7288843216805291E-30</v>
      </c>
    </row>
    <row r="7729" spans="1:5" x14ac:dyDescent="0.25">
      <c r="A7729">
        <v>9</v>
      </c>
      <c r="B7729">
        <v>4</v>
      </c>
      <c r="C7729">
        <v>16</v>
      </c>
      <c r="D7729">
        <v>19</v>
      </c>
      <c r="E7729">
        <f t="shared" si="120"/>
        <v>2.8425878350838852E-29</v>
      </c>
    </row>
    <row r="7730" spans="1:5" x14ac:dyDescent="0.25">
      <c r="A7730">
        <v>9</v>
      </c>
      <c r="B7730">
        <v>4</v>
      </c>
      <c r="C7730">
        <v>17</v>
      </c>
      <c r="D7730">
        <v>18</v>
      </c>
      <c r="E7730">
        <f t="shared" si="120"/>
        <v>2.2239069533303357E-28</v>
      </c>
    </row>
    <row r="7731" spans="1:5" x14ac:dyDescent="0.25">
      <c r="A7731">
        <v>9</v>
      </c>
      <c r="B7731">
        <v>4</v>
      </c>
      <c r="C7731">
        <v>18</v>
      </c>
      <c r="D7731">
        <v>17</v>
      </c>
      <c r="E7731">
        <f t="shared" si="120"/>
        <v>1.3343441719981997E-27</v>
      </c>
    </row>
    <row r="7732" spans="1:5" x14ac:dyDescent="0.25">
      <c r="A7732">
        <v>9</v>
      </c>
      <c r="B7732">
        <v>4</v>
      </c>
      <c r="C7732">
        <v>19</v>
      </c>
      <c r="D7732">
        <v>16</v>
      </c>
      <c r="E7732">
        <f t="shared" si="120"/>
        <v>6.2347426516173217E-27</v>
      </c>
    </row>
    <row r="7733" spans="1:5" x14ac:dyDescent="0.25">
      <c r="A7733">
        <v>9</v>
      </c>
      <c r="B7733">
        <v>4</v>
      </c>
      <c r="C7733">
        <v>20</v>
      </c>
      <c r="D7733">
        <v>15</v>
      </c>
      <c r="E7733">
        <f t="shared" si="120"/>
        <v>2.2943852957951762E-26</v>
      </c>
    </row>
    <row r="7734" spans="1:5" x14ac:dyDescent="0.25">
      <c r="A7734">
        <v>9</v>
      </c>
      <c r="B7734">
        <v>4</v>
      </c>
      <c r="C7734">
        <v>21</v>
      </c>
      <c r="D7734">
        <v>14</v>
      </c>
      <c r="E7734">
        <f t="shared" si="120"/>
        <v>6.7043726175832997E-26</v>
      </c>
    </row>
    <row r="7735" spans="1:5" x14ac:dyDescent="0.25">
      <c r="A7735">
        <v>9</v>
      </c>
      <c r="B7735">
        <v>4</v>
      </c>
      <c r="C7735">
        <v>22</v>
      </c>
      <c r="D7735">
        <v>13</v>
      </c>
      <c r="E7735">
        <f t="shared" si="120"/>
        <v>1.564353610769438E-25</v>
      </c>
    </row>
    <row r="7736" spans="1:5" x14ac:dyDescent="0.25">
      <c r="A7736">
        <v>9</v>
      </c>
      <c r="B7736">
        <v>4</v>
      </c>
      <c r="C7736">
        <v>23</v>
      </c>
      <c r="D7736">
        <v>12</v>
      </c>
      <c r="E7736">
        <f t="shared" si="120"/>
        <v>2.9246610983950355E-25</v>
      </c>
    </row>
    <row r="7737" spans="1:5" x14ac:dyDescent="0.25">
      <c r="A7737">
        <v>9</v>
      </c>
      <c r="B7737">
        <v>4</v>
      </c>
      <c r="C7737">
        <v>24</v>
      </c>
      <c r="D7737">
        <v>11</v>
      </c>
      <c r="E7737">
        <f t="shared" si="120"/>
        <v>4.3869916475925523E-25</v>
      </c>
    </row>
    <row r="7738" spans="1:5" x14ac:dyDescent="0.25">
      <c r="A7738">
        <v>9</v>
      </c>
      <c r="B7738">
        <v>4</v>
      </c>
      <c r="C7738">
        <v>25</v>
      </c>
      <c r="D7738">
        <v>10</v>
      </c>
      <c r="E7738">
        <f t="shared" si="120"/>
        <v>5.2760886215046436E-25</v>
      </c>
    </row>
    <row r="7739" spans="1:5" x14ac:dyDescent="0.25">
      <c r="A7739">
        <v>9</v>
      </c>
      <c r="B7739">
        <v>4</v>
      </c>
      <c r="C7739">
        <v>26</v>
      </c>
      <c r="D7739">
        <v>9</v>
      </c>
      <c r="E7739">
        <f t="shared" si="120"/>
        <v>5.0731621360621547E-25</v>
      </c>
    </row>
    <row r="7740" spans="1:5" x14ac:dyDescent="0.25">
      <c r="A7740">
        <v>9</v>
      </c>
      <c r="B7740">
        <v>4</v>
      </c>
      <c r="C7740">
        <v>27</v>
      </c>
      <c r="D7740">
        <v>8</v>
      </c>
      <c r="E7740">
        <f t="shared" si="120"/>
        <v>3.8794769275769417E-25</v>
      </c>
    </row>
    <row r="7741" spans="1:5" x14ac:dyDescent="0.25">
      <c r="A7741">
        <v>9</v>
      </c>
      <c r="B7741">
        <v>4</v>
      </c>
      <c r="C7741">
        <v>28</v>
      </c>
      <c r="D7741">
        <v>7</v>
      </c>
      <c r="E7741">
        <f t="shared" si="120"/>
        <v>2.3400019563162518E-25</v>
      </c>
    </row>
    <row r="7742" spans="1:5" x14ac:dyDescent="0.25">
      <c r="A7742">
        <v>9</v>
      </c>
      <c r="B7742">
        <v>4</v>
      </c>
      <c r="C7742">
        <v>29</v>
      </c>
      <c r="D7742">
        <v>6</v>
      </c>
      <c r="E7742">
        <f t="shared" si="120"/>
        <v>1.0999283242938457E-25</v>
      </c>
    </row>
    <row r="7743" spans="1:5" x14ac:dyDescent="0.25">
      <c r="A7743">
        <v>9</v>
      </c>
      <c r="B7743">
        <v>4</v>
      </c>
      <c r="C7743">
        <v>30</v>
      </c>
      <c r="D7743">
        <v>5</v>
      </c>
      <c r="E7743">
        <f t="shared" si="120"/>
        <v>3.9597419674578442E-26</v>
      </c>
    </row>
    <row r="7744" spans="1:5" x14ac:dyDescent="0.25">
      <c r="A7744">
        <v>9</v>
      </c>
      <c r="B7744">
        <v>4</v>
      </c>
      <c r="C7744">
        <v>31</v>
      </c>
      <c r="D7744">
        <v>4</v>
      </c>
      <c r="E7744">
        <f t="shared" si="120"/>
        <v>1.0644467654456575E-26</v>
      </c>
    </row>
    <row r="7745" spans="1:5" x14ac:dyDescent="0.25">
      <c r="A7745">
        <v>9</v>
      </c>
      <c r="B7745">
        <v>4</v>
      </c>
      <c r="C7745">
        <v>32</v>
      </c>
      <c r="D7745">
        <v>3</v>
      </c>
      <c r="E7745">
        <f t="shared" si="120"/>
        <v>2.056317615065474E-27</v>
      </c>
    </row>
    <row r="7746" spans="1:5" x14ac:dyDescent="0.25">
      <c r="A7746">
        <v>9</v>
      </c>
      <c r="B7746">
        <v>4</v>
      </c>
      <c r="C7746">
        <v>33</v>
      </c>
      <c r="D7746">
        <v>2</v>
      </c>
      <c r="E7746">
        <f t="shared" si="120"/>
        <v>2.6821534109549664E-28</v>
      </c>
    </row>
    <row r="7747" spans="1:5" x14ac:dyDescent="0.25">
      <c r="A7747">
        <v>9</v>
      </c>
      <c r="B7747">
        <v>4</v>
      </c>
      <c r="C7747">
        <v>34</v>
      </c>
      <c r="D7747">
        <v>1</v>
      </c>
      <c r="E7747">
        <f t="shared" si="120"/>
        <v>2.1036497340823267E-29</v>
      </c>
    </row>
    <row r="7748" spans="1:5" x14ac:dyDescent="0.25">
      <c r="A7748">
        <v>9</v>
      </c>
      <c r="B7748">
        <v>4</v>
      </c>
      <c r="C7748">
        <v>35</v>
      </c>
      <c r="D7748">
        <v>0</v>
      </c>
      <c r="E7748">
        <f t="shared" si="120"/>
        <v>7.4529304864630997E-31</v>
      </c>
    </row>
    <row r="7749" spans="1:5" x14ac:dyDescent="0.25">
      <c r="A7749">
        <v>9</v>
      </c>
      <c r="B7749">
        <v>5</v>
      </c>
      <c r="C7749">
        <v>9</v>
      </c>
      <c r="D7749">
        <v>25</v>
      </c>
      <c r="E7749">
        <f t="shared" si="120"/>
        <v>4.5129744888174586E-37</v>
      </c>
    </row>
    <row r="7750" spans="1:5" x14ac:dyDescent="0.25">
      <c r="A7750">
        <v>9</v>
      </c>
      <c r="B7750">
        <v>5</v>
      </c>
      <c r="C7750">
        <v>10</v>
      </c>
      <c r="D7750">
        <v>24</v>
      </c>
      <c r="E7750">
        <f t="shared" si="120"/>
        <v>6.318164284344443E-35</v>
      </c>
    </row>
    <row r="7751" spans="1:5" x14ac:dyDescent="0.25">
      <c r="A7751">
        <v>9</v>
      </c>
      <c r="B7751">
        <v>5</v>
      </c>
      <c r="C7751">
        <v>11</v>
      </c>
      <c r="D7751">
        <v>23</v>
      </c>
      <c r="E7751">
        <f t="shared" si="120"/>
        <v>3.7908985706066661E-33</v>
      </c>
    </row>
    <row r="7752" spans="1:5" x14ac:dyDescent="0.25">
      <c r="A7752">
        <v>9</v>
      </c>
      <c r="B7752">
        <v>5</v>
      </c>
      <c r="C7752">
        <v>12</v>
      </c>
      <c r="D7752">
        <v>22</v>
      </c>
      <c r="E7752">
        <f t="shared" si="120"/>
        <v>1.307860006859299E-31</v>
      </c>
    </row>
    <row r="7753" spans="1:5" x14ac:dyDescent="0.25">
      <c r="A7753">
        <v>9</v>
      </c>
      <c r="B7753">
        <v>5</v>
      </c>
      <c r="C7753">
        <v>13</v>
      </c>
      <c r="D7753">
        <v>21</v>
      </c>
      <c r="E7753">
        <f t="shared" si="120"/>
        <v>2.9326245538421997E-30</v>
      </c>
    </row>
    <row r="7754" spans="1:5" x14ac:dyDescent="0.25">
      <c r="A7754">
        <v>9</v>
      </c>
      <c r="B7754">
        <v>5</v>
      </c>
      <c r="C7754">
        <v>14</v>
      </c>
      <c r="D7754">
        <v>20</v>
      </c>
      <c r="E7754">
        <f t="shared" si="120"/>
        <v>4.5748943039938305E-29</v>
      </c>
    </row>
    <row r="7755" spans="1:5" x14ac:dyDescent="0.25">
      <c r="A7755">
        <v>9</v>
      </c>
      <c r="B7755">
        <v>5</v>
      </c>
      <c r="C7755">
        <v>15</v>
      </c>
      <c r="D7755">
        <v>19</v>
      </c>
      <c r="E7755">
        <f t="shared" si="120"/>
        <v>5.1848802111930055E-28</v>
      </c>
    </row>
    <row r="7756" spans="1:5" x14ac:dyDescent="0.25">
      <c r="A7756">
        <v>9</v>
      </c>
      <c r="B7756">
        <v>5</v>
      </c>
      <c r="C7756">
        <v>16</v>
      </c>
      <c r="D7756">
        <v>18</v>
      </c>
      <c r="E7756">
        <f t="shared" si="120"/>
        <v>4.3978894648512125E-27</v>
      </c>
    </row>
    <row r="7757" spans="1:5" x14ac:dyDescent="0.25">
      <c r="A7757">
        <v>9</v>
      </c>
      <c r="B7757">
        <v>5</v>
      </c>
      <c r="C7757">
        <v>17</v>
      </c>
      <c r="D7757">
        <v>17</v>
      </c>
      <c r="E7757">
        <f t="shared" si="120"/>
        <v>2.8521606676461549E-26</v>
      </c>
    </row>
    <row r="7758" spans="1:5" x14ac:dyDescent="0.25">
      <c r="A7758">
        <v>9</v>
      </c>
      <c r="B7758">
        <v>5</v>
      </c>
      <c r="C7758">
        <v>18</v>
      </c>
      <c r="D7758">
        <v>16</v>
      </c>
      <c r="E7758">
        <f t="shared" ref="E7758:E7821" si="121">COMBIN(A$4,A7758)*COMBIN(B$4,B7758)*COMBIN(C$4,C7758)*COMBIN(D$4,D7758)/COMBIN($G$4,$F$4)</f>
        <v>1.4366438918513952E-25</v>
      </c>
    </row>
    <row r="7759" spans="1:5" x14ac:dyDescent="0.25">
      <c r="A7759">
        <v>9</v>
      </c>
      <c r="B7759">
        <v>5</v>
      </c>
      <c r="C7759">
        <v>19</v>
      </c>
      <c r="D7759">
        <v>15</v>
      </c>
      <c r="E7759">
        <f t="shared" si="121"/>
        <v>5.6860852982749967E-25</v>
      </c>
    </row>
    <row r="7760" spans="1:5" x14ac:dyDescent="0.25">
      <c r="A7760">
        <v>9</v>
      </c>
      <c r="B7760">
        <v>5</v>
      </c>
      <c r="C7760">
        <v>20</v>
      </c>
      <c r="D7760">
        <v>14</v>
      </c>
      <c r="E7760">
        <f t="shared" si="121"/>
        <v>1.7833631162771598E-24</v>
      </c>
    </row>
    <row r="7761" spans="1:5" x14ac:dyDescent="0.25">
      <c r="A7761">
        <v>9</v>
      </c>
      <c r="B7761">
        <v>5</v>
      </c>
      <c r="C7761">
        <v>21</v>
      </c>
      <c r="D7761">
        <v>13</v>
      </c>
      <c r="E7761">
        <f t="shared" si="121"/>
        <v>4.4584077906928948E-24</v>
      </c>
    </row>
    <row r="7762" spans="1:5" x14ac:dyDescent="0.25">
      <c r="A7762">
        <v>9</v>
      </c>
      <c r="B7762">
        <v>5</v>
      </c>
      <c r="C7762">
        <v>22</v>
      </c>
      <c r="D7762">
        <v>12</v>
      </c>
      <c r="E7762">
        <f t="shared" si="121"/>
        <v>8.916815581385797E-24</v>
      </c>
    </row>
    <row r="7763" spans="1:5" x14ac:dyDescent="0.25">
      <c r="A7763">
        <v>9</v>
      </c>
      <c r="B7763">
        <v>5</v>
      </c>
      <c r="C7763">
        <v>23</v>
      </c>
      <c r="D7763">
        <v>11</v>
      </c>
      <c r="E7763">
        <f t="shared" si="121"/>
        <v>1.4289058509301456E-23</v>
      </c>
    </row>
    <row r="7764" spans="1:5" x14ac:dyDescent="0.25">
      <c r="A7764">
        <v>9</v>
      </c>
      <c r="B7764">
        <v>5</v>
      </c>
      <c r="C7764">
        <v>24</v>
      </c>
      <c r="D7764">
        <v>10</v>
      </c>
      <c r="E7764">
        <f t="shared" si="121"/>
        <v>1.8337625086936867E-23</v>
      </c>
    </row>
    <row r="7765" spans="1:5" x14ac:dyDescent="0.25">
      <c r="A7765">
        <v>9</v>
      </c>
      <c r="B7765">
        <v>5</v>
      </c>
      <c r="C7765">
        <v>25</v>
      </c>
      <c r="D7765">
        <v>9</v>
      </c>
      <c r="E7765">
        <f t="shared" si="121"/>
        <v>1.8796065714110299E-23</v>
      </c>
    </row>
    <row r="7766" spans="1:5" x14ac:dyDescent="0.25">
      <c r="A7766">
        <v>9</v>
      </c>
      <c r="B7766">
        <v>5</v>
      </c>
      <c r="C7766">
        <v>26</v>
      </c>
      <c r="D7766">
        <v>8</v>
      </c>
      <c r="E7766">
        <f t="shared" si="121"/>
        <v>1.5309012798822858E-23</v>
      </c>
    </row>
    <row r="7767" spans="1:5" x14ac:dyDescent="0.25">
      <c r="A7767">
        <v>9</v>
      </c>
      <c r="B7767">
        <v>5</v>
      </c>
      <c r="C7767">
        <v>27</v>
      </c>
      <c r="D7767">
        <v>7</v>
      </c>
      <c r="E7767">
        <f t="shared" si="121"/>
        <v>9.8280082165282559E-24</v>
      </c>
    </row>
    <row r="7768" spans="1:5" x14ac:dyDescent="0.25">
      <c r="A7768">
        <v>9</v>
      </c>
      <c r="B7768">
        <v>5</v>
      </c>
      <c r="C7768">
        <v>28</v>
      </c>
      <c r="D7768">
        <v>6</v>
      </c>
      <c r="E7768">
        <f t="shared" si="121"/>
        <v>4.9140041082641265E-24</v>
      </c>
    </row>
    <row r="7769" spans="1:5" x14ac:dyDescent="0.25">
      <c r="A7769">
        <v>9</v>
      </c>
      <c r="B7769">
        <v>5</v>
      </c>
      <c r="C7769">
        <v>29</v>
      </c>
      <c r="D7769">
        <v>5</v>
      </c>
      <c r="E7769">
        <f t="shared" si="121"/>
        <v>1.8808774345424764E-24</v>
      </c>
    </row>
    <row r="7770" spans="1:5" x14ac:dyDescent="0.25">
      <c r="A7770">
        <v>9</v>
      </c>
      <c r="B7770">
        <v>5</v>
      </c>
      <c r="C7770">
        <v>30</v>
      </c>
      <c r="D7770">
        <v>4</v>
      </c>
      <c r="E7770">
        <f t="shared" si="121"/>
        <v>5.3739355272642184E-25</v>
      </c>
    </row>
    <row r="7771" spans="1:5" x14ac:dyDescent="0.25">
      <c r="A7771">
        <v>9</v>
      </c>
      <c r="B7771">
        <v>5</v>
      </c>
      <c r="C7771">
        <v>31</v>
      </c>
      <c r="D7771">
        <v>3</v>
      </c>
      <c r="E7771">
        <f t="shared" si="121"/>
        <v>1.103153920552772E-25</v>
      </c>
    </row>
    <row r="7772" spans="1:5" x14ac:dyDescent="0.25">
      <c r="A7772">
        <v>9</v>
      </c>
      <c r="B7772">
        <v>5</v>
      </c>
      <c r="C7772">
        <v>32</v>
      </c>
      <c r="D7772">
        <v>2</v>
      </c>
      <c r="E7772">
        <f t="shared" si="121"/>
        <v>1.5288274442443309E-26</v>
      </c>
    </row>
    <row r="7773" spans="1:5" x14ac:dyDescent="0.25">
      <c r="A7773">
        <v>9</v>
      </c>
      <c r="B7773">
        <v>5</v>
      </c>
      <c r="C7773">
        <v>33</v>
      </c>
      <c r="D7773">
        <v>1</v>
      </c>
      <c r="E7773">
        <f t="shared" si="121"/>
        <v>1.274022870203609E-27</v>
      </c>
    </row>
    <row r="7774" spans="1:5" x14ac:dyDescent="0.25">
      <c r="A7774">
        <v>9</v>
      </c>
      <c r="B7774">
        <v>5</v>
      </c>
      <c r="C7774">
        <v>34</v>
      </c>
      <c r="D7774">
        <v>0</v>
      </c>
      <c r="E7774">
        <f t="shared" si="121"/>
        <v>4.7963213937077046E-29</v>
      </c>
    </row>
    <row r="7775" spans="1:5" x14ac:dyDescent="0.25">
      <c r="A7775">
        <v>9</v>
      </c>
      <c r="B7775">
        <v>6</v>
      </c>
      <c r="C7775">
        <v>8</v>
      </c>
      <c r="D7775">
        <v>25</v>
      </c>
      <c r="E7775">
        <f t="shared" si="121"/>
        <v>3.3728546179583119E-36</v>
      </c>
    </row>
    <row r="7776" spans="1:5" x14ac:dyDescent="0.25">
      <c r="A7776">
        <v>9</v>
      </c>
      <c r="B7776">
        <v>6</v>
      </c>
      <c r="C7776">
        <v>9</v>
      </c>
      <c r="D7776">
        <v>24</v>
      </c>
      <c r="E7776">
        <f t="shared" si="121"/>
        <v>5.3403531451006598E-34</v>
      </c>
    </row>
    <row r="7777" spans="1:5" x14ac:dyDescent="0.25">
      <c r="A7777">
        <v>9</v>
      </c>
      <c r="B7777">
        <v>6</v>
      </c>
      <c r="C7777">
        <v>10</v>
      </c>
      <c r="D7777">
        <v>23</v>
      </c>
      <c r="E7777">
        <f t="shared" si="121"/>
        <v>3.5887173135076439E-32</v>
      </c>
    </row>
    <row r="7778" spans="1:5" x14ac:dyDescent="0.25">
      <c r="A7778">
        <v>9</v>
      </c>
      <c r="B7778">
        <v>6</v>
      </c>
      <c r="C7778">
        <v>11</v>
      </c>
      <c r="D7778">
        <v>22</v>
      </c>
      <c r="E7778">
        <f t="shared" si="121"/>
        <v>1.3756749701779302E-30</v>
      </c>
    </row>
    <row r="7779" spans="1:5" x14ac:dyDescent="0.25">
      <c r="A7779">
        <v>9</v>
      </c>
      <c r="B7779">
        <v>6</v>
      </c>
      <c r="C7779">
        <v>12</v>
      </c>
      <c r="D7779">
        <v>21</v>
      </c>
      <c r="E7779">
        <f t="shared" si="121"/>
        <v>3.4047955511903753E-29</v>
      </c>
    </row>
    <row r="7780" spans="1:5" x14ac:dyDescent="0.25">
      <c r="A7780">
        <v>9</v>
      </c>
      <c r="B7780">
        <v>6</v>
      </c>
      <c r="C7780">
        <v>13</v>
      </c>
      <c r="D7780">
        <v>20</v>
      </c>
      <c r="E7780">
        <f t="shared" si="121"/>
        <v>5.8300576130382904E-28</v>
      </c>
    </row>
    <row r="7781" spans="1:5" x14ac:dyDescent="0.25">
      <c r="A7781">
        <v>9</v>
      </c>
      <c r="B7781">
        <v>6</v>
      </c>
      <c r="C7781">
        <v>14</v>
      </c>
      <c r="D7781">
        <v>19</v>
      </c>
      <c r="E7781">
        <f t="shared" si="121"/>
        <v>7.2181665685235982E-27</v>
      </c>
    </row>
    <row r="7782" spans="1:5" x14ac:dyDescent="0.25">
      <c r="A7782">
        <v>9</v>
      </c>
      <c r="B7782">
        <v>6</v>
      </c>
      <c r="C7782">
        <v>15</v>
      </c>
      <c r="D7782">
        <v>18</v>
      </c>
      <c r="E7782">
        <f t="shared" si="121"/>
        <v>6.6613365760946357E-26</v>
      </c>
    </row>
    <row r="7783" spans="1:5" x14ac:dyDescent="0.25">
      <c r="A7783">
        <v>9</v>
      </c>
      <c r="B7783">
        <v>6</v>
      </c>
      <c r="C7783">
        <v>16</v>
      </c>
      <c r="D7783">
        <v>17</v>
      </c>
      <c r="E7783">
        <f t="shared" si="121"/>
        <v>4.6837522800665396E-25</v>
      </c>
    </row>
    <row r="7784" spans="1:5" x14ac:dyDescent="0.25">
      <c r="A7784">
        <v>9</v>
      </c>
      <c r="B7784">
        <v>6</v>
      </c>
      <c r="C7784">
        <v>17</v>
      </c>
      <c r="D7784">
        <v>16</v>
      </c>
      <c r="E7784">
        <f t="shared" si="121"/>
        <v>2.5500429080362286E-24</v>
      </c>
    </row>
    <row r="7785" spans="1:5" x14ac:dyDescent="0.25">
      <c r="A7785">
        <v>9</v>
      </c>
      <c r="B7785">
        <v>6</v>
      </c>
      <c r="C7785">
        <v>18</v>
      </c>
      <c r="D7785">
        <v>15</v>
      </c>
      <c r="E7785">
        <f t="shared" si="121"/>
        <v>1.0880183074287897E-23</v>
      </c>
    </row>
    <row r="7786" spans="1:5" x14ac:dyDescent="0.25">
      <c r="A7786">
        <v>9</v>
      </c>
      <c r="B7786">
        <v>6</v>
      </c>
      <c r="C7786">
        <v>19</v>
      </c>
      <c r="D7786">
        <v>14</v>
      </c>
      <c r="E7786">
        <f t="shared" si="121"/>
        <v>3.6701096016138624E-23</v>
      </c>
    </row>
    <row r="7787" spans="1:5" x14ac:dyDescent="0.25">
      <c r="A7787">
        <v>9</v>
      </c>
      <c r="B7787">
        <v>6</v>
      </c>
      <c r="C7787">
        <v>20</v>
      </c>
      <c r="D7787">
        <v>13</v>
      </c>
      <c r="E7787">
        <f t="shared" si="121"/>
        <v>9.8481274309972062E-23</v>
      </c>
    </row>
    <row r="7788" spans="1:5" x14ac:dyDescent="0.25">
      <c r="A7788">
        <v>9</v>
      </c>
      <c r="B7788">
        <v>6</v>
      </c>
      <c r="C7788">
        <v>21</v>
      </c>
      <c r="D7788">
        <v>12</v>
      </c>
      <c r="E7788">
        <f t="shared" si="121"/>
        <v>2.1103130209279703E-22</v>
      </c>
    </row>
    <row r="7789" spans="1:5" x14ac:dyDescent="0.25">
      <c r="A7789">
        <v>9</v>
      </c>
      <c r="B7789">
        <v>6</v>
      </c>
      <c r="C7789">
        <v>22</v>
      </c>
      <c r="D7789">
        <v>11</v>
      </c>
      <c r="E7789">
        <f t="shared" si="121"/>
        <v>3.6176794644479508E-22</v>
      </c>
    </row>
    <row r="7790" spans="1:5" x14ac:dyDescent="0.25">
      <c r="A7790">
        <v>9</v>
      </c>
      <c r="B7790">
        <v>6</v>
      </c>
      <c r="C7790">
        <v>23</v>
      </c>
      <c r="D7790">
        <v>10</v>
      </c>
      <c r="E7790">
        <f t="shared" si="121"/>
        <v>4.9598909758953037E-22</v>
      </c>
    </row>
    <row r="7791" spans="1:5" x14ac:dyDescent="0.25">
      <c r="A7791">
        <v>9</v>
      </c>
      <c r="B7791">
        <v>6</v>
      </c>
      <c r="C7791">
        <v>24</v>
      </c>
      <c r="D7791">
        <v>9</v>
      </c>
      <c r="E7791">
        <f t="shared" si="121"/>
        <v>5.4248807548854899E-22</v>
      </c>
    </row>
    <row r="7792" spans="1:5" x14ac:dyDescent="0.25">
      <c r="A7792">
        <v>9</v>
      </c>
      <c r="B7792">
        <v>6</v>
      </c>
      <c r="C7792">
        <v>25</v>
      </c>
      <c r="D7792">
        <v>8</v>
      </c>
      <c r="E7792">
        <f t="shared" si="121"/>
        <v>4.7100729377711686E-22</v>
      </c>
    </row>
    <row r="7793" spans="1:5" x14ac:dyDescent="0.25">
      <c r="A7793">
        <v>9</v>
      </c>
      <c r="B7793">
        <v>6</v>
      </c>
      <c r="C7793">
        <v>26</v>
      </c>
      <c r="D7793">
        <v>7</v>
      </c>
      <c r="E7793">
        <f t="shared" si="121"/>
        <v>3.2205626924931047E-22</v>
      </c>
    </row>
    <row r="7794" spans="1:5" x14ac:dyDescent="0.25">
      <c r="A7794">
        <v>9</v>
      </c>
      <c r="B7794">
        <v>6</v>
      </c>
      <c r="C7794">
        <v>27</v>
      </c>
      <c r="D7794">
        <v>6</v>
      </c>
      <c r="E7794">
        <f t="shared" si="121"/>
        <v>1.7138666960051021E-22</v>
      </c>
    </row>
    <row r="7795" spans="1:5" x14ac:dyDescent="0.25">
      <c r="A7795">
        <v>9</v>
      </c>
      <c r="B7795">
        <v>6</v>
      </c>
      <c r="C7795">
        <v>28</v>
      </c>
      <c r="D7795">
        <v>5</v>
      </c>
      <c r="E7795">
        <f t="shared" si="121"/>
        <v>6.9778858337350591E-23</v>
      </c>
    </row>
    <row r="7796" spans="1:5" x14ac:dyDescent="0.25">
      <c r="A7796">
        <v>9</v>
      </c>
      <c r="B7796">
        <v>6</v>
      </c>
      <c r="C7796">
        <v>29</v>
      </c>
      <c r="D7796">
        <v>4</v>
      </c>
      <c r="E7796">
        <f t="shared" si="121"/>
        <v>2.1197190135319978E-23</v>
      </c>
    </row>
    <row r="7797" spans="1:5" x14ac:dyDescent="0.25">
      <c r="A7797">
        <v>9</v>
      </c>
      <c r="B7797">
        <v>6</v>
      </c>
      <c r="C7797">
        <v>30</v>
      </c>
      <c r="D7797">
        <v>3</v>
      </c>
      <c r="E7797">
        <f t="shared" si="121"/>
        <v>4.6248414840698117E-24</v>
      </c>
    </row>
    <row r="7798" spans="1:5" x14ac:dyDescent="0.25">
      <c r="A7798">
        <v>9</v>
      </c>
      <c r="B7798">
        <v>6</v>
      </c>
      <c r="C7798">
        <v>31</v>
      </c>
      <c r="D7798">
        <v>2</v>
      </c>
      <c r="E7798">
        <f t="shared" si="121"/>
        <v>6.8107763790649418E-25</v>
      </c>
    </row>
    <row r="7799" spans="1:5" x14ac:dyDescent="0.25">
      <c r="A7799">
        <v>9</v>
      </c>
      <c r="B7799">
        <v>6</v>
      </c>
      <c r="C7799">
        <v>32</v>
      </c>
      <c r="D7799">
        <v>1</v>
      </c>
      <c r="E7799">
        <f t="shared" si="121"/>
        <v>6.0303749189637487E-26</v>
      </c>
    </row>
    <row r="7800" spans="1:5" x14ac:dyDescent="0.25">
      <c r="A7800">
        <v>9</v>
      </c>
      <c r="B7800">
        <v>6</v>
      </c>
      <c r="C7800">
        <v>33</v>
      </c>
      <c r="D7800">
        <v>0</v>
      </c>
      <c r="E7800">
        <f t="shared" si="121"/>
        <v>2.4121499675854996E-27</v>
      </c>
    </row>
    <row r="7801" spans="1:5" x14ac:dyDescent="0.25">
      <c r="A7801">
        <v>9</v>
      </c>
      <c r="B7801">
        <v>7</v>
      </c>
      <c r="C7801">
        <v>7</v>
      </c>
      <c r="D7801">
        <v>25</v>
      </c>
      <c r="E7801">
        <f t="shared" si="121"/>
        <v>1.8808233633146839E-35</v>
      </c>
    </row>
    <row r="7802" spans="1:5" x14ac:dyDescent="0.25">
      <c r="A7802">
        <v>9</v>
      </c>
      <c r="B7802">
        <v>7</v>
      </c>
      <c r="C7802">
        <v>8</v>
      </c>
      <c r="D7802">
        <v>24</v>
      </c>
      <c r="E7802">
        <f t="shared" si="121"/>
        <v>3.4089923460078659E-33</v>
      </c>
    </row>
    <row r="7803" spans="1:5" x14ac:dyDescent="0.25">
      <c r="A7803">
        <v>9</v>
      </c>
      <c r="B7803">
        <v>7</v>
      </c>
      <c r="C7803">
        <v>9</v>
      </c>
      <c r="D7803">
        <v>23</v>
      </c>
      <c r="E7803">
        <f t="shared" si="121"/>
        <v>2.5908341829659773E-31</v>
      </c>
    </row>
    <row r="7804" spans="1:5" x14ac:dyDescent="0.25">
      <c r="A7804">
        <v>9</v>
      </c>
      <c r="B7804">
        <v>7</v>
      </c>
      <c r="C7804">
        <v>10</v>
      </c>
      <c r="D7804">
        <v>22</v>
      </c>
      <c r="E7804">
        <f t="shared" si="121"/>
        <v>1.1123314758867265E-29</v>
      </c>
    </row>
    <row r="7805" spans="1:5" x14ac:dyDescent="0.25">
      <c r="A7805">
        <v>9</v>
      </c>
      <c r="B7805">
        <v>7</v>
      </c>
      <c r="C7805">
        <v>11</v>
      </c>
      <c r="D7805">
        <v>21</v>
      </c>
      <c r="E7805">
        <f t="shared" si="121"/>
        <v>3.0589115586884982E-28</v>
      </c>
    </row>
    <row r="7806" spans="1:5" x14ac:dyDescent="0.25">
      <c r="A7806">
        <v>9</v>
      </c>
      <c r="B7806">
        <v>7</v>
      </c>
      <c r="C7806">
        <v>12</v>
      </c>
      <c r="D7806">
        <v>20</v>
      </c>
      <c r="E7806">
        <f t="shared" si="121"/>
        <v>5.781342845921257E-27</v>
      </c>
    </row>
    <row r="7807" spans="1:5" x14ac:dyDescent="0.25">
      <c r="A7807">
        <v>9</v>
      </c>
      <c r="B7807">
        <v>7</v>
      </c>
      <c r="C7807">
        <v>13</v>
      </c>
      <c r="D7807">
        <v>19</v>
      </c>
      <c r="E7807">
        <f t="shared" si="121"/>
        <v>7.8566966880468393E-26</v>
      </c>
    </row>
    <row r="7808" spans="1:5" x14ac:dyDescent="0.25">
      <c r="A7808">
        <v>9</v>
      </c>
      <c r="B7808">
        <v>7</v>
      </c>
      <c r="C7808">
        <v>14</v>
      </c>
      <c r="D7808">
        <v>18</v>
      </c>
      <c r="E7808">
        <f t="shared" si="121"/>
        <v>7.9208329875411045E-25</v>
      </c>
    </row>
    <row r="7809" spans="1:5" x14ac:dyDescent="0.25">
      <c r="A7809">
        <v>9</v>
      </c>
      <c r="B7809">
        <v>7</v>
      </c>
      <c r="C7809">
        <v>15</v>
      </c>
      <c r="D7809">
        <v>17</v>
      </c>
      <c r="E7809">
        <f t="shared" si="121"/>
        <v>6.0594372354689405E-24</v>
      </c>
    </row>
    <row r="7810" spans="1:5" x14ac:dyDescent="0.25">
      <c r="A7810">
        <v>9</v>
      </c>
      <c r="B7810">
        <v>7</v>
      </c>
      <c r="C7810">
        <v>16</v>
      </c>
      <c r="D7810">
        <v>16</v>
      </c>
      <c r="E7810">
        <f t="shared" si="121"/>
        <v>3.5767511459365276E-23</v>
      </c>
    </row>
    <row r="7811" spans="1:5" x14ac:dyDescent="0.25">
      <c r="A7811">
        <v>9</v>
      </c>
      <c r="B7811">
        <v>7</v>
      </c>
      <c r="C7811">
        <v>17</v>
      </c>
      <c r="D7811">
        <v>15</v>
      </c>
      <c r="E7811">
        <f t="shared" si="121"/>
        <v>1.6495134696554348E-22</v>
      </c>
    </row>
    <row r="7812" spans="1:5" x14ac:dyDescent="0.25">
      <c r="A7812">
        <v>9</v>
      </c>
      <c r="B7812">
        <v>7</v>
      </c>
      <c r="C7812">
        <v>18</v>
      </c>
      <c r="D7812">
        <v>14</v>
      </c>
      <c r="E7812">
        <f t="shared" si="121"/>
        <v>5.9982307987470302E-22</v>
      </c>
    </row>
    <row r="7813" spans="1:5" x14ac:dyDescent="0.25">
      <c r="A7813">
        <v>9</v>
      </c>
      <c r="B7813">
        <v>7</v>
      </c>
      <c r="C7813">
        <v>19</v>
      </c>
      <c r="D7813">
        <v>13</v>
      </c>
      <c r="E7813">
        <f t="shared" si="121"/>
        <v>1.7310683620945385E-21</v>
      </c>
    </row>
    <row r="7814" spans="1:5" x14ac:dyDescent="0.25">
      <c r="A7814">
        <v>9</v>
      </c>
      <c r="B7814">
        <v>7</v>
      </c>
      <c r="C7814">
        <v>20</v>
      </c>
      <c r="D7814">
        <v>12</v>
      </c>
      <c r="E7814">
        <f t="shared" si="121"/>
        <v>3.981457232817443E-21</v>
      </c>
    </row>
    <row r="7815" spans="1:5" x14ac:dyDescent="0.25">
      <c r="A7815">
        <v>9</v>
      </c>
      <c r="B7815">
        <v>7</v>
      </c>
      <c r="C7815">
        <v>21</v>
      </c>
      <c r="D7815">
        <v>11</v>
      </c>
      <c r="E7815">
        <f t="shared" si="121"/>
        <v>7.312880631705496E-21</v>
      </c>
    </row>
    <row r="7816" spans="1:5" x14ac:dyDescent="0.25">
      <c r="A7816">
        <v>9</v>
      </c>
      <c r="B7816">
        <v>7</v>
      </c>
      <c r="C7816">
        <v>22</v>
      </c>
      <c r="D7816">
        <v>10</v>
      </c>
      <c r="E7816">
        <f t="shared" si="121"/>
        <v>1.0725558259834733E-20</v>
      </c>
    </row>
    <row r="7817" spans="1:5" x14ac:dyDescent="0.25">
      <c r="A7817">
        <v>9</v>
      </c>
      <c r="B7817">
        <v>7</v>
      </c>
      <c r="C7817">
        <v>23</v>
      </c>
      <c r="D7817">
        <v>9</v>
      </c>
      <c r="E7817">
        <f t="shared" si="121"/>
        <v>1.2532581662306889E-20</v>
      </c>
    </row>
    <row r="7818" spans="1:5" x14ac:dyDescent="0.25">
      <c r="A7818">
        <v>9</v>
      </c>
      <c r="B7818">
        <v>7</v>
      </c>
      <c r="C7818">
        <v>24</v>
      </c>
      <c r="D7818">
        <v>8</v>
      </c>
      <c r="E7818">
        <f t="shared" si="121"/>
        <v>1.1611068304784323E-20</v>
      </c>
    </row>
    <row r="7819" spans="1:5" x14ac:dyDescent="0.25">
      <c r="A7819">
        <v>9</v>
      </c>
      <c r="B7819">
        <v>7</v>
      </c>
      <c r="C7819">
        <v>25</v>
      </c>
      <c r="D7819">
        <v>7</v>
      </c>
      <c r="E7819">
        <f t="shared" si="121"/>
        <v>8.4631786754872453E-21</v>
      </c>
    </row>
    <row r="7820" spans="1:5" x14ac:dyDescent="0.25">
      <c r="A7820">
        <v>9</v>
      </c>
      <c r="B7820">
        <v>7</v>
      </c>
      <c r="C7820">
        <v>26</v>
      </c>
      <c r="D7820">
        <v>6</v>
      </c>
      <c r="E7820">
        <f t="shared" si="121"/>
        <v>4.7969433788186766E-21</v>
      </c>
    </row>
    <row r="7821" spans="1:5" x14ac:dyDescent="0.25">
      <c r="A7821">
        <v>9</v>
      </c>
      <c r="B7821">
        <v>7</v>
      </c>
      <c r="C7821">
        <v>27</v>
      </c>
      <c r="D7821">
        <v>5</v>
      </c>
      <c r="E7821">
        <f t="shared" si="121"/>
        <v>2.0786754641547597E-21</v>
      </c>
    </row>
    <row r="7822" spans="1:5" x14ac:dyDescent="0.25">
      <c r="A7822">
        <v>9</v>
      </c>
      <c r="B7822">
        <v>7</v>
      </c>
      <c r="C7822">
        <v>28</v>
      </c>
      <c r="D7822">
        <v>4</v>
      </c>
      <c r="E7822">
        <f t="shared" ref="E7822:E7885" si="122">COMBIN(A$4,A7822)*COMBIN(B$4,B7822)*COMBIN(C$4,C7822)*COMBIN(D$4,D7822)/COMBIN($G$4,$F$4)</f>
        <v>6.7168084726089206E-22</v>
      </c>
    </row>
    <row r="7823" spans="1:5" x14ac:dyDescent="0.25">
      <c r="A7823">
        <v>9</v>
      </c>
      <c r="B7823">
        <v>7</v>
      </c>
      <c r="C7823">
        <v>29</v>
      </c>
      <c r="D7823">
        <v>3</v>
      </c>
      <c r="E7823">
        <f t="shared" si="122"/>
        <v>1.5581311190378064E-22</v>
      </c>
    </row>
    <row r="7824" spans="1:5" x14ac:dyDescent="0.25">
      <c r="A7824">
        <v>9</v>
      </c>
      <c r="B7824">
        <v>7</v>
      </c>
      <c r="C7824">
        <v>30</v>
      </c>
      <c r="D7824">
        <v>2</v>
      </c>
      <c r="E7824">
        <f t="shared" si="122"/>
        <v>2.4388139254504788E-23</v>
      </c>
    </row>
    <row r="7825" spans="1:5" x14ac:dyDescent="0.25">
      <c r="A7825">
        <v>9</v>
      </c>
      <c r="B7825">
        <v>7</v>
      </c>
      <c r="C7825">
        <v>31</v>
      </c>
      <c r="D7825">
        <v>1</v>
      </c>
      <c r="E7825">
        <f t="shared" si="122"/>
        <v>2.2945829943754509E-24</v>
      </c>
    </row>
    <row r="7826" spans="1:5" x14ac:dyDescent="0.25">
      <c r="A7826">
        <v>9</v>
      </c>
      <c r="B7826">
        <v>7</v>
      </c>
      <c r="C7826">
        <v>32</v>
      </c>
      <c r="D7826">
        <v>0</v>
      </c>
      <c r="E7826">
        <f t="shared" si="122"/>
        <v>9.751977726095663E-26</v>
      </c>
    </row>
    <row r="7827" spans="1:5" x14ac:dyDescent="0.25">
      <c r="A7827">
        <v>9</v>
      </c>
      <c r="B7827">
        <v>8</v>
      </c>
      <c r="C7827">
        <v>6</v>
      </c>
      <c r="D7827">
        <v>25</v>
      </c>
      <c r="E7827">
        <f t="shared" si="122"/>
        <v>7.8659858457270884E-35</v>
      </c>
    </row>
    <row r="7828" spans="1:5" x14ac:dyDescent="0.25">
      <c r="A7828">
        <v>9</v>
      </c>
      <c r="B7828">
        <v>8</v>
      </c>
      <c r="C7828">
        <v>7</v>
      </c>
      <c r="D7828">
        <v>24</v>
      </c>
      <c r="E7828">
        <f t="shared" si="122"/>
        <v>1.6574755889210654E-32</v>
      </c>
    </row>
    <row r="7829" spans="1:5" x14ac:dyDescent="0.25">
      <c r="A7829">
        <v>9</v>
      </c>
      <c r="B7829">
        <v>8</v>
      </c>
      <c r="C7829">
        <v>8</v>
      </c>
      <c r="D7829">
        <v>23</v>
      </c>
      <c r="E7829">
        <f t="shared" si="122"/>
        <v>1.4420037623613268E-30</v>
      </c>
    </row>
    <row r="7830" spans="1:5" x14ac:dyDescent="0.25">
      <c r="A7830">
        <v>9</v>
      </c>
      <c r="B7830">
        <v>8</v>
      </c>
      <c r="C7830">
        <v>9</v>
      </c>
      <c r="D7830">
        <v>22</v>
      </c>
      <c r="E7830">
        <f t="shared" si="122"/>
        <v>7.0017293794655516E-29</v>
      </c>
    </row>
    <row r="7831" spans="1:5" x14ac:dyDescent="0.25">
      <c r="A7831">
        <v>9</v>
      </c>
      <c r="B7831">
        <v>8</v>
      </c>
      <c r="C7831">
        <v>10</v>
      </c>
      <c r="D7831">
        <v>21</v>
      </c>
      <c r="E7831">
        <f t="shared" si="122"/>
        <v>2.1565326488753909E-27</v>
      </c>
    </row>
    <row r="7832" spans="1:5" x14ac:dyDescent="0.25">
      <c r="A7832">
        <v>9</v>
      </c>
      <c r="B7832">
        <v>8</v>
      </c>
      <c r="C7832">
        <v>11</v>
      </c>
      <c r="D7832">
        <v>20</v>
      </c>
      <c r="E7832">
        <f t="shared" si="122"/>
        <v>4.5287185626383199E-26</v>
      </c>
    </row>
    <row r="7833" spans="1:5" x14ac:dyDescent="0.25">
      <c r="A7833">
        <v>9</v>
      </c>
      <c r="B7833">
        <v>8</v>
      </c>
      <c r="C7833">
        <v>12</v>
      </c>
      <c r="D7833">
        <v>19</v>
      </c>
      <c r="E7833">
        <f t="shared" si="122"/>
        <v>6.7930778439574757E-25</v>
      </c>
    </row>
    <row r="7834" spans="1:5" x14ac:dyDescent="0.25">
      <c r="A7834">
        <v>9</v>
      </c>
      <c r="B7834">
        <v>8</v>
      </c>
      <c r="C7834">
        <v>13</v>
      </c>
      <c r="D7834">
        <v>18</v>
      </c>
      <c r="E7834">
        <f t="shared" si="122"/>
        <v>7.5171751525991028E-24</v>
      </c>
    </row>
    <row r="7835" spans="1:5" x14ac:dyDescent="0.25">
      <c r="A7835">
        <v>9</v>
      </c>
      <c r="B7835">
        <v>8</v>
      </c>
      <c r="C7835">
        <v>14</v>
      </c>
      <c r="D7835">
        <v>17</v>
      </c>
      <c r="E7835">
        <f t="shared" si="122"/>
        <v>6.2822106632435363E-23</v>
      </c>
    </row>
    <row r="7836" spans="1:5" x14ac:dyDescent="0.25">
      <c r="A7836">
        <v>9</v>
      </c>
      <c r="B7836">
        <v>8</v>
      </c>
      <c r="C7836">
        <v>15</v>
      </c>
      <c r="D7836">
        <v>16</v>
      </c>
      <c r="E7836">
        <f t="shared" si="122"/>
        <v>4.0345752926164025E-22</v>
      </c>
    </row>
    <row r="7837" spans="1:5" x14ac:dyDescent="0.25">
      <c r="A7837">
        <v>9</v>
      </c>
      <c r="B7837">
        <v>8</v>
      </c>
      <c r="C7837">
        <v>16</v>
      </c>
      <c r="D7837">
        <v>15</v>
      </c>
      <c r="E7837">
        <f t="shared" si="122"/>
        <v>2.0172876463082016E-21</v>
      </c>
    </row>
    <row r="7838" spans="1:5" x14ac:dyDescent="0.25">
      <c r="A7838">
        <v>9</v>
      </c>
      <c r="B7838">
        <v>8</v>
      </c>
      <c r="C7838">
        <v>17</v>
      </c>
      <c r="D7838">
        <v>14</v>
      </c>
      <c r="E7838">
        <f t="shared" si="122"/>
        <v>7.9289113370937374E-21</v>
      </c>
    </row>
    <row r="7839" spans="1:5" x14ac:dyDescent="0.25">
      <c r="A7839">
        <v>9</v>
      </c>
      <c r="B7839">
        <v>8</v>
      </c>
      <c r="C7839">
        <v>18</v>
      </c>
      <c r="D7839">
        <v>13</v>
      </c>
      <c r="E7839">
        <f t="shared" si="122"/>
        <v>2.4667724159847166E-20</v>
      </c>
    </row>
    <row r="7840" spans="1:5" x14ac:dyDescent="0.25">
      <c r="A7840">
        <v>9</v>
      </c>
      <c r="B7840">
        <v>8</v>
      </c>
      <c r="C7840">
        <v>19</v>
      </c>
      <c r="D7840">
        <v>12</v>
      </c>
      <c r="E7840">
        <f t="shared" si="122"/>
        <v>6.1020159763832482E-20</v>
      </c>
    </row>
    <row r="7841" spans="1:5" x14ac:dyDescent="0.25">
      <c r="A7841">
        <v>9</v>
      </c>
      <c r="B7841">
        <v>8</v>
      </c>
      <c r="C7841">
        <v>20</v>
      </c>
      <c r="D7841">
        <v>11</v>
      </c>
      <c r="E7841">
        <f t="shared" si="122"/>
        <v>1.2029688639155554E-19</v>
      </c>
    </row>
    <row r="7842" spans="1:5" x14ac:dyDescent="0.25">
      <c r="A7842">
        <v>9</v>
      </c>
      <c r="B7842">
        <v>8</v>
      </c>
      <c r="C7842">
        <v>21</v>
      </c>
      <c r="D7842">
        <v>10</v>
      </c>
      <c r="E7842">
        <f t="shared" si="122"/>
        <v>1.8903796432958702E-19</v>
      </c>
    </row>
    <row r="7843" spans="1:5" x14ac:dyDescent="0.25">
      <c r="A7843">
        <v>9</v>
      </c>
      <c r="B7843">
        <v>8</v>
      </c>
      <c r="C7843">
        <v>22</v>
      </c>
      <c r="D7843">
        <v>9</v>
      </c>
      <c r="E7843">
        <f t="shared" si="122"/>
        <v>2.3629745541198399E-19</v>
      </c>
    </row>
    <row r="7844" spans="1:5" x14ac:dyDescent="0.25">
      <c r="A7844">
        <v>9</v>
      </c>
      <c r="B7844">
        <v>8</v>
      </c>
      <c r="C7844">
        <v>23</v>
      </c>
      <c r="D7844">
        <v>8</v>
      </c>
      <c r="E7844">
        <f t="shared" si="122"/>
        <v>2.3388009013922706E-19</v>
      </c>
    </row>
    <row r="7845" spans="1:5" x14ac:dyDescent="0.25">
      <c r="A7845">
        <v>9</v>
      </c>
      <c r="B7845">
        <v>8</v>
      </c>
      <c r="C7845">
        <v>24</v>
      </c>
      <c r="D7845">
        <v>7</v>
      </c>
      <c r="E7845">
        <f t="shared" si="122"/>
        <v>1.8190673677495442E-19</v>
      </c>
    </row>
    <row r="7846" spans="1:5" x14ac:dyDescent="0.25">
      <c r="A7846">
        <v>9</v>
      </c>
      <c r="B7846">
        <v>8</v>
      </c>
      <c r="C7846">
        <v>25</v>
      </c>
      <c r="D7846">
        <v>6</v>
      </c>
      <c r="E7846">
        <f t="shared" si="122"/>
        <v>1.0990996516718298E-19</v>
      </c>
    </row>
    <row r="7847" spans="1:5" x14ac:dyDescent="0.25">
      <c r="A7847">
        <v>9</v>
      </c>
      <c r="B7847">
        <v>8</v>
      </c>
      <c r="C7847">
        <v>26</v>
      </c>
      <c r="D7847">
        <v>5</v>
      </c>
      <c r="E7847">
        <f t="shared" si="122"/>
        <v>5.0727676231007501E-20</v>
      </c>
    </row>
    <row r="7848" spans="1:5" x14ac:dyDescent="0.25">
      <c r="A7848">
        <v>9</v>
      </c>
      <c r="B7848">
        <v>8</v>
      </c>
      <c r="C7848">
        <v>27</v>
      </c>
      <c r="D7848">
        <v>4</v>
      </c>
      <c r="E7848">
        <f t="shared" si="122"/>
        <v>1.7446026217013166E-20</v>
      </c>
    </row>
    <row r="7849" spans="1:5" x14ac:dyDescent="0.25">
      <c r="A7849">
        <v>9</v>
      </c>
      <c r="B7849">
        <v>8</v>
      </c>
      <c r="C7849">
        <v>28</v>
      </c>
      <c r="D7849">
        <v>3</v>
      </c>
      <c r="E7849">
        <f t="shared" si="122"/>
        <v>4.3048636119902622E-21</v>
      </c>
    </row>
    <row r="7850" spans="1:5" x14ac:dyDescent="0.25">
      <c r="A7850">
        <v>9</v>
      </c>
      <c r="B7850">
        <v>8</v>
      </c>
      <c r="C7850">
        <v>29</v>
      </c>
      <c r="D7850">
        <v>2</v>
      </c>
      <c r="E7850">
        <f t="shared" si="122"/>
        <v>7.164015906010782E-22</v>
      </c>
    </row>
    <row r="7851" spans="1:5" x14ac:dyDescent="0.25">
      <c r="A7851">
        <v>9</v>
      </c>
      <c r="B7851">
        <v>8</v>
      </c>
      <c r="C7851">
        <v>30</v>
      </c>
      <c r="D7851">
        <v>1</v>
      </c>
      <c r="E7851">
        <f t="shared" si="122"/>
        <v>7.1640159060107811E-23</v>
      </c>
    </row>
    <row r="7852" spans="1:5" x14ac:dyDescent="0.25">
      <c r="A7852">
        <v>9</v>
      </c>
      <c r="B7852">
        <v>8</v>
      </c>
      <c r="C7852">
        <v>31</v>
      </c>
      <c r="D7852">
        <v>0</v>
      </c>
      <c r="E7852">
        <f t="shared" si="122"/>
        <v>3.235362022069385E-24</v>
      </c>
    </row>
    <row r="7853" spans="1:5" x14ac:dyDescent="0.25">
      <c r="A7853">
        <v>9</v>
      </c>
      <c r="B7853">
        <v>9</v>
      </c>
      <c r="C7853">
        <v>5</v>
      </c>
      <c r="D7853">
        <v>25</v>
      </c>
      <c r="E7853">
        <f t="shared" si="122"/>
        <v>2.4559355807214583E-34</v>
      </c>
    </row>
    <row r="7854" spans="1:5" x14ac:dyDescent="0.25">
      <c r="A7854">
        <v>9</v>
      </c>
      <c r="B7854">
        <v>9</v>
      </c>
      <c r="C7854">
        <v>6</v>
      </c>
      <c r="D7854">
        <v>24</v>
      </c>
      <c r="E7854">
        <f t="shared" si="122"/>
        <v>6.1398389518036437E-32</v>
      </c>
    </row>
    <row r="7855" spans="1:5" x14ac:dyDescent="0.25">
      <c r="A7855">
        <v>9</v>
      </c>
      <c r="B7855">
        <v>9</v>
      </c>
      <c r="C7855">
        <v>7</v>
      </c>
      <c r="D7855">
        <v>23</v>
      </c>
      <c r="E7855">
        <f t="shared" si="122"/>
        <v>6.2100085398242572E-30</v>
      </c>
    </row>
    <row r="7856" spans="1:5" x14ac:dyDescent="0.25">
      <c r="A7856">
        <v>9</v>
      </c>
      <c r="B7856">
        <v>9</v>
      </c>
      <c r="C7856">
        <v>8</v>
      </c>
      <c r="D7856">
        <v>22</v>
      </c>
      <c r="E7856">
        <f t="shared" si="122"/>
        <v>3.4517297467189833E-28</v>
      </c>
    </row>
    <row r="7857" spans="1:5" x14ac:dyDescent="0.25">
      <c r="A7857">
        <v>9</v>
      </c>
      <c r="B7857">
        <v>9</v>
      </c>
      <c r="C7857">
        <v>9</v>
      </c>
      <c r="D7857">
        <v>21</v>
      </c>
      <c r="E7857">
        <f t="shared" si="122"/>
        <v>1.2023525284404458E-26</v>
      </c>
    </row>
    <row r="7858" spans="1:5" x14ac:dyDescent="0.25">
      <c r="A7858">
        <v>9</v>
      </c>
      <c r="B7858">
        <v>9</v>
      </c>
      <c r="C7858">
        <v>10</v>
      </c>
      <c r="D7858">
        <v>20</v>
      </c>
      <c r="E7858">
        <f t="shared" si="122"/>
        <v>2.8279331468919287E-25</v>
      </c>
    </row>
    <row r="7859" spans="1:5" x14ac:dyDescent="0.25">
      <c r="A7859">
        <v>9</v>
      </c>
      <c r="B7859">
        <v>9</v>
      </c>
      <c r="C7859">
        <v>11</v>
      </c>
      <c r="D7859">
        <v>19</v>
      </c>
      <c r="E7859">
        <f t="shared" si="122"/>
        <v>4.7132219114865473E-24</v>
      </c>
    </row>
    <row r="7860" spans="1:5" x14ac:dyDescent="0.25">
      <c r="A7860">
        <v>9</v>
      </c>
      <c r="B7860">
        <v>9</v>
      </c>
      <c r="C7860">
        <v>12</v>
      </c>
      <c r="D7860">
        <v>18</v>
      </c>
      <c r="E7860">
        <f t="shared" si="122"/>
        <v>5.7568639061728523E-23</v>
      </c>
    </row>
    <row r="7861" spans="1:5" x14ac:dyDescent="0.25">
      <c r="A7861">
        <v>9</v>
      </c>
      <c r="B7861">
        <v>9</v>
      </c>
      <c r="C7861">
        <v>13</v>
      </c>
      <c r="D7861">
        <v>17</v>
      </c>
      <c r="E7861">
        <f t="shared" si="122"/>
        <v>5.2808155447008681E-22</v>
      </c>
    </row>
    <row r="7862" spans="1:5" x14ac:dyDescent="0.25">
      <c r="A7862">
        <v>9</v>
      </c>
      <c r="B7862">
        <v>9</v>
      </c>
      <c r="C7862">
        <v>14</v>
      </c>
      <c r="D7862">
        <v>16</v>
      </c>
      <c r="E7862">
        <f t="shared" si="122"/>
        <v>3.704953128186959E-21</v>
      </c>
    </row>
    <row r="7863" spans="1:5" x14ac:dyDescent="0.25">
      <c r="A7863">
        <v>9</v>
      </c>
      <c r="B7863">
        <v>9</v>
      </c>
      <c r="C7863">
        <v>15</v>
      </c>
      <c r="D7863">
        <v>15</v>
      </c>
      <c r="E7863">
        <f t="shared" si="122"/>
        <v>2.0154945017337044E-20</v>
      </c>
    </row>
    <row r="7864" spans="1:5" x14ac:dyDescent="0.25">
      <c r="A7864">
        <v>9</v>
      </c>
      <c r="B7864">
        <v>9</v>
      </c>
      <c r="C7864">
        <v>16</v>
      </c>
      <c r="D7864">
        <v>14</v>
      </c>
      <c r="E7864">
        <f t="shared" si="122"/>
        <v>8.5887549789788575E-20</v>
      </c>
    </row>
    <row r="7865" spans="1:5" x14ac:dyDescent="0.25">
      <c r="A7865">
        <v>9</v>
      </c>
      <c r="B7865">
        <v>9</v>
      </c>
      <c r="C7865">
        <v>17</v>
      </c>
      <c r="D7865">
        <v>13</v>
      </c>
      <c r="E7865">
        <f t="shared" si="122"/>
        <v>2.8881793703821079E-19</v>
      </c>
    </row>
    <row r="7866" spans="1:5" x14ac:dyDescent="0.25">
      <c r="A7866">
        <v>9</v>
      </c>
      <c r="B7866">
        <v>9</v>
      </c>
      <c r="C7866">
        <v>18</v>
      </c>
      <c r="D7866">
        <v>12</v>
      </c>
      <c r="E7866">
        <f t="shared" si="122"/>
        <v>7.7018116543522806E-19</v>
      </c>
    </row>
    <row r="7867" spans="1:5" x14ac:dyDescent="0.25">
      <c r="A7867">
        <v>9</v>
      </c>
      <c r="B7867">
        <v>9</v>
      </c>
      <c r="C7867">
        <v>19</v>
      </c>
      <c r="D7867">
        <v>11</v>
      </c>
      <c r="E7867">
        <f t="shared" si="122"/>
        <v>1.6330157041558977E-18</v>
      </c>
    </row>
    <row r="7868" spans="1:5" x14ac:dyDescent="0.25">
      <c r="A7868">
        <v>9</v>
      </c>
      <c r="B7868">
        <v>9</v>
      </c>
      <c r="C7868">
        <v>20</v>
      </c>
      <c r="D7868">
        <v>10</v>
      </c>
      <c r="E7868">
        <f t="shared" si="122"/>
        <v>2.7543531543429491E-18</v>
      </c>
    </row>
    <row r="7869" spans="1:5" x14ac:dyDescent="0.25">
      <c r="A7869">
        <v>9</v>
      </c>
      <c r="B7869">
        <v>9</v>
      </c>
      <c r="C7869">
        <v>21</v>
      </c>
      <c r="D7869">
        <v>9</v>
      </c>
      <c r="E7869">
        <f t="shared" si="122"/>
        <v>3.6888658317093026E-18</v>
      </c>
    </row>
    <row r="7870" spans="1:5" x14ac:dyDescent="0.25">
      <c r="A7870">
        <v>9</v>
      </c>
      <c r="B7870">
        <v>9</v>
      </c>
      <c r="C7870">
        <v>22</v>
      </c>
      <c r="D7870">
        <v>8</v>
      </c>
      <c r="E7870">
        <f t="shared" si="122"/>
        <v>3.9058579394569114E-18</v>
      </c>
    </row>
    <row r="7871" spans="1:5" x14ac:dyDescent="0.25">
      <c r="A7871">
        <v>9</v>
      </c>
      <c r="B7871">
        <v>9</v>
      </c>
      <c r="C7871">
        <v>23</v>
      </c>
      <c r="D7871">
        <v>7</v>
      </c>
      <c r="E7871">
        <f t="shared" si="122"/>
        <v>3.2454471767468059E-18</v>
      </c>
    </row>
    <row r="7872" spans="1:5" x14ac:dyDescent="0.25">
      <c r="A7872">
        <v>9</v>
      </c>
      <c r="B7872">
        <v>9</v>
      </c>
      <c r="C7872">
        <v>24</v>
      </c>
      <c r="D7872">
        <v>6</v>
      </c>
      <c r="E7872">
        <f t="shared" si="122"/>
        <v>2.092459363955176E-18</v>
      </c>
    </row>
    <row r="7873" spans="1:5" x14ac:dyDescent="0.25">
      <c r="A7873">
        <v>9</v>
      </c>
      <c r="B7873">
        <v>9</v>
      </c>
      <c r="C7873">
        <v>25</v>
      </c>
      <c r="D7873">
        <v>5</v>
      </c>
      <c r="E7873">
        <f t="shared" si="122"/>
        <v>1.0294900070659474E-18</v>
      </c>
    </row>
    <row r="7874" spans="1:5" x14ac:dyDescent="0.25">
      <c r="A7874">
        <v>9</v>
      </c>
      <c r="B7874">
        <v>9</v>
      </c>
      <c r="C7874">
        <v>26</v>
      </c>
      <c r="D7874">
        <v>4</v>
      </c>
      <c r="E7874">
        <f t="shared" si="122"/>
        <v>3.7710256669082303E-19</v>
      </c>
    </row>
    <row r="7875" spans="1:5" x14ac:dyDescent="0.25">
      <c r="A7875">
        <v>9</v>
      </c>
      <c r="B7875">
        <v>9</v>
      </c>
      <c r="C7875">
        <v>27</v>
      </c>
      <c r="D7875">
        <v>3</v>
      </c>
      <c r="E7875">
        <f t="shared" si="122"/>
        <v>9.9037037716781799E-20</v>
      </c>
    </row>
    <row r="7876" spans="1:5" x14ac:dyDescent="0.25">
      <c r="A7876">
        <v>9</v>
      </c>
      <c r="B7876">
        <v>9</v>
      </c>
      <c r="C7876">
        <v>28</v>
      </c>
      <c r="D7876">
        <v>2</v>
      </c>
      <c r="E7876">
        <f t="shared" si="122"/>
        <v>1.7531401086511065E-20</v>
      </c>
    </row>
    <row r="7877" spans="1:5" x14ac:dyDescent="0.25">
      <c r="A7877">
        <v>9</v>
      </c>
      <c r="B7877">
        <v>9</v>
      </c>
      <c r="C7877">
        <v>29</v>
      </c>
      <c r="D7877">
        <v>1</v>
      </c>
      <c r="E7877">
        <f t="shared" si="122"/>
        <v>1.863970805175027E-21</v>
      </c>
    </row>
    <row r="7878" spans="1:5" x14ac:dyDescent="0.25">
      <c r="A7878">
        <v>9</v>
      </c>
      <c r="B7878">
        <v>9</v>
      </c>
      <c r="C7878">
        <v>30</v>
      </c>
      <c r="D7878">
        <v>0</v>
      </c>
      <c r="E7878">
        <f t="shared" si="122"/>
        <v>8.9470598648401288E-23</v>
      </c>
    </row>
    <row r="7879" spans="1:5" x14ac:dyDescent="0.25">
      <c r="A7879">
        <v>9</v>
      </c>
      <c r="B7879">
        <v>10</v>
      </c>
      <c r="C7879">
        <v>4</v>
      </c>
      <c r="D7879">
        <v>25</v>
      </c>
      <c r="E7879">
        <f t="shared" si="122"/>
        <v>5.6365734639508876E-34</v>
      </c>
    </row>
    <row r="7880" spans="1:5" x14ac:dyDescent="0.25">
      <c r="A7880">
        <v>9</v>
      </c>
      <c r="B7880">
        <v>10</v>
      </c>
      <c r="C7880">
        <v>5</v>
      </c>
      <c r="D7880">
        <v>24</v>
      </c>
      <c r="E7880">
        <f t="shared" si="122"/>
        <v>1.7191549065050207E-31</v>
      </c>
    </row>
    <row r="7881" spans="1:5" x14ac:dyDescent="0.25">
      <c r="A7881">
        <v>9</v>
      </c>
      <c r="B7881">
        <v>10</v>
      </c>
      <c r="C7881">
        <v>6</v>
      </c>
      <c r="D7881">
        <v>23</v>
      </c>
      <c r="E7881">
        <f t="shared" si="122"/>
        <v>2.0629858878060249E-29</v>
      </c>
    </row>
    <row r="7882" spans="1:5" x14ac:dyDescent="0.25">
      <c r="A7882">
        <v>9</v>
      </c>
      <c r="B7882">
        <v>10</v>
      </c>
      <c r="C7882">
        <v>7</v>
      </c>
      <c r="D7882">
        <v>22</v>
      </c>
      <c r="E7882">
        <f t="shared" si="122"/>
        <v>1.3330818332156073E-27</v>
      </c>
    </row>
    <row r="7883" spans="1:5" x14ac:dyDescent="0.25">
      <c r="A7883">
        <v>9</v>
      </c>
      <c r="B7883">
        <v>10</v>
      </c>
      <c r="C7883">
        <v>8</v>
      </c>
      <c r="D7883">
        <v>21</v>
      </c>
      <c r="E7883">
        <f t="shared" si="122"/>
        <v>5.3156638099472362E-26</v>
      </c>
    </row>
    <row r="7884" spans="1:5" x14ac:dyDescent="0.25">
      <c r="A7884">
        <v>9</v>
      </c>
      <c r="B7884">
        <v>10</v>
      </c>
      <c r="C7884">
        <v>9</v>
      </c>
      <c r="D7884">
        <v>20</v>
      </c>
      <c r="E7884">
        <f t="shared" si="122"/>
        <v>1.4139665734459642E-24</v>
      </c>
    </row>
    <row r="7885" spans="1:5" x14ac:dyDescent="0.25">
      <c r="A7885">
        <v>9</v>
      </c>
      <c r="B7885">
        <v>10</v>
      </c>
      <c r="C7885">
        <v>10</v>
      </c>
      <c r="D7885">
        <v>19</v>
      </c>
      <c r="E7885">
        <f t="shared" si="122"/>
        <v>2.6394042704324666E-23</v>
      </c>
    </row>
    <row r="7886" spans="1:5" x14ac:dyDescent="0.25">
      <c r="A7886">
        <v>9</v>
      </c>
      <c r="B7886">
        <v>10</v>
      </c>
      <c r="C7886">
        <v>11</v>
      </c>
      <c r="D7886">
        <v>18</v>
      </c>
      <c r="E7886">
        <f t="shared" ref="E7886:E7949" si="123">COMBIN(A$4,A7886)*COMBIN(B$4,B7886)*COMBIN(C$4,C7886)*COMBIN(D$4,D7886)/COMBIN($G$4,$F$4)</f>
        <v>3.5820486527297782E-22</v>
      </c>
    </row>
    <row r="7887" spans="1:5" x14ac:dyDescent="0.25">
      <c r="A7887">
        <v>9</v>
      </c>
      <c r="B7887">
        <v>10</v>
      </c>
      <c r="C7887">
        <v>12</v>
      </c>
      <c r="D7887">
        <v>17</v>
      </c>
      <c r="E7887">
        <f t="shared" si="123"/>
        <v>3.6268242608888974E-21</v>
      </c>
    </row>
    <row r="7888" spans="1:5" x14ac:dyDescent="0.25">
      <c r="A7888">
        <v>9</v>
      </c>
      <c r="B7888">
        <v>10</v>
      </c>
      <c r="C7888">
        <v>13</v>
      </c>
      <c r="D7888">
        <v>16</v>
      </c>
      <c r="E7888">
        <f t="shared" si="123"/>
        <v>2.7929646658640157E-20</v>
      </c>
    </row>
    <row r="7889" spans="1:5" x14ac:dyDescent="0.25">
      <c r="A7889">
        <v>9</v>
      </c>
      <c r="B7889">
        <v>10</v>
      </c>
      <c r="C7889">
        <v>14</v>
      </c>
      <c r="D7889">
        <v>15</v>
      </c>
      <c r="E7889">
        <f t="shared" si="123"/>
        <v>1.6598190014277578E-19</v>
      </c>
    </row>
    <row r="7890" spans="1:5" x14ac:dyDescent="0.25">
      <c r="A7890">
        <v>9</v>
      </c>
      <c r="B7890">
        <v>10</v>
      </c>
      <c r="C7890">
        <v>15</v>
      </c>
      <c r="D7890">
        <v>14</v>
      </c>
      <c r="E7890">
        <f t="shared" si="123"/>
        <v>7.6955244611650565E-19</v>
      </c>
    </row>
    <row r="7891" spans="1:5" x14ac:dyDescent="0.25">
      <c r="A7891">
        <v>9</v>
      </c>
      <c r="B7891">
        <v>10</v>
      </c>
      <c r="C7891">
        <v>16</v>
      </c>
      <c r="D7891">
        <v>13</v>
      </c>
      <c r="E7891">
        <f t="shared" si="123"/>
        <v>2.805659959799761E-18</v>
      </c>
    </row>
    <row r="7892" spans="1:5" x14ac:dyDescent="0.25">
      <c r="A7892">
        <v>9</v>
      </c>
      <c r="B7892">
        <v>10</v>
      </c>
      <c r="C7892">
        <v>17</v>
      </c>
      <c r="D7892">
        <v>12</v>
      </c>
      <c r="E7892">
        <f t="shared" si="123"/>
        <v>8.0869022370699047E-18</v>
      </c>
    </row>
    <row r="7893" spans="1:5" x14ac:dyDescent="0.25">
      <c r="A7893">
        <v>9</v>
      </c>
      <c r="B7893">
        <v>10</v>
      </c>
      <c r="C7893">
        <v>18</v>
      </c>
      <c r="D7893">
        <v>11</v>
      </c>
      <c r="E7893">
        <f t="shared" si="123"/>
        <v>1.8484347970445472E-17</v>
      </c>
    </row>
    <row r="7894" spans="1:5" x14ac:dyDescent="0.25">
      <c r="A7894">
        <v>9</v>
      </c>
      <c r="B7894">
        <v>10</v>
      </c>
      <c r="C7894">
        <v>19</v>
      </c>
      <c r="D7894">
        <v>10</v>
      </c>
      <c r="E7894">
        <f t="shared" si="123"/>
        <v>3.3531255792001097E-17</v>
      </c>
    </row>
    <row r="7895" spans="1:5" x14ac:dyDescent="0.25">
      <c r="A7895">
        <v>9</v>
      </c>
      <c r="B7895">
        <v>10</v>
      </c>
      <c r="C7895">
        <v>20</v>
      </c>
      <c r="D7895">
        <v>9</v>
      </c>
      <c r="E7895">
        <f t="shared" si="123"/>
        <v>4.8201180201001619E-17</v>
      </c>
    </row>
    <row r="7896" spans="1:5" x14ac:dyDescent="0.25">
      <c r="A7896">
        <v>9</v>
      </c>
      <c r="B7896">
        <v>10</v>
      </c>
      <c r="C7896">
        <v>21</v>
      </c>
      <c r="D7896">
        <v>8</v>
      </c>
      <c r="E7896">
        <f t="shared" si="123"/>
        <v>5.4682011152396739E-17</v>
      </c>
    </row>
    <row r="7897" spans="1:5" x14ac:dyDescent="0.25">
      <c r="A7897">
        <v>9</v>
      </c>
      <c r="B7897">
        <v>10</v>
      </c>
      <c r="C7897">
        <v>22</v>
      </c>
      <c r="D7897">
        <v>7</v>
      </c>
      <c r="E7897">
        <f t="shared" si="123"/>
        <v>4.8606232135463804E-17</v>
      </c>
    </row>
    <row r="7898" spans="1:5" x14ac:dyDescent="0.25">
      <c r="A7898">
        <v>9</v>
      </c>
      <c r="B7898">
        <v>10</v>
      </c>
      <c r="C7898">
        <v>23</v>
      </c>
      <c r="D7898">
        <v>6</v>
      </c>
      <c r="E7898">
        <f t="shared" si="123"/>
        <v>3.3479349823282829E-17</v>
      </c>
    </row>
    <row r="7899" spans="1:5" x14ac:dyDescent="0.25">
      <c r="A7899">
        <v>9</v>
      </c>
      <c r="B7899">
        <v>10</v>
      </c>
      <c r="C7899">
        <v>24</v>
      </c>
      <c r="D7899">
        <v>5</v>
      </c>
      <c r="E7899">
        <f t="shared" si="123"/>
        <v>1.7576658657223484E-17</v>
      </c>
    </row>
    <row r="7900" spans="1:5" x14ac:dyDescent="0.25">
      <c r="A7900">
        <v>9</v>
      </c>
      <c r="B7900">
        <v>10</v>
      </c>
      <c r="C7900">
        <v>25</v>
      </c>
      <c r="D7900">
        <v>4</v>
      </c>
      <c r="E7900">
        <f t="shared" si="123"/>
        <v>6.863266713772985E-18</v>
      </c>
    </row>
    <row r="7901" spans="1:5" x14ac:dyDescent="0.25">
      <c r="A7901">
        <v>9</v>
      </c>
      <c r="B7901">
        <v>10</v>
      </c>
      <c r="C7901">
        <v>26</v>
      </c>
      <c r="D7901">
        <v>3</v>
      </c>
      <c r="E7901">
        <f t="shared" si="123"/>
        <v>1.9197948849714626E-18</v>
      </c>
    </row>
    <row r="7902" spans="1:5" x14ac:dyDescent="0.25">
      <c r="A7902">
        <v>9</v>
      </c>
      <c r="B7902">
        <v>10</v>
      </c>
      <c r="C7902">
        <v>27</v>
      </c>
      <c r="D7902">
        <v>2</v>
      </c>
      <c r="E7902">
        <f t="shared" si="123"/>
        <v>3.6170048557433353E-19</v>
      </c>
    </row>
    <row r="7903" spans="1:5" x14ac:dyDescent="0.25">
      <c r="A7903">
        <v>9</v>
      </c>
      <c r="B7903">
        <v>10</v>
      </c>
      <c r="C7903">
        <v>28</v>
      </c>
      <c r="D7903">
        <v>1</v>
      </c>
      <c r="E7903">
        <f t="shared" si="123"/>
        <v>4.090660253519249E-20</v>
      </c>
    </row>
    <row r="7904" spans="1:5" x14ac:dyDescent="0.25">
      <c r="A7904">
        <v>9</v>
      </c>
      <c r="B7904">
        <v>10</v>
      </c>
      <c r="C7904">
        <v>29</v>
      </c>
      <c r="D7904">
        <v>0</v>
      </c>
      <c r="E7904">
        <f t="shared" si="123"/>
        <v>2.0876473017960309E-21</v>
      </c>
    </row>
    <row r="7905" spans="1:5" x14ac:dyDescent="0.25">
      <c r="A7905">
        <v>9</v>
      </c>
      <c r="B7905">
        <v>11</v>
      </c>
      <c r="C7905">
        <v>3</v>
      </c>
      <c r="D7905">
        <v>25</v>
      </c>
      <c r="E7905">
        <f t="shared" si="123"/>
        <v>9.2234838501014503E-34</v>
      </c>
    </row>
    <row r="7906" spans="1:5" x14ac:dyDescent="0.25">
      <c r="A7906">
        <v>9</v>
      </c>
      <c r="B7906">
        <v>11</v>
      </c>
      <c r="C7906">
        <v>4</v>
      </c>
      <c r="D7906">
        <v>24</v>
      </c>
      <c r="E7906">
        <f t="shared" si="123"/>
        <v>3.5740999919143121E-31</v>
      </c>
    </row>
    <row r="7907" spans="1:5" x14ac:dyDescent="0.25">
      <c r="A7907">
        <v>9</v>
      </c>
      <c r="B7907">
        <v>11</v>
      </c>
      <c r="C7907">
        <v>5</v>
      </c>
      <c r="D7907">
        <v>23</v>
      </c>
      <c r="E7907">
        <f t="shared" si="123"/>
        <v>5.2324823881625529E-29</v>
      </c>
    </row>
    <row r="7908" spans="1:5" x14ac:dyDescent="0.25">
      <c r="A7908">
        <v>9</v>
      </c>
      <c r="B7908">
        <v>11</v>
      </c>
      <c r="C7908">
        <v>6</v>
      </c>
      <c r="D7908">
        <v>22</v>
      </c>
      <c r="E7908">
        <f t="shared" si="123"/>
        <v>4.0115698309246245E-27</v>
      </c>
    </row>
    <row r="7909" spans="1:5" x14ac:dyDescent="0.25">
      <c r="A7909">
        <v>9</v>
      </c>
      <c r="B7909">
        <v>11</v>
      </c>
      <c r="C7909">
        <v>7</v>
      </c>
      <c r="D7909">
        <v>21</v>
      </c>
      <c r="E7909">
        <f t="shared" si="123"/>
        <v>1.8596491573357724E-25</v>
      </c>
    </row>
    <row r="7910" spans="1:5" x14ac:dyDescent="0.25">
      <c r="A7910">
        <v>9</v>
      </c>
      <c r="B7910">
        <v>11</v>
      </c>
      <c r="C7910">
        <v>8</v>
      </c>
      <c r="D7910">
        <v>20</v>
      </c>
      <c r="E7910">
        <f t="shared" si="123"/>
        <v>5.6626316840874269E-24</v>
      </c>
    </row>
    <row r="7911" spans="1:5" x14ac:dyDescent="0.25">
      <c r="A7911">
        <v>9</v>
      </c>
      <c r="B7911">
        <v>11</v>
      </c>
      <c r="C7911">
        <v>9</v>
      </c>
      <c r="D7911">
        <v>19</v>
      </c>
      <c r="E7911">
        <f t="shared" si="123"/>
        <v>1.1954444666406788E-22</v>
      </c>
    </row>
    <row r="7912" spans="1:5" x14ac:dyDescent="0.25">
      <c r="A7912">
        <v>9</v>
      </c>
      <c r="B7912">
        <v>11</v>
      </c>
      <c r="C7912">
        <v>10</v>
      </c>
      <c r="D7912">
        <v>18</v>
      </c>
      <c r="E7912">
        <f t="shared" si="123"/>
        <v>1.8170755892938326E-21</v>
      </c>
    </row>
    <row r="7913" spans="1:5" x14ac:dyDescent="0.25">
      <c r="A7913">
        <v>9</v>
      </c>
      <c r="B7913">
        <v>11</v>
      </c>
      <c r="C7913">
        <v>11</v>
      </c>
      <c r="D7913">
        <v>17</v>
      </c>
      <c r="E7913">
        <f t="shared" si="123"/>
        <v>2.0442100379555613E-20</v>
      </c>
    </row>
    <row r="7914" spans="1:5" x14ac:dyDescent="0.25">
      <c r="A7914">
        <v>9</v>
      </c>
      <c r="B7914">
        <v>11</v>
      </c>
      <c r="C7914">
        <v>12</v>
      </c>
      <c r="D7914">
        <v>16</v>
      </c>
      <c r="E7914">
        <f t="shared" si="123"/>
        <v>1.7375785322622262E-19</v>
      </c>
    </row>
    <row r="7915" spans="1:5" x14ac:dyDescent="0.25">
      <c r="A7915">
        <v>9</v>
      </c>
      <c r="B7915">
        <v>11</v>
      </c>
      <c r="C7915">
        <v>13</v>
      </c>
      <c r="D7915">
        <v>15</v>
      </c>
      <c r="E7915">
        <f t="shared" si="123"/>
        <v>1.1334358425833601E-18</v>
      </c>
    </row>
    <row r="7916" spans="1:5" x14ac:dyDescent="0.25">
      <c r="A7916">
        <v>9</v>
      </c>
      <c r="B7916">
        <v>11</v>
      </c>
      <c r="C7916">
        <v>14</v>
      </c>
      <c r="D7916">
        <v>14</v>
      </c>
      <c r="E7916">
        <f t="shared" si="123"/>
        <v>5.7407789429546836E-18</v>
      </c>
    </row>
    <row r="7917" spans="1:5" x14ac:dyDescent="0.25">
      <c r="A7917">
        <v>9</v>
      </c>
      <c r="B7917">
        <v>11</v>
      </c>
      <c r="C7917">
        <v>15</v>
      </c>
      <c r="D7917">
        <v>13</v>
      </c>
      <c r="E7917">
        <f t="shared" si="123"/>
        <v>2.2771756473720237E-17</v>
      </c>
    </row>
    <row r="7918" spans="1:5" x14ac:dyDescent="0.25">
      <c r="A7918">
        <v>9</v>
      </c>
      <c r="B7918">
        <v>11</v>
      </c>
      <c r="C7918">
        <v>16</v>
      </c>
      <c r="D7918">
        <v>12</v>
      </c>
      <c r="E7918">
        <f t="shared" si="123"/>
        <v>7.116173898037576E-17</v>
      </c>
    </row>
    <row r="7919" spans="1:5" x14ac:dyDescent="0.25">
      <c r="A7919">
        <v>9</v>
      </c>
      <c r="B7919">
        <v>11</v>
      </c>
      <c r="C7919">
        <v>17</v>
      </c>
      <c r="D7919">
        <v>11</v>
      </c>
      <c r="E7919">
        <f t="shared" si="123"/>
        <v>1.7581135512798723E-16</v>
      </c>
    </row>
    <row r="7920" spans="1:5" x14ac:dyDescent="0.25">
      <c r="A7920">
        <v>9</v>
      </c>
      <c r="B7920">
        <v>11</v>
      </c>
      <c r="C7920">
        <v>18</v>
      </c>
      <c r="D7920">
        <v>10</v>
      </c>
      <c r="E7920">
        <f t="shared" si="123"/>
        <v>3.4380887225028575E-16</v>
      </c>
    </row>
    <row r="7921" spans="1:5" x14ac:dyDescent="0.25">
      <c r="A7921">
        <v>9</v>
      </c>
      <c r="B7921">
        <v>11</v>
      </c>
      <c r="C7921">
        <v>19</v>
      </c>
      <c r="D7921">
        <v>9</v>
      </c>
      <c r="E7921">
        <f t="shared" si="123"/>
        <v>5.3154661170274468E-16</v>
      </c>
    </row>
    <row r="7922" spans="1:5" x14ac:dyDescent="0.25">
      <c r="A7922">
        <v>9</v>
      </c>
      <c r="B7922">
        <v>11</v>
      </c>
      <c r="C7922">
        <v>20</v>
      </c>
      <c r="D7922">
        <v>8</v>
      </c>
      <c r="E7922">
        <f t="shared" si="123"/>
        <v>6.4723616836746029E-16</v>
      </c>
    </row>
    <row r="7923" spans="1:5" x14ac:dyDescent="0.25">
      <c r="A7923">
        <v>9</v>
      </c>
      <c r="B7923">
        <v>11</v>
      </c>
      <c r="C7923">
        <v>21</v>
      </c>
      <c r="D7923">
        <v>7</v>
      </c>
      <c r="E7923">
        <f t="shared" si="123"/>
        <v>6.1641539844519963E-16</v>
      </c>
    </row>
    <row r="7924" spans="1:5" x14ac:dyDescent="0.25">
      <c r="A7924">
        <v>9</v>
      </c>
      <c r="B7924">
        <v>11</v>
      </c>
      <c r="C7924">
        <v>22</v>
      </c>
      <c r="D7924">
        <v>6</v>
      </c>
      <c r="E7924">
        <f t="shared" si="123"/>
        <v>4.5420081990698937E-16</v>
      </c>
    </row>
    <row r="7925" spans="1:5" x14ac:dyDescent="0.25">
      <c r="A7925">
        <v>9</v>
      </c>
      <c r="B7925">
        <v>11</v>
      </c>
      <c r="C7925">
        <v>23</v>
      </c>
      <c r="D7925">
        <v>5</v>
      </c>
      <c r="E7925">
        <f t="shared" si="123"/>
        <v>2.5474741638261567E-16</v>
      </c>
    </row>
    <row r="7926" spans="1:5" x14ac:dyDescent="0.25">
      <c r="A7926">
        <v>9</v>
      </c>
      <c r="B7926">
        <v>11</v>
      </c>
      <c r="C7926">
        <v>24</v>
      </c>
      <c r="D7926">
        <v>4</v>
      </c>
      <c r="E7926">
        <f t="shared" si="123"/>
        <v>1.061447568260899E-16</v>
      </c>
    </row>
    <row r="7927" spans="1:5" x14ac:dyDescent="0.25">
      <c r="A7927">
        <v>9</v>
      </c>
      <c r="B7927">
        <v>11</v>
      </c>
      <c r="C7927">
        <v>25</v>
      </c>
      <c r="D7927">
        <v>3</v>
      </c>
      <c r="E7927">
        <f t="shared" si="123"/>
        <v>3.1650436580870452E-17</v>
      </c>
    </row>
    <row r="7928" spans="1:5" x14ac:dyDescent="0.25">
      <c r="A7928">
        <v>9</v>
      </c>
      <c r="B7928">
        <v>11</v>
      </c>
      <c r="C7928">
        <v>26</v>
      </c>
      <c r="D7928">
        <v>2</v>
      </c>
      <c r="E7928">
        <f t="shared" si="123"/>
        <v>6.351258176763297E-18</v>
      </c>
    </row>
    <row r="7929" spans="1:5" x14ac:dyDescent="0.25">
      <c r="A7929">
        <v>9</v>
      </c>
      <c r="B7929">
        <v>11</v>
      </c>
      <c r="C7929">
        <v>27</v>
      </c>
      <c r="D7929">
        <v>1</v>
      </c>
      <c r="E7929">
        <f t="shared" si="123"/>
        <v>7.6450329905484133E-19</v>
      </c>
    </row>
    <row r="7930" spans="1:5" x14ac:dyDescent="0.25">
      <c r="A7930">
        <v>9</v>
      </c>
      <c r="B7930">
        <v>11</v>
      </c>
      <c r="C7930">
        <v>28</v>
      </c>
      <c r="D7930">
        <v>0</v>
      </c>
      <c r="E7930">
        <f t="shared" si="123"/>
        <v>4.1501607662977108E-20</v>
      </c>
    </row>
    <row r="7931" spans="1:5" x14ac:dyDescent="0.25">
      <c r="A7931">
        <v>9</v>
      </c>
      <c r="B7931">
        <v>12</v>
      </c>
      <c r="C7931">
        <v>2</v>
      </c>
      <c r="D7931">
        <v>25</v>
      </c>
      <c r="E7931">
        <f t="shared" si="123"/>
        <v>1.0175113136223029E-33</v>
      </c>
    </row>
    <row r="7932" spans="1:5" x14ac:dyDescent="0.25">
      <c r="A7932">
        <v>9</v>
      </c>
      <c r="B7932">
        <v>12</v>
      </c>
      <c r="C7932">
        <v>3</v>
      </c>
      <c r="D7932">
        <v>24</v>
      </c>
      <c r="E7932">
        <f t="shared" si="123"/>
        <v>5.3419343965170894E-31</v>
      </c>
    </row>
    <row r="7933" spans="1:5" x14ac:dyDescent="0.25">
      <c r="A7933">
        <v>9</v>
      </c>
      <c r="B7933">
        <v>12</v>
      </c>
      <c r="C7933">
        <v>4</v>
      </c>
      <c r="D7933">
        <v>23</v>
      </c>
      <c r="E7933">
        <f t="shared" si="123"/>
        <v>9.9359979775217871E-29</v>
      </c>
    </row>
    <row r="7934" spans="1:5" x14ac:dyDescent="0.25">
      <c r="A7934">
        <v>9</v>
      </c>
      <c r="B7934">
        <v>12</v>
      </c>
      <c r="C7934">
        <v>5</v>
      </c>
      <c r="D7934">
        <v>22</v>
      </c>
      <c r="E7934">
        <f t="shared" si="123"/>
        <v>9.2934701083087104E-27</v>
      </c>
    </row>
    <row r="7935" spans="1:5" x14ac:dyDescent="0.25">
      <c r="A7935">
        <v>9</v>
      </c>
      <c r="B7935">
        <v>12</v>
      </c>
      <c r="C7935">
        <v>6</v>
      </c>
      <c r="D7935">
        <v>21</v>
      </c>
      <c r="E7935">
        <f t="shared" si="123"/>
        <v>5.1114085595697918E-25</v>
      </c>
    </row>
    <row r="7936" spans="1:5" x14ac:dyDescent="0.25">
      <c r="A7936">
        <v>9</v>
      </c>
      <c r="B7936">
        <v>12</v>
      </c>
      <c r="C7936">
        <v>7</v>
      </c>
      <c r="D7936">
        <v>20</v>
      </c>
      <c r="E7936">
        <f t="shared" si="123"/>
        <v>1.8094386300877057E-23</v>
      </c>
    </row>
    <row r="7937" spans="1:5" x14ac:dyDescent="0.25">
      <c r="A7937">
        <v>9</v>
      </c>
      <c r="B7937">
        <v>12</v>
      </c>
      <c r="C7937">
        <v>8</v>
      </c>
      <c r="D7937">
        <v>19</v>
      </c>
      <c r="E7937">
        <f t="shared" si="123"/>
        <v>4.3728100227119564E-22</v>
      </c>
    </row>
    <row r="7938" spans="1:5" x14ac:dyDescent="0.25">
      <c r="A7938">
        <v>9</v>
      </c>
      <c r="B7938">
        <v>12</v>
      </c>
      <c r="C7938">
        <v>9</v>
      </c>
      <c r="D7938">
        <v>18</v>
      </c>
      <c r="E7938">
        <f t="shared" si="123"/>
        <v>7.5170686580905554E-21</v>
      </c>
    </row>
    <row r="7939" spans="1:5" x14ac:dyDescent="0.25">
      <c r="A7939">
        <v>9</v>
      </c>
      <c r="B7939">
        <v>12</v>
      </c>
      <c r="C7939">
        <v>10</v>
      </c>
      <c r="D7939">
        <v>17</v>
      </c>
      <c r="E7939">
        <f t="shared" si="123"/>
        <v>9.4715065091940994E-20</v>
      </c>
    </row>
    <row r="7940" spans="1:5" x14ac:dyDescent="0.25">
      <c r="A7940">
        <v>9</v>
      </c>
      <c r="B7940">
        <v>12</v>
      </c>
      <c r="C7940">
        <v>11</v>
      </c>
      <c r="D7940">
        <v>16</v>
      </c>
      <c r="E7940">
        <f t="shared" si="123"/>
        <v>8.9453117031277606E-19</v>
      </c>
    </row>
    <row r="7941" spans="1:5" x14ac:dyDescent="0.25">
      <c r="A7941">
        <v>9</v>
      </c>
      <c r="B7941">
        <v>12</v>
      </c>
      <c r="C7941">
        <v>12</v>
      </c>
      <c r="D7941">
        <v>15</v>
      </c>
      <c r="E7941">
        <f t="shared" si="123"/>
        <v>6.440624426251983E-18</v>
      </c>
    </row>
    <row r="7942" spans="1:5" x14ac:dyDescent="0.25">
      <c r="A7942">
        <v>9</v>
      </c>
      <c r="B7942">
        <v>12</v>
      </c>
      <c r="C7942">
        <v>13</v>
      </c>
      <c r="D7942">
        <v>14</v>
      </c>
      <c r="E7942">
        <f t="shared" si="123"/>
        <v>3.5806268663428879E-17</v>
      </c>
    </row>
    <row r="7943" spans="1:5" x14ac:dyDescent="0.25">
      <c r="A7943">
        <v>9</v>
      </c>
      <c r="B7943">
        <v>12</v>
      </c>
      <c r="C7943">
        <v>14</v>
      </c>
      <c r="D7943">
        <v>13</v>
      </c>
      <c r="E7943">
        <f t="shared" si="123"/>
        <v>1.5516049754152522E-16</v>
      </c>
    </row>
    <row r="7944" spans="1:5" x14ac:dyDescent="0.25">
      <c r="A7944">
        <v>9</v>
      </c>
      <c r="B7944">
        <v>12</v>
      </c>
      <c r="C7944">
        <v>15</v>
      </c>
      <c r="D7944">
        <v>12</v>
      </c>
      <c r="E7944">
        <f t="shared" si="123"/>
        <v>5.2754569164118542E-16</v>
      </c>
    </row>
    <row r="7945" spans="1:5" x14ac:dyDescent="0.25">
      <c r="A7945">
        <v>9</v>
      </c>
      <c r="B7945">
        <v>12</v>
      </c>
      <c r="C7945">
        <v>16</v>
      </c>
      <c r="D7945">
        <v>11</v>
      </c>
      <c r="E7945">
        <f t="shared" si="123"/>
        <v>1.4130688168960324E-15</v>
      </c>
    </row>
    <row r="7946" spans="1:5" x14ac:dyDescent="0.25">
      <c r="A7946">
        <v>9</v>
      </c>
      <c r="B7946">
        <v>12</v>
      </c>
      <c r="C7946">
        <v>17</v>
      </c>
      <c r="D7946">
        <v>10</v>
      </c>
      <c r="E7946">
        <f t="shared" si="123"/>
        <v>2.9868395776743599E-15</v>
      </c>
    </row>
    <row r="7947" spans="1:5" x14ac:dyDescent="0.25">
      <c r="A7947">
        <v>9</v>
      </c>
      <c r="B7947">
        <v>12</v>
      </c>
      <c r="C7947">
        <v>18</v>
      </c>
      <c r="D7947">
        <v>9</v>
      </c>
      <c r="E7947">
        <f t="shared" si="123"/>
        <v>4.9780659627905954E-15</v>
      </c>
    </row>
    <row r="7948" spans="1:5" x14ac:dyDescent="0.25">
      <c r="A7948">
        <v>9</v>
      </c>
      <c r="B7948">
        <v>12</v>
      </c>
      <c r="C7948">
        <v>19</v>
      </c>
      <c r="D7948">
        <v>8</v>
      </c>
      <c r="E7948">
        <f t="shared" si="123"/>
        <v>6.5192628552954273E-15</v>
      </c>
    </row>
    <row r="7949" spans="1:5" x14ac:dyDescent="0.25">
      <c r="A7949">
        <v>9</v>
      </c>
      <c r="B7949">
        <v>12</v>
      </c>
      <c r="C7949">
        <v>20</v>
      </c>
      <c r="D7949">
        <v>7</v>
      </c>
      <c r="E7949">
        <f t="shared" si="123"/>
        <v>6.6641353631908882E-15</v>
      </c>
    </row>
    <row r="7950" spans="1:5" x14ac:dyDescent="0.25">
      <c r="A7950">
        <v>9</v>
      </c>
      <c r="B7950">
        <v>12</v>
      </c>
      <c r="C7950">
        <v>21</v>
      </c>
      <c r="D7950">
        <v>6</v>
      </c>
      <c r="E7950">
        <f t="shared" ref="E7950:E8013" si="124">COMBIN(A$4,A7950)*COMBIN(B$4,B7950)*COMBIN(C$4,C7950)*COMBIN(D$4,D7950)/COMBIN($G$4,$F$4)</f>
        <v>5.261159497255955E-15</v>
      </c>
    </row>
    <row r="7951" spans="1:5" x14ac:dyDescent="0.25">
      <c r="A7951">
        <v>9</v>
      </c>
      <c r="B7951">
        <v>12</v>
      </c>
      <c r="C7951">
        <v>22</v>
      </c>
      <c r="D7951">
        <v>5</v>
      </c>
      <c r="E7951">
        <f t="shared" si="124"/>
        <v>3.1566956983535757E-15</v>
      </c>
    </row>
    <row r="7952" spans="1:5" x14ac:dyDescent="0.25">
      <c r="A7952">
        <v>9</v>
      </c>
      <c r="B7952">
        <v>12</v>
      </c>
      <c r="C7952">
        <v>23</v>
      </c>
      <c r="D7952">
        <v>4</v>
      </c>
      <c r="E7952">
        <f t="shared" si="124"/>
        <v>1.4051543998882375E-15</v>
      </c>
    </row>
    <row r="7953" spans="1:5" x14ac:dyDescent="0.25">
      <c r="A7953">
        <v>9</v>
      </c>
      <c r="B7953">
        <v>12</v>
      </c>
      <c r="C7953">
        <v>24</v>
      </c>
      <c r="D7953">
        <v>3</v>
      </c>
      <c r="E7953">
        <f t="shared" si="124"/>
        <v>4.4709458178262103E-16</v>
      </c>
    </row>
    <row r="7954" spans="1:5" x14ac:dyDescent="0.25">
      <c r="A7954">
        <v>9</v>
      </c>
      <c r="B7954">
        <v>12</v>
      </c>
      <c r="C7954">
        <v>25</v>
      </c>
      <c r="D7954">
        <v>2</v>
      </c>
      <c r="E7954">
        <f t="shared" si="124"/>
        <v>9.5639362711760703E-17</v>
      </c>
    </row>
    <row r="7955" spans="1:5" x14ac:dyDescent="0.25">
      <c r="A7955">
        <v>9</v>
      </c>
      <c r="B7955">
        <v>12</v>
      </c>
      <c r="C7955">
        <v>26</v>
      </c>
      <c r="D7955">
        <v>1</v>
      </c>
      <c r="E7955">
        <f t="shared" si="124"/>
        <v>1.2261456757918029E-17</v>
      </c>
    </row>
    <row r="7956" spans="1:5" x14ac:dyDescent="0.25">
      <c r="A7956">
        <v>9</v>
      </c>
      <c r="B7956">
        <v>12</v>
      </c>
      <c r="C7956">
        <v>27</v>
      </c>
      <c r="D7956">
        <v>0</v>
      </c>
      <c r="E7956">
        <f t="shared" si="124"/>
        <v>7.0843972379081949E-19</v>
      </c>
    </row>
    <row r="7957" spans="1:5" x14ac:dyDescent="0.25">
      <c r="A7957">
        <v>9</v>
      </c>
      <c r="B7957">
        <v>13</v>
      </c>
      <c r="C7957">
        <v>1</v>
      </c>
      <c r="D7957">
        <v>25</v>
      </c>
      <c r="E7957">
        <f t="shared" si="124"/>
        <v>6.7752556219562E-34</v>
      </c>
    </row>
    <row r="7958" spans="1:5" x14ac:dyDescent="0.25">
      <c r="A7958">
        <v>9</v>
      </c>
      <c r="B7958">
        <v>13</v>
      </c>
      <c r="C7958">
        <v>2</v>
      </c>
      <c r="D7958">
        <v>24</v>
      </c>
      <c r="E7958">
        <f t="shared" si="124"/>
        <v>5.4202044975649604E-31</v>
      </c>
    </row>
    <row r="7959" spans="1:5" x14ac:dyDescent="0.25">
      <c r="A7959">
        <v>9</v>
      </c>
      <c r="B7959">
        <v>13</v>
      </c>
      <c r="C7959">
        <v>3</v>
      </c>
      <c r="D7959">
        <v>23</v>
      </c>
      <c r="E7959">
        <f t="shared" si="124"/>
        <v>1.36589153338637E-28</v>
      </c>
    </row>
    <row r="7960" spans="1:5" x14ac:dyDescent="0.25">
      <c r="A7960">
        <v>9</v>
      </c>
      <c r="B7960">
        <v>13</v>
      </c>
      <c r="C7960">
        <v>4</v>
      </c>
      <c r="D7960">
        <v>22</v>
      </c>
      <c r="E7960">
        <f t="shared" si="124"/>
        <v>1.6231344388408028E-26</v>
      </c>
    </row>
    <row r="7961" spans="1:5" x14ac:dyDescent="0.25">
      <c r="A7961">
        <v>9</v>
      </c>
      <c r="B7961">
        <v>13</v>
      </c>
      <c r="C7961">
        <v>5</v>
      </c>
      <c r="D7961">
        <v>21</v>
      </c>
      <c r="E7961">
        <f t="shared" si="124"/>
        <v>1.089123208462179E-24</v>
      </c>
    </row>
    <row r="7962" spans="1:5" x14ac:dyDescent="0.25">
      <c r="A7962">
        <v>9</v>
      </c>
      <c r="B7962">
        <v>13</v>
      </c>
      <c r="C7962">
        <v>6</v>
      </c>
      <c r="D7962">
        <v>20</v>
      </c>
      <c r="E7962">
        <f t="shared" si="124"/>
        <v>4.5743174755411501E-23</v>
      </c>
    </row>
    <row r="7963" spans="1:5" x14ac:dyDescent="0.25">
      <c r="A7963">
        <v>9</v>
      </c>
      <c r="B7963">
        <v>13</v>
      </c>
      <c r="C7963">
        <v>7</v>
      </c>
      <c r="D7963">
        <v>19</v>
      </c>
      <c r="E7963">
        <f t="shared" si="124"/>
        <v>1.2851653859853704E-21</v>
      </c>
    </row>
    <row r="7964" spans="1:5" x14ac:dyDescent="0.25">
      <c r="A7964">
        <v>9</v>
      </c>
      <c r="B7964">
        <v>13</v>
      </c>
      <c r="C7964">
        <v>8</v>
      </c>
      <c r="D7964">
        <v>18</v>
      </c>
      <c r="E7964">
        <f t="shared" si="124"/>
        <v>2.5290218845640703E-20</v>
      </c>
    </row>
    <row r="7965" spans="1:5" x14ac:dyDescent="0.25">
      <c r="A7965">
        <v>9</v>
      </c>
      <c r="B7965">
        <v>13</v>
      </c>
      <c r="C7965">
        <v>9</v>
      </c>
      <c r="D7965">
        <v>17</v>
      </c>
      <c r="E7965">
        <f t="shared" si="124"/>
        <v>3.6038561855037985E-19</v>
      </c>
    </row>
    <row r="7966" spans="1:5" x14ac:dyDescent="0.25">
      <c r="A7966">
        <v>9</v>
      </c>
      <c r="B7966">
        <v>13</v>
      </c>
      <c r="C7966">
        <v>10</v>
      </c>
      <c r="D7966">
        <v>16</v>
      </c>
      <c r="E7966">
        <f t="shared" si="124"/>
        <v>3.812078987332907E-18</v>
      </c>
    </row>
    <row r="7967" spans="1:5" x14ac:dyDescent="0.25">
      <c r="A7967">
        <v>9</v>
      </c>
      <c r="B7967">
        <v>13</v>
      </c>
      <c r="C7967">
        <v>11</v>
      </c>
      <c r="D7967">
        <v>15</v>
      </c>
      <c r="E7967">
        <f t="shared" si="124"/>
        <v>3.0496631898663262E-17</v>
      </c>
    </row>
    <row r="7968" spans="1:5" x14ac:dyDescent="0.25">
      <c r="A7968">
        <v>9</v>
      </c>
      <c r="B7968">
        <v>13</v>
      </c>
      <c r="C7968">
        <v>12</v>
      </c>
      <c r="D7968">
        <v>14</v>
      </c>
      <c r="E7968">
        <f t="shared" si="124"/>
        <v>1.8713842301452445E-16</v>
      </c>
    </row>
    <row r="7969" spans="1:5" x14ac:dyDescent="0.25">
      <c r="A7969">
        <v>9</v>
      </c>
      <c r="B7969">
        <v>13</v>
      </c>
      <c r="C7969">
        <v>13</v>
      </c>
      <c r="D7969">
        <v>13</v>
      </c>
      <c r="E7969">
        <f t="shared" si="124"/>
        <v>8.9010711459472597E-16</v>
      </c>
    </row>
    <row r="7970" spans="1:5" x14ac:dyDescent="0.25">
      <c r="A7970">
        <v>9</v>
      </c>
      <c r="B7970">
        <v>13</v>
      </c>
      <c r="C7970">
        <v>14</v>
      </c>
      <c r="D7970">
        <v>12</v>
      </c>
      <c r="E7970">
        <f t="shared" si="124"/>
        <v>3.3061121399232679E-15</v>
      </c>
    </row>
    <row r="7971" spans="1:5" x14ac:dyDescent="0.25">
      <c r="A7971">
        <v>9</v>
      </c>
      <c r="B7971">
        <v>13</v>
      </c>
      <c r="C7971">
        <v>15</v>
      </c>
      <c r="D7971">
        <v>11</v>
      </c>
      <c r="E7971">
        <f t="shared" si="124"/>
        <v>9.6349553792049465E-15</v>
      </c>
    </row>
    <row r="7972" spans="1:5" x14ac:dyDescent="0.25">
      <c r="A7972">
        <v>9</v>
      </c>
      <c r="B7972">
        <v>13</v>
      </c>
      <c r="C7972">
        <v>16</v>
      </c>
      <c r="D7972">
        <v>10</v>
      </c>
      <c r="E7972">
        <f t="shared" si="124"/>
        <v>2.2080106077344668E-14</v>
      </c>
    </row>
    <row r="7973" spans="1:5" x14ac:dyDescent="0.25">
      <c r="A7973">
        <v>9</v>
      </c>
      <c r="B7973">
        <v>13</v>
      </c>
      <c r="C7973">
        <v>17</v>
      </c>
      <c r="D7973">
        <v>9</v>
      </c>
      <c r="E7973">
        <f t="shared" si="124"/>
        <v>3.9776661683451819E-14</v>
      </c>
    </row>
    <row r="7974" spans="1:5" x14ac:dyDescent="0.25">
      <c r="A7974">
        <v>9</v>
      </c>
      <c r="B7974">
        <v>13</v>
      </c>
      <c r="C7974">
        <v>18</v>
      </c>
      <c r="D7974">
        <v>8</v>
      </c>
      <c r="E7974">
        <f t="shared" si="124"/>
        <v>5.6155287082520165E-14</v>
      </c>
    </row>
    <row r="7975" spans="1:5" x14ac:dyDescent="0.25">
      <c r="A7975">
        <v>9</v>
      </c>
      <c r="B7975">
        <v>13</v>
      </c>
      <c r="C7975">
        <v>19</v>
      </c>
      <c r="D7975">
        <v>7</v>
      </c>
      <c r="E7975">
        <f t="shared" si="124"/>
        <v>6.1737976441601162E-14</v>
      </c>
    </row>
    <row r="7976" spans="1:5" x14ac:dyDescent="0.25">
      <c r="A7976">
        <v>9</v>
      </c>
      <c r="B7976">
        <v>13</v>
      </c>
      <c r="C7976">
        <v>20</v>
      </c>
      <c r="D7976">
        <v>6</v>
      </c>
      <c r="E7976">
        <f t="shared" si="124"/>
        <v>5.2314811616304163E-14</v>
      </c>
    </row>
    <row r="7977" spans="1:5" x14ac:dyDescent="0.25">
      <c r="A7977">
        <v>9</v>
      </c>
      <c r="B7977">
        <v>13</v>
      </c>
      <c r="C7977">
        <v>21</v>
      </c>
      <c r="D7977">
        <v>5</v>
      </c>
      <c r="E7977">
        <f t="shared" si="124"/>
        <v>3.3630950324766919E-14</v>
      </c>
    </row>
    <row r="7978" spans="1:5" x14ac:dyDescent="0.25">
      <c r="A7978">
        <v>9</v>
      </c>
      <c r="B7978">
        <v>13</v>
      </c>
      <c r="C7978">
        <v>22</v>
      </c>
      <c r="D7978">
        <v>4</v>
      </c>
      <c r="E7978">
        <f t="shared" si="124"/>
        <v>1.6014738249889023E-14</v>
      </c>
    </row>
    <row r="7979" spans="1:5" x14ac:dyDescent="0.25">
      <c r="A7979">
        <v>9</v>
      </c>
      <c r="B7979">
        <v>13</v>
      </c>
      <c r="C7979">
        <v>23</v>
      </c>
      <c r="D7979">
        <v>3</v>
      </c>
      <c r="E7979">
        <f t="shared" si="124"/>
        <v>5.4437450177488366E-15</v>
      </c>
    </row>
    <row r="7980" spans="1:5" x14ac:dyDescent="0.25">
      <c r="A7980">
        <v>9</v>
      </c>
      <c r="B7980">
        <v>13</v>
      </c>
      <c r="C7980">
        <v>24</v>
      </c>
      <c r="D7980">
        <v>2</v>
      </c>
      <c r="E7980">
        <f t="shared" si="124"/>
        <v>1.242593971442669E-15</v>
      </c>
    </row>
    <row r="7981" spans="1:5" x14ac:dyDescent="0.25">
      <c r="A7981">
        <v>9</v>
      </c>
      <c r="B7981">
        <v>13</v>
      </c>
      <c r="C7981">
        <v>25</v>
      </c>
      <c r="D7981">
        <v>1</v>
      </c>
      <c r="E7981">
        <f t="shared" si="124"/>
        <v>1.6982117609716483E-16</v>
      </c>
    </row>
    <row r="7982" spans="1:5" x14ac:dyDescent="0.25">
      <c r="A7982">
        <v>9</v>
      </c>
      <c r="B7982">
        <v>13</v>
      </c>
      <c r="C7982">
        <v>26</v>
      </c>
      <c r="D7982">
        <v>0</v>
      </c>
      <c r="E7982">
        <f t="shared" si="124"/>
        <v>1.0450533913671677E-17</v>
      </c>
    </row>
    <row r="7983" spans="1:5" x14ac:dyDescent="0.25">
      <c r="A7983">
        <v>9</v>
      </c>
      <c r="B7983">
        <v>14</v>
      </c>
      <c r="C7983">
        <v>0</v>
      </c>
      <c r="D7983">
        <v>25</v>
      </c>
      <c r="E7983">
        <f t="shared" si="124"/>
        <v>2.0549126941317704E-34</v>
      </c>
    </row>
    <row r="7984" spans="1:5" x14ac:dyDescent="0.25">
      <c r="A7984">
        <v>9</v>
      </c>
      <c r="B7984">
        <v>14</v>
      </c>
      <c r="C7984">
        <v>1</v>
      </c>
      <c r="D7984">
        <v>24</v>
      </c>
      <c r="E7984">
        <f t="shared" si="124"/>
        <v>3.3392331279641271E-31</v>
      </c>
    </row>
    <row r="7985" spans="1:5" x14ac:dyDescent="0.25">
      <c r="A7985">
        <v>9</v>
      </c>
      <c r="B7985">
        <v>14</v>
      </c>
      <c r="C7985">
        <v>2</v>
      </c>
      <c r="D7985">
        <v>23</v>
      </c>
      <c r="E7985">
        <f t="shared" si="124"/>
        <v>1.2822655211382248E-28</v>
      </c>
    </row>
    <row r="7986" spans="1:5" x14ac:dyDescent="0.25">
      <c r="A7986">
        <v>9</v>
      </c>
      <c r="B7986">
        <v>14</v>
      </c>
      <c r="C7986">
        <v>3</v>
      </c>
      <c r="D7986">
        <v>22</v>
      </c>
      <c r="E7986">
        <f t="shared" si="124"/>
        <v>2.064447489032542E-26</v>
      </c>
    </row>
    <row r="7987" spans="1:5" x14ac:dyDescent="0.25">
      <c r="A7987">
        <v>9</v>
      </c>
      <c r="B7987">
        <v>14</v>
      </c>
      <c r="C7987">
        <v>4</v>
      </c>
      <c r="D7987">
        <v>21</v>
      </c>
      <c r="E7987">
        <f t="shared" si="124"/>
        <v>1.7599414844002424E-24</v>
      </c>
    </row>
    <row r="7988" spans="1:5" x14ac:dyDescent="0.25">
      <c r="A7988">
        <v>9</v>
      </c>
      <c r="B7988">
        <v>14</v>
      </c>
      <c r="C7988">
        <v>5</v>
      </c>
      <c r="D7988">
        <v>20</v>
      </c>
      <c r="E7988">
        <f t="shared" si="124"/>
        <v>9.01794016606684E-23</v>
      </c>
    </row>
    <row r="7989" spans="1:5" x14ac:dyDescent="0.25">
      <c r="A7989">
        <v>9</v>
      </c>
      <c r="B7989">
        <v>14</v>
      </c>
      <c r="C7989">
        <v>6</v>
      </c>
      <c r="D7989">
        <v>19</v>
      </c>
      <c r="E7989">
        <f t="shared" si="124"/>
        <v>3.005980055355613E-21</v>
      </c>
    </row>
    <row r="7990" spans="1:5" x14ac:dyDescent="0.25">
      <c r="A7990">
        <v>9</v>
      </c>
      <c r="B7990">
        <v>14</v>
      </c>
      <c r="C7990">
        <v>7</v>
      </c>
      <c r="D7990">
        <v>18</v>
      </c>
      <c r="E7990">
        <f t="shared" si="124"/>
        <v>6.8769462082727415E-20</v>
      </c>
    </row>
    <row r="7991" spans="1:5" x14ac:dyDescent="0.25">
      <c r="A7991">
        <v>9</v>
      </c>
      <c r="B7991">
        <v>14</v>
      </c>
      <c r="C7991">
        <v>8</v>
      </c>
      <c r="D7991">
        <v>17</v>
      </c>
      <c r="E7991">
        <f t="shared" si="124"/>
        <v>1.1218018502244908E-18</v>
      </c>
    </row>
    <row r="7992" spans="1:5" x14ac:dyDescent="0.25">
      <c r="A7992">
        <v>9</v>
      </c>
      <c r="B7992">
        <v>14</v>
      </c>
      <c r="C7992">
        <v>9</v>
      </c>
      <c r="D7992">
        <v>16</v>
      </c>
      <c r="E7992">
        <f t="shared" si="124"/>
        <v>1.3420073986018908E-17</v>
      </c>
    </row>
    <row r="7993" spans="1:5" x14ac:dyDescent="0.25">
      <c r="A7993">
        <v>9</v>
      </c>
      <c r="B7993">
        <v>14</v>
      </c>
      <c r="C7993">
        <v>10</v>
      </c>
      <c r="D7993">
        <v>15</v>
      </c>
      <c r="E7993">
        <f t="shared" si="124"/>
        <v>1.2024386291472942E-16</v>
      </c>
    </row>
    <row r="7994" spans="1:5" x14ac:dyDescent="0.25">
      <c r="A7994">
        <v>9</v>
      </c>
      <c r="B7994">
        <v>14</v>
      </c>
      <c r="C7994">
        <v>11</v>
      </c>
      <c r="D7994">
        <v>14</v>
      </c>
      <c r="E7994">
        <f t="shared" si="124"/>
        <v>8.1984451987315531E-16</v>
      </c>
    </row>
    <row r="7995" spans="1:5" x14ac:dyDescent="0.25">
      <c r="A7995">
        <v>9</v>
      </c>
      <c r="B7995">
        <v>14</v>
      </c>
      <c r="C7995">
        <v>12</v>
      </c>
      <c r="D7995">
        <v>13</v>
      </c>
      <c r="E7995">
        <f t="shared" si="124"/>
        <v>4.3041837293340631E-15</v>
      </c>
    </row>
    <row r="7996" spans="1:5" x14ac:dyDescent="0.25">
      <c r="A7996">
        <v>9</v>
      </c>
      <c r="B7996">
        <v>14</v>
      </c>
      <c r="C7996">
        <v>13</v>
      </c>
      <c r="D7996">
        <v>12</v>
      </c>
      <c r="E7996">
        <f t="shared" si="124"/>
        <v>1.7547825973438881E-14</v>
      </c>
    </row>
    <row r="7997" spans="1:5" x14ac:dyDescent="0.25">
      <c r="A7997">
        <v>9</v>
      </c>
      <c r="B7997">
        <v>14</v>
      </c>
      <c r="C7997">
        <v>14</v>
      </c>
      <c r="D7997">
        <v>11</v>
      </c>
      <c r="E7997">
        <f t="shared" si="124"/>
        <v>5.5866547997070722E-14</v>
      </c>
    </row>
    <row r="7998" spans="1:5" x14ac:dyDescent="0.25">
      <c r="A7998">
        <v>9</v>
      </c>
      <c r="B7998">
        <v>14</v>
      </c>
      <c r="C7998">
        <v>15</v>
      </c>
      <c r="D7998">
        <v>10</v>
      </c>
      <c r="E7998">
        <f t="shared" si="124"/>
        <v>1.3929392633936291E-13</v>
      </c>
    </row>
    <row r="7999" spans="1:5" x14ac:dyDescent="0.25">
      <c r="A7999">
        <v>9</v>
      </c>
      <c r="B7999">
        <v>14</v>
      </c>
      <c r="C7999">
        <v>16</v>
      </c>
      <c r="D7999">
        <v>9</v>
      </c>
      <c r="E7999">
        <f t="shared" si="124"/>
        <v>2.7205844988156829E-13</v>
      </c>
    </row>
    <row r="8000" spans="1:5" x14ac:dyDescent="0.25">
      <c r="A8000">
        <v>9</v>
      </c>
      <c r="B8000">
        <v>14</v>
      </c>
      <c r="C8000">
        <v>17</v>
      </c>
      <c r="D8000">
        <v>8</v>
      </c>
      <c r="E8000">
        <f t="shared" si="124"/>
        <v>4.1514801521720306E-13</v>
      </c>
    </row>
    <row r="8001" spans="1:5" x14ac:dyDescent="0.25">
      <c r="A8001">
        <v>9</v>
      </c>
      <c r="B8001">
        <v>14</v>
      </c>
      <c r="C8001">
        <v>18</v>
      </c>
      <c r="D8001">
        <v>7</v>
      </c>
      <c r="E8001">
        <f t="shared" si="124"/>
        <v>4.9202727729446252E-13</v>
      </c>
    </row>
    <row r="8002" spans="1:5" x14ac:dyDescent="0.25">
      <c r="A8002">
        <v>9</v>
      </c>
      <c r="B8002">
        <v>14</v>
      </c>
      <c r="C8002">
        <v>19</v>
      </c>
      <c r="D8002">
        <v>6</v>
      </c>
      <c r="E8002">
        <f t="shared" si="124"/>
        <v>4.4841267099689243E-13</v>
      </c>
    </row>
    <row r="8003" spans="1:5" x14ac:dyDescent="0.25">
      <c r="A8003">
        <v>9</v>
      </c>
      <c r="B8003">
        <v>14</v>
      </c>
      <c r="C8003">
        <v>20</v>
      </c>
      <c r="D8003">
        <v>5</v>
      </c>
      <c r="E8003">
        <f t="shared" si="124"/>
        <v>3.0940474298785605E-13</v>
      </c>
    </row>
    <row r="8004" spans="1:5" x14ac:dyDescent="0.25">
      <c r="A8004">
        <v>9</v>
      </c>
      <c r="B8004">
        <v>14</v>
      </c>
      <c r="C8004">
        <v>21</v>
      </c>
      <c r="D8004">
        <v>4</v>
      </c>
      <c r="E8004">
        <f t="shared" si="124"/>
        <v>1.5785956274890601E-13</v>
      </c>
    </row>
    <row r="8005" spans="1:5" x14ac:dyDescent="0.25">
      <c r="A8005">
        <v>9</v>
      </c>
      <c r="B8005">
        <v>14</v>
      </c>
      <c r="C8005">
        <v>22</v>
      </c>
      <c r="D8005">
        <v>3</v>
      </c>
      <c r="E8005">
        <f t="shared" si="124"/>
        <v>5.7403477363238576E-14</v>
      </c>
    </row>
    <row r="8006" spans="1:5" x14ac:dyDescent="0.25">
      <c r="A8006">
        <v>9</v>
      </c>
      <c r="B8006">
        <v>14</v>
      </c>
      <c r="C8006">
        <v>23</v>
      </c>
      <c r="D8006">
        <v>2</v>
      </c>
      <c r="E8006">
        <f t="shared" si="124"/>
        <v>1.3998201474211295E-14</v>
      </c>
    </row>
    <row r="8007" spans="1:5" x14ac:dyDescent="0.25">
      <c r="A8007">
        <v>9</v>
      </c>
      <c r="B8007">
        <v>14</v>
      </c>
      <c r="C8007">
        <v>24</v>
      </c>
      <c r="D8007">
        <v>1</v>
      </c>
      <c r="E8007">
        <f t="shared" si="124"/>
        <v>2.0414043816558135E-15</v>
      </c>
    </row>
    <row r="8008" spans="1:5" x14ac:dyDescent="0.25">
      <c r="A8008">
        <v>9</v>
      </c>
      <c r="B8008">
        <v>14</v>
      </c>
      <c r="C8008">
        <v>25</v>
      </c>
      <c r="D8008">
        <v>0</v>
      </c>
      <c r="E8008">
        <f t="shared" si="124"/>
        <v>1.3391612743662143E-16</v>
      </c>
    </row>
    <row r="8009" spans="1:5" x14ac:dyDescent="0.25">
      <c r="A8009">
        <v>9</v>
      </c>
      <c r="B8009">
        <v>15</v>
      </c>
      <c r="C8009">
        <v>0</v>
      </c>
      <c r="D8009">
        <v>24</v>
      </c>
      <c r="E8009">
        <f t="shared" si="124"/>
        <v>9.418349848103948E-32</v>
      </c>
    </row>
    <row r="8010" spans="1:5" x14ac:dyDescent="0.25">
      <c r="A8010">
        <v>9</v>
      </c>
      <c r="B8010">
        <v>15</v>
      </c>
      <c r="C8010">
        <v>1</v>
      </c>
      <c r="D8010">
        <v>23</v>
      </c>
      <c r="E8010">
        <f t="shared" si="124"/>
        <v>7.3463128815210793E-29</v>
      </c>
    </row>
    <row r="8011" spans="1:5" x14ac:dyDescent="0.25">
      <c r="A8011">
        <v>9</v>
      </c>
      <c r="B8011">
        <v>15</v>
      </c>
      <c r="C8011">
        <v>2</v>
      </c>
      <c r="D8011">
        <v>22</v>
      </c>
      <c r="E8011">
        <f t="shared" si="124"/>
        <v>1.8022954269331713E-26</v>
      </c>
    </row>
    <row r="8012" spans="1:5" x14ac:dyDescent="0.25">
      <c r="A8012">
        <v>9</v>
      </c>
      <c r="B8012">
        <v>15</v>
      </c>
      <c r="C8012">
        <v>3</v>
      </c>
      <c r="D8012">
        <v>21</v>
      </c>
      <c r="E8012">
        <f t="shared" si="124"/>
        <v>2.0816512181078131E-24</v>
      </c>
    </row>
    <row r="8013" spans="1:5" x14ac:dyDescent="0.25">
      <c r="A8013">
        <v>9</v>
      </c>
      <c r="B8013">
        <v>15</v>
      </c>
      <c r="C8013">
        <v>4</v>
      </c>
      <c r="D8013">
        <v>20</v>
      </c>
      <c r="E8013">
        <f t="shared" si="124"/>
        <v>1.3551549429881863E-22</v>
      </c>
    </row>
    <row r="8014" spans="1:5" x14ac:dyDescent="0.25">
      <c r="A8014">
        <v>9</v>
      </c>
      <c r="B8014">
        <v>15</v>
      </c>
      <c r="C8014">
        <v>5</v>
      </c>
      <c r="D8014">
        <v>19</v>
      </c>
      <c r="E8014">
        <f t="shared" ref="E8014:E8077" si="125">COMBIN(A$4,A8014)*COMBIN(B$4,B8014)*COMBIN(C$4,C8014)*COMBIN(D$4,D8014)/COMBIN($G$4,$F$4)</f>
        <v>5.5109634348186237E-21</v>
      </c>
    </row>
    <row r="8015" spans="1:5" x14ac:dyDescent="0.25">
      <c r="A8015">
        <v>9</v>
      </c>
      <c r="B8015">
        <v>15</v>
      </c>
      <c r="C8015">
        <v>6</v>
      </c>
      <c r="D8015">
        <v>18</v>
      </c>
      <c r="E8015">
        <f t="shared" si="125"/>
        <v>1.4958329323079128E-19</v>
      </c>
    </row>
    <row r="8016" spans="1:5" x14ac:dyDescent="0.25">
      <c r="A8016">
        <v>9</v>
      </c>
      <c r="B8016">
        <v>15</v>
      </c>
      <c r="C8016">
        <v>7</v>
      </c>
      <c r="D8016">
        <v>17</v>
      </c>
      <c r="E8016">
        <f t="shared" si="125"/>
        <v>2.836740310912505E-18</v>
      </c>
    </row>
    <row r="8017" spans="1:5" x14ac:dyDescent="0.25">
      <c r="A8017">
        <v>9</v>
      </c>
      <c r="B8017">
        <v>15</v>
      </c>
      <c r="C8017">
        <v>8</v>
      </c>
      <c r="D8017">
        <v>16</v>
      </c>
      <c r="E8017">
        <f t="shared" si="125"/>
        <v>3.8847582591107367E-17</v>
      </c>
    </row>
    <row r="8018" spans="1:5" x14ac:dyDescent="0.25">
      <c r="A8018">
        <v>9</v>
      </c>
      <c r="B8018">
        <v>15</v>
      </c>
      <c r="C8018">
        <v>9</v>
      </c>
      <c r="D8018">
        <v>15</v>
      </c>
      <c r="E8018">
        <f t="shared" si="125"/>
        <v>3.9365550358988785E-16</v>
      </c>
    </row>
    <row r="8019" spans="1:5" x14ac:dyDescent="0.25">
      <c r="A8019">
        <v>9</v>
      </c>
      <c r="B8019">
        <v>15</v>
      </c>
      <c r="C8019">
        <v>10</v>
      </c>
      <c r="D8019">
        <v>14</v>
      </c>
      <c r="E8019">
        <f t="shared" si="125"/>
        <v>3.0060965728682354E-15</v>
      </c>
    </row>
    <row r="8020" spans="1:5" x14ac:dyDescent="0.25">
      <c r="A8020">
        <v>9</v>
      </c>
      <c r="B8020">
        <v>15</v>
      </c>
      <c r="C8020">
        <v>11</v>
      </c>
      <c r="D8020">
        <v>13</v>
      </c>
      <c r="E8020">
        <f t="shared" si="125"/>
        <v>1.753556334173138E-14</v>
      </c>
    </row>
    <row r="8021" spans="1:5" x14ac:dyDescent="0.25">
      <c r="A8021">
        <v>9</v>
      </c>
      <c r="B8021">
        <v>15</v>
      </c>
      <c r="C8021">
        <v>12</v>
      </c>
      <c r="D8021">
        <v>12</v>
      </c>
      <c r="E8021">
        <f t="shared" si="125"/>
        <v>7.8910035037791147E-14</v>
      </c>
    </row>
    <row r="8022" spans="1:5" x14ac:dyDescent="0.25">
      <c r="A8022">
        <v>9</v>
      </c>
      <c r="B8022">
        <v>15</v>
      </c>
      <c r="C8022">
        <v>13</v>
      </c>
      <c r="D8022">
        <v>11</v>
      </c>
      <c r="E8022">
        <f t="shared" si="125"/>
        <v>2.7575155101118235E-13</v>
      </c>
    </row>
    <row r="8023" spans="1:5" x14ac:dyDescent="0.25">
      <c r="A8023">
        <v>9</v>
      </c>
      <c r="B8023">
        <v>15</v>
      </c>
      <c r="C8023">
        <v>14</v>
      </c>
      <c r="D8023">
        <v>10</v>
      </c>
      <c r="E8023">
        <f t="shared" si="125"/>
        <v>7.5109470084950608E-13</v>
      </c>
    </row>
    <row r="8024" spans="1:5" x14ac:dyDescent="0.25">
      <c r="A8024">
        <v>9</v>
      </c>
      <c r="B8024">
        <v>15</v>
      </c>
      <c r="C8024">
        <v>15</v>
      </c>
      <c r="D8024">
        <v>9</v>
      </c>
      <c r="E8024">
        <f t="shared" si="125"/>
        <v>1.5960762393052002E-12</v>
      </c>
    </row>
    <row r="8025" spans="1:5" x14ac:dyDescent="0.25">
      <c r="A8025">
        <v>9</v>
      </c>
      <c r="B8025">
        <v>15</v>
      </c>
      <c r="C8025">
        <v>16</v>
      </c>
      <c r="D8025">
        <v>8</v>
      </c>
      <c r="E8025">
        <f t="shared" si="125"/>
        <v>2.6405673076740449E-12</v>
      </c>
    </row>
    <row r="8026" spans="1:5" x14ac:dyDescent="0.25">
      <c r="A8026">
        <v>9</v>
      </c>
      <c r="B8026">
        <v>15</v>
      </c>
      <c r="C8026">
        <v>17</v>
      </c>
      <c r="D8026">
        <v>7</v>
      </c>
      <c r="E8026">
        <f t="shared" si="125"/>
        <v>3.3826875313994329E-12</v>
      </c>
    </row>
    <row r="8027" spans="1:5" x14ac:dyDescent="0.25">
      <c r="A8027">
        <v>9</v>
      </c>
      <c r="B8027">
        <v>15</v>
      </c>
      <c r="C8027">
        <v>18</v>
      </c>
      <c r="D8027">
        <v>6</v>
      </c>
      <c r="E8027">
        <f t="shared" si="125"/>
        <v>3.3233421361117186E-12</v>
      </c>
    </row>
    <row r="8028" spans="1:5" x14ac:dyDescent="0.25">
      <c r="A8028">
        <v>9</v>
      </c>
      <c r="B8028">
        <v>15</v>
      </c>
      <c r="C8028">
        <v>19</v>
      </c>
      <c r="D8028">
        <v>5</v>
      </c>
      <c r="E8028">
        <f t="shared" si="125"/>
        <v>2.4662696904829082E-12</v>
      </c>
    </row>
    <row r="8029" spans="1:5" x14ac:dyDescent="0.25">
      <c r="A8029">
        <v>9</v>
      </c>
      <c r="B8029">
        <v>15</v>
      </c>
      <c r="C8029">
        <v>20</v>
      </c>
      <c r="D8029">
        <v>4</v>
      </c>
      <c r="E8029">
        <f t="shared" si="125"/>
        <v>1.350576259073975E-12</v>
      </c>
    </row>
    <row r="8030" spans="1:5" x14ac:dyDescent="0.25">
      <c r="A8030">
        <v>9</v>
      </c>
      <c r="B8030">
        <v>15</v>
      </c>
      <c r="C8030">
        <v>21</v>
      </c>
      <c r="D8030">
        <v>3</v>
      </c>
      <c r="E8030">
        <f t="shared" si="125"/>
        <v>5.2619854249635324E-13</v>
      </c>
    </row>
    <row r="8031" spans="1:5" x14ac:dyDescent="0.25">
      <c r="A8031">
        <v>9</v>
      </c>
      <c r="B8031">
        <v>15</v>
      </c>
      <c r="C8031">
        <v>22</v>
      </c>
      <c r="D8031">
        <v>2</v>
      </c>
      <c r="E8031">
        <f t="shared" si="125"/>
        <v>1.3726918499904874E-13</v>
      </c>
    </row>
    <row r="8032" spans="1:5" x14ac:dyDescent="0.25">
      <c r="A8032">
        <v>9</v>
      </c>
      <c r="B8032">
        <v>15</v>
      </c>
      <c r="C8032">
        <v>23</v>
      </c>
      <c r="D8032">
        <v>1</v>
      </c>
      <c r="E8032">
        <f t="shared" si="125"/>
        <v>2.1386141141156143E-14</v>
      </c>
    </row>
    <row r="8033" spans="1:5" x14ac:dyDescent="0.25">
      <c r="A8033">
        <v>9</v>
      </c>
      <c r="B8033">
        <v>15</v>
      </c>
      <c r="C8033">
        <v>24</v>
      </c>
      <c r="D8033">
        <v>0</v>
      </c>
      <c r="E8033">
        <f t="shared" si="125"/>
        <v>1.4970298798809297E-15</v>
      </c>
    </row>
    <row r="8034" spans="1:5" x14ac:dyDescent="0.25">
      <c r="A8034">
        <v>9</v>
      </c>
      <c r="B8034">
        <v>16</v>
      </c>
      <c r="C8034">
        <v>0</v>
      </c>
      <c r="D8034">
        <v>23</v>
      </c>
      <c r="E8034">
        <f t="shared" si="125"/>
        <v>1.9354708937853613E-29</v>
      </c>
    </row>
    <row r="8035" spans="1:5" x14ac:dyDescent="0.25">
      <c r="A8035">
        <v>9</v>
      </c>
      <c r="B8035">
        <v>16</v>
      </c>
      <c r="C8035">
        <v>1</v>
      </c>
      <c r="D8035">
        <v>22</v>
      </c>
      <c r="E8035">
        <f t="shared" si="125"/>
        <v>9.6450966206970494E-27</v>
      </c>
    </row>
    <row r="8036" spans="1:5" x14ac:dyDescent="0.25">
      <c r="A8036">
        <v>9</v>
      </c>
      <c r="B8036">
        <v>16</v>
      </c>
      <c r="C8036">
        <v>2</v>
      </c>
      <c r="D8036">
        <v>21</v>
      </c>
      <c r="E8036">
        <f t="shared" si="125"/>
        <v>1.6975370052426813E-24</v>
      </c>
    </row>
    <row r="8037" spans="1:5" x14ac:dyDescent="0.25">
      <c r="A8037">
        <v>9</v>
      </c>
      <c r="B8037">
        <v>16</v>
      </c>
      <c r="C8037">
        <v>3</v>
      </c>
      <c r="D8037">
        <v>20</v>
      </c>
      <c r="E8037">
        <f t="shared" si="125"/>
        <v>1.4972276386240442E-22</v>
      </c>
    </row>
    <row r="8038" spans="1:5" x14ac:dyDescent="0.25">
      <c r="A8038">
        <v>9</v>
      </c>
      <c r="B8038">
        <v>16</v>
      </c>
      <c r="C8038">
        <v>4</v>
      </c>
      <c r="D8038">
        <v>19</v>
      </c>
      <c r="E8038">
        <f t="shared" si="125"/>
        <v>7.7356761328908958E-21</v>
      </c>
    </row>
    <row r="8039" spans="1:5" x14ac:dyDescent="0.25">
      <c r="A8039">
        <v>9</v>
      </c>
      <c r="B8039">
        <v>16</v>
      </c>
      <c r="C8039">
        <v>5</v>
      </c>
      <c r="D8039">
        <v>18</v>
      </c>
      <c r="E8039">
        <f t="shared" si="125"/>
        <v>2.5616138965773007E-19</v>
      </c>
    </row>
    <row r="8040" spans="1:5" x14ac:dyDescent="0.25">
      <c r="A8040">
        <v>9</v>
      </c>
      <c r="B8040">
        <v>16</v>
      </c>
      <c r="C8040">
        <v>6</v>
      </c>
      <c r="D8040">
        <v>17</v>
      </c>
      <c r="E8040">
        <f t="shared" si="125"/>
        <v>5.7636312672989243E-18</v>
      </c>
    </row>
    <row r="8041" spans="1:5" x14ac:dyDescent="0.25">
      <c r="A8041">
        <v>9</v>
      </c>
      <c r="B8041">
        <v>16</v>
      </c>
      <c r="C8041">
        <v>7</v>
      </c>
      <c r="D8041">
        <v>16</v>
      </c>
      <c r="E8041">
        <f t="shared" si="125"/>
        <v>9.176066922382255E-17</v>
      </c>
    </row>
    <row r="8042" spans="1:5" x14ac:dyDescent="0.25">
      <c r="A8042">
        <v>9</v>
      </c>
      <c r="B8042">
        <v>16</v>
      </c>
      <c r="C8042">
        <v>8</v>
      </c>
      <c r="D8042">
        <v>15</v>
      </c>
      <c r="E8042">
        <f t="shared" si="125"/>
        <v>1.0644237629963418E-15</v>
      </c>
    </row>
    <row r="8043" spans="1:5" x14ac:dyDescent="0.25">
      <c r="A8043">
        <v>9</v>
      </c>
      <c r="B8043">
        <v>16</v>
      </c>
      <c r="C8043">
        <v>9</v>
      </c>
      <c r="D8043">
        <v>14</v>
      </c>
      <c r="E8043">
        <f t="shared" si="125"/>
        <v>9.1927506804229494E-15</v>
      </c>
    </row>
    <row r="8044" spans="1:5" x14ac:dyDescent="0.25">
      <c r="A8044">
        <v>9</v>
      </c>
      <c r="B8044">
        <v>16</v>
      </c>
      <c r="C8044">
        <v>10</v>
      </c>
      <c r="D8044">
        <v>13</v>
      </c>
      <c r="E8044">
        <f t="shared" si="125"/>
        <v>6.0059304445429967E-14</v>
      </c>
    </row>
    <row r="8045" spans="1:5" x14ac:dyDescent="0.25">
      <c r="A8045">
        <v>9</v>
      </c>
      <c r="B8045">
        <v>16</v>
      </c>
      <c r="C8045">
        <v>11</v>
      </c>
      <c r="D8045">
        <v>12</v>
      </c>
      <c r="E8045">
        <f t="shared" si="125"/>
        <v>3.0029652222714989E-13</v>
      </c>
    </row>
    <row r="8046" spans="1:5" x14ac:dyDescent="0.25">
      <c r="A8046">
        <v>9</v>
      </c>
      <c r="B8046">
        <v>16</v>
      </c>
      <c r="C8046">
        <v>12</v>
      </c>
      <c r="D8046">
        <v>11</v>
      </c>
      <c r="E8046">
        <f t="shared" si="125"/>
        <v>1.1582865857332914E-12</v>
      </c>
    </row>
    <row r="8047" spans="1:5" x14ac:dyDescent="0.25">
      <c r="A8047">
        <v>9</v>
      </c>
      <c r="B8047">
        <v>16</v>
      </c>
      <c r="C8047">
        <v>13</v>
      </c>
      <c r="D8047">
        <v>10</v>
      </c>
      <c r="E8047">
        <f t="shared" si="125"/>
        <v>3.4629798947820976E-12</v>
      </c>
    </row>
    <row r="8048" spans="1:5" x14ac:dyDescent="0.25">
      <c r="A8048">
        <v>9</v>
      </c>
      <c r="B8048">
        <v>16</v>
      </c>
      <c r="C8048">
        <v>14</v>
      </c>
      <c r="D8048">
        <v>9</v>
      </c>
      <c r="E8048">
        <f t="shared" si="125"/>
        <v>8.0390604700298725E-12</v>
      </c>
    </row>
    <row r="8049" spans="1:5" x14ac:dyDescent="0.25">
      <c r="A8049">
        <v>9</v>
      </c>
      <c r="B8049">
        <v>16</v>
      </c>
      <c r="C8049">
        <v>15</v>
      </c>
      <c r="D8049">
        <v>8</v>
      </c>
      <c r="E8049">
        <f t="shared" si="125"/>
        <v>1.4470308846053764E-11</v>
      </c>
    </row>
    <row r="8050" spans="1:5" x14ac:dyDescent="0.25">
      <c r="A8050">
        <v>9</v>
      </c>
      <c r="B8050">
        <v>16</v>
      </c>
      <c r="C8050">
        <v>16</v>
      </c>
      <c r="D8050">
        <v>7</v>
      </c>
      <c r="E8050">
        <f t="shared" si="125"/>
        <v>2.0097651175074678E-11</v>
      </c>
    </row>
    <row r="8051" spans="1:5" x14ac:dyDescent="0.25">
      <c r="A8051">
        <v>9</v>
      </c>
      <c r="B8051">
        <v>16</v>
      </c>
      <c r="C8051">
        <v>17</v>
      </c>
      <c r="D8051">
        <v>6</v>
      </c>
      <c r="E8051">
        <f t="shared" si="125"/>
        <v>2.1342087780342464E-11</v>
      </c>
    </row>
    <row r="8052" spans="1:5" x14ac:dyDescent="0.25">
      <c r="A8052">
        <v>9</v>
      </c>
      <c r="B8052">
        <v>16</v>
      </c>
      <c r="C8052">
        <v>18</v>
      </c>
      <c r="D8052">
        <v>5</v>
      </c>
      <c r="E8052">
        <f t="shared" si="125"/>
        <v>1.7073670224273956E-11</v>
      </c>
    </row>
    <row r="8053" spans="1:5" x14ac:dyDescent="0.25">
      <c r="A8053">
        <v>9</v>
      </c>
      <c r="B8053">
        <v>16</v>
      </c>
      <c r="C8053">
        <v>19</v>
      </c>
      <c r="D8053">
        <v>4</v>
      </c>
      <c r="E8053">
        <f t="shared" si="125"/>
        <v>1.0055921059409481E-11</v>
      </c>
    </row>
    <row r="8054" spans="1:5" x14ac:dyDescent="0.25">
      <c r="A8054">
        <v>9</v>
      </c>
      <c r="B8054">
        <v>16</v>
      </c>
      <c r="C8054">
        <v>20</v>
      </c>
      <c r="D8054">
        <v>3</v>
      </c>
      <c r="E8054">
        <f t="shared" si="125"/>
        <v>4.2052033521166948E-12</v>
      </c>
    </row>
    <row r="8055" spans="1:5" x14ac:dyDescent="0.25">
      <c r="A8055">
        <v>9</v>
      </c>
      <c r="B8055">
        <v>16</v>
      </c>
      <c r="C8055">
        <v>21</v>
      </c>
      <c r="D8055">
        <v>2</v>
      </c>
      <c r="E8055">
        <f t="shared" si="125"/>
        <v>1.1753673965543543E-12</v>
      </c>
    </row>
    <row r="8056" spans="1:5" x14ac:dyDescent="0.25">
      <c r="A8056">
        <v>9</v>
      </c>
      <c r="B8056">
        <v>16</v>
      </c>
      <c r="C8056">
        <v>22</v>
      </c>
      <c r="D8056">
        <v>1</v>
      </c>
      <c r="E8056">
        <f t="shared" si="125"/>
        <v>1.9589456609239248E-13</v>
      </c>
    </row>
    <row r="8057" spans="1:5" x14ac:dyDescent="0.25">
      <c r="A8057">
        <v>9</v>
      </c>
      <c r="B8057">
        <v>16</v>
      </c>
      <c r="C8057">
        <v>23</v>
      </c>
      <c r="D8057">
        <v>0</v>
      </c>
      <c r="E8057">
        <f t="shared" si="125"/>
        <v>1.4649506681691955E-14</v>
      </c>
    </row>
    <row r="8058" spans="1:5" x14ac:dyDescent="0.25">
      <c r="A8058">
        <v>9</v>
      </c>
      <c r="B8058">
        <v>17</v>
      </c>
      <c r="C8058">
        <v>0</v>
      </c>
      <c r="D8058">
        <v>22</v>
      </c>
      <c r="E8058">
        <f t="shared" si="125"/>
        <v>2.3829062239369186E-27</v>
      </c>
    </row>
    <row r="8059" spans="1:5" x14ac:dyDescent="0.25">
      <c r="A8059">
        <v>9</v>
      </c>
      <c r="B8059">
        <v>17</v>
      </c>
      <c r="C8059">
        <v>1</v>
      </c>
      <c r="D8059">
        <v>21</v>
      </c>
      <c r="E8059">
        <f t="shared" si="125"/>
        <v>8.5188897505744847E-25</v>
      </c>
    </row>
    <row r="8060" spans="1:5" x14ac:dyDescent="0.25">
      <c r="A8060">
        <v>9</v>
      </c>
      <c r="B8060">
        <v>17</v>
      </c>
      <c r="C8060">
        <v>2</v>
      </c>
      <c r="D8060">
        <v>20</v>
      </c>
      <c r="E8060">
        <f t="shared" si="125"/>
        <v>1.1449387824772103E-22</v>
      </c>
    </row>
    <row r="8061" spans="1:5" x14ac:dyDescent="0.25">
      <c r="A8061">
        <v>9</v>
      </c>
      <c r="B8061">
        <v>17</v>
      </c>
      <c r="C8061">
        <v>3</v>
      </c>
      <c r="D8061">
        <v>19</v>
      </c>
      <c r="E8061">
        <f t="shared" si="125"/>
        <v>8.0145714773404736E-21</v>
      </c>
    </row>
    <row r="8062" spans="1:5" x14ac:dyDescent="0.25">
      <c r="A8062">
        <v>9</v>
      </c>
      <c r="B8062">
        <v>17</v>
      </c>
      <c r="C8062">
        <v>4</v>
      </c>
      <c r="D8062">
        <v>18</v>
      </c>
      <c r="E8062">
        <f t="shared" si="125"/>
        <v>3.3718447143953863E-19</v>
      </c>
    </row>
    <row r="8063" spans="1:5" x14ac:dyDescent="0.25">
      <c r="A8063">
        <v>9</v>
      </c>
      <c r="B8063">
        <v>17</v>
      </c>
      <c r="C8063">
        <v>5</v>
      </c>
      <c r="D8063">
        <v>17</v>
      </c>
      <c r="E8063">
        <f t="shared" si="125"/>
        <v>9.2557137410153333E-18</v>
      </c>
    </row>
    <row r="8064" spans="1:5" x14ac:dyDescent="0.25">
      <c r="A8064">
        <v>9</v>
      </c>
      <c r="B8064">
        <v>17</v>
      </c>
      <c r="C8064">
        <v>6</v>
      </c>
      <c r="D8064">
        <v>16</v>
      </c>
      <c r="E8064">
        <f t="shared" si="125"/>
        <v>1.7483014844140074E-16</v>
      </c>
    </row>
    <row r="8065" spans="1:5" x14ac:dyDescent="0.25">
      <c r="A8065">
        <v>9</v>
      </c>
      <c r="B8065">
        <v>17</v>
      </c>
      <c r="C8065">
        <v>7</v>
      </c>
      <c r="D8065">
        <v>15</v>
      </c>
      <c r="E8065">
        <f t="shared" si="125"/>
        <v>2.3577094304097465E-15</v>
      </c>
    </row>
    <row r="8066" spans="1:5" x14ac:dyDescent="0.25">
      <c r="A8066">
        <v>9</v>
      </c>
      <c r="B8066">
        <v>17</v>
      </c>
      <c r="C8066">
        <v>8</v>
      </c>
      <c r="D8066">
        <v>14</v>
      </c>
      <c r="E8066">
        <f t="shared" si="125"/>
        <v>2.3309172777914546E-14</v>
      </c>
    </row>
    <row r="8067" spans="1:5" x14ac:dyDescent="0.25">
      <c r="A8067">
        <v>9</v>
      </c>
      <c r="B8067">
        <v>17</v>
      </c>
      <c r="C8067">
        <v>9</v>
      </c>
      <c r="D8067">
        <v>13</v>
      </c>
      <c r="E8067">
        <f t="shared" si="125"/>
        <v>1.7222888774792417E-13</v>
      </c>
    </row>
    <row r="8068" spans="1:5" x14ac:dyDescent="0.25">
      <c r="A8068">
        <v>9</v>
      </c>
      <c r="B8068">
        <v>17</v>
      </c>
      <c r="C8068">
        <v>10</v>
      </c>
      <c r="D8068">
        <v>12</v>
      </c>
      <c r="E8068">
        <f t="shared" si="125"/>
        <v>9.6448177138837552E-13</v>
      </c>
    </row>
    <row r="8069" spans="1:5" x14ac:dyDescent="0.25">
      <c r="A8069">
        <v>9</v>
      </c>
      <c r="B8069">
        <v>17</v>
      </c>
      <c r="C8069">
        <v>11</v>
      </c>
      <c r="D8069">
        <v>11</v>
      </c>
      <c r="E8069">
        <f t="shared" si="125"/>
        <v>4.1334933059501806E-12</v>
      </c>
    </row>
    <row r="8070" spans="1:5" x14ac:dyDescent="0.25">
      <c r="A8070">
        <v>9</v>
      </c>
      <c r="B8070">
        <v>17</v>
      </c>
      <c r="C8070">
        <v>12</v>
      </c>
      <c r="D8070">
        <v>10</v>
      </c>
      <c r="E8070">
        <f t="shared" si="125"/>
        <v>1.3640527909635583E-11</v>
      </c>
    </row>
    <row r="8071" spans="1:5" x14ac:dyDescent="0.25">
      <c r="A8071">
        <v>9</v>
      </c>
      <c r="B8071">
        <v>17</v>
      </c>
      <c r="C8071">
        <v>13</v>
      </c>
      <c r="D8071">
        <v>9</v>
      </c>
      <c r="E8071">
        <f t="shared" si="125"/>
        <v>3.4757114385129153E-11</v>
      </c>
    </row>
    <row r="8072" spans="1:5" x14ac:dyDescent="0.25">
      <c r="A8072">
        <v>9</v>
      </c>
      <c r="B8072">
        <v>17</v>
      </c>
      <c r="C8072">
        <v>14</v>
      </c>
      <c r="D8072">
        <v>8</v>
      </c>
      <c r="E8072">
        <f t="shared" si="125"/>
        <v>6.8345922404371624E-11</v>
      </c>
    </row>
    <row r="8073" spans="1:5" x14ac:dyDescent="0.25">
      <c r="A8073">
        <v>9</v>
      </c>
      <c r="B8073">
        <v>17</v>
      </c>
      <c r="C8073">
        <v>15</v>
      </c>
      <c r="D8073">
        <v>7</v>
      </c>
      <c r="E8073">
        <f t="shared" si="125"/>
        <v>1.0327828274438377E-10</v>
      </c>
    </row>
    <row r="8074" spans="1:5" x14ac:dyDescent="0.25">
      <c r="A8074">
        <v>9</v>
      </c>
      <c r="B8074">
        <v>17</v>
      </c>
      <c r="C8074">
        <v>16</v>
      </c>
      <c r="D8074">
        <v>6</v>
      </c>
      <c r="E8074">
        <f t="shared" si="125"/>
        <v>1.1890591763333657E-10</v>
      </c>
    </row>
    <row r="8075" spans="1:5" x14ac:dyDescent="0.25">
      <c r="A8075">
        <v>9</v>
      </c>
      <c r="B8075">
        <v>17</v>
      </c>
      <c r="C8075">
        <v>17</v>
      </c>
      <c r="D8075">
        <v>5</v>
      </c>
      <c r="E8075">
        <f t="shared" si="125"/>
        <v>1.0281864642412049E-10</v>
      </c>
    </row>
    <row r="8076" spans="1:5" x14ac:dyDescent="0.25">
      <c r="A8076">
        <v>9</v>
      </c>
      <c r="B8076">
        <v>17</v>
      </c>
      <c r="C8076">
        <v>18</v>
      </c>
      <c r="D8076">
        <v>4</v>
      </c>
      <c r="E8076">
        <f t="shared" si="125"/>
        <v>6.5281680269282813E-11</v>
      </c>
    </row>
    <row r="8077" spans="1:5" x14ac:dyDescent="0.25">
      <c r="A8077">
        <v>9</v>
      </c>
      <c r="B8077">
        <v>17</v>
      </c>
      <c r="C8077">
        <v>19</v>
      </c>
      <c r="D8077">
        <v>3</v>
      </c>
      <c r="E8077">
        <f t="shared" si="125"/>
        <v>2.9361138494318591E-11</v>
      </c>
    </row>
    <row r="8078" spans="1:5" x14ac:dyDescent="0.25">
      <c r="A8078">
        <v>9</v>
      </c>
      <c r="B8078">
        <v>17</v>
      </c>
      <c r="C8078">
        <v>20</v>
      </c>
      <c r="D8078">
        <v>2</v>
      </c>
      <c r="E8078">
        <f t="shared" ref="E8078:E8141" si="126">COMBIN(A$4,A8078)*COMBIN(B$4,B8078)*COMBIN(C$4,C8078)*COMBIN(D$4,D8078)/COMBIN($G$4,$F$4)</f>
        <v>8.8083415482955835E-12</v>
      </c>
    </row>
    <row r="8079" spans="1:5" x14ac:dyDescent="0.25">
      <c r="A8079">
        <v>9</v>
      </c>
      <c r="B8079">
        <v>17</v>
      </c>
      <c r="C8079">
        <v>21</v>
      </c>
      <c r="D8079">
        <v>1</v>
      </c>
      <c r="E8079">
        <f t="shared" si="126"/>
        <v>1.5729181336242096E-12</v>
      </c>
    </row>
    <row r="8080" spans="1:5" x14ac:dyDescent="0.25">
      <c r="A8080">
        <v>9</v>
      </c>
      <c r="B8080">
        <v>17</v>
      </c>
      <c r="C8080">
        <v>22</v>
      </c>
      <c r="D8080">
        <v>0</v>
      </c>
      <c r="E8080">
        <f t="shared" si="126"/>
        <v>1.2583345068993684E-13</v>
      </c>
    </row>
    <row r="8081" spans="1:5" x14ac:dyDescent="0.25">
      <c r="A8081">
        <v>9</v>
      </c>
      <c r="B8081">
        <v>18</v>
      </c>
      <c r="C8081">
        <v>0</v>
      </c>
      <c r="D8081">
        <v>21</v>
      </c>
      <c r="E8081">
        <f t="shared" si="126"/>
        <v>1.9804598394497948E-25</v>
      </c>
    </row>
    <row r="8082" spans="1:5" x14ac:dyDescent="0.25">
      <c r="A8082">
        <v>9</v>
      </c>
      <c r="B8082">
        <v>18</v>
      </c>
      <c r="C8082">
        <v>1</v>
      </c>
      <c r="D8082">
        <v>20</v>
      </c>
      <c r="E8082">
        <f t="shared" si="126"/>
        <v>5.4066553616979386E-23</v>
      </c>
    </row>
    <row r="8083" spans="1:5" x14ac:dyDescent="0.25">
      <c r="A8083">
        <v>9</v>
      </c>
      <c r="B8083">
        <v>18</v>
      </c>
      <c r="C8083">
        <v>2</v>
      </c>
      <c r="D8083">
        <v>19</v>
      </c>
      <c r="E8083">
        <f t="shared" si="126"/>
        <v>5.7670990524778012E-21</v>
      </c>
    </row>
    <row r="8084" spans="1:5" x14ac:dyDescent="0.25">
      <c r="A8084">
        <v>9</v>
      </c>
      <c r="B8084">
        <v>18</v>
      </c>
      <c r="C8084">
        <v>3</v>
      </c>
      <c r="D8084">
        <v>18</v>
      </c>
      <c r="E8084">
        <f t="shared" si="126"/>
        <v>3.287246459912348E-19</v>
      </c>
    </row>
    <row r="8085" spans="1:5" x14ac:dyDescent="0.25">
      <c r="A8085">
        <v>9</v>
      </c>
      <c r="B8085">
        <v>18</v>
      </c>
      <c r="C8085">
        <v>4</v>
      </c>
      <c r="D8085">
        <v>17</v>
      </c>
      <c r="E8085">
        <f t="shared" si="126"/>
        <v>1.1464272028944311E-17</v>
      </c>
    </row>
    <row r="8086" spans="1:5" x14ac:dyDescent="0.25">
      <c r="A8086">
        <v>9</v>
      </c>
      <c r="B8086">
        <v>18</v>
      </c>
      <c r="C8086">
        <v>5</v>
      </c>
      <c r="D8086">
        <v>16</v>
      </c>
      <c r="E8086">
        <f t="shared" si="126"/>
        <v>2.6418777986700561E-16</v>
      </c>
    </row>
    <row r="8087" spans="1:5" x14ac:dyDescent="0.25">
      <c r="A8087">
        <v>9</v>
      </c>
      <c r="B8087">
        <v>18</v>
      </c>
      <c r="C8087">
        <v>6</v>
      </c>
      <c r="D8087">
        <v>15</v>
      </c>
      <c r="E8087">
        <f t="shared" si="126"/>
        <v>4.2270044778720882E-15</v>
      </c>
    </row>
    <row r="8088" spans="1:5" x14ac:dyDescent="0.25">
      <c r="A8088">
        <v>9</v>
      </c>
      <c r="B8088">
        <v>18</v>
      </c>
      <c r="C8088">
        <v>7</v>
      </c>
      <c r="D8088">
        <v>14</v>
      </c>
      <c r="E8088">
        <f t="shared" si="126"/>
        <v>4.8583103414503879E-14</v>
      </c>
    </row>
    <row r="8089" spans="1:5" x14ac:dyDescent="0.25">
      <c r="A8089">
        <v>9</v>
      </c>
      <c r="B8089">
        <v>18</v>
      </c>
      <c r="C8089">
        <v>8</v>
      </c>
      <c r="D8089">
        <v>13</v>
      </c>
      <c r="E8089">
        <f t="shared" si="126"/>
        <v>4.1093208304767884E-13</v>
      </c>
    </row>
    <row r="8090" spans="1:5" x14ac:dyDescent="0.25">
      <c r="A8090">
        <v>9</v>
      </c>
      <c r="B8090">
        <v>18</v>
      </c>
      <c r="C8090">
        <v>9</v>
      </c>
      <c r="D8090">
        <v>12</v>
      </c>
      <c r="E8090">
        <f t="shared" si="126"/>
        <v>2.6025698593019657E-12</v>
      </c>
    </row>
    <row r="8091" spans="1:5" x14ac:dyDescent="0.25">
      <c r="A8091">
        <v>9</v>
      </c>
      <c r="B8091">
        <v>18</v>
      </c>
      <c r="C8091">
        <v>10</v>
      </c>
      <c r="D8091">
        <v>11</v>
      </c>
      <c r="E8091">
        <f t="shared" si="126"/>
        <v>1.2492335324649434E-11</v>
      </c>
    </row>
    <row r="8092" spans="1:5" x14ac:dyDescent="0.25">
      <c r="A8092">
        <v>9</v>
      </c>
      <c r="B8092">
        <v>18</v>
      </c>
      <c r="C8092">
        <v>11</v>
      </c>
      <c r="D8092">
        <v>10</v>
      </c>
      <c r="E8092">
        <f t="shared" si="126"/>
        <v>4.5805229523714587E-11</v>
      </c>
    </row>
    <row r="8093" spans="1:5" x14ac:dyDescent="0.25">
      <c r="A8093">
        <v>9</v>
      </c>
      <c r="B8093">
        <v>18</v>
      </c>
      <c r="C8093">
        <v>12</v>
      </c>
      <c r="D8093">
        <v>9</v>
      </c>
      <c r="E8093">
        <f t="shared" si="126"/>
        <v>1.2882720803544722E-10</v>
      </c>
    </row>
    <row r="8094" spans="1:5" x14ac:dyDescent="0.25">
      <c r="A8094">
        <v>9</v>
      </c>
      <c r="B8094">
        <v>18</v>
      </c>
      <c r="C8094">
        <v>13</v>
      </c>
      <c r="D8094">
        <v>8</v>
      </c>
      <c r="E8094">
        <f t="shared" si="126"/>
        <v>2.7805691508103323E-10</v>
      </c>
    </row>
    <row r="8095" spans="1:5" x14ac:dyDescent="0.25">
      <c r="A8095">
        <v>9</v>
      </c>
      <c r="B8095">
        <v>18</v>
      </c>
      <c r="C8095">
        <v>14</v>
      </c>
      <c r="D8095">
        <v>7</v>
      </c>
      <c r="E8095">
        <f t="shared" si="126"/>
        <v>4.5901458997503923E-10</v>
      </c>
    </row>
    <row r="8096" spans="1:5" x14ac:dyDescent="0.25">
      <c r="A8096">
        <v>9</v>
      </c>
      <c r="B8096">
        <v>18</v>
      </c>
      <c r="C8096">
        <v>15</v>
      </c>
      <c r="D8096">
        <v>6</v>
      </c>
      <c r="E8096">
        <f t="shared" si="126"/>
        <v>5.7497617060031176E-10</v>
      </c>
    </row>
    <row r="8097" spans="1:5" x14ac:dyDescent="0.25">
      <c r="A8097">
        <v>9</v>
      </c>
      <c r="B8097">
        <v>18</v>
      </c>
      <c r="C8097">
        <v>16</v>
      </c>
      <c r="D8097">
        <v>5</v>
      </c>
      <c r="E8097">
        <f t="shared" si="126"/>
        <v>5.3904015993779242E-10</v>
      </c>
    </row>
    <row r="8098" spans="1:5" x14ac:dyDescent="0.25">
      <c r="A8098">
        <v>9</v>
      </c>
      <c r="B8098">
        <v>18</v>
      </c>
      <c r="C8098">
        <v>17</v>
      </c>
      <c r="D8098">
        <v>4</v>
      </c>
      <c r="E8098">
        <f t="shared" si="126"/>
        <v>3.6992952152593628E-10</v>
      </c>
    </row>
    <row r="8099" spans="1:5" x14ac:dyDescent="0.25">
      <c r="A8099">
        <v>9</v>
      </c>
      <c r="B8099">
        <v>18</v>
      </c>
      <c r="C8099">
        <v>18</v>
      </c>
      <c r="D8099">
        <v>3</v>
      </c>
      <c r="E8099">
        <f t="shared" si="126"/>
        <v>1.7935976801257496E-10</v>
      </c>
    </row>
    <row r="8100" spans="1:5" x14ac:dyDescent="0.25">
      <c r="A8100">
        <v>9</v>
      </c>
      <c r="B8100">
        <v>18</v>
      </c>
      <c r="C8100">
        <v>19</v>
      </c>
      <c r="D8100">
        <v>2</v>
      </c>
      <c r="E8100">
        <f t="shared" si="126"/>
        <v>5.7871229496048234E-11</v>
      </c>
    </row>
    <row r="8101" spans="1:5" x14ac:dyDescent="0.25">
      <c r="A8101">
        <v>9</v>
      </c>
      <c r="B8101">
        <v>18</v>
      </c>
      <c r="C8101">
        <v>20</v>
      </c>
      <c r="D8101">
        <v>1</v>
      </c>
      <c r="E8101">
        <f t="shared" si="126"/>
        <v>1.1091985653409255E-11</v>
      </c>
    </row>
    <row r="8102" spans="1:5" x14ac:dyDescent="0.25">
      <c r="A8102">
        <v>9</v>
      </c>
      <c r="B8102">
        <v>18</v>
      </c>
      <c r="C8102">
        <v>21</v>
      </c>
      <c r="D8102">
        <v>0</v>
      </c>
      <c r="E8102">
        <f t="shared" si="126"/>
        <v>9.5074162743507793E-13</v>
      </c>
    </row>
    <row r="8103" spans="1:5" x14ac:dyDescent="0.25">
      <c r="A8103">
        <v>9</v>
      </c>
      <c r="B8103">
        <v>19</v>
      </c>
      <c r="C8103">
        <v>0</v>
      </c>
      <c r="D8103">
        <v>20</v>
      </c>
      <c r="E8103">
        <f t="shared" si="126"/>
        <v>1.1863996785588187E-23</v>
      </c>
    </row>
    <row r="8104" spans="1:5" x14ac:dyDescent="0.25">
      <c r="A8104">
        <v>9</v>
      </c>
      <c r="B8104">
        <v>19</v>
      </c>
      <c r="C8104">
        <v>1</v>
      </c>
      <c r="D8104">
        <v>19</v>
      </c>
      <c r="E8104">
        <f t="shared" si="126"/>
        <v>2.5705326368774408E-21</v>
      </c>
    </row>
    <row r="8105" spans="1:5" x14ac:dyDescent="0.25">
      <c r="A8105">
        <v>9</v>
      </c>
      <c r="B8105">
        <v>19</v>
      </c>
      <c r="C8105">
        <v>2</v>
      </c>
      <c r="D8105">
        <v>18</v>
      </c>
      <c r="E8105">
        <f t="shared" si="126"/>
        <v>2.2326912046021209E-19</v>
      </c>
    </row>
    <row r="8106" spans="1:5" x14ac:dyDescent="0.25">
      <c r="A8106">
        <v>9</v>
      </c>
      <c r="B8106">
        <v>19</v>
      </c>
      <c r="C8106">
        <v>3</v>
      </c>
      <c r="D8106">
        <v>17</v>
      </c>
      <c r="E8106">
        <f t="shared" si="126"/>
        <v>1.0549465941745018E-17</v>
      </c>
    </row>
    <row r="8107" spans="1:5" x14ac:dyDescent="0.25">
      <c r="A8107">
        <v>9</v>
      </c>
      <c r="B8107">
        <v>19</v>
      </c>
      <c r="C8107">
        <v>4</v>
      </c>
      <c r="D8107">
        <v>16</v>
      </c>
      <c r="E8107">
        <f t="shared" si="126"/>
        <v>3.088649195166458E-16</v>
      </c>
    </row>
    <row r="8108" spans="1:5" x14ac:dyDescent="0.25">
      <c r="A8108">
        <v>9</v>
      </c>
      <c r="B8108">
        <v>19</v>
      </c>
      <c r="C8108">
        <v>5</v>
      </c>
      <c r="D8108">
        <v>15</v>
      </c>
      <c r="E8108">
        <f t="shared" si="126"/>
        <v>6.0290432289649262E-15</v>
      </c>
    </row>
    <row r="8109" spans="1:5" x14ac:dyDescent="0.25">
      <c r="A8109">
        <v>9</v>
      </c>
      <c r="B8109">
        <v>19</v>
      </c>
      <c r="C8109">
        <v>6</v>
      </c>
      <c r="D8109">
        <v>14</v>
      </c>
      <c r="E8109">
        <f t="shared" si="126"/>
        <v>8.2214225849521722E-14</v>
      </c>
    </row>
    <row r="8110" spans="1:5" x14ac:dyDescent="0.25">
      <c r="A8110">
        <v>9</v>
      </c>
      <c r="B8110">
        <v>19</v>
      </c>
      <c r="C8110">
        <v>7</v>
      </c>
      <c r="D8110">
        <v>13</v>
      </c>
      <c r="E8110">
        <f t="shared" si="126"/>
        <v>8.084398875202971E-13</v>
      </c>
    </row>
    <row r="8111" spans="1:5" x14ac:dyDescent="0.25">
      <c r="A8111">
        <v>9</v>
      </c>
      <c r="B8111">
        <v>19</v>
      </c>
      <c r="C8111">
        <v>8</v>
      </c>
      <c r="D8111">
        <v>12</v>
      </c>
      <c r="E8111">
        <f t="shared" si="126"/>
        <v>5.8611891845221554E-12</v>
      </c>
    </row>
    <row r="8112" spans="1:5" x14ac:dyDescent="0.25">
      <c r="A8112">
        <v>9</v>
      </c>
      <c r="B8112">
        <v>19</v>
      </c>
      <c r="C8112">
        <v>9</v>
      </c>
      <c r="D8112">
        <v>11</v>
      </c>
      <c r="E8112">
        <f t="shared" si="126"/>
        <v>3.1817884144548823E-11</v>
      </c>
    </row>
    <row r="8113" spans="1:5" x14ac:dyDescent="0.25">
      <c r="A8113">
        <v>9</v>
      </c>
      <c r="B8113">
        <v>19</v>
      </c>
      <c r="C8113">
        <v>10</v>
      </c>
      <c r="D8113">
        <v>10</v>
      </c>
      <c r="E8113">
        <f t="shared" si="126"/>
        <v>1.306654442202805E-10</v>
      </c>
    </row>
    <row r="8114" spans="1:5" x14ac:dyDescent="0.25">
      <c r="A8114">
        <v>9</v>
      </c>
      <c r="B8114">
        <v>19</v>
      </c>
      <c r="C8114">
        <v>11</v>
      </c>
      <c r="D8114">
        <v>9</v>
      </c>
      <c r="E8114">
        <f t="shared" si="126"/>
        <v>4.0832951318837673E-10</v>
      </c>
    </row>
    <row r="8115" spans="1:5" x14ac:dyDescent="0.25">
      <c r="A8115">
        <v>9</v>
      </c>
      <c r="B8115">
        <v>19</v>
      </c>
      <c r="C8115">
        <v>12</v>
      </c>
      <c r="D8115">
        <v>8</v>
      </c>
      <c r="E8115">
        <f t="shared" si="126"/>
        <v>9.7278501671348513E-10</v>
      </c>
    </row>
    <row r="8116" spans="1:5" x14ac:dyDescent="0.25">
      <c r="A8116">
        <v>9</v>
      </c>
      <c r="B8116">
        <v>19</v>
      </c>
      <c r="C8116">
        <v>13</v>
      </c>
      <c r="D8116">
        <v>7</v>
      </c>
      <c r="E8116">
        <f t="shared" si="126"/>
        <v>1.7626531926774274E-9</v>
      </c>
    </row>
    <row r="8117" spans="1:5" x14ac:dyDescent="0.25">
      <c r="A8117">
        <v>9</v>
      </c>
      <c r="B8117">
        <v>19</v>
      </c>
      <c r="C8117">
        <v>14</v>
      </c>
      <c r="D8117">
        <v>6</v>
      </c>
      <c r="E8117">
        <f t="shared" si="126"/>
        <v>2.4120517373480574E-9</v>
      </c>
    </row>
    <row r="8118" spans="1:5" x14ac:dyDescent="0.25">
      <c r="A8118">
        <v>9</v>
      </c>
      <c r="B8118">
        <v>19</v>
      </c>
      <c r="C8118">
        <v>15</v>
      </c>
      <c r="D8118">
        <v>5</v>
      </c>
      <c r="E8118">
        <f t="shared" si="126"/>
        <v>2.4602927720950178E-9</v>
      </c>
    </row>
    <row r="8119" spans="1:5" x14ac:dyDescent="0.25">
      <c r="A8119">
        <v>9</v>
      </c>
      <c r="B8119">
        <v>19</v>
      </c>
      <c r="C8119">
        <v>16</v>
      </c>
      <c r="D8119">
        <v>4</v>
      </c>
      <c r="E8119">
        <f t="shared" si="126"/>
        <v>1.8305749792373654E-9</v>
      </c>
    </row>
    <row r="8120" spans="1:5" x14ac:dyDescent="0.25">
      <c r="A8120">
        <v>9</v>
      </c>
      <c r="B8120">
        <v>19</v>
      </c>
      <c r="C8120">
        <v>17</v>
      </c>
      <c r="D8120">
        <v>3</v>
      </c>
      <c r="E8120">
        <f t="shared" si="126"/>
        <v>9.5933875917252344E-10</v>
      </c>
    </row>
    <row r="8121" spans="1:5" x14ac:dyDescent="0.25">
      <c r="A8121">
        <v>9</v>
      </c>
      <c r="B8121">
        <v>19</v>
      </c>
      <c r="C8121">
        <v>18</v>
      </c>
      <c r="D8121">
        <v>2</v>
      </c>
      <c r="E8121">
        <f t="shared" si="126"/>
        <v>3.3368304666870345E-10</v>
      </c>
    </row>
    <row r="8122" spans="1:5" x14ac:dyDescent="0.25">
      <c r="A8122">
        <v>9</v>
      </c>
      <c r="B8122">
        <v>19</v>
      </c>
      <c r="C8122">
        <v>19</v>
      </c>
      <c r="D8122">
        <v>1</v>
      </c>
      <c r="E8122">
        <f t="shared" si="126"/>
        <v>6.878554032205733E-11</v>
      </c>
    </row>
    <row r="8123" spans="1:5" x14ac:dyDescent="0.25">
      <c r="A8123">
        <v>9</v>
      </c>
      <c r="B8123">
        <v>19</v>
      </c>
      <c r="C8123">
        <v>20</v>
      </c>
      <c r="D8123">
        <v>0</v>
      </c>
      <c r="E8123">
        <f t="shared" si="126"/>
        <v>6.3282697096292785E-12</v>
      </c>
    </row>
    <row r="8124" spans="1:5" x14ac:dyDescent="0.25">
      <c r="A8124">
        <v>9</v>
      </c>
      <c r="B8124">
        <v>20</v>
      </c>
      <c r="C8124">
        <v>0</v>
      </c>
      <c r="D8124">
        <v>19</v>
      </c>
      <c r="E8124">
        <f t="shared" si="126"/>
        <v>5.3387985535146839E-22</v>
      </c>
    </row>
    <row r="8125" spans="1:5" x14ac:dyDescent="0.25">
      <c r="A8125">
        <v>9</v>
      </c>
      <c r="B8125">
        <v>20</v>
      </c>
      <c r="C8125">
        <v>1</v>
      </c>
      <c r="D8125">
        <v>18</v>
      </c>
      <c r="E8125">
        <f t="shared" si="126"/>
        <v>9.4191660194151947E-20</v>
      </c>
    </row>
    <row r="8126" spans="1:5" x14ac:dyDescent="0.25">
      <c r="A8126">
        <v>9</v>
      </c>
      <c r="B8126">
        <v>20</v>
      </c>
      <c r="C8126">
        <v>2</v>
      </c>
      <c r="D8126">
        <v>17</v>
      </c>
      <c r="E8126">
        <f t="shared" si="126"/>
        <v>6.7817995339789392E-18</v>
      </c>
    </row>
    <row r="8127" spans="1:5" x14ac:dyDescent="0.25">
      <c r="A8127">
        <v>9</v>
      </c>
      <c r="B8127">
        <v>20</v>
      </c>
      <c r="C8127">
        <v>3</v>
      </c>
      <c r="D8127">
        <v>16</v>
      </c>
      <c r="E8127">
        <f t="shared" si="126"/>
        <v>2.6901138151449792E-16</v>
      </c>
    </row>
    <row r="8128" spans="1:5" x14ac:dyDescent="0.25">
      <c r="A8128">
        <v>9</v>
      </c>
      <c r="B8128">
        <v>20</v>
      </c>
      <c r="C8128">
        <v>4</v>
      </c>
      <c r="D8128">
        <v>15</v>
      </c>
      <c r="E8128">
        <f t="shared" si="126"/>
        <v>6.6714822615595485E-15</v>
      </c>
    </row>
    <row r="8129" spans="1:5" x14ac:dyDescent="0.25">
      <c r="A8129">
        <v>9</v>
      </c>
      <c r="B8129">
        <v>20</v>
      </c>
      <c r="C8129">
        <v>5</v>
      </c>
      <c r="D8129">
        <v>14</v>
      </c>
      <c r="E8129">
        <f t="shared" si="126"/>
        <v>1.1098920489685432E-13</v>
      </c>
    </row>
    <row r="8130" spans="1:5" x14ac:dyDescent="0.25">
      <c r="A8130">
        <v>9</v>
      </c>
      <c r="B8130">
        <v>20</v>
      </c>
      <c r="C8130">
        <v>6</v>
      </c>
      <c r="D8130">
        <v>13</v>
      </c>
      <c r="E8130">
        <f t="shared" si="126"/>
        <v>1.2948740571299671E-12</v>
      </c>
    </row>
    <row r="8131" spans="1:5" x14ac:dyDescent="0.25">
      <c r="A8131">
        <v>9</v>
      </c>
      <c r="B8131">
        <v>20</v>
      </c>
      <c r="C8131">
        <v>7</v>
      </c>
      <c r="D8131">
        <v>12</v>
      </c>
      <c r="E8131">
        <f t="shared" si="126"/>
        <v>1.091393848152401E-11</v>
      </c>
    </row>
    <row r="8132" spans="1:5" x14ac:dyDescent="0.25">
      <c r="A8132">
        <v>9</v>
      </c>
      <c r="B8132">
        <v>20</v>
      </c>
      <c r="C8132">
        <v>8</v>
      </c>
      <c r="D8132">
        <v>11</v>
      </c>
      <c r="E8132">
        <f t="shared" si="126"/>
        <v>6.7822331992327764E-11</v>
      </c>
    </row>
    <row r="8133" spans="1:5" x14ac:dyDescent="0.25">
      <c r="A8133">
        <v>9</v>
      </c>
      <c r="B8133">
        <v>20</v>
      </c>
      <c r="C8133">
        <v>9</v>
      </c>
      <c r="D8133">
        <v>10</v>
      </c>
      <c r="E8133">
        <f t="shared" si="126"/>
        <v>3.1499705303103336E-10</v>
      </c>
    </row>
    <row r="8134" spans="1:5" x14ac:dyDescent="0.25">
      <c r="A8134">
        <v>9</v>
      </c>
      <c r="B8134">
        <v>20</v>
      </c>
      <c r="C8134">
        <v>10</v>
      </c>
      <c r="D8134">
        <v>9</v>
      </c>
      <c r="E8134">
        <f t="shared" si="126"/>
        <v>1.1024896856086169E-9</v>
      </c>
    </row>
    <row r="8135" spans="1:5" x14ac:dyDescent="0.25">
      <c r="A8135">
        <v>9</v>
      </c>
      <c r="B8135">
        <v>20</v>
      </c>
      <c r="C8135">
        <v>11</v>
      </c>
      <c r="D8135">
        <v>8</v>
      </c>
      <c r="E8135">
        <f t="shared" si="126"/>
        <v>2.9183550501404568E-9</v>
      </c>
    </row>
    <row r="8136" spans="1:5" x14ac:dyDescent="0.25">
      <c r="A8136">
        <v>9</v>
      </c>
      <c r="B8136">
        <v>20</v>
      </c>
      <c r="C8136">
        <v>12</v>
      </c>
      <c r="D8136">
        <v>7</v>
      </c>
      <c r="E8136">
        <f t="shared" si="126"/>
        <v>5.836710100280912E-9</v>
      </c>
    </row>
    <row r="8137" spans="1:5" x14ac:dyDescent="0.25">
      <c r="A8137">
        <v>9</v>
      </c>
      <c r="B8137">
        <v>20</v>
      </c>
      <c r="C8137">
        <v>13</v>
      </c>
      <c r="D8137">
        <v>6</v>
      </c>
      <c r="E8137">
        <f t="shared" si="126"/>
        <v>8.7668803530535165E-9</v>
      </c>
    </row>
    <row r="8138" spans="1:5" x14ac:dyDescent="0.25">
      <c r="A8138">
        <v>9</v>
      </c>
      <c r="B8138">
        <v>20</v>
      </c>
      <c r="C8138">
        <v>14</v>
      </c>
      <c r="D8138">
        <v>5</v>
      </c>
      <c r="E8138">
        <f t="shared" si="126"/>
        <v>9.7688095362596344E-9</v>
      </c>
    </row>
    <row r="8139" spans="1:5" x14ac:dyDescent="0.25">
      <c r="A8139">
        <v>9</v>
      </c>
      <c r="B8139">
        <v>20</v>
      </c>
      <c r="C8139">
        <v>15</v>
      </c>
      <c r="D8139">
        <v>4</v>
      </c>
      <c r="E8139">
        <f t="shared" si="126"/>
        <v>7.9080839103054154E-9</v>
      </c>
    </row>
    <row r="8140" spans="1:5" x14ac:dyDescent="0.25">
      <c r="A8140">
        <v>9</v>
      </c>
      <c r="B8140">
        <v>20</v>
      </c>
      <c r="C8140">
        <v>16</v>
      </c>
      <c r="D8140">
        <v>3</v>
      </c>
      <c r="E8140">
        <f t="shared" si="126"/>
        <v>4.4932294944917138E-9</v>
      </c>
    </row>
    <row r="8141" spans="1:5" x14ac:dyDescent="0.25">
      <c r="A8141">
        <v>9</v>
      </c>
      <c r="B8141">
        <v>20</v>
      </c>
      <c r="C8141">
        <v>17</v>
      </c>
      <c r="D8141">
        <v>2</v>
      </c>
      <c r="E8141">
        <f t="shared" si="126"/>
        <v>1.6892704237603127E-9</v>
      </c>
    </row>
    <row r="8142" spans="1:5" x14ac:dyDescent="0.25">
      <c r="A8142">
        <v>9</v>
      </c>
      <c r="B8142">
        <v>20</v>
      </c>
      <c r="C8142">
        <v>18</v>
      </c>
      <c r="D8142">
        <v>1</v>
      </c>
      <c r="E8142">
        <f t="shared" ref="E8142:E8205" si="127">COMBIN(A$4,A8142)*COMBIN(B$4,B8142)*COMBIN(C$4,C8142)*COMBIN(D$4,D8142)/COMBIN($G$4,$F$4)</f>
        <v>3.7539342750229139E-10</v>
      </c>
    </row>
    <row r="8143" spans="1:5" x14ac:dyDescent="0.25">
      <c r="A8143">
        <v>9</v>
      </c>
      <c r="B8143">
        <v>20</v>
      </c>
      <c r="C8143">
        <v>19</v>
      </c>
      <c r="D8143">
        <v>0</v>
      </c>
      <c r="E8143">
        <f t="shared" si="127"/>
        <v>3.7144191773910953E-11</v>
      </c>
    </row>
    <row r="8144" spans="1:5" x14ac:dyDescent="0.25">
      <c r="A8144">
        <v>9</v>
      </c>
      <c r="B8144">
        <v>21</v>
      </c>
      <c r="C8144">
        <v>0</v>
      </c>
      <c r="D8144">
        <v>18</v>
      </c>
      <c r="E8144">
        <f t="shared" si="127"/>
        <v>1.8562312521777935E-20</v>
      </c>
    </row>
    <row r="8145" spans="1:5" x14ac:dyDescent="0.25">
      <c r="A8145">
        <v>9</v>
      </c>
      <c r="B8145">
        <v>21</v>
      </c>
      <c r="C8145">
        <v>1</v>
      </c>
      <c r="D8145">
        <v>17</v>
      </c>
      <c r="E8145">
        <f t="shared" si="127"/>
        <v>2.7147382063100228E-18</v>
      </c>
    </row>
    <row r="8146" spans="1:5" x14ac:dyDescent="0.25">
      <c r="A8146">
        <v>9</v>
      </c>
      <c r="B8146">
        <v>21</v>
      </c>
      <c r="C8146">
        <v>2</v>
      </c>
      <c r="D8146">
        <v>16</v>
      </c>
      <c r="E8146">
        <f t="shared" si="127"/>
        <v>1.6409084269251696E-16</v>
      </c>
    </row>
    <row r="8147" spans="1:5" x14ac:dyDescent="0.25">
      <c r="A8147">
        <v>9</v>
      </c>
      <c r="B8147">
        <v>21</v>
      </c>
      <c r="C8147">
        <v>3</v>
      </c>
      <c r="D8147">
        <v>15</v>
      </c>
      <c r="E8147">
        <f t="shared" si="127"/>
        <v>5.5134523144685681E-15</v>
      </c>
    </row>
    <row r="8148" spans="1:5" x14ac:dyDescent="0.25">
      <c r="A8148">
        <v>9</v>
      </c>
      <c r="B8148">
        <v>21</v>
      </c>
      <c r="C8148">
        <v>4</v>
      </c>
      <c r="D8148">
        <v>14</v>
      </c>
      <c r="E8148">
        <f t="shared" si="127"/>
        <v>1.1653433301035839E-13</v>
      </c>
    </row>
    <row r="8149" spans="1:5" x14ac:dyDescent="0.25">
      <c r="A8149">
        <v>9</v>
      </c>
      <c r="B8149">
        <v>21</v>
      </c>
      <c r="C8149">
        <v>5</v>
      </c>
      <c r="D8149">
        <v>13</v>
      </c>
      <c r="E8149">
        <f t="shared" si="127"/>
        <v>1.6586720065141016E-12</v>
      </c>
    </row>
    <row r="8150" spans="1:5" x14ac:dyDescent="0.25">
      <c r="A8150">
        <v>9</v>
      </c>
      <c r="B8150">
        <v>21</v>
      </c>
      <c r="C8150">
        <v>6</v>
      </c>
      <c r="D8150">
        <v>12</v>
      </c>
      <c r="E8150">
        <f t="shared" si="127"/>
        <v>1.6586720065141014E-11</v>
      </c>
    </row>
    <row r="8151" spans="1:5" x14ac:dyDescent="0.25">
      <c r="A8151">
        <v>9</v>
      </c>
      <c r="B8151">
        <v>21</v>
      </c>
      <c r="C8151">
        <v>7</v>
      </c>
      <c r="D8151">
        <v>11</v>
      </c>
      <c r="E8151">
        <f t="shared" si="127"/>
        <v>1.1983058985836567E-10</v>
      </c>
    </row>
    <row r="8152" spans="1:5" x14ac:dyDescent="0.25">
      <c r="A8152">
        <v>9</v>
      </c>
      <c r="B8152">
        <v>21</v>
      </c>
      <c r="C8152">
        <v>8</v>
      </c>
      <c r="D8152">
        <v>10</v>
      </c>
      <c r="E8152">
        <f t="shared" si="127"/>
        <v>6.3709930274697746E-10</v>
      </c>
    </row>
    <row r="8153" spans="1:5" x14ac:dyDescent="0.25">
      <c r="A8153">
        <v>9</v>
      </c>
      <c r="B8153">
        <v>21</v>
      </c>
      <c r="C8153">
        <v>9</v>
      </c>
      <c r="D8153">
        <v>9</v>
      </c>
      <c r="E8153">
        <f t="shared" si="127"/>
        <v>2.5218514067067853E-9</v>
      </c>
    </row>
    <row r="8154" spans="1:5" x14ac:dyDescent="0.25">
      <c r="A8154">
        <v>9</v>
      </c>
      <c r="B8154">
        <v>21</v>
      </c>
      <c r="C8154">
        <v>10</v>
      </c>
      <c r="D8154">
        <v>8</v>
      </c>
      <c r="E8154">
        <f t="shared" si="127"/>
        <v>7.4765476998836482E-9</v>
      </c>
    </row>
    <row r="8155" spans="1:5" x14ac:dyDescent="0.25">
      <c r="A8155">
        <v>9</v>
      </c>
      <c r="B8155">
        <v>21</v>
      </c>
      <c r="C8155">
        <v>11</v>
      </c>
      <c r="D8155">
        <v>7</v>
      </c>
      <c r="E8155">
        <f t="shared" si="127"/>
        <v>1.661455044418589E-8</v>
      </c>
    </row>
    <row r="8156" spans="1:5" x14ac:dyDescent="0.25">
      <c r="A8156">
        <v>9</v>
      </c>
      <c r="B8156">
        <v>21</v>
      </c>
      <c r="C8156">
        <v>12</v>
      </c>
      <c r="D8156">
        <v>6</v>
      </c>
      <c r="E8156">
        <f t="shared" si="127"/>
        <v>2.7545175736413421E-8</v>
      </c>
    </row>
    <row r="8157" spans="1:5" x14ac:dyDescent="0.25">
      <c r="A8157">
        <v>9</v>
      </c>
      <c r="B8157">
        <v>21</v>
      </c>
      <c r="C8157">
        <v>13</v>
      </c>
      <c r="D8157">
        <v>5</v>
      </c>
      <c r="E8157">
        <f t="shared" si="127"/>
        <v>3.3689868785305663E-8</v>
      </c>
    </row>
    <row r="8158" spans="1:5" x14ac:dyDescent="0.25">
      <c r="A8158">
        <v>9</v>
      </c>
      <c r="B8158">
        <v>21</v>
      </c>
      <c r="C8158">
        <v>14</v>
      </c>
      <c r="D8158">
        <v>4</v>
      </c>
      <c r="E8158">
        <f t="shared" si="127"/>
        <v>2.9793761510814543E-8</v>
      </c>
    </row>
    <row r="8159" spans="1:5" x14ac:dyDescent="0.25">
      <c r="A8159">
        <v>9</v>
      </c>
      <c r="B8159">
        <v>21</v>
      </c>
      <c r="C8159">
        <v>15</v>
      </c>
      <c r="D8159">
        <v>3</v>
      </c>
      <c r="E8159">
        <f t="shared" si="127"/>
        <v>1.8417961661230798E-8</v>
      </c>
    </row>
    <row r="8160" spans="1:5" x14ac:dyDescent="0.25">
      <c r="A8160">
        <v>9</v>
      </c>
      <c r="B8160">
        <v>21</v>
      </c>
      <c r="C8160">
        <v>16</v>
      </c>
      <c r="D8160">
        <v>2</v>
      </c>
      <c r="E8160">
        <f t="shared" si="127"/>
        <v>7.5073213293060335E-9</v>
      </c>
    </row>
    <row r="8161" spans="1:5" x14ac:dyDescent="0.25">
      <c r="A8161">
        <v>9</v>
      </c>
      <c r="B8161">
        <v>21</v>
      </c>
      <c r="C8161">
        <v>17</v>
      </c>
      <c r="D8161">
        <v>1</v>
      </c>
      <c r="E8161">
        <f t="shared" si="127"/>
        <v>1.8032291428235091E-9</v>
      </c>
    </row>
    <row r="8162" spans="1:5" x14ac:dyDescent="0.25">
      <c r="A8162">
        <v>9</v>
      </c>
      <c r="B8162">
        <v>21</v>
      </c>
      <c r="C8162">
        <v>18</v>
      </c>
      <c r="D8162">
        <v>0</v>
      </c>
      <c r="E8162">
        <f t="shared" si="127"/>
        <v>1.9234444190117412E-10</v>
      </c>
    </row>
    <row r="8163" spans="1:5" x14ac:dyDescent="0.25">
      <c r="A8163">
        <v>9</v>
      </c>
      <c r="B8163">
        <v>22</v>
      </c>
      <c r="C8163">
        <v>0</v>
      </c>
      <c r="D8163">
        <v>17</v>
      </c>
      <c r="E8163">
        <f t="shared" si="127"/>
        <v>5.0877611139236792E-19</v>
      </c>
    </row>
    <row r="8164" spans="1:5" x14ac:dyDescent="0.25">
      <c r="A8164">
        <v>9</v>
      </c>
      <c r="B8164">
        <v>22</v>
      </c>
      <c r="C8164">
        <v>1</v>
      </c>
      <c r="D8164">
        <v>16</v>
      </c>
      <c r="E8164">
        <f t="shared" si="127"/>
        <v>6.2466400343174057E-17</v>
      </c>
    </row>
    <row r="8165" spans="1:5" x14ac:dyDescent="0.25">
      <c r="A8165">
        <v>9</v>
      </c>
      <c r="B8165">
        <v>22</v>
      </c>
      <c r="C8165">
        <v>2</v>
      </c>
      <c r="D8165">
        <v>15</v>
      </c>
      <c r="E8165">
        <f t="shared" si="127"/>
        <v>3.1982796975705112E-15</v>
      </c>
    </row>
    <row r="8166" spans="1:5" x14ac:dyDescent="0.25">
      <c r="A8166">
        <v>9</v>
      </c>
      <c r="B8166">
        <v>22</v>
      </c>
      <c r="C8166">
        <v>3</v>
      </c>
      <c r="D8166">
        <v>14</v>
      </c>
      <c r="E8166">
        <f t="shared" si="127"/>
        <v>9.1587100430428292E-14</v>
      </c>
    </row>
    <row r="8167" spans="1:5" x14ac:dyDescent="0.25">
      <c r="A8167">
        <v>9</v>
      </c>
      <c r="B8167">
        <v>22</v>
      </c>
      <c r="C8167">
        <v>4</v>
      </c>
      <c r="D8167">
        <v>13</v>
      </c>
      <c r="E8167">
        <f t="shared" si="127"/>
        <v>1.656200066116912E-12</v>
      </c>
    </row>
    <row r="8168" spans="1:5" x14ac:dyDescent="0.25">
      <c r="A8168">
        <v>9</v>
      </c>
      <c r="B8168">
        <v>22</v>
      </c>
      <c r="C8168">
        <v>5</v>
      </c>
      <c r="D8168">
        <v>12</v>
      </c>
      <c r="E8168">
        <f t="shared" si="127"/>
        <v>2.0205640806626329E-11</v>
      </c>
    </row>
    <row r="8169" spans="1:5" x14ac:dyDescent="0.25">
      <c r="A8169">
        <v>9</v>
      </c>
      <c r="B8169">
        <v>22</v>
      </c>
      <c r="C8169">
        <v>6</v>
      </c>
      <c r="D8169">
        <v>11</v>
      </c>
      <c r="E8169">
        <f t="shared" si="127"/>
        <v>1.731912069139399E-10</v>
      </c>
    </row>
    <row r="8170" spans="1:5" x14ac:dyDescent="0.25">
      <c r="A8170">
        <v>9</v>
      </c>
      <c r="B8170">
        <v>22</v>
      </c>
      <c r="C8170">
        <v>7</v>
      </c>
      <c r="D8170">
        <v>10</v>
      </c>
      <c r="E8170">
        <f t="shared" si="127"/>
        <v>1.0704866027347332E-9</v>
      </c>
    </row>
    <row r="8171" spans="1:5" x14ac:dyDescent="0.25">
      <c r="A8171">
        <v>9</v>
      </c>
      <c r="B8171">
        <v>22</v>
      </c>
      <c r="C8171">
        <v>8</v>
      </c>
      <c r="D8171">
        <v>9</v>
      </c>
      <c r="E8171">
        <f t="shared" si="127"/>
        <v>4.8506424186417617E-9</v>
      </c>
    </row>
    <row r="8172" spans="1:5" x14ac:dyDescent="0.25">
      <c r="A8172">
        <v>9</v>
      </c>
      <c r="B8172">
        <v>22</v>
      </c>
      <c r="C8172">
        <v>9</v>
      </c>
      <c r="D8172">
        <v>8</v>
      </c>
      <c r="E8172">
        <f t="shared" si="127"/>
        <v>1.6263918697798841E-8</v>
      </c>
    </row>
    <row r="8173" spans="1:5" x14ac:dyDescent="0.25">
      <c r="A8173">
        <v>9</v>
      </c>
      <c r="B8173">
        <v>22</v>
      </c>
      <c r="C8173">
        <v>10</v>
      </c>
      <c r="D8173">
        <v>7</v>
      </c>
      <c r="E8173">
        <f t="shared" si="127"/>
        <v>4.047908653674381E-8</v>
      </c>
    </row>
    <row r="8174" spans="1:5" x14ac:dyDescent="0.25">
      <c r="A8174">
        <v>9</v>
      </c>
      <c r="B8174">
        <v>22</v>
      </c>
      <c r="C8174">
        <v>11</v>
      </c>
      <c r="D8174">
        <v>6</v>
      </c>
      <c r="E8174">
        <f t="shared" si="127"/>
        <v>7.4566738357159619E-8</v>
      </c>
    </row>
    <row r="8175" spans="1:5" x14ac:dyDescent="0.25">
      <c r="A8175">
        <v>9</v>
      </c>
      <c r="B8175">
        <v>22</v>
      </c>
      <c r="C8175">
        <v>12</v>
      </c>
      <c r="D8175">
        <v>5</v>
      </c>
      <c r="E8175">
        <f t="shared" si="127"/>
        <v>1.0066509678216542E-7</v>
      </c>
    </row>
    <row r="8176" spans="1:5" x14ac:dyDescent="0.25">
      <c r="A8176">
        <v>9</v>
      </c>
      <c r="B8176">
        <v>22</v>
      </c>
      <c r="C8176">
        <v>13</v>
      </c>
      <c r="D8176">
        <v>4</v>
      </c>
      <c r="E8176">
        <f t="shared" si="127"/>
        <v>9.7715203836167983E-8</v>
      </c>
    </row>
    <row r="8177" spans="1:5" x14ac:dyDescent="0.25">
      <c r="A8177">
        <v>9</v>
      </c>
      <c r="B8177">
        <v>22</v>
      </c>
      <c r="C8177">
        <v>14</v>
      </c>
      <c r="D8177">
        <v>3</v>
      </c>
      <c r="E8177">
        <f t="shared" si="127"/>
        <v>6.5989488304944599E-8</v>
      </c>
    </row>
    <row r="8178" spans="1:5" x14ac:dyDescent="0.25">
      <c r="A8178">
        <v>9</v>
      </c>
      <c r="B8178">
        <v>22</v>
      </c>
      <c r="C8178">
        <v>15</v>
      </c>
      <c r="D8178">
        <v>2</v>
      </c>
      <c r="E8178">
        <f t="shared" si="127"/>
        <v>2.9264903509149337E-8</v>
      </c>
    </row>
    <row r="8179" spans="1:5" x14ac:dyDescent="0.25">
      <c r="A8179">
        <v>9</v>
      </c>
      <c r="B8179">
        <v>22</v>
      </c>
      <c r="C8179">
        <v>16</v>
      </c>
      <c r="D8179">
        <v>1</v>
      </c>
      <c r="E8179">
        <f t="shared" si="127"/>
        <v>7.6210686221743064E-9</v>
      </c>
    </row>
    <row r="8180" spans="1:5" x14ac:dyDescent="0.25">
      <c r="A8180">
        <v>9</v>
      </c>
      <c r="B8180">
        <v>22</v>
      </c>
      <c r="C8180">
        <v>17</v>
      </c>
      <c r="D8180">
        <v>0</v>
      </c>
      <c r="E8180">
        <f t="shared" si="127"/>
        <v>8.7866438232127344E-10</v>
      </c>
    </row>
    <row r="8181" spans="1:5" x14ac:dyDescent="0.25">
      <c r="A8181">
        <v>9</v>
      </c>
      <c r="B8181">
        <v>23</v>
      </c>
      <c r="C8181">
        <v>0</v>
      </c>
      <c r="D8181">
        <v>16</v>
      </c>
      <c r="E8181">
        <f t="shared" si="127"/>
        <v>1.115620661647322E-17</v>
      </c>
    </row>
    <row r="8182" spans="1:5" x14ac:dyDescent="0.25">
      <c r="A8182">
        <v>9</v>
      </c>
      <c r="B8182">
        <v>23</v>
      </c>
      <c r="C8182">
        <v>1</v>
      </c>
      <c r="D8182">
        <v>15</v>
      </c>
      <c r="E8182">
        <f t="shared" si="127"/>
        <v>1.1602454881132146E-15</v>
      </c>
    </row>
    <row r="8183" spans="1:5" x14ac:dyDescent="0.25">
      <c r="A8183">
        <v>9</v>
      </c>
      <c r="B8183">
        <v>23</v>
      </c>
      <c r="C8183">
        <v>2</v>
      </c>
      <c r="D8183">
        <v>14</v>
      </c>
      <c r="E8183">
        <f t="shared" si="127"/>
        <v>5.0628894026758463E-14</v>
      </c>
    </row>
    <row r="8184" spans="1:5" x14ac:dyDescent="0.25">
      <c r="A8184">
        <v>9</v>
      </c>
      <c r="B8184">
        <v>23</v>
      </c>
      <c r="C8184">
        <v>3</v>
      </c>
      <c r="D8184">
        <v>13</v>
      </c>
      <c r="E8184">
        <f t="shared" si="127"/>
        <v>1.2404079036555827E-12</v>
      </c>
    </row>
    <row r="8185" spans="1:5" x14ac:dyDescent="0.25">
      <c r="A8185">
        <v>9</v>
      </c>
      <c r="B8185">
        <v>23</v>
      </c>
      <c r="C8185">
        <v>4</v>
      </c>
      <c r="D8185">
        <v>12</v>
      </c>
      <c r="E8185">
        <f t="shared" si="127"/>
        <v>1.9226322506661529E-11</v>
      </c>
    </row>
    <row r="8186" spans="1:5" x14ac:dyDescent="0.25">
      <c r="A8186">
        <v>9</v>
      </c>
      <c r="B8186">
        <v>23</v>
      </c>
      <c r="C8186">
        <v>5</v>
      </c>
      <c r="D8186">
        <v>11</v>
      </c>
      <c r="E8186">
        <f t="shared" si="127"/>
        <v>2.0105240106966055E-10</v>
      </c>
    </row>
    <row r="8187" spans="1:5" x14ac:dyDescent="0.25">
      <c r="A8187">
        <v>9</v>
      </c>
      <c r="B8187">
        <v>23</v>
      </c>
      <c r="C8187">
        <v>6</v>
      </c>
      <c r="D8187">
        <v>10</v>
      </c>
      <c r="E8187">
        <f t="shared" si="127"/>
        <v>1.4743842745108436E-9</v>
      </c>
    </row>
    <row r="8188" spans="1:5" x14ac:dyDescent="0.25">
      <c r="A8188">
        <v>9</v>
      </c>
      <c r="B8188">
        <v>23</v>
      </c>
      <c r="C8188">
        <v>7</v>
      </c>
      <c r="D8188">
        <v>9</v>
      </c>
      <c r="E8188">
        <f t="shared" si="127"/>
        <v>7.7668457317981956E-9</v>
      </c>
    </row>
    <row r="8189" spans="1:5" x14ac:dyDescent="0.25">
      <c r="A8189">
        <v>9</v>
      </c>
      <c r="B8189">
        <v>23</v>
      </c>
      <c r="C8189">
        <v>8</v>
      </c>
      <c r="D8189">
        <v>8</v>
      </c>
      <c r="E8189">
        <f t="shared" si="127"/>
        <v>2.9810981411754851E-8</v>
      </c>
    </row>
    <row r="8190" spans="1:5" x14ac:dyDescent="0.25">
      <c r="A8190">
        <v>9</v>
      </c>
      <c r="B8190">
        <v>23</v>
      </c>
      <c r="C8190">
        <v>9</v>
      </c>
      <c r="D8190">
        <v>7</v>
      </c>
      <c r="E8190">
        <f t="shared" si="127"/>
        <v>8.3912392121976619E-8</v>
      </c>
    </row>
    <row r="8191" spans="1:5" x14ac:dyDescent="0.25">
      <c r="A8191">
        <v>9</v>
      </c>
      <c r="B8191">
        <v>23</v>
      </c>
      <c r="C8191">
        <v>10</v>
      </c>
      <c r="D8191">
        <v>6</v>
      </c>
      <c r="E8191">
        <f t="shared" si="127"/>
        <v>1.7312451427270958E-7</v>
      </c>
    </row>
    <row r="8192" spans="1:5" x14ac:dyDescent="0.25">
      <c r="A8192">
        <v>9</v>
      </c>
      <c r="B8192">
        <v>23</v>
      </c>
      <c r="C8192">
        <v>11</v>
      </c>
      <c r="D8192">
        <v>5</v>
      </c>
      <c r="E8192">
        <f t="shared" si="127"/>
        <v>2.596867714090644E-7</v>
      </c>
    </row>
    <row r="8193" spans="1:5" x14ac:dyDescent="0.25">
      <c r="A8193">
        <v>9</v>
      </c>
      <c r="B8193">
        <v>23</v>
      </c>
      <c r="C8193">
        <v>12</v>
      </c>
      <c r="D8193">
        <v>4</v>
      </c>
      <c r="E8193">
        <f t="shared" si="127"/>
        <v>2.7823582650971175E-7</v>
      </c>
    </row>
    <row r="8194" spans="1:5" x14ac:dyDescent="0.25">
      <c r="A8194">
        <v>9</v>
      </c>
      <c r="B8194">
        <v>23</v>
      </c>
      <c r="C8194">
        <v>13</v>
      </c>
      <c r="D8194">
        <v>3</v>
      </c>
      <c r="E8194">
        <f t="shared" si="127"/>
        <v>2.0624473853167457E-7</v>
      </c>
    </row>
    <row r="8195" spans="1:5" x14ac:dyDescent="0.25">
      <c r="A8195">
        <v>9</v>
      </c>
      <c r="B8195">
        <v>23</v>
      </c>
      <c r="C8195">
        <v>14</v>
      </c>
      <c r="D8195">
        <v>2</v>
      </c>
      <c r="E8195">
        <f t="shared" si="127"/>
        <v>9.9919811214103208E-8</v>
      </c>
    </row>
    <row r="8196" spans="1:5" x14ac:dyDescent="0.25">
      <c r="A8196">
        <v>9</v>
      </c>
      <c r="B8196">
        <v>23</v>
      </c>
      <c r="C8196">
        <v>15</v>
      </c>
      <c r="D8196">
        <v>1</v>
      </c>
      <c r="E8196">
        <f t="shared" si="127"/>
        <v>2.831061317732923E-8</v>
      </c>
    </row>
    <row r="8197" spans="1:5" x14ac:dyDescent="0.25">
      <c r="A8197">
        <v>9</v>
      </c>
      <c r="B8197">
        <v>23</v>
      </c>
      <c r="C8197">
        <v>16</v>
      </c>
      <c r="D8197">
        <v>0</v>
      </c>
      <c r="E8197">
        <f t="shared" si="127"/>
        <v>3.5388266471661541E-9</v>
      </c>
    </row>
    <row r="8198" spans="1:5" x14ac:dyDescent="0.25">
      <c r="A8198">
        <v>9</v>
      </c>
      <c r="B8198">
        <v>24</v>
      </c>
      <c r="C8198">
        <v>0</v>
      </c>
      <c r="D8198">
        <v>15</v>
      </c>
      <c r="E8198">
        <f t="shared" si="127"/>
        <v>1.9783673066545853E-16</v>
      </c>
    </row>
    <row r="8199" spans="1:5" x14ac:dyDescent="0.25">
      <c r="A8199">
        <v>9</v>
      </c>
      <c r="B8199">
        <v>24</v>
      </c>
      <c r="C8199">
        <v>1</v>
      </c>
      <c r="D8199">
        <v>14</v>
      </c>
      <c r="E8199">
        <f t="shared" si="127"/>
        <v>1.7535528399892918E-14</v>
      </c>
    </row>
    <row r="8200" spans="1:5" x14ac:dyDescent="0.25">
      <c r="A8200">
        <v>9</v>
      </c>
      <c r="B8200">
        <v>24</v>
      </c>
      <c r="C8200">
        <v>2</v>
      </c>
      <c r="D8200">
        <v>13</v>
      </c>
      <c r="E8200">
        <f t="shared" si="127"/>
        <v>6.5465972692933567E-13</v>
      </c>
    </row>
    <row r="8201" spans="1:5" x14ac:dyDescent="0.25">
      <c r="A8201">
        <v>9</v>
      </c>
      <c r="B8201">
        <v>24</v>
      </c>
      <c r="C8201">
        <v>3</v>
      </c>
      <c r="D8201">
        <v>12</v>
      </c>
      <c r="E8201">
        <f t="shared" si="127"/>
        <v>1.3747854265516049E-11</v>
      </c>
    </row>
    <row r="8202" spans="1:5" x14ac:dyDescent="0.25">
      <c r="A8202">
        <v>9</v>
      </c>
      <c r="B8202">
        <v>24</v>
      </c>
      <c r="C8202">
        <v>4</v>
      </c>
      <c r="D8202">
        <v>11</v>
      </c>
      <c r="E8202">
        <f t="shared" si="127"/>
        <v>1.8265006381328463E-10</v>
      </c>
    </row>
    <row r="8203" spans="1:5" x14ac:dyDescent="0.25">
      <c r="A8203">
        <v>9</v>
      </c>
      <c r="B8203">
        <v>24</v>
      </c>
      <c r="C8203">
        <v>5</v>
      </c>
      <c r="D8203">
        <v>10</v>
      </c>
      <c r="E8203">
        <f t="shared" si="127"/>
        <v>1.6341092375828531E-9</v>
      </c>
    </row>
    <row r="8204" spans="1:5" x14ac:dyDescent="0.25">
      <c r="A8204">
        <v>9</v>
      </c>
      <c r="B8204">
        <v>24</v>
      </c>
      <c r="C8204">
        <v>6</v>
      </c>
      <c r="D8204">
        <v>9</v>
      </c>
      <c r="E8204">
        <f t="shared" si="127"/>
        <v>1.0213182734892833E-8</v>
      </c>
    </row>
    <row r="8205" spans="1:5" x14ac:dyDescent="0.25">
      <c r="A8205">
        <v>9</v>
      </c>
      <c r="B8205">
        <v>24</v>
      </c>
      <c r="C8205">
        <v>7</v>
      </c>
      <c r="D8205">
        <v>8</v>
      </c>
      <c r="E8205">
        <f t="shared" si="127"/>
        <v>4.5573109514521798E-8</v>
      </c>
    </row>
    <row r="8206" spans="1:5" x14ac:dyDescent="0.25">
      <c r="A8206">
        <v>9</v>
      </c>
      <c r="B8206">
        <v>24</v>
      </c>
      <c r="C8206">
        <v>8</v>
      </c>
      <c r="D8206">
        <v>7</v>
      </c>
      <c r="E8206">
        <f t="shared" ref="E8206:E8269" si="128">COMBIN(A$4,A8206)*COMBIN(B$4,B8206)*COMBIN(C$4,C8206)*COMBIN(D$4,D8206)/COMBIN($G$4,$F$4)</f>
        <v>1.4684668621345918E-7</v>
      </c>
    </row>
    <row r="8207" spans="1:5" x14ac:dyDescent="0.25">
      <c r="A8207">
        <v>9</v>
      </c>
      <c r="B8207">
        <v>24</v>
      </c>
      <c r="C8207">
        <v>9</v>
      </c>
      <c r="D8207">
        <v>6</v>
      </c>
      <c r="E8207">
        <f t="shared" si="128"/>
        <v>3.4264226783140452E-7</v>
      </c>
    </row>
    <row r="8208" spans="1:5" x14ac:dyDescent="0.25">
      <c r="A8208">
        <v>9</v>
      </c>
      <c r="B8208">
        <v>24</v>
      </c>
      <c r="C8208">
        <v>10</v>
      </c>
      <c r="D8208">
        <v>5</v>
      </c>
      <c r="E8208">
        <f t="shared" si="128"/>
        <v>5.7563900995675981E-7</v>
      </c>
    </row>
    <row r="8209" spans="1:5" x14ac:dyDescent="0.25">
      <c r="A8209">
        <v>9</v>
      </c>
      <c r="B8209">
        <v>24</v>
      </c>
      <c r="C8209">
        <v>11</v>
      </c>
      <c r="D8209">
        <v>4</v>
      </c>
      <c r="E8209">
        <f t="shared" si="128"/>
        <v>6.8528453566280947E-7</v>
      </c>
    </row>
    <row r="8210" spans="1:5" x14ac:dyDescent="0.25">
      <c r="A8210">
        <v>9</v>
      </c>
      <c r="B8210">
        <v>24</v>
      </c>
      <c r="C8210">
        <v>12</v>
      </c>
      <c r="D8210">
        <v>3</v>
      </c>
      <c r="E8210">
        <f t="shared" si="128"/>
        <v>5.6068734736048011E-7</v>
      </c>
    </row>
    <row r="8211" spans="1:5" x14ac:dyDescent="0.25">
      <c r="A8211">
        <v>9</v>
      </c>
      <c r="B8211">
        <v>24</v>
      </c>
      <c r="C8211">
        <v>13</v>
      </c>
      <c r="D8211">
        <v>2</v>
      </c>
      <c r="E8211">
        <f t="shared" si="128"/>
        <v>2.9815815461644267E-7</v>
      </c>
    </row>
    <row r="8212" spans="1:5" x14ac:dyDescent="0.25">
      <c r="A8212">
        <v>9</v>
      </c>
      <c r="B8212">
        <v>24</v>
      </c>
      <c r="C8212">
        <v>14</v>
      </c>
      <c r="D8212">
        <v>1</v>
      </c>
      <c r="E8212">
        <f t="shared" si="128"/>
        <v>9.2287047857470388E-8</v>
      </c>
    </row>
    <row r="8213" spans="1:5" x14ac:dyDescent="0.25">
      <c r="A8213">
        <v>9</v>
      </c>
      <c r="B8213">
        <v>24</v>
      </c>
      <c r="C8213">
        <v>15</v>
      </c>
      <c r="D8213">
        <v>0</v>
      </c>
      <c r="E8213">
        <f t="shared" si="128"/>
        <v>1.2551038508615966E-8</v>
      </c>
    </row>
    <row r="8214" spans="1:5" x14ac:dyDescent="0.25">
      <c r="A8214">
        <v>9</v>
      </c>
      <c r="B8214">
        <v>25</v>
      </c>
      <c r="C8214">
        <v>0</v>
      </c>
      <c r="D8214">
        <v>14</v>
      </c>
      <c r="E8214">
        <f t="shared" si="128"/>
        <v>2.8596400159825381E-15</v>
      </c>
    </row>
    <row r="8215" spans="1:5" x14ac:dyDescent="0.25">
      <c r="A8215">
        <v>9</v>
      </c>
      <c r="B8215">
        <v>25</v>
      </c>
      <c r="C8215">
        <v>1</v>
      </c>
      <c r="D8215">
        <v>13</v>
      </c>
      <c r="E8215">
        <f t="shared" si="128"/>
        <v>2.1685603454534251E-13</v>
      </c>
    </row>
    <row r="8216" spans="1:5" x14ac:dyDescent="0.25">
      <c r="A8216">
        <v>9</v>
      </c>
      <c r="B8216">
        <v>25</v>
      </c>
      <c r="C8216">
        <v>2</v>
      </c>
      <c r="D8216">
        <v>12</v>
      </c>
      <c r="E8216">
        <f t="shared" si="128"/>
        <v>6.9393931054509604E-12</v>
      </c>
    </row>
    <row r="8217" spans="1:5" x14ac:dyDescent="0.25">
      <c r="A8217">
        <v>9</v>
      </c>
      <c r="B8217">
        <v>25</v>
      </c>
      <c r="C8217">
        <v>3</v>
      </c>
      <c r="D8217">
        <v>11</v>
      </c>
      <c r="E8217">
        <f t="shared" si="128"/>
        <v>1.2490907589811724E-10</v>
      </c>
    </row>
    <row r="8218" spans="1:5" x14ac:dyDescent="0.25">
      <c r="A8218">
        <v>9</v>
      </c>
      <c r="B8218">
        <v>25</v>
      </c>
      <c r="C8218">
        <v>4</v>
      </c>
      <c r="D8218">
        <v>10</v>
      </c>
      <c r="E8218">
        <f t="shared" si="128"/>
        <v>1.4197998293752661E-9</v>
      </c>
    </row>
    <row r="8219" spans="1:5" x14ac:dyDescent="0.25">
      <c r="A8219">
        <v>9</v>
      </c>
      <c r="B8219">
        <v>25</v>
      </c>
      <c r="C8219">
        <v>5</v>
      </c>
      <c r="D8219">
        <v>9</v>
      </c>
      <c r="E8219">
        <f t="shared" si="128"/>
        <v>1.0825973698986406E-8</v>
      </c>
    </row>
    <row r="8220" spans="1:5" x14ac:dyDescent="0.25">
      <c r="A8220">
        <v>9</v>
      </c>
      <c r="B8220">
        <v>25</v>
      </c>
      <c r="C8220">
        <v>6</v>
      </c>
      <c r="D8220">
        <v>8</v>
      </c>
      <c r="E8220">
        <f t="shared" si="128"/>
        <v>5.7313978406398612E-8</v>
      </c>
    </row>
    <row r="8221" spans="1:5" x14ac:dyDescent="0.25">
      <c r="A8221">
        <v>9</v>
      </c>
      <c r="B8221">
        <v>25</v>
      </c>
      <c r="C8221">
        <v>7</v>
      </c>
      <c r="D8221">
        <v>7</v>
      </c>
      <c r="E8221">
        <f t="shared" si="128"/>
        <v>2.1469998260174724E-7</v>
      </c>
    </row>
    <row r="8222" spans="1:5" x14ac:dyDescent="0.25">
      <c r="A8222">
        <v>9</v>
      </c>
      <c r="B8222">
        <v>25</v>
      </c>
      <c r="C8222">
        <v>8</v>
      </c>
      <c r="D8222">
        <v>6</v>
      </c>
      <c r="E8222">
        <f t="shared" si="128"/>
        <v>5.7347495352835107E-7</v>
      </c>
    </row>
    <row r="8223" spans="1:5" x14ac:dyDescent="0.25">
      <c r="A8223">
        <v>9</v>
      </c>
      <c r="B8223">
        <v>25</v>
      </c>
      <c r="C8223">
        <v>9</v>
      </c>
      <c r="D8223">
        <v>5</v>
      </c>
      <c r="E8223">
        <f t="shared" si="128"/>
        <v>1.0896024117038669E-6</v>
      </c>
    </row>
    <row r="8224" spans="1:5" x14ac:dyDescent="0.25">
      <c r="A8224">
        <v>9</v>
      </c>
      <c r="B8224">
        <v>25</v>
      </c>
      <c r="C8224">
        <v>10</v>
      </c>
      <c r="D8224">
        <v>4</v>
      </c>
      <c r="E8224">
        <f t="shared" si="128"/>
        <v>1.4528032156051565E-6</v>
      </c>
    </row>
    <row r="8225" spans="1:5" x14ac:dyDescent="0.25">
      <c r="A8225">
        <v>9</v>
      </c>
      <c r="B8225">
        <v>25</v>
      </c>
      <c r="C8225">
        <v>11</v>
      </c>
      <c r="D8225">
        <v>3</v>
      </c>
      <c r="E8225">
        <f t="shared" si="128"/>
        <v>1.3207301960046877E-6</v>
      </c>
    </row>
    <row r="8226" spans="1:5" x14ac:dyDescent="0.25">
      <c r="A8226">
        <v>9</v>
      </c>
      <c r="B8226">
        <v>25</v>
      </c>
      <c r="C8226">
        <v>12</v>
      </c>
      <c r="D8226">
        <v>2</v>
      </c>
      <c r="E8226">
        <f t="shared" si="128"/>
        <v>7.7521120200275094E-7</v>
      </c>
    </row>
    <row r="8227" spans="1:5" x14ac:dyDescent="0.25">
      <c r="A8227">
        <v>9</v>
      </c>
      <c r="B8227">
        <v>25</v>
      </c>
      <c r="C8227">
        <v>13</v>
      </c>
      <c r="D8227">
        <v>1</v>
      </c>
      <c r="E8227">
        <f t="shared" si="128"/>
        <v>2.633730365778578E-7</v>
      </c>
    </row>
    <row r="8228" spans="1:5" x14ac:dyDescent="0.25">
      <c r="A8228">
        <v>9</v>
      </c>
      <c r="B8228">
        <v>25</v>
      </c>
      <c r="C8228">
        <v>14</v>
      </c>
      <c r="D8228">
        <v>0</v>
      </c>
      <c r="E8228">
        <f t="shared" si="128"/>
        <v>3.9129708291567448E-8</v>
      </c>
    </row>
    <row r="8229" spans="1:5" x14ac:dyDescent="0.25">
      <c r="A8229">
        <v>9</v>
      </c>
      <c r="B8229">
        <v>26</v>
      </c>
      <c r="C8229">
        <v>0</v>
      </c>
      <c r="D8229">
        <v>13</v>
      </c>
      <c r="E8229">
        <f t="shared" si="128"/>
        <v>3.3875735573946973E-14</v>
      </c>
    </row>
    <row r="8230" spans="1:5" x14ac:dyDescent="0.25">
      <c r="A8230">
        <v>9</v>
      </c>
      <c r="B8230">
        <v>26</v>
      </c>
      <c r="C8230">
        <v>1</v>
      </c>
      <c r="D8230">
        <v>12</v>
      </c>
      <c r="E8230">
        <f t="shared" si="128"/>
        <v>2.2019228123065528E-12</v>
      </c>
    </row>
    <row r="8231" spans="1:5" x14ac:dyDescent="0.25">
      <c r="A8231">
        <v>9</v>
      </c>
      <c r="B8231">
        <v>26</v>
      </c>
      <c r="C8231">
        <v>2</v>
      </c>
      <c r="D8231">
        <v>11</v>
      </c>
      <c r="E8231">
        <f t="shared" si="128"/>
        <v>6.0395597137551157E-11</v>
      </c>
    </row>
    <row r="8232" spans="1:5" x14ac:dyDescent="0.25">
      <c r="A8232">
        <v>9</v>
      </c>
      <c r="B8232">
        <v>26</v>
      </c>
      <c r="C8232">
        <v>3</v>
      </c>
      <c r="D8232">
        <v>10</v>
      </c>
      <c r="E8232">
        <f t="shared" si="128"/>
        <v>9.3009219591828773E-10</v>
      </c>
    </row>
    <row r="8233" spans="1:5" x14ac:dyDescent="0.25">
      <c r="A8233">
        <v>9</v>
      </c>
      <c r="B8233">
        <v>26</v>
      </c>
      <c r="C8233">
        <v>4</v>
      </c>
      <c r="D8233">
        <v>9</v>
      </c>
      <c r="E8233">
        <f t="shared" si="128"/>
        <v>9.0102681479584152E-9</v>
      </c>
    </row>
    <row r="8234" spans="1:5" x14ac:dyDescent="0.25">
      <c r="A8234">
        <v>9</v>
      </c>
      <c r="B8234">
        <v>26</v>
      </c>
      <c r="C8234">
        <v>5</v>
      </c>
      <c r="D8234">
        <v>8</v>
      </c>
      <c r="E8234">
        <f t="shared" si="128"/>
        <v>5.8195731920343176E-8</v>
      </c>
    </row>
    <row r="8235" spans="1:5" x14ac:dyDescent="0.25">
      <c r="A8235">
        <v>9</v>
      </c>
      <c r="B8235">
        <v>26</v>
      </c>
      <c r="C8235">
        <v>6</v>
      </c>
      <c r="D8235">
        <v>7</v>
      </c>
      <c r="E8235">
        <f t="shared" si="128"/>
        <v>2.5864769742374752E-7</v>
      </c>
    </row>
    <row r="8236" spans="1:5" x14ac:dyDescent="0.25">
      <c r="A8236">
        <v>9</v>
      </c>
      <c r="B8236">
        <v>26</v>
      </c>
      <c r="C8236">
        <v>7</v>
      </c>
      <c r="D8236">
        <v>6</v>
      </c>
      <c r="E8236">
        <f t="shared" si="128"/>
        <v>8.031691656842681E-7</v>
      </c>
    </row>
    <row r="8237" spans="1:5" x14ac:dyDescent="0.25">
      <c r="A8237">
        <v>9</v>
      </c>
      <c r="B8237">
        <v>26</v>
      </c>
      <c r="C8237">
        <v>8</v>
      </c>
      <c r="D8237">
        <v>5</v>
      </c>
      <c r="E8237">
        <f t="shared" si="128"/>
        <v>1.7468929353632838E-6</v>
      </c>
    </row>
    <row r="8238" spans="1:5" x14ac:dyDescent="0.25">
      <c r="A8238">
        <v>9</v>
      </c>
      <c r="B8238">
        <v>26</v>
      </c>
      <c r="C8238">
        <v>9</v>
      </c>
      <c r="D8238">
        <v>4</v>
      </c>
      <c r="E8238">
        <f t="shared" si="128"/>
        <v>2.6342036326906662E-6</v>
      </c>
    </row>
    <row r="8239" spans="1:5" x14ac:dyDescent="0.25">
      <c r="A8239">
        <v>9</v>
      </c>
      <c r="B8239">
        <v>26</v>
      </c>
      <c r="C8239">
        <v>10</v>
      </c>
      <c r="D8239">
        <v>3</v>
      </c>
      <c r="E8239">
        <f t="shared" si="128"/>
        <v>2.6820982441941324E-6</v>
      </c>
    </row>
    <row r="8240" spans="1:5" x14ac:dyDescent="0.25">
      <c r="A8240">
        <v>9</v>
      </c>
      <c r="B8240">
        <v>26</v>
      </c>
      <c r="C8240">
        <v>11</v>
      </c>
      <c r="D8240">
        <v>2</v>
      </c>
      <c r="E8240">
        <f t="shared" si="128"/>
        <v>1.7491945070831301E-6</v>
      </c>
    </row>
    <row r="8241" spans="1:5" x14ac:dyDescent="0.25">
      <c r="A8241">
        <v>9</v>
      </c>
      <c r="B8241">
        <v>26</v>
      </c>
      <c r="C8241">
        <v>12</v>
      </c>
      <c r="D8241">
        <v>1</v>
      </c>
      <c r="E8241">
        <f t="shared" si="128"/>
        <v>6.5594794015617338E-7</v>
      </c>
    </row>
    <row r="8242" spans="1:5" x14ac:dyDescent="0.25">
      <c r="A8242">
        <v>9</v>
      </c>
      <c r="B8242">
        <v>26</v>
      </c>
      <c r="C8242">
        <v>13</v>
      </c>
      <c r="D8242">
        <v>0</v>
      </c>
      <c r="E8242">
        <f t="shared" si="128"/>
        <v>1.0696997177931449E-7</v>
      </c>
    </row>
    <row r="8243" spans="1:5" x14ac:dyDescent="0.25">
      <c r="A8243">
        <v>9</v>
      </c>
      <c r="B8243">
        <v>27</v>
      </c>
      <c r="C8243">
        <v>0</v>
      </c>
      <c r="D8243">
        <v>12</v>
      </c>
      <c r="E8243">
        <f t="shared" si="128"/>
        <v>3.2997475762770559E-13</v>
      </c>
    </row>
    <row r="8244" spans="1:5" x14ac:dyDescent="0.25">
      <c r="A8244">
        <v>9</v>
      </c>
      <c r="B8244">
        <v>27</v>
      </c>
      <c r="C8244">
        <v>1</v>
      </c>
      <c r="D8244">
        <v>11</v>
      </c>
      <c r="E8244">
        <f t="shared" si="128"/>
        <v>1.8384307924972163E-11</v>
      </c>
    </row>
    <row r="8245" spans="1:5" x14ac:dyDescent="0.25">
      <c r="A8245">
        <v>9</v>
      </c>
      <c r="B8245">
        <v>27</v>
      </c>
      <c r="C8245">
        <v>2</v>
      </c>
      <c r="D8245">
        <v>10</v>
      </c>
      <c r="E8245">
        <f t="shared" si="128"/>
        <v>4.3141842597268009E-10</v>
      </c>
    </row>
    <row r="8246" spans="1:5" x14ac:dyDescent="0.25">
      <c r="A8246">
        <v>9</v>
      </c>
      <c r="B8246">
        <v>27</v>
      </c>
      <c r="C8246">
        <v>3</v>
      </c>
      <c r="D8246">
        <v>9</v>
      </c>
      <c r="E8246">
        <f t="shared" si="128"/>
        <v>5.6623668408914271E-9</v>
      </c>
    </row>
    <row r="8247" spans="1:5" x14ac:dyDescent="0.25">
      <c r="A8247">
        <v>9</v>
      </c>
      <c r="B8247">
        <v>27</v>
      </c>
      <c r="C8247">
        <v>4</v>
      </c>
      <c r="D8247">
        <v>8</v>
      </c>
      <c r="E8247">
        <f t="shared" si="128"/>
        <v>4.6464716135550241E-8</v>
      </c>
    </row>
    <row r="8248" spans="1:5" x14ac:dyDescent="0.25">
      <c r="A8248">
        <v>9</v>
      </c>
      <c r="B8248">
        <v>27</v>
      </c>
      <c r="C8248">
        <v>5</v>
      </c>
      <c r="D8248">
        <v>7</v>
      </c>
      <c r="E8248">
        <f t="shared" si="128"/>
        <v>2.5194201637942806E-7</v>
      </c>
    </row>
    <row r="8249" spans="1:5" x14ac:dyDescent="0.25">
      <c r="A8249">
        <v>9</v>
      </c>
      <c r="B8249">
        <v>27</v>
      </c>
      <c r="C8249">
        <v>6</v>
      </c>
      <c r="D8249">
        <v>6</v>
      </c>
      <c r="E8249">
        <f t="shared" si="128"/>
        <v>9.2820742876631337E-7</v>
      </c>
    </row>
    <row r="8250" spans="1:5" x14ac:dyDescent="0.25">
      <c r="A8250">
        <v>9</v>
      </c>
      <c r="B8250">
        <v>27</v>
      </c>
      <c r="C8250">
        <v>7</v>
      </c>
      <c r="D8250">
        <v>5</v>
      </c>
      <c r="E8250">
        <f t="shared" si="128"/>
        <v>2.3470387841662495E-6</v>
      </c>
    </row>
    <row r="8251" spans="1:5" x14ac:dyDescent="0.25">
      <c r="A8251">
        <v>9</v>
      </c>
      <c r="B8251">
        <v>27</v>
      </c>
      <c r="C8251">
        <v>8</v>
      </c>
      <c r="D8251">
        <v>4</v>
      </c>
      <c r="E8251">
        <f t="shared" si="128"/>
        <v>4.051435996477456E-6</v>
      </c>
    </row>
    <row r="8252" spans="1:5" x14ac:dyDescent="0.25">
      <c r="A8252">
        <v>9</v>
      </c>
      <c r="B8252">
        <v>27</v>
      </c>
      <c r="C8252">
        <v>9</v>
      </c>
      <c r="D8252">
        <v>3</v>
      </c>
      <c r="E8252">
        <f t="shared" si="128"/>
        <v>4.6652899353376761E-6</v>
      </c>
    </row>
    <row r="8253" spans="1:5" x14ac:dyDescent="0.25">
      <c r="A8253">
        <v>9</v>
      </c>
      <c r="B8253">
        <v>27</v>
      </c>
      <c r="C8253">
        <v>10</v>
      </c>
      <c r="D8253">
        <v>2</v>
      </c>
      <c r="E8253">
        <f t="shared" si="128"/>
        <v>3.4076900397249115E-6</v>
      </c>
    </row>
    <row r="8254" spans="1:5" x14ac:dyDescent="0.25">
      <c r="A8254">
        <v>9</v>
      </c>
      <c r="B8254">
        <v>27</v>
      </c>
      <c r="C8254">
        <v>11</v>
      </c>
      <c r="D8254">
        <v>1</v>
      </c>
      <c r="E8254">
        <f t="shared" si="128"/>
        <v>1.41987084988538E-6</v>
      </c>
    </row>
    <row r="8255" spans="1:5" x14ac:dyDescent="0.25">
      <c r="A8255">
        <v>9</v>
      </c>
      <c r="B8255">
        <v>27</v>
      </c>
      <c r="C8255">
        <v>12</v>
      </c>
      <c r="D8255">
        <v>0</v>
      </c>
      <c r="E8255">
        <f t="shared" si="128"/>
        <v>2.5557675297936823E-7</v>
      </c>
    </row>
    <row r="8256" spans="1:5" x14ac:dyDescent="0.25">
      <c r="A8256">
        <v>9</v>
      </c>
      <c r="B8256">
        <v>28</v>
      </c>
      <c r="C8256">
        <v>0</v>
      </c>
      <c r="D8256">
        <v>11</v>
      </c>
      <c r="E8256">
        <f t="shared" si="128"/>
        <v>2.6465322397487431E-12</v>
      </c>
    </row>
    <row r="8257" spans="1:5" x14ac:dyDescent="0.25">
      <c r="A8257">
        <v>9</v>
      </c>
      <c r="B8257">
        <v>28</v>
      </c>
      <c r="C8257">
        <v>1</v>
      </c>
      <c r="D8257">
        <v>10</v>
      </c>
      <c r="E8257">
        <f t="shared" si="128"/>
        <v>1.2615137009469008E-10</v>
      </c>
    </row>
    <row r="8258" spans="1:5" x14ac:dyDescent="0.25">
      <c r="A8258">
        <v>9</v>
      </c>
      <c r="B8258">
        <v>28</v>
      </c>
      <c r="C8258">
        <v>2</v>
      </c>
      <c r="D8258">
        <v>9</v>
      </c>
      <c r="E8258">
        <f t="shared" si="128"/>
        <v>2.5230274018938016E-9</v>
      </c>
    </row>
    <row r="8259" spans="1:5" x14ac:dyDescent="0.25">
      <c r="A8259">
        <v>9</v>
      </c>
      <c r="B8259">
        <v>28</v>
      </c>
      <c r="C8259">
        <v>3</v>
      </c>
      <c r="D8259">
        <v>8</v>
      </c>
      <c r="E8259">
        <f t="shared" si="128"/>
        <v>2.8050128173995798E-8</v>
      </c>
    </row>
    <row r="8260" spans="1:5" x14ac:dyDescent="0.25">
      <c r="A8260">
        <v>9</v>
      </c>
      <c r="B8260">
        <v>28</v>
      </c>
      <c r="C8260">
        <v>4</v>
      </c>
      <c r="D8260">
        <v>7</v>
      </c>
      <c r="E8260">
        <f t="shared" si="128"/>
        <v>1.9323421630974887E-7</v>
      </c>
    </row>
    <row r="8261" spans="1:5" x14ac:dyDescent="0.25">
      <c r="A8261">
        <v>9</v>
      </c>
      <c r="B8261">
        <v>28</v>
      </c>
      <c r="C8261">
        <v>5</v>
      </c>
      <c r="D8261">
        <v>6</v>
      </c>
      <c r="E8261">
        <f t="shared" si="128"/>
        <v>8.6853695120276574E-7</v>
      </c>
    </row>
    <row r="8262" spans="1:5" x14ac:dyDescent="0.25">
      <c r="A8262">
        <v>9</v>
      </c>
      <c r="B8262">
        <v>28</v>
      </c>
      <c r="C8262">
        <v>6</v>
      </c>
      <c r="D8262">
        <v>5</v>
      </c>
      <c r="E8262">
        <f t="shared" si="128"/>
        <v>2.6056108536082971E-6</v>
      </c>
    </row>
    <row r="8263" spans="1:5" x14ac:dyDescent="0.25">
      <c r="A8263">
        <v>9</v>
      </c>
      <c r="B8263">
        <v>28</v>
      </c>
      <c r="C8263">
        <v>7</v>
      </c>
      <c r="D8263">
        <v>4</v>
      </c>
      <c r="E8263">
        <f t="shared" si="128"/>
        <v>5.2289469511186928E-6</v>
      </c>
    </row>
    <row r="8264" spans="1:5" x14ac:dyDescent="0.25">
      <c r="A8264">
        <v>9</v>
      </c>
      <c r="B8264">
        <v>28</v>
      </c>
      <c r="C8264">
        <v>8</v>
      </c>
      <c r="D8264">
        <v>3</v>
      </c>
      <c r="E8264">
        <f t="shared" si="128"/>
        <v>6.8927027992019138E-6</v>
      </c>
    </row>
    <row r="8265" spans="1:5" x14ac:dyDescent="0.25">
      <c r="A8265">
        <v>9</v>
      </c>
      <c r="B8265">
        <v>28</v>
      </c>
      <c r="C8265">
        <v>9</v>
      </c>
      <c r="D8265">
        <v>2</v>
      </c>
      <c r="E8265">
        <f t="shared" si="128"/>
        <v>5.6939718776015801E-6</v>
      </c>
    </row>
    <row r="8266" spans="1:5" x14ac:dyDescent="0.25">
      <c r="A8266">
        <v>9</v>
      </c>
      <c r="B8266">
        <v>28</v>
      </c>
      <c r="C8266">
        <v>10</v>
      </c>
      <c r="D8266">
        <v>1</v>
      </c>
      <c r="E8266">
        <f t="shared" si="128"/>
        <v>2.657186876214071E-6</v>
      </c>
    </row>
    <row r="8267" spans="1:5" x14ac:dyDescent="0.25">
      <c r="A8267">
        <v>9</v>
      </c>
      <c r="B8267">
        <v>28</v>
      </c>
      <c r="C8267">
        <v>11</v>
      </c>
      <c r="D8267">
        <v>0</v>
      </c>
      <c r="E8267">
        <f t="shared" si="128"/>
        <v>5.3143737524281423E-7</v>
      </c>
    </row>
    <row r="8268" spans="1:5" x14ac:dyDescent="0.25">
      <c r="A8268">
        <v>9</v>
      </c>
      <c r="B8268">
        <v>29</v>
      </c>
      <c r="C8268">
        <v>0</v>
      </c>
      <c r="D8268">
        <v>10</v>
      </c>
      <c r="E8268">
        <f t="shared" si="128"/>
        <v>1.7467112782341684E-11</v>
      </c>
    </row>
    <row r="8269" spans="1:5" x14ac:dyDescent="0.25">
      <c r="A8269">
        <v>9</v>
      </c>
      <c r="B8269">
        <v>29</v>
      </c>
      <c r="C8269">
        <v>1</v>
      </c>
      <c r="D8269">
        <v>9</v>
      </c>
      <c r="E8269">
        <f t="shared" si="128"/>
        <v>7.0960145678263107E-10</v>
      </c>
    </row>
    <row r="8270" spans="1:5" x14ac:dyDescent="0.25">
      <c r="A8270">
        <v>9</v>
      </c>
      <c r="B8270">
        <v>29</v>
      </c>
      <c r="C8270">
        <v>2</v>
      </c>
      <c r="D8270">
        <v>8</v>
      </c>
      <c r="E8270">
        <f t="shared" ref="E8270:E8333" si="129">COMBIN(A$4,A8270)*COMBIN(B$4,B8270)*COMBIN(C$4,C8270)*COMBIN(D$4,D8270)/COMBIN($G$4,$F$4)</f>
        <v>1.2021483503141044E-8</v>
      </c>
    </row>
    <row r="8271" spans="1:5" x14ac:dyDescent="0.25">
      <c r="A8271">
        <v>9</v>
      </c>
      <c r="B8271">
        <v>29</v>
      </c>
      <c r="C8271">
        <v>3</v>
      </c>
      <c r="D8271">
        <v>7</v>
      </c>
      <c r="E8271">
        <f t="shared" si="129"/>
        <v>1.122005126959831E-7</v>
      </c>
    </row>
    <row r="8272" spans="1:5" x14ac:dyDescent="0.25">
      <c r="A8272">
        <v>9</v>
      </c>
      <c r="B8272">
        <v>29</v>
      </c>
      <c r="C8272">
        <v>4</v>
      </c>
      <c r="D8272">
        <v>6</v>
      </c>
      <c r="E8272">
        <f t="shared" si="129"/>
        <v>6.4072398039548214E-7</v>
      </c>
    </row>
    <row r="8273" spans="1:5" x14ac:dyDescent="0.25">
      <c r="A8273">
        <v>9</v>
      </c>
      <c r="B8273">
        <v>29</v>
      </c>
      <c r="C8273">
        <v>5</v>
      </c>
      <c r="D8273">
        <v>5</v>
      </c>
      <c r="E8273">
        <f t="shared" si="129"/>
        <v>2.345049768247465E-6</v>
      </c>
    </row>
    <row r="8274" spans="1:5" x14ac:dyDescent="0.25">
      <c r="A8274">
        <v>9</v>
      </c>
      <c r="B8274">
        <v>29</v>
      </c>
      <c r="C8274">
        <v>6</v>
      </c>
      <c r="D8274">
        <v>4</v>
      </c>
      <c r="E8274">
        <f t="shared" si="129"/>
        <v>5.5834518291606318E-6</v>
      </c>
    </row>
    <row r="8275" spans="1:5" x14ac:dyDescent="0.25">
      <c r="A8275">
        <v>9</v>
      </c>
      <c r="B8275">
        <v>29</v>
      </c>
      <c r="C8275">
        <v>7</v>
      </c>
      <c r="D8275">
        <v>3</v>
      </c>
      <c r="E8275">
        <f t="shared" si="129"/>
        <v>8.5564586472851229E-6</v>
      </c>
    </row>
    <row r="8276" spans="1:5" x14ac:dyDescent="0.25">
      <c r="A8276">
        <v>9</v>
      </c>
      <c r="B8276">
        <v>29</v>
      </c>
      <c r="C8276">
        <v>8</v>
      </c>
      <c r="D8276">
        <v>2</v>
      </c>
      <c r="E8276">
        <f t="shared" si="129"/>
        <v>8.0914337208022381E-6</v>
      </c>
    </row>
    <row r="8277" spans="1:5" x14ac:dyDescent="0.25">
      <c r="A8277">
        <v>9</v>
      </c>
      <c r="B8277">
        <v>29</v>
      </c>
      <c r="C8277">
        <v>9</v>
      </c>
      <c r="D8277">
        <v>1</v>
      </c>
      <c r="E8277">
        <f t="shared" si="129"/>
        <v>4.2704789082011807E-6</v>
      </c>
    </row>
    <row r="8278" spans="1:5" x14ac:dyDescent="0.25">
      <c r="A8278">
        <v>9</v>
      </c>
      <c r="B8278">
        <v>29</v>
      </c>
      <c r="C8278">
        <v>10</v>
      </c>
      <c r="D8278">
        <v>0</v>
      </c>
      <c r="E8278">
        <f t="shared" si="129"/>
        <v>9.5658727543706453E-7</v>
      </c>
    </row>
    <row r="8279" spans="1:5" x14ac:dyDescent="0.25">
      <c r="A8279">
        <v>9</v>
      </c>
      <c r="B8279">
        <v>30</v>
      </c>
      <c r="C8279">
        <v>0</v>
      </c>
      <c r="D8279">
        <v>9</v>
      </c>
      <c r="E8279">
        <f t="shared" si="129"/>
        <v>9.4613527571017457E-11</v>
      </c>
    </row>
    <row r="8280" spans="1:5" x14ac:dyDescent="0.25">
      <c r="A8280">
        <v>9</v>
      </c>
      <c r="B8280">
        <v>30</v>
      </c>
      <c r="C8280">
        <v>1</v>
      </c>
      <c r="D8280">
        <v>8</v>
      </c>
      <c r="E8280">
        <f t="shared" si="129"/>
        <v>3.2558184487673656E-9</v>
      </c>
    </row>
    <row r="8281" spans="1:5" x14ac:dyDescent="0.25">
      <c r="A8281">
        <v>9</v>
      </c>
      <c r="B8281">
        <v>30</v>
      </c>
      <c r="C8281">
        <v>2</v>
      </c>
      <c r="D8281">
        <v>7</v>
      </c>
      <c r="E8281">
        <f t="shared" si="129"/>
        <v>4.6304973493580317E-8</v>
      </c>
    </row>
    <row r="8282" spans="1:5" x14ac:dyDescent="0.25">
      <c r="A8282">
        <v>9</v>
      </c>
      <c r="B8282">
        <v>30</v>
      </c>
      <c r="C8282">
        <v>3</v>
      </c>
      <c r="D8282">
        <v>6</v>
      </c>
      <c r="E8282">
        <f t="shared" si="129"/>
        <v>3.5825426860822656E-7</v>
      </c>
    </row>
    <row r="8283" spans="1:5" x14ac:dyDescent="0.25">
      <c r="A8283">
        <v>9</v>
      </c>
      <c r="B8283">
        <v>30</v>
      </c>
      <c r="C8283">
        <v>4</v>
      </c>
      <c r="D8283">
        <v>5</v>
      </c>
      <c r="E8283">
        <f t="shared" si="129"/>
        <v>1.6658823490282532E-6</v>
      </c>
    </row>
    <row r="8284" spans="1:5" x14ac:dyDescent="0.25">
      <c r="A8284">
        <v>9</v>
      </c>
      <c r="B8284">
        <v>30</v>
      </c>
      <c r="C8284">
        <v>5</v>
      </c>
      <c r="D8284">
        <v>4</v>
      </c>
      <c r="E8284">
        <f t="shared" si="129"/>
        <v>4.8389915852725481E-6</v>
      </c>
    </row>
    <row r="8285" spans="1:5" x14ac:dyDescent="0.25">
      <c r="A8285">
        <v>9</v>
      </c>
      <c r="B8285">
        <v>30</v>
      </c>
      <c r="C8285">
        <v>6</v>
      </c>
      <c r="D8285">
        <v>3</v>
      </c>
      <c r="E8285">
        <f t="shared" si="129"/>
        <v>8.7981665186773576E-6</v>
      </c>
    </row>
    <row r="8286" spans="1:5" x14ac:dyDescent="0.25">
      <c r="A8286">
        <v>9</v>
      </c>
      <c r="B8286">
        <v>30</v>
      </c>
      <c r="C8286">
        <v>7</v>
      </c>
      <c r="D8286">
        <v>2</v>
      </c>
      <c r="E8286">
        <f t="shared" si="129"/>
        <v>9.6725184708440501E-6</v>
      </c>
    </row>
    <row r="8287" spans="1:5" x14ac:dyDescent="0.25">
      <c r="A8287">
        <v>9</v>
      </c>
      <c r="B8287">
        <v>30</v>
      </c>
      <c r="C8287">
        <v>8</v>
      </c>
      <c r="D8287">
        <v>1</v>
      </c>
      <c r="E8287">
        <f t="shared" si="129"/>
        <v>5.8438132428016153E-6</v>
      </c>
    </row>
    <row r="8288" spans="1:5" x14ac:dyDescent="0.25">
      <c r="A8288">
        <v>9</v>
      </c>
      <c r="B8288">
        <v>30</v>
      </c>
      <c r="C8288">
        <v>9</v>
      </c>
      <c r="D8288">
        <v>0</v>
      </c>
      <c r="E8288">
        <f t="shared" si="129"/>
        <v>1.480432688176409E-6</v>
      </c>
    </row>
    <row r="8289" spans="1:5" x14ac:dyDescent="0.25">
      <c r="A8289">
        <v>9</v>
      </c>
      <c r="B8289">
        <v>31</v>
      </c>
      <c r="C8289">
        <v>0</v>
      </c>
      <c r="D8289">
        <v>8</v>
      </c>
      <c r="E8289">
        <f t="shared" si="129"/>
        <v>4.1848981549913083E-10</v>
      </c>
    </row>
    <row r="8290" spans="1:5" x14ac:dyDescent="0.25">
      <c r="A8290">
        <v>9</v>
      </c>
      <c r="B8290">
        <v>31</v>
      </c>
      <c r="C8290">
        <v>1</v>
      </c>
      <c r="D8290">
        <v>7</v>
      </c>
      <c r="E8290">
        <f t="shared" si="129"/>
        <v>1.2089705781086006E-8</v>
      </c>
    </row>
    <row r="8291" spans="1:5" x14ac:dyDescent="0.25">
      <c r="A8291">
        <v>9</v>
      </c>
      <c r="B8291">
        <v>31</v>
      </c>
      <c r="C8291">
        <v>2</v>
      </c>
      <c r="D8291">
        <v>6</v>
      </c>
      <c r="E8291">
        <f t="shared" si="129"/>
        <v>1.4253126815596128E-7</v>
      </c>
    </row>
    <row r="8292" spans="1:5" x14ac:dyDescent="0.25">
      <c r="A8292">
        <v>9</v>
      </c>
      <c r="B8292">
        <v>31</v>
      </c>
      <c r="C8292">
        <v>3</v>
      </c>
      <c r="D8292">
        <v>5</v>
      </c>
      <c r="E8292">
        <f t="shared" si="129"/>
        <v>8.9794698938255608E-7</v>
      </c>
    </row>
    <row r="8293" spans="1:5" x14ac:dyDescent="0.25">
      <c r="A8293">
        <v>9</v>
      </c>
      <c r="B8293">
        <v>31</v>
      </c>
      <c r="C8293">
        <v>4</v>
      </c>
      <c r="D8293">
        <v>4</v>
      </c>
      <c r="E8293">
        <f t="shared" si="129"/>
        <v>3.3138519846261005E-6</v>
      </c>
    </row>
    <row r="8294" spans="1:5" x14ac:dyDescent="0.25">
      <c r="A8294">
        <v>9</v>
      </c>
      <c r="B8294">
        <v>31</v>
      </c>
      <c r="C8294">
        <v>5</v>
      </c>
      <c r="D8294">
        <v>3</v>
      </c>
      <c r="E8294">
        <f t="shared" si="129"/>
        <v>7.3507262204433493E-6</v>
      </c>
    </row>
    <row r="8295" spans="1:5" x14ac:dyDescent="0.25">
      <c r="A8295">
        <v>9</v>
      </c>
      <c r="B8295">
        <v>31</v>
      </c>
      <c r="C8295">
        <v>6</v>
      </c>
      <c r="D8295">
        <v>2</v>
      </c>
      <c r="E8295">
        <f t="shared" si="129"/>
        <v>9.5879037657956724E-6</v>
      </c>
    </row>
    <row r="8296" spans="1:5" x14ac:dyDescent="0.25">
      <c r="A8296">
        <v>9</v>
      </c>
      <c r="B8296">
        <v>31</v>
      </c>
      <c r="C8296">
        <v>7</v>
      </c>
      <c r="D8296">
        <v>1</v>
      </c>
      <c r="E8296">
        <f t="shared" si="129"/>
        <v>6.7343609783564839E-6</v>
      </c>
    </row>
    <row r="8297" spans="1:5" x14ac:dyDescent="0.25">
      <c r="A8297">
        <v>9</v>
      </c>
      <c r="B8297">
        <v>31</v>
      </c>
      <c r="C8297">
        <v>8</v>
      </c>
      <c r="D8297">
        <v>0</v>
      </c>
      <c r="E8297">
        <f t="shared" si="129"/>
        <v>1.952964683723381E-6</v>
      </c>
    </row>
    <row r="8298" spans="1:5" x14ac:dyDescent="0.25">
      <c r="A8298">
        <v>9</v>
      </c>
      <c r="B8298">
        <v>32</v>
      </c>
      <c r="C8298">
        <v>0</v>
      </c>
      <c r="D8298">
        <v>7</v>
      </c>
      <c r="E8298">
        <f t="shared" si="129"/>
        <v>1.4995885055385509E-9</v>
      </c>
    </row>
    <row r="8299" spans="1:5" x14ac:dyDescent="0.25">
      <c r="A8299">
        <v>9</v>
      </c>
      <c r="B8299">
        <v>32</v>
      </c>
      <c r="C8299">
        <v>1</v>
      </c>
      <c r="D8299">
        <v>6</v>
      </c>
      <c r="E8299">
        <f t="shared" si="129"/>
        <v>3.5911198422107388E-8</v>
      </c>
    </row>
    <row r="8300" spans="1:5" x14ac:dyDescent="0.25">
      <c r="A8300">
        <v>9</v>
      </c>
      <c r="B8300">
        <v>32</v>
      </c>
      <c r="C8300">
        <v>2</v>
      </c>
      <c r="D8300">
        <v>5</v>
      </c>
      <c r="E8300">
        <f t="shared" si="129"/>
        <v>3.4474750485223088E-7</v>
      </c>
    </row>
    <row r="8301" spans="1:5" x14ac:dyDescent="0.25">
      <c r="A8301">
        <v>9</v>
      </c>
      <c r="B8301">
        <v>32</v>
      </c>
      <c r="C8301">
        <v>3</v>
      </c>
      <c r="D8301">
        <v>4</v>
      </c>
      <c r="E8301">
        <f t="shared" si="129"/>
        <v>1.7237375242611552E-6</v>
      </c>
    </row>
    <row r="8302" spans="1:5" x14ac:dyDescent="0.25">
      <c r="A8302">
        <v>9</v>
      </c>
      <c r="B8302">
        <v>32</v>
      </c>
      <c r="C8302">
        <v>4</v>
      </c>
      <c r="D8302">
        <v>3</v>
      </c>
      <c r="E8302">
        <f t="shared" si="129"/>
        <v>4.8578057501905276E-6</v>
      </c>
    </row>
    <row r="8303" spans="1:5" x14ac:dyDescent="0.25">
      <c r="A8303">
        <v>9</v>
      </c>
      <c r="B8303">
        <v>32</v>
      </c>
      <c r="C8303">
        <v>5</v>
      </c>
      <c r="D8303">
        <v>2</v>
      </c>
      <c r="E8303">
        <f t="shared" si="129"/>
        <v>7.7302474111727535E-6</v>
      </c>
    </row>
    <row r="8304" spans="1:5" x14ac:dyDescent="0.25">
      <c r="A8304">
        <v>9</v>
      </c>
      <c r="B8304">
        <v>32</v>
      </c>
      <c r="C8304">
        <v>6</v>
      </c>
      <c r="D8304">
        <v>1</v>
      </c>
      <c r="E8304">
        <f t="shared" si="129"/>
        <v>6.4418728426439598E-6</v>
      </c>
    </row>
    <row r="8305" spans="1:5" x14ac:dyDescent="0.25">
      <c r="A8305">
        <v>9</v>
      </c>
      <c r="B8305">
        <v>32</v>
      </c>
      <c r="C8305">
        <v>7</v>
      </c>
      <c r="D8305">
        <v>0</v>
      </c>
      <c r="E8305">
        <f t="shared" si="129"/>
        <v>2.1718314155199637E-6</v>
      </c>
    </row>
    <row r="8306" spans="1:5" x14ac:dyDescent="0.25">
      <c r="A8306">
        <v>9</v>
      </c>
      <c r="B8306">
        <v>33</v>
      </c>
      <c r="C8306">
        <v>0</v>
      </c>
      <c r="D8306">
        <v>6</v>
      </c>
      <c r="E8306">
        <f t="shared" si="129"/>
        <v>4.3026470836744083E-9</v>
      </c>
    </row>
    <row r="8307" spans="1:5" x14ac:dyDescent="0.25">
      <c r="A8307">
        <v>9</v>
      </c>
      <c r="B8307">
        <v>33</v>
      </c>
      <c r="C8307">
        <v>1</v>
      </c>
      <c r="D8307">
        <v>5</v>
      </c>
      <c r="E8307">
        <f t="shared" si="129"/>
        <v>8.3901618131650979E-8</v>
      </c>
    </row>
    <row r="8308" spans="1:5" x14ac:dyDescent="0.25">
      <c r="A8308">
        <v>9</v>
      </c>
      <c r="B8308">
        <v>33</v>
      </c>
      <c r="C8308">
        <v>2</v>
      </c>
      <c r="D8308">
        <v>4</v>
      </c>
      <c r="E8308">
        <f t="shared" si="129"/>
        <v>6.3925042386019818E-7</v>
      </c>
    </row>
    <row r="8309" spans="1:5" x14ac:dyDescent="0.25">
      <c r="A8309">
        <v>9</v>
      </c>
      <c r="B8309">
        <v>33</v>
      </c>
      <c r="C8309">
        <v>3</v>
      </c>
      <c r="D8309">
        <v>3</v>
      </c>
      <c r="E8309">
        <f t="shared" si="129"/>
        <v>2.4407743456480285E-6</v>
      </c>
    </row>
    <row r="8310" spans="1:5" x14ac:dyDescent="0.25">
      <c r="A8310">
        <v>9</v>
      </c>
      <c r="B8310">
        <v>33</v>
      </c>
      <c r="C8310">
        <v>4</v>
      </c>
      <c r="D8310">
        <v>2</v>
      </c>
      <c r="E8310">
        <f t="shared" si="129"/>
        <v>4.9346090031579715E-6</v>
      </c>
    </row>
    <row r="8311" spans="1:5" x14ac:dyDescent="0.25">
      <c r="A8311">
        <v>9</v>
      </c>
      <c r="B8311">
        <v>33</v>
      </c>
      <c r="C8311">
        <v>5</v>
      </c>
      <c r="D8311">
        <v>1</v>
      </c>
      <c r="E8311">
        <f t="shared" si="129"/>
        <v>5.0168524865439375E-6</v>
      </c>
    </row>
    <row r="8312" spans="1:5" x14ac:dyDescent="0.25">
      <c r="A8312">
        <v>9</v>
      </c>
      <c r="B8312">
        <v>33</v>
      </c>
      <c r="C8312">
        <v>6</v>
      </c>
      <c r="D8312">
        <v>0</v>
      </c>
      <c r="E8312">
        <f t="shared" si="129"/>
        <v>2.0067409946175752E-6</v>
      </c>
    </row>
    <row r="8313" spans="1:5" x14ac:dyDescent="0.25">
      <c r="A8313">
        <v>9</v>
      </c>
      <c r="B8313">
        <v>34</v>
      </c>
      <c r="C8313">
        <v>0</v>
      </c>
      <c r="D8313">
        <v>5</v>
      </c>
      <c r="E8313">
        <f t="shared" si="129"/>
        <v>9.7189204713586599E-9</v>
      </c>
    </row>
    <row r="8314" spans="1:5" x14ac:dyDescent="0.25">
      <c r="A8314">
        <v>9</v>
      </c>
      <c r="B8314">
        <v>34</v>
      </c>
      <c r="C8314">
        <v>1</v>
      </c>
      <c r="D8314">
        <v>4</v>
      </c>
      <c r="E8314">
        <f t="shared" si="129"/>
        <v>1.504118644376936E-7</v>
      </c>
    </row>
    <row r="8315" spans="1:5" x14ac:dyDescent="0.25">
      <c r="A8315">
        <v>9</v>
      </c>
      <c r="B8315">
        <v>34</v>
      </c>
      <c r="C8315">
        <v>2</v>
      </c>
      <c r="D8315">
        <v>3</v>
      </c>
      <c r="E8315">
        <f t="shared" si="129"/>
        <v>8.7512357491021712E-7</v>
      </c>
    </row>
    <row r="8316" spans="1:5" x14ac:dyDescent="0.25">
      <c r="A8316">
        <v>9</v>
      </c>
      <c r="B8316">
        <v>34</v>
      </c>
      <c r="C8316">
        <v>3</v>
      </c>
      <c r="D8316">
        <v>2</v>
      </c>
      <c r="E8316">
        <f t="shared" si="129"/>
        <v>2.3970776182323342E-6</v>
      </c>
    </row>
    <row r="8317" spans="1:5" x14ac:dyDescent="0.25">
      <c r="A8317">
        <v>9</v>
      </c>
      <c r="B8317">
        <v>34</v>
      </c>
      <c r="C8317">
        <v>4</v>
      </c>
      <c r="D8317">
        <v>1</v>
      </c>
      <c r="E8317">
        <f t="shared" si="129"/>
        <v>3.0962252568834315E-6</v>
      </c>
    </row>
    <row r="8318" spans="1:5" x14ac:dyDescent="0.25">
      <c r="A8318">
        <v>9</v>
      </c>
      <c r="B8318">
        <v>34</v>
      </c>
      <c r="C8318">
        <v>5</v>
      </c>
      <c r="D8318">
        <v>0</v>
      </c>
      <c r="E8318">
        <f t="shared" si="129"/>
        <v>1.5109579253591148E-6</v>
      </c>
    </row>
    <row r="8319" spans="1:5" x14ac:dyDescent="0.25">
      <c r="A8319">
        <v>9</v>
      </c>
      <c r="B8319">
        <v>35</v>
      </c>
      <c r="C8319">
        <v>0</v>
      </c>
      <c r="D8319">
        <v>4</v>
      </c>
      <c r="E8319">
        <f t="shared" si="129"/>
        <v>1.6859351838071148E-8</v>
      </c>
    </row>
    <row r="8320" spans="1:5" x14ac:dyDescent="0.25">
      <c r="A8320">
        <v>9</v>
      </c>
      <c r="B8320">
        <v>35</v>
      </c>
      <c r="C8320">
        <v>1</v>
      </c>
      <c r="D8320">
        <v>3</v>
      </c>
      <c r="E8320">
        <f t="shared" si="129"/>
        <v>1.9924688535902263E-7</v>
      </c>
    </row>
    <row r="8321" spans="1:5" x14ac:dyDescent="0.25">
      <c r="A8321">
        <v>9</v>
      </c>
      <c r="B8321">
        <v>35</v>
      </c>
      <c r="C8321">
        <v>2</v>
      </c>
      <c r="D8321">
        <v>2</v>
      </c>
      <c r="E8321">
        <f t="shared" si="129"/>
        <v>8.3163917367244232E-7</v>
      </c>
    </row>
    <row r="8322" spans="1:5" x14ac:dyDescent="0.25">
      <c r="A8322">
        <v>9</v>
      </c>
      <c r="B8322">
        <v>35</v>
      </c>
      <c r="C8322">
        <v>3</v>
      </c>
      <c r="D8322">
        <v>1</v>
      </c>
      <c r="E8322">
        <f t="shared" si="129"/>
        <v>1.4553685539267739E-6</v>
      </c>
    </row>
    <row r="8323" spans="1:5" x14ac:dyDescent="0.25">
      <c r="A8323">
        <v>9</v>
      </c>
      <c r="B8323">
        <v>35</v>
      </c>
      <c r="C8323">
        <v>4</v>
      </c>
      <c r="D8323">
        <v>0</v>
      </c>
      <c r="E8323">
        <f t="shared" si="129"/>
        <v>9.0232850343459988E-7</v>
      </c>
    </row>
    <row r="8324" spans="1:5" x14ac:dyDescent="0.25">
      <c r="A8324">
        <v>9</v>
      </c>
      <c r="B8324">
        <v>36</v>
      </c>
      <c r="C8324">
        <v>0</v>
      </c>
      <c r="D8324">
        <v>3</v>
      </c>
      <c r="E8324">
        <f t="shared" si="129"/>
        <v>2.1627653368030673E-8</v>
      </c>
    </row>
    <row r="8325" spans="1:5" x14ac:dyDescent="0.25">
      <c r="A8325">
        <v>9</v>
      </c>
      <c r="B8325">
        <v>36</v>
      </c>
      <c r="C8325">
        <v>1</v>
      </c>
      <c r="D8325">
        <v>2</v>
      </c>
      <c r="E8325">
        <f t="shared" si="129"/>
        <v>1.8336488725069485E-7</v>
      </c>
    </row>
    <row r="8326" spans="1:5" x14ac:dyDescent="0.25">
      <c r="A8326">
        <v>9</v>
      </c>
      <c r="B8326">
        <v>36</v>
      </c>
      <c r="C8326">
        <v>2</v>
      </c>
      <c r="D8326">
        <v>1</v>
      </c>
      <c r="E8326">
        <f t="shared" si="129"/>
        <v>4.8897303266851959E-7</v>
      </c>
    </row>
    <row r="8327" spans="1:5" x14ac:dyDescent="0.25">
      <c r="A8327">
        <v>9</v>
      </c>
      <c r="B8327">
        <v>36</v>
      </c>
      <c r="C8327">
        <v>3</v>
      </c>
      <c r="D8327">
        <v>0</v>
      </c>
      <c r="E8327">
        <f t="shared" si="129"/>
        <v>4.1073734744155642E-7</v>
      </c>
    </row>
    <row r="8328" spans="1:5" x14ac:dyDescent="0.25">
      <c r="A8328">
        <v>9</v>
      </c>
      <c r="B8328">
        <v>37</v>
      </c>
      <c r="C8328">
        <v>0</v>
      </c>
      <c r="D8328">
        <v>2</v>
      </c>
      <c r="E8328">
        <f t="shared" si="129"/>
        <v>1.928952867959491E-8</v>
      </c>
    </row>
    <row r="8329" spans="1:5" x14ac:dyDescent="0.25">
      <c r="A8329">
        <v>9</v>
      </c>
      <c r="B8329">
        <v>37</v>
      </c>
      <c r="C8329">
        <v>1</v>
      </c>
      <c r="D8329">
        <v>1</v>
      </c>
      <c r="E8329">
        <f t="shared" si="129"/>
        <v>1.0448494701447244E-7</v>
      </c>
    </row>
    <row r="8330" spans="1:5" x14ac:dyDescent="0.25">
      <c r="A8330">
        <v>9</v>
      </c>
      <c r="B8330">
        <v>37</v>
      </c>
      <c r="C8330">
        <v>2</v>
      </c>
      <c r="D8330">
        <v>0</v>
      </c>
      <c r="E8330">
        <f t="shared" si="129"/>
        <v>1.3374073217852473E-7</v>
      </c>
    </row>
    <row r="8331" spans="1:5" x14ac:dyDescent="0.25">
      <c r="A8331">
        <v>9</v>
      </c>
      <c r="B8331">
        <v>38</v>
      </c>
      <c r="C8331">
        <v>0</v>
      </c>
      <c r="D8331">
        <v>1</v>
      </c>
      <c r="E8331">
        <f t="shared" si="129"/>
        <v>1.0660002691355089E-8</v>
      </c>
    </row>
    <row r="8332" spans="1:5" x14ac:dyDescent="0.25">
      <c r="A8332">
        <v>9</v>
      </c>
      <c r="B8332">
        <v>38</v>
      </c>
      <c r="C8332">
        <v>1</v>
      </c>
      <c r="D8332">
        <v>0</v>
      </c>
      <c r="E8332">
        <f t="shared" si="129"/>
        <v>2.771600699752323E-8</v>
      </c>
    </row>
    <row r="8333" spans="1:5" x14ac:dyDescent="0.25">
      <c r="A8333">
        <v>9</v>
      </c>
      <c r="B8333">
        <v>39</v>
      </c>
      <c r="C8333">
        <v>0</v>
      </c>
      <c r="D8333">
        <v>0</v>
      </c>
      <c r="E8333">
        <f t="shared" si="129"/>
        <v>2.7442673595180787E-9</v>
      </c>
    </row>
    <row r="8334" spans="1:5" x14ac:dyDescent="0.25">
      <c r="A8334">
        <v>10</v>
      </c>
      <c r="B8334">
        <v>0</v>
      </c>
      <c r="C8334">
        <v>13</v>
      </c>
      <c r="D8334">
        <v>25</v>
      </c>
      <c r="E8334">
        <f t="shared" ref="E8334:E8397" si="130">COMBIN(A$4,A8334)*COMBIN(B$4,B8334)*COMBIN(C$4,C8334)*COMBIN(D$4,D8334)/COMBIN($G$4,$F$4)</f>
        <v>1.7145308845381514E-44</v>
      </c>
    </row>
    <row r="8335" spans="1:5" x14ac:dyDescent="0.25">
      <c r="A8335">
        <v>10</v>
      </c>
      <c r="B8335">
        <v>0</v>
      </c>
      <c r="C8335">
        <v>14</v>
      </c>
      <c r="D8335">
        <v>24</v>
      </c>
      <c r="E8335">
        <f t="shared" si="130"/>
        <v>1.5920643927854264E-42</v>
      </c>
    </row>
    <row r="8336" spans="1:5" x14ac:dyDescent="0.25">
      <c r="A8336">
        <v>10</v>
      </c>
      <c r="B8336">
        <v>0</v>
      </c>
      <c r="C8336">
        <v>15</v>
      </c>
      <c r="D8336">
        <v>23</v>
      </c>
      <c r="E8336">
        <f t="shared" si="130"/>
        <v>6.4956227225645375E-41</v>
      </c>
    </row>
    <row r="8337" spans="1:5" x14ac:dyDescent="0.25">
      <c r="A8337">
        <v>10</v>
      </c>
      <c r="B8337">
        <v>0</v>
      </c>
      <c r="C8337">
        <v>16</v>
      </c>
      <c r="D8337">
        <v>22</v>
      </c>
      <c r="E8337">
        <f t="shared" si="130"/>
        <v>1.556242943947754E-39</v>
      </c>
    </row>
    <row r="8338" spans="1:5" x14ac:dyDescent="0.25">
      <c r="A8338">
        <v>10</v>
      </c>
      <c r="B8338">
        <v>0</v>
      </c>
      <c r="C8338">
        <v>17</v>
      </c>
      <c r="D8338">
        <v>21</v>
      </c>
      <c r="E8338">
        <f t="shared" si="130"/>
        <v>2.4671027846701173E-38</v>
      </c>
    </row>
    <row r="8339" spans="1:5" x14ac:dyDescent="0.25">
      <c r="A8339">
        <v>10</v>
      </c>
      <c r="B8339">
        <v>0</v>
      </c>
      <c r="C8339">
        <v>18</v>
      </c>
      <c r="D8339">
        <v>20</v>
      </c>
      <c r="E8339">
        <f t="shared" si="130"/>
        <v>2.7631551188305277E-37</v>
      </c>
    </row>
    <row r="8340" spans="1:5" x14ac:dyDescent="0.25">
      <c r="A8340">
        <v>10</v>
      </c>
      <c r="B8340">
        <v>0</v>
      </c>
      <c r="C8340">
        <v>19</v>
      </c>
      <c r="D8340">
        <v>19</v>
      </c>
      <c r="E8340">
        <f t="shared" si="130"/>
        <v>2.2783910628953484E-36</v>
      </c>
    </row>
    <row r="8341" spans="1:5" x14ac:dyDescent="0.25">
      <c r="A8341">
        <v>10</v>
      </c>
      <c r="B8341">
        <v>0</v>
      </c>
      <c r="C8341">
        <v>20</v>
      </c>
      <c r="D8341">
        <v>18</v>
      </c>
      <c r="E8341">
        <f t="shared" si="130"/>
        <v>1.422366992121812E-35</v>
      </c>
    </row>
    <row r="8342" spans="1:5" x14ac:dyDescent="0.25">
      <c r="A8342">
        <v>10</v>
      </c>
      <c r="B8342">
        <v>0</v>
      </c>
      <c r="C8342">
        <v>21</v>
      </c>
      <c r="D8342">
        <v>17</v>
      </c>
      <c r="E8342">
        <f t="shared" si="130"/>
        <v>6.8578408548730139E-35</v>
      </c>
    </row>
    <row r="8343" spans="1:5" x14ac:dyDescent="0.25">
      <c r="A8343">
        <v>10</v>
      </c>
      <c r="B8343">
        <v>0</v>
      </c>
      <c r="C8343">
        <v>22</v>
      </c>
      <c r="D8343">
        <v>16</v>
      </c>
      <c r="E8343">
        <f t="shared" si="130"/>
        <v>2.5907398785075842E-34</v>
      </c>
    </row>
    <row r="8344" spans="1:5" x14ac:dyDescent="0.25">
      <c r="A8344">
        <v>10</v>
      </c>
      <c r="B8344">
        <v>0</v>
      </c>
      <c r="C8344">
        <v>23</v>
      </c>
      <c r="D8344">
        <v>15</v>
      </c>
      <c r="E8344">
        <f t="shared" si="130"/>
        <v>7.7496914626661633E-34</v>
      </c>
    </row>
    <row r="8345" spans="1:5" x14ac:dyDescent="0.25">
      <c r="A8345">
        <v>10</v>
      </c>
      <c r="B8345">
        <v>0</v>
      </c>
      <c r="C8345">
        <v>24</v>
      </c>
      <c r="D8345">
        <v>14</v>
      </c>
      <c r="E8345">
        <f t="shared" si="130"/>
        <v>1.8493581899544256E-33</v>
      </c>
    </row>
    <row r="8346" spans="1:5" x14ac:dyDescent="0.25">
      <c r="A8346">
        <v>10</v>
      </c>
      <c r="B8346">
        <v>0</v>
      </c>
      <c r="C8346">
        <v>25</v>
      </c>
      <c r="D8346">
        <v>13</v>
      </c>
      <c r="E8346">
        <f t="shared" si="130"/>
        <v>3.5384386701128028E-33</v>
      </c>
    </row>
    <row r="8347" spans="1:5" x14ac:dyDescent="0.25">
      <c r="A8347">
        <v>10</v>
      </c>
      <c r="B8347">
        <v>0</v>
      </c>
      <c r="C8347">
        <v>26</v>
      </c>
      <c r="D8347">
        <v>12</v>
      </c>
      <c r="E8347">
        <f t="shared" si="130"/>
        <v>5.4437518001735387E-33</v>
      </c>
    </row>
    <row r="8348" spans="1:5" x14ac:dyDescent="0.25">
      <c r="A8348">
        <v>10</v>
      </c>
      <c r="B8348">
        <v>0</v>
      </c>
      <c r="C8348">
        <v>27</v>
      </c>
      <c r="D8348">
        <v>11</v>
      </c>
      <c r="E8348">
        <f t="shared" si="130"/>
        <v>6.7398831811672374E-33</v>
      </c>
    </row>
    <row r="8349" spans="1:5" x14ac:dyDescent="0.25">
      <c r="A8349">
        <v>10</v>
      </c>
      <c r="B8349">
        <v>0</v>
      </c>
      <c r="C8349">
        <v>28</v>
      </c>
      <c r="D8349">
        <v>10</v>
      </c>
      <c r="E8349">
        <f t="shared" si="130"/>
        <v>6.7077884993521558E-33</v>
      </c>
    </row>
    <row r="8350" spans="1:5" x14ac:dyDescent="0.25">
      <c r="A8350">
        <v>10</v>
      </c>
      <c r="B8350">
        <v>0</v>
      </c>
      <c r="C8350">
        <v>29</v>
      </c>
      <c r="D8350">
        <v>9</v>
      </c>
      <c r="E8350">
        <f t="shared" si="130"/>
        <v>5.3488830706040906E-33</v>
      </c>
    </row>
    <row r="8351" spans="1:5" x14ac:dyDescent="0.25">
      <c r="A8351">
        <v>10</v>
      </c>
      <c r="B8351">
        <v>0</v>
      </c>
      <c r="C8351">
        <v>30</v>
      </c>
      <c r="D8351">
        <v>8</v>
      </c>
      <c r="E8351">
        <f t="shared" si="130"/>
        <v>3.3981139507367163E-33</v>
      </c>
    </row>
    <row r="8352" spans="1:5" x14ac:dyDescent="0.25">
      <c r="A8352">
        <v>10</v>
      </c>
      <c r="B8352">
        <v>0</v>
      </c>
      <c r="C8352">
        <v>31</v>
      </c>
      <c r="D8352">
        <v>7</v>
      </c>
      <c r="E8352">
        <f t="shared" si="130"/>
        <v>1.7051467853159154E-33</v>
      </c>
    </row>
    <row r="8353" spans="1:5" x14ac:dyDescent="0.25">
      <c r="A8353">
        <v>10</v>
      </c>
      <c r="B8353">
        <v>0</v>
      </c>
      <c r="C8353">
        <v>32</v>
      </c>
      <c r="D8353">
        <v>6</v>
      </c>
      <c r="E8353">
        <f t="shared" si="130"/>
        <v>6.6747522188353218E-34</v>
      </c>
    </row>
    <row r="8354" spans="1:5" x14ac:dyDescent="0.25">
      <c r="A8354">
        <v>10</v>
      </c>
      <c r="B8354">
        <v>0</v>
      </c>
      <c r="C8354">
        <v>33</v>
      </c>
      <c r="D8354">
        <v>5</v>
      </c>
      <c r="E8354">
        <f t="shared" si="130"/>
        <v>2.002425665650597E-34</v>
      </c>
    </row>
    <row r="8355" spans="1:5" x14ac:dyDescent="0.25">
      <c r="A8355">
        <v>10</v>
      </c>
      <c r="B8355">
        <v>0</v>
      </c>
      <c r="C8355">
        <v>34</v>
      </c>
      <c r="D8355">
        <v>4</v>
      </c>
      <c r="E8355">
        <f t="shared" si="130"/>
        <v>4.4872283824103032E-35</v>
      </c>
    </row>
    <row r="8356" spans="1:5" x14ac:dyDescent="0.25">
      <c r="A8356">
        <v>10</v>
      </c>
      <c r="B8356">
        <v>0</v>
      </c>
      <c r="C8356">
        <v>35</v>
      </c>
      <c r="D8356">
        <v>3</v>
      </c>
      <c r="E8356">
        <f t="shared" si="130"/>
        <v>7.2261859664789283E-36</v>
      </c>
    </row>
    <row r="8357" spans="1:5" x14ac:dyDescent="0.25">
      <c r="A8357">
        <v>10</v>
      </c>
      <c r="B8357">
        <v>0</v>
      </c>
      <c r="C8357">
        <v>36</v>
      </c>
      <c r="D8357">
        <v>2</v>
      </c>
      <c r="E8357">
        <f t="shared" si="130"/>
        <v>7.8545499635640532E-37</v>
      </c>
    </row>
    <row r="8358" spans="1:5" x14ac:dyDescent="0.25">
      <c r="A8358">
        <v>10</v>
      </c>
      <c r="B8358">
        <v>0</v>
      </c>
      <c r="C8358">
        <v>37</v>
      </c>
      <c r="D8358">
        <v>1</v>
      </c>
      <c r="E8358">
        <f t="shared" si="130"/>
        <v>5.1302240753008449E-38</v>
      </c>
    </row>
    <row r="8359" spans="1:5" x14ac:dyDescent="0.25">
      <c r="A8359">
        <v>10</v>
      </c>
      <c r="B8359">
        <v>0</v>
      </c>
      <c r="C8359">
        <v>38</v>
      </c>
      <c r="D8359">
        <v>0</v>
      </c>
      <c r="E8359">
        <f t="shared" si="130"/>
        <v>1.5120660432465646E-39</v>
      </c>
    </row>
    <row r="8360" spans="1:5" x14ac:dyDescent="0.25">
      <c r="A8360">
        <v>10</v>
      </c>
      <c r="B8360">
        <v>1</v>
      </c>
      <c r="C8360">
        <v>12</v>
      </c>
      <c r="D8360">
        <v>25</v>
      </c>
      <c r="E8360">
        <f t="shared" si="130"/>
        <v>1.2153759496622322E-42</v>
      </c>
    </row>
    <row r="8361" spans="1:5" x14ac:dyDescent="0.25">
      <c r="A8361">
        <v>10</v>
      </c>
      <c r="B8361">
        <v>1</v>
      </c>
      <c r="C8361">
        <v>13</v>
      </c>
      <c r="D8361">
        <v>24</v>
      </c>
      <c r="E8361">
        <f t="shared" si="130"/>
        <v>1.2387485640788142E-40</v>
      </c>
    </row>
    <row r="8362" spans="1:5" x14ac:dyDescent="0.25">
      <c r="A8362">
        <v>10</v>
      </c>
      <c r="B8362">
        <v>1</v>
      </c>
      <c r="C8362">
        <v>14</v>
      </c>
      <c r="D8362">
        <v>23</v>
      </c>
      <c r="E8362">
        <f t="shared" si="130"/>
        <v>5.5212793141798584E-39</v>
      </c>
    </row>
    <row r="8363" spans="1:5" x14ac:dyDescent="0.25">
      <c r="A8363">
        <v>10</v>
      </c>
      <c r="B8363">
        <v>1</v>
      </c>
      <c r="C8363">
        <v>15</v>
      </c>
      <c r="D8363">
        <v>22</v>
      </c>
      <c r="E8363">
        <f t="shared" si="130"/>
        <v>1.4392134745628826E-37</v>
      </c>
    </row>
    <row r="8364" spans="1:5" x14ac:dyDescent="0.25">
      <c r="A8364">
        <v>10</v>
      </c>
      <c r="B8364">
        <v>1</v>
      </c>
      <c r="C8364">
        <v>16</v>
      </c>
      <c r="D8364">
        <v>21</v>
      </c>
      <c r="E8364">
        <f t="shared" si="130"/>
        <v>2.4736481594049553E-36</v>
      </c>
    </row>
    <row r="8365" spans="1:5" x14ac:dyDescent="0.25">
      <c r="A8365">
        <v>10</v>
      </c>
      <c r="B8365">
        <v>1</v>
      </c>
      <c r="C8365">
        <v>17</v>
      </c>
      <c r="D8365">
        <v>20</v>
      </c>
      <c r="E8365">
        <f t="shared" si="130"/>
        <v>2.9945693600325878E-35</v>
      </c>
    </row>
    <row r="8366" spans="1:5" x14ac:dyDescent="0.25">
      <c r="A8366">
        <v>10</v>
      </c>
      <c r="B8366">
        <v>1</v>
      </c>
      <c r="C8366">
        <v>18</v>
      </c>
      <c r="D8366">
        <v>19</v>
      </c>
      <c r="E8366">
        <f t="shared" si="130"/>
        <v>2.6618394311400754E-34</v>
      </c>
    </row>
    <row r="8367" spans="1:5" x14ac:dyDescent="0.25">
      <c r="A8367">
        <v>10</v>
      </c>
      <c r="B8367">
        <v>1</v>
      </c>
      <c r="C8367">
        <v>19</v>
      </c>
      <c r="D8367">
        <v>18</v>
      </c>
      <c r="E8367">
        <f t="shared" si="130"/>
        <v>1.7872350466226236E-33</v>
      </c>
    </row>
    <row r="8368" spans="1:5" x14ac:dyDescent="0.25">
      <c r="A8368">
        <v>10</v>
      </c>
      <c r="B8368">
        <v>1</v>
      </c>
      <c r="C8368">
        <v>20</v>
      </c>
      <c r="D8368">
        <v>17</v>
      </c>
      <c r="E8368">
        <f t="shared" si="130"/>
        <v>9.2489413662720819E-33</v>
      </c>
    </row>
    <row r="8369" spans="1:5" x14ac:dyDescent="0.25">
      <c r="A8369">
        <v>10</v>
      </c>
      <c r="B8369">
        <v>1</v>
      </c>
      <c r="C8369">
        <v>21</v>
      </c>
      <c r="D8369">
        <v>16</v>
      </c>
      <c r="E8369">
        <f t="shared" si="130"/>
        <v>3.7436191244434564E-32</v>
      </c>
    </row>
    <row r="8370" spans="1:5" x14ac:dyDescent="0.25">
      <c r="A8370">
        <v>10</v>
      </c>
      <c r="B8370">
        <v>1</v>
      </c>
      <c r="C8370">
        <v>22</v>
      </c>
      <c r="D8370">
        <v>15</v>
      </c>
      <c r="E8370">
        <f t="shared" si="130"/>
        <v>1.1979581198219068E-31</v>
      </c>
    </row>
    <row r="8371" spans="1:5" x14ac:dyDescent="0.25">
      <c r="A8371">
        <v>10</v>
      </c>
      <c r="B8371">
        <v>1</v>
      </c>
      <c r="C8371">
        <v>23</v>
      </c>
      <c r="D8371">
        <v>14</v>
      </c>
      <c r="E8371">
        <f t="shared" si="130"/>
        <v>3.0540829536961654E-31</v>
      </c>
    </row>
    <row r="8372" spans="1:5" x14ac:dyDescent="0.25">
      <c r="A8372">
        <v>10</v>
      </c>
      <c r="B8372">
        <v>1</v>
      </c>
      <c r="C8372">
        <v>24</v>
      </c>
      <c r="D8372">
        <v>13</v>
      </c>
      <c r="E8372">
        <f t="shared" si="130"/>
        <v>6.2354193637963396E-31</v>
      </c>
    </row>
    <row r="8373" spans="1:5" x14ac:dyDescent="0.25">
      <c r="A8373">
        <v>10</v>
      </c>
      <c r="B8373">
        <v>1</v>
      </c>
      <c r="C8373">
        <v>25</v>
      </c>
      <c r="D8373">
        <v>12</v>
      </c>
      <c r="E8373">
        <f t="shared" si="130"/>
        <v>1.0226087756625999E-30</v>
      </c>
    </row>
    <row r="8374" spans="1:5" x14ac:dyDescent="0.25">
      <c r="A8374">
        <v>10</v>
      </c>
      <c r="B8374">
        <v>1</v>
      </c>
      <c r="C8374">
        <v>26</v>
      </c>
      <c r="D8374">
        <v>11</v>
      </c>
      <c r="E8374">
        <f t="shared" si="130"/>
        <v>1.348495088785845E-30</v>
      </c>
    </row>
    <row r="8375" spans="1:5" x14ac:dyDescent="0.25">
      <c r="A8375">
        <v>10</v>
      </c>
      <c r="B8375">
        <v>1</v>
      </c>
      <c r="C8375">
        <v>27</v>
      </c>
      <c r="D8375">
        <v>10</v>
      </c>
      <c r="E8375">
        <f t="shared" si="130"/>
        <v>1.4284059088620428E-30</v>
      </c>
    </row>
    <row r="8376" spans="1:5" x14ac:dyDescent="0.25">
      <c r="A8376">
        <v>10</v>
      </c>
      <c r="B8376">
        <v>1</v>
      </c>
      <c r="C8376">
        <v>28</v>
      </c>
      <c r="D8376">
        <v>9</v>
      </c>
      <c r="E8376">
        <f t="shared" si="130"/>
        <v>1.2115942976954834E-30</v>
      </c>
    </row>
    <row r="8377" spans="1:5" x14ac:dyDescent="0.25">
      <c r="A8377">
        <v>10</v>
      </c>
      <c r="B8377">
        <v>1</v>
      </c>
      <c r="C8377">
        <v>29</v>
      </c>
      <c r="D8377">
        <v>8</v>
      </c>
      <c r="E8377">
        <f t="shared" si="130"/>
        <v>8.1837910980242589E-31</v>
      </c>
    </row>
    <row r="8378" spans="1:5" x14ac:dyDescent="0.25">
      <c r="A8378">
        <v>10</v>
      </c>
      <c r="B8378">
        <v>1</v>
      </c>
      <c r="C8378">
        <v>30</v>
      </c>
      <c r="D8378">
        <v>7</v>
      </c>
      <c r="E8378">
        <f t="shared" si="130"/>
        <v>4.3646885856129387E-31</v>
      </c>
    </row>
    <row r="8379" spans="1:5" x14ac:dyDescent="0.25">
      <c r="A8379">
        <v>10</v>
      </c>
      <c r="B8379">
        <v>1</v>
      </c>
      <c r="C8379">
        <v>31</v>
      </c>
      <c r="D8379">
        <v>6</v>
      </c>
      <c r="E8379">
        <f t="shared" si="130"/>
        <v>1.815532603523208E-31</v>
      </c>
    </row>
    <row r="8380" spans="1:5" x14ac:dyDescent="0.25">
      <c r="A8380">
        <v>10</v>
      </c>
      <c r="B8380">
        <v>1</v>
      </c>
      <c r="C8380">
        <v>32</v>
      </c>
      <c r="D8380">
        <v>5</v>
      </c>
      <c r="E8380">
        <f t="shared" si="130"/>
        <v>5.787010173730225E-32</v>
      </c>
    </row>
    <row r="8381" spans="1:5" x14ac:dyDescent="0.25">
      <c r="A8381">
        <v>10</v>
      </c>
      <c r="B8381">
        <v>1</v>
      </c>
      <c r="C8381">
        <v>33</v>
      </c>
      <c r="D8381">
        <v>4</v>
      </c>
      <c r="E8381">
        <f t="shared" si="130"/>
        <v>1.3778595651738636E-32</v>
      </c>
    </row>
    <row r="8382" spans="1:5" x14ac:dyDescent="0.25">
      <c r="A8382">
        <v>10</v>
      </c>
      <c r="B8382">
        <v>1</v>
      </c>
      <c r="C8382">
        <v>34</v>
      </c>
      <c r="D8382">
        <v>3</v>
      </c>
      <c r="E8382">
        <f t="shared" si="130"/>
        <v>2.3578345500301408E-33</v>
      </c>
    </row>
    <row r="8383" spans="1:5" x14ac:dyDescent="0.25">
      <c r="A8383">
        <v>10</v>
      </c>
      <c r="B8383">
        <v>1</v>
      </c>
      <c r="C8383">
        <v>35</v>
      </c>
      <c r="D8383">
        <v>2</v>
      </c>
      <c r="E8383">
        <f t="shared" si="130"/>
        <v>2.7239579273640137E-34</v>
      </c>
    </row>
    <row r="8384" spans="1:5" x14ac:dyDescent="0.25">
      <c r="A8384">
        <v>10</v>
      </c>
      <c r="B8384">
        <v>1</v>
      </c>
      <c r="C8384">
        <v>36</v>
      </c>
      <c r="D8384">
        <v>1</v>
      </c>
      <c r="E8384">
        <f t="shared" si="130"/>
        <v>1.8916374495583429E-35</v>
      </c>
    </row>
    <row r="8385" spans="1:5" x14ac:dyDescent="0.25">
      <c r="A8385">
        <v>10</v>
      </c>
      <c r="B8385">
        <v>1</v>
      </c>
      <c r="C8385">
        <v>37</v>
      </c>
      <c r="D8385">
        <v>0</v>
      </c>
      <c r="E8385">
        <f t="shared" si="130"/>
        <v>5.9305390310477768E-37</v>
      </c>
    </row>
    <row r="8386" spans="1:5" x14ac:dyDescent="0.25">
      <c r="A8386">
        <v>10</v>
      </c>
      <c r="B8386">
        <v>2</v>
      </c>
      <c r="C8386">
        <v>11</v>
      </c>
      <c r="D8386">
        <v>25</v>
      </c>
      <c r="E8386">
        <f t="shared" si="130"/>
        <v>3.8892030389191456E-41</v>
      </c>
    </row>
    <row r="8387" spans="1:5" x14ac:dyDescent="0.25">
      <c r="A8387">
        <v>10</v>
      </c>
      <c r="B8387">
        <v>2</v>
      </c>
      <c r="C8387">
        <v>12</v>
      </c>
      <c r="D8387">
        <v>24</v>
      </c>
      <c r="E8387">
        <f t="shared" si="130"/>
        <v>4.3753534187840359E-39</v>
      </c>
    </row>
    <row r="8388" spans="1:5" x14ac:dyDescent="0.25">
      <c r="A8388">
        <v>10</v>
      </c>
      <c r="B8388">
        <v>2</v>
      </c>
      <c r="C8388">
        <v>13</v>
      </c>
      <c r="D8388">
        <v>23</v>
      </c>
      <c r="E8388">
        <f t="shared" si="130"/>
        <v>2.1405575187281909E-37</v>
      </c>
    </row>
    <row r="8389" spans="1:5" x14ac:dyDescent="0.25">
      <c r="A8389">
        <v>10</v>
      </c>
      <c r="B8389">
        <v>2</v>
      </c>
      <c r="C8389">
        <v>14</v>
      </c>
      <c r="D8389">
        <v>22</v>
      </c>
      <c r="E8389">
        <f t="shared" si="130"/>
        <v>6.0954923628545637E-36</v>
      </c>
    </row>
    <row r="8390" spans="1:5" x14ac:dyDescent="0.25">
      <c r="A8390">
        <v>10</v>
      </c>
      <c r="B8390">
        <v>2</v>
      </c>
      <c r="C8390">
        <v>15</v>
      </c>
      <c r="D8390">
        <v>21</v>
      </c>
      <c r="E8390">
        <f t="shared" si="130"/>
        <v>1.1398570718538031E-34</v>
      </c>
    </row>
    <row r="8391" spans="1:5" x14ac:dyDescent="0.25">
      <c r="A8391">
        <v>10</v>
      </c>
      <c r="B8391">
        <v>2</v>
      </c>
      <c r="C8391">
        <v>16</v>
      </c>
      <c r="D8391">
        <v>20</v>
      </c>
      <c r="E8391">
        <f t="shared" si="130"/>
        <v>1.4960624068081166E-33</v>
      </c>
    </row>
    <row r="8392" spans="1:5" x14ac:dyDescent="0.25">
      <c r="A8392">
        <v>10</v>
      </c>
      <c r="B8392">
        <v>2</v>
      </c>
      <c r="C8392">
        <v>17</v>
      </c>
      <c r="D8392">
        <v>19</v>
      </c>
      <c r="E8392">
        <f t="shared" si="130"/>
        <v>1.437393292815642E-32</v>
      </c>
    </row>
    <row r="8393" spans="1:5" x14ac:dyDescent="0.25">
      <c r="A8393">
        <v>10</v>
      </c>
      <c r="B8393">
        <v>2</v>
      </c>
      <c r="C8393">
        <v>18</v>
      </c>
      <c r="D8393">
        <v>18</v>
      </c>
      <c r="E8393">
        <f t="shared" si="130"/>
        <v>1.0403989547998927E-31</v>
      </c>
    </row>
    <row r="8394" spans="1:5" x14ac:dyDescent="0.25">
      <c r="A8394">
        <v>10</v>
      </c>
      <c r="B8394">
        <v>2</v>
      </c>
      <c r="C8394">
        <v>19</v>
      </c>
      <c r="D8394">
        <v>17</v>
      </c>
      <c r="E8394">
        <f t="shared" si="130"/>
        <v>5.7906415510572985E-31</v>
      </c>
    </row>
    <row r="8395" spans="1:5" x14ac:dyDescent="0.25">
      <c r="A8395">
        <v>10</v>
      </c>
      <c r="B8395">
        <v>2</v>
      </c>
      <c r="C8395">
        <v>20</v>
      </c>
      <c r="D8395">
        <v>16</v>
      </c>
      <c r="E8395">
        <f t="shared" si="130"/>
        <v>2.5157120516260062E-30</v>
      </c>
    </row>
    <row r="8396" spans="1:5" x14ac:dyDescent="0.25">
      <c r="A8396">
        <v>10</v>
      </c>
      <c r="B8396">
        <v>2</v>
      </c>
      <c r="C8396">
        <v>21</v>
      </c>
      <c r="D8396">
        <v>15</v>
      </c>
      <c r="E8396">
        <f t="shared" si="130"/>
        <v>8.6252984627177224E-30</v>
      </c>
    </row>
    <row r="8397" spans="1:5" x14ac:dyDescent="0.25">
      <c r="A8397">
        <v>10</v>
      </c>
      <c r="B8397">
        <v>2</v>
      </c>
      <c r="C8397">
        <v>22</v>
      </c>
      <c r="D8397">
        <v>14</v>
      </c>
      <c r="E8397">
        <f t="shared" si="130"/>
        <v>2.3523541261957446E-29</v>
      </c>
    </row>
    <row r="8398" spans="1:5" x14ac:dyDescent="0.25">
      <c r="A8398">
        <v>10</v>
      </c>
      <c r="B8398">
        <v>2</v>
      </c>
      <c r="C8398">
        <v>23</v>
      </c>
      <c r="D8398">
        <v>13</v>
      </c>
      <c r="E8398">
        <f t="shared" ref="E8398:E8461" si="131">COMBIN(A$4,A8398)*COMBIN(B$4,B8398)*COMBIN(C$4,C8398)*COMBIN(D$4,D8398)/COMBIN($G$4,$F$4)</f>
        <v>5.1308593622095582E-29</v>
      </c>
    </row>
    <row r="8399" spans="1:5" x14ac:dyDescent="0.25">
      <c r="A8399">
        <v>10</v>
      </c>
      <c r="B8399">
        <v>2</v>
      </c>
      <c r="C8399">
        <v>24</v>
      </c>
      <c r="D8399">
        <v>12</v>
      </c>
      <c r="E8399">
        <f t="shared" si="131"/>
        <v>8.9790038838667279E-29</v>
      </c>
    </row>
    <row r="8400" spans="1:5" x14ac:dyDescent="0.25">
      <c r="A8400">
        <v>10</v>
      </c>
      <c r="B8400">
        <v>2</v>
      </c>
      <c r="C8400">
        <v>25</v>
      </c>
      <c r="D8400">
        <v>11</v>
      </c>
      <c r="E8400">
        <f t="shared" si="131"/>
        <v>1.2621914031035517E-28</v>
      </c>
    </row>
    <row r="8401" spans="1:5" x14ac:dyDescent="0.25">
      <c r="A8401">
        <v>10</v>
      </c>
      <c r="B8401">
        <v>2</v>
      </c>
      <c r="C8401">
        <v>26</v>
      </c>
      <c r="D8401">
        <v>10</v>
      </c>
      <c r="E8401">
        <f t="shared" si="131"/>
        <v>1.4240108137578521E-28</v>
      </c>
    </row>
    <row r="8402" spans="1:5" x14ac:dyDescent="0.25">
      <c r="A8402">
        <v>10</v>
      </c>
      <c r="B8402">
        <v>2</v>
      </c>
      <c r="C8402">
        <v>27</v>
      </c>
      <c r="D8402">
        <v>9</v>
      </c>
      <c r="E8402">
        <f t="shared" si="131"/>
        <v>1.2855653179758388E-28</v>
      </c>
    </row>
    <row r="8403" spans="1:5" x14ac:dyDescent="0.25">
      <c r="A8403">
        <v>10</v>
      </c>
      <c r="B8403">
        <v>2</v>
      </c>
      <c r="C8403">
        <v>28</v>
      </c>
      <c r="D8403">
        <v>8</v>
      </c>
      <c r="E8403">
        <f t="shared" si="131"/>
        <v>9.23662476360792E-29</v>
      </c>
    </row>
    <row r="8404" spans="1:5" x14ac:dyDescent="0.25">
      <c r="A8404">
        <v>10</v>
      </c>
      <c r="B8404">
        <v>2</v>
      </c>
      <c r="C8404">
        <v>29</v>
      </c>
      <c r="D8404">
        <v>7</v>
      </c>
      <c r="E8404">
        <f t="shared" si="131"/>
        <v>5.237626302735528E-29</v>
      </c>
    </row>
    <row r="8405" spans="1:5" x14ac:dyDescent="0.25">
      <c r="A8405">
        <v>10</v>
      </c>
      <c r="B8405">
        <v>2</v>
      </c>
      <c r="C8405">
        <v>30</v>
      </c>
      <c r="D8405">
        <v>6</v>
      </c>
      <c r="E8405">
        <f t="shared" si="131"/>
        <v>2.3155821548936003E-29</v>
      </c>
    </row>
    <row r="8406" spans="1:5" x14ac:dyDescent="0.25">
      <c r="A8406">
        <v>10</v>
      </c>
      <c r="B8406">
        <v>2</v>
      </c>
      <c r="C8406">
        <v>31</v>
      </c>
      <c r="D8406">
        <v>5</v>
      </c>
      <c r="E8406">
        <f t="shared" si="131"/>
        <v>7.8431008472202605E-30</v>
      </c>
    </row>
    <row r="8407" spans="1:5" x14ac:dyDescent="0.25">
      <c r="A8407">
        <v>10</v>
      </c>
      <c r="B8407">
        <v>2</v>
      </c>
      <c r="C8407">
        <v>32</v>
      </c>
      <c r="D8407">
        <v>4</v>
      </c>
      <c r="E8407">
        <f t="shared" si="131"/>
        <v>1.9841177738503633E-30</v>
      </c>
    </row>
    <row r="8408" spans="1:5" x14ac:dyDescent="0.25">
      <c r="A8408">
        <v>10</v>
      </c>
      <c r="B8408">
        <v>2</v>
      </c>
      <c r="C8408">
        <v>33</v>
      </c>
      <c r="D8408">
        <v>3</v>
      </c>
      <c r="E8408">
        <f t="shared" si="131"/>
        <v>3.6074868615461148E-31</v>
      </c>
    </row>
    <row r="8409" spans="1:5" x14ac:dyDescent="0.25">
      <c r="A8409">
        <v>10</v>
      </c>
      <c r="B8409">
        <v>2</v>
      </c>
      <c r="C8409">
        <v>34</v>
      </c>
      <c r="D8409">
        <v>2</v>
      </c>
      <c r="E8409">
        <f t="shared" si="131"/>
        <v>4.4286283722305258E-32</v>
      </c>
    </row>
    <row r="8410" spans="1:5" x14ac:dyDescent="0.25">
      <c r="A8410">
        <v>10</v>
      </c>
      <c r="B8410">
        <v>2</v>
      </c>
      <c r="C8410">
        <v>35</v>
      </c>
      <c r="D8410">
        <v>1</v>
      </c>
      <c r="E8410">
        <f t="shared" si="131"/>
        <v>3.2687495128368161E-33</v>
      </c>
    </row>
    <row r="8411" spans="1:5" x14ac:dyDescent="0.25">
      <c r="A8411">
        <v>10</v>
      </c>
      <c r="B8411">
        <v>2</v>
      </c>
      <c r="C8411">
        <v>36</v>
      </c>
      <c r="D8411">
        <v>0</v>
      </c>
      <c r="E8411">
        <f t="shared" si="131"/>
        <v>1.0895831709456056E-34</v>
      </c>
    </row>
    <row r="8412" spans="1:5" x14ac:dyDescent="0.25">
      <c r="A8412">
        <v>10</v>
      </c>
      <c r="B8412">
        <v>3</v>
      </c>
      <c r="C8412">
        <v>10</v>
      </c>
      <c r="D8412">
        <v>25</v>
      </c>
      <c r="E8412">
        <f t="shared" si="131"/>
        <v>7.4413418144652986E-40</v>
      </c>
    </row>
    <row r="8413" spans="1:5" x14ac:dyDescent="0.25">
      <c r="A8413">
        <v>10</v>
      </c>
      <c r="B8413">
        <v>3</v>
      </c>
      <c r="C8413">
        <v>11</v>
      </c>
      <c r="D8413">
        <v>24</v>
      </c>
      <c r="E8413">
        <f t="shared" si="131"/>
        <v>9.3016772680816225E-38</v>
      </c>
    </row>
    <row r="8414" spans="1:5" x14ac:dyDescent="0.25">
      <c r="A8414">
        <v>10</v>
      </c>
      <c r="B8414">
        <v>3</v>
      </c>
      <c r="C8414">
        <v>12</v>
      </c>
      <c r="D8414">
        <v>23</v>
      </c>
      <c r="E8414">
        <f t="shared" si="131"/>
        <v>5.0229057247640741E-36</v>
      </c>
    </row>
    <row r="8415" spans="1:5" x14ac:dyDescent="0.25">
      <c r="A8415">
        <v>10</v>
      </c>
      <c r="B8415">
        <v>3</v>
      </c>
      <c r="C8415">
        <v>13</v>
      </c>
      <c r="D8415">
        <v>22</v>
      </c>
      <c r="E8415">
        <f t="shared" si="131"/>
        <v>1.5699800201249766E-34</v>
      </c>
    </row>
    <row r="8416" spans="1:5" x14ac:dyDescent="0.25">
      <c r="A8416">
        <v>10</v>
      </c>
      <c r="B8416">
        <v>3</v>
      </c>
      <c r="C8416">
        <v>14</v>
      </c>
      <c r="D8416">
        <v>21</v>
      </c>
      <c r="E8416">
        <f t="shared" si="131"/>
        <v>3.2072448982553102E-33</v>
      </c>
    </row>
    <row r="8417" spans="1:5" x14ac:dyDescent="0.25">
      <c r="A8417">
        <v>10</v>
      </c>
      <c r="B8417">
        <v>3</v>
      </c>
      <c r="C8417">
        <v>15</v>
      </c>
      <c r="D8417">
        <v>20</v>
      </c>
      <c r="E8417">
        <f t="shared" si="131"/>
        <v>4.5799457147085797E-32</v>
      </c>
    </row>
    <row r="8418" spans="1:5" x14ac:dyDescent="0.25">
      <c r="A8418">
        <v>10</v>
      </c>
      <c r="B8418">
        <v>3</v>
      </c>
      <c r="C8418">
        <v>16</v>
      </c>
      <c r="D8418">
        <v>19</v>
      </c>
      <c r="E8418">
        <f t="shared" si="131"/>
        <v>4.7707767861547708E-31</v>
      </c>
    </row>
    <row r="8419" spans="1:5" x14ac:dyDescent="0.25">
      <c r="A8419">
        <v>10</v>
      </c>
      <c r="B8419">
        <v>3</v>
      </c>
      <c r="C8419">
        <v>17</v>
      </c>
      <c r="D8419">
        <v>18</v>
      </c>
      <c r="E8419">
        <f t="shared" si="131"/>
        <v>3.7324312503446187E-30</v>
      </c>
    </row>
    <row r="8420" spans="1:5" x14ac:dyDescent="0.25">
      <c r="A8420">
        <v>10</v>
      </c>
      <c r="B8420">
        <v>3</v>
      </c>
      <c r="C8420">
        <v>18</v>
      </c>
      <c r="D8420">
        <v>17</v>
      </c>
      <c r="E8420">
        <f t="shared" si="131"/>
        <v>2.2394587502067684E-29</v>
      </c>
    </row>
    <row r="8421" spans="1:5" x14ac:dyDescent="0.25">
      <c r="A8421">
        <v>10</v>
      </c>
      <c r="B8421">
        <v>3</v>
      </c>
      <c r="C8421">
        <v>19</v>
      </c>
      <c r="D8421">
        <v>16</v>
      </c>
      <c r="E8421">
        <f t="shared" si="131"/>
        <v>1.0463903750966134E-28</v>
      </c>
    </row>
    <row r="8422" spans="1:5" x14ac:dyDescent="0.25">
      <c r="A8422">
        <v>10</v>
      </c>
      <c r="B8422">
        <v>3</v>
      </c>
      <c r="C8422">
        <v>20</v>
      </c>
      <c r="D8422">
        <v>15</v>
      </c>
      <c r="E8422">
        <f t="shared" si="131"/>
        <v>3.8507165803555396E-28</v>
      </c>
    </row>
    <row r="8423" spans="1:5" x14ac:dyDescent="0.25">
      <c r="A8423">
        <v>10</v>
      </c>
      <c r="B8423">
        <v>3</v>
      </c>
      <c r="C8423">
        <v>21</v>
      </c>
      <c r="D8423">
        <v>14</v>
      </c>
      <c r="E8423">
        <f t="shared" si="131"/>
        <v>1.1252093903636304E-27</v>
      </c>
    </row>
    <row r="8424" spans="1:5" x14ac:dyDescent="0.25">
      <c r="A8424">
        <v>10</v>
      </c>
      <c r="B8424">
        <v>3</v>
      </c>
      <c r="C8424">
        <v>22</v>
      </c>
      <c r="D8424">
        <v>13</v>
      </c>
      <c r="E8424">
        <f t="shared" si="131"/>
        <v>2.6254885775151395E-27</v>
      </c>
    </row>
    <row r="8425" spans="1:5" x14ac:dyDescent="0.25">
      <c r="A8425">
        <v>10</v>
      </c>
      <c r="B8425">
        <v>3</v>
      </c>
      <c r="C8425">
        <v>23</v>
      </c>
      <c r="D8425">
        <v>12</v>
      </c>
      <c r="E8425">
        <f t="shared" si="131"/>
        <v>4.908522123180478E-27</v>
      </c>
    </row>
    <row r="8426" spans="1:5" x14ac:dyDescent="0.25">
      <c r="A8426">
        <v>10</v>
      </c>
      <c r="B8426">
        <v>3</v>
      </c>
      <c r="C8426">
        <v>24</v>
      </c>
      <c r="D8426">
        <v>11</v>
      </c>
      <c r="E8426">
        <f t="shared" si="131"/>
        <v>7.3627831847707152E-27</v>
      </c>
    </row>
    <row r="8427" spans="1:5" x14ac:dyDescent="0.25">
      <c r="A8427">
        <v>10</v>
      </c>
      <c r="B8427">
        <v>3</v>
      </c>
      <c r="C8427">
        <v>25</v>
      </c>
      <c r="D8427">
        <v>10</v>
      </c>
      <c r="E8427">
        <f t="shared" si="131"/>
        <v>8.854973910217581E-27</v>
      </c>
    </row>
    <row r="8428" spans="1:5" x14ac:dyDescent="0.25">
      <c r="A8428">
        <v>10</v>
      </c>
      <c r="B8428">
        <v>3</v>
      </c>
      <c r="C8428">
        <v>26</v>
      </c>
      <c r="D8428">
        <v>9</v>
      </c>
      <c r="E8428">
        <f t="shared" si="131"/>
        <v>8.5143979905938259E-27</v>
      </c>
    </row>
    <row r="8429" spans="1:5" x14ac:dyDescent="0.25">
      <c r="A8429">
        <v>10</v>
      </c>
      <c r="B8429">
        <v>3</v>
      </c>
      <c r="C8429">
        <v>27</v>
      </c>
      <c r="D8429">
        <v>8</v>
      </c>
      <c r="E8429">
        <f t="shared" si="131"/>
        <v>6.5110102281011599E-27</v>
      </c>
    </row>
    <row r="8430" spans="1:5" x14ac:dyDescent="0.25">
      <c r="A8430">
        <v>10</v>
      </c>
      <c r="B8430">
        <v>3</v>
      </c>
      <c r="C8430">
        <v>28</v>
      </c>
      <c r="D8430">
        <v>7</v>
      </c>
      <c r="E8430">
        <f t="shared" si="131"/>
        <v>3.9272760106007008E-27</v>
      </c>
    </row>
    <row r="8431" spans="1:5" x14ac:dyDescent="0.25">
      <c r="A8431">
        <v>10</v>
      </c>
      <c r="B8431">
        <v>3</v>
      </c>
      <c r="C8431">
        <v>29</v>
      </c>
      <c r="D8431">
        <v>6</v>
      </c>
      <c r="E8431">
        <f t="shared" si="131"/>
        <v>1.8460335512623981E-27</v>
      </c>
    </row>
    <row r="8432" spans="1:5" x14ac:dyDescent="0.25">
      <c r="A8432">
        <v>10</v>
      </c>
      <c r="B8432">
        <v>3</v>
      </c>
      <c r="C8432">
        <v>30</v>
      </c>
      <c r="D8432">
        <v>5</v>
      </c>
      <c r="E8432">
        <f t="shared" si="131"/>
        <v>6.6457207845446325E-28</v>
      </c>
    </row>
    <row r="8433" spans="1:5" x14ac:dyDescent="0.25">
      <c r="A8433">
        <v>10</v>
      </c>
      <c r="B8433">
        <v>3</v>
      </c>
      <c r="C8433">
        <v>31</v>
      </c>
      <c r="D8433">
        <v>4</v>
      </c>
      <c r="E8433">
        <f t="shared" si="131"/>
        <v>1.7864840818668375E-28</v>
      </c>
    </row>
    <row r="8434" spans="1:5" x14ac:dyDescent="0.25">
      <c r="A8434">
        <v>10</v>
      </c>
      <c r="B8434">
        <v>3</v>
      </c>
      <c r="C8434">
        <v>32</v>
      </c>
      <c r="D8434">
        <v>3</v>
      </c>
      <c r="E8434">
        <f t="shared" si="131"/>
        <v>3.4511624308791168E-29</v>
      </c>
    </row>
    <row r="8435" spans="1:5" x14ac:dyDescent="0.25">
      <c r="A8435">
        <v>10</v>
      </c>
      <c r="B8435">
        <v>3</v>
      </c>
      <c r="C8435">
        <v>33</v>
      </c>
      <c r="D8435">
        <v>2</v>
      </c>
      <c r="E8435">
        <f t="shared" si="131"/>
        <v>4.501516214190152E-30</v>
      </c>
    </row>
    <row r="8436" spans="1:5" x14ac:dyDescent="0.25">
      <c r="A8436">
        <v>10</v>
      </c>
      <c r="B8436">
        <v>3</v>
      </c>
      <c r="C8436">
        <v>34</v>
      </c>
      <c r="D8436">
        <v>1</v>
      </c>
      <c r="E8436">
        <f t="shared" si="131"/>
        <v>3.5306009523060021E-31</v>
      </c>
    </row>
    <row r="8437" spans="1:5" x14ac:dyDescent="0.25">
      <c r="A8437">
        <v>10</v>
      </c>
      <c r="B8437">
        <v>3</v>
      </c>
      <c r="C8437">
        <v>35</v>
      </c>
      <c r="D8437">
        <v>0</v>
      </c>
      <c r="E8437">
        <f t="shared" si="131"/>
        <v>1.2508414802455549E-32</v>
      </c>
    </row>
    <row r="8438" spans="1:5" x14ac:dyDescent="0.25">
      <c r="A8438">
        <v>10</v>
      </c>
      <c r="B8438">
        <v>4</v>
      </c>
      <c r="C8438">
        <v>9</v>
      </c>
      <c r="D8438">
        <v>25</v>
      </c>
      <c r="E8438">
        <f t="shared" si="131"/>
        <v>9.5009989238262272E-39</v>
      </c>
    </row>
    <row r="8439" spans="1:5" x14ac:dyDescent="0.25">
      <c r="A8439">
        <v>10</v>
      </c>
      <c r="B8439">
        <v>4</v>
      </c>
      <c r="C8439">
        <v>10</v>
      </c>
      <c r="D8439">
        <v>24</v>
      </c>
      <c r="E8439">
        <f t="shared" si="131"/>
        <v>1.3301398493356719E-36</v>
      </c>
    </row>
    <row r="8440" spans="1:5" x14ac:dyDescent="0.25">
      <c r="A8440">
        <v>10</v>
      </c>
      <c r="B8440">
        <v>4</v>
      </c>
      <c r="C8440">
        <v>11</v>
      </c>
      <c r="D8440">
        <v>23</v>
      </c>
      <c r="E8440">
        <f t="shared" si="131"/>
        <v>7.980839096014034E-35</v>
      </c>
    </row>
    <row r="8441" spans="1:5" x14ac:dyDescent="0.25">
      <c r="A8441">
        <v>10</v>
      </c>
      <c r="B8441">
        <v>4</v>
      </c>
      <c r="C8441">
        <v>12</v>
      </c>
      <c r="D8441">
        <v>22</v>
      </c>
      <c r="E8441">
        <f t="shared" si="131"/>
        <v>2.7533894881248398E-33</v>
      </c>
    </row>
    <row r="8442" spans="1:5" x14ac:dyDescent="0.25">
      <c r="A8442">
        <v>10</v>
      </c>
      <c r="B8442">
        <v>4</v>
      </c>
      <c r="C8442">
        <v>13</v>
      </c>
      <c r="D8442">
        <v>21</v>
      </c>
      <c r="E8442">
        <f t="shared" si="131"/>
        <v>6.1739464291414707E-32</v>
      </c>
    </row>
    <row r="8443" spans="1:5" x14ac:dyDescent="0.25">
      <c r="A8443">
        <v>10</v>
      </c>
      <c r="B8443">
        <v>4</v>
      </c>
      <c r="C8443">
        <v>14</v>
      </c>
      <c r="D8443">
        <v>20</v>
      </c>
      <c r="E8443">
        <f t="shared" si="131"/>
        <v>9.631356429460694E-31</v>
      </c>
    </row>
    <row r="8444" spans="1:5" x14ac:dyDescent="0.25">
      <c r="A8444">
        <v>10</v>
      </c>
      <c r="B8444">
        <v>4</v>
      </c>
      <c r="C8444">
        <v>15</v>
      </c>
      <c r="D8444">
        <v>19</v>
      </c>
      <c r="E8444">
        <f t="shared" si="131"/>
        <v>1.0915537286722116E-29</v>
      </c>
    </row>
    <row r="8445" spans="1:5" x14ac:dyDescent="0.25">
      <c r="A8445">
        <v>10</v>
      </c>
      <c r="B8445">
        <v>4</v>
      </c>
      <c r="C8445">
        <v>16</v>
      </c>
      <c r="D8445">
        <v>18</v>
      </c>
      <c r="E8445">
        <f t="shared" si="131"/>
        <v>9.2587146628446565E-29</v>
      </c>
    </row>
    <row r="8446" spans="1:5" x14ac:dyDescent="0.25">
      <c r="A8446">
        <v>10</v>
      </c>
      <c r="B8446">
        <v>4</v>
      </c>
      <c r="C8446">
        <v>17</v>
      </c>
      <c r="D8446">
        <v>17</v>
      </c>
      <c r="E8446">
        <f t="shared" si="131"/>
        <v>6.0045487739919034E-28</v>
      </c>
    </row>
    <row r="8447" spans="1:5" x14ac:dyDescent="0.25">
      <c r="A8447">
        <v>10</v>
      </c>
      <c r="B8447">
        <v>4</v>
      </c>
      <c r="C8447">
        <v>18</v>
      </c>
      <c r="D8447">
        <v>16</v>
      </c>
      <c r="E8447">
        <f t="shared" si="131"/>
        <v>3.024513456529252E-27</v>
      </c>
    </row>
    <row r="8448" spans="1:5" x14ac:dyDescent="0.25">
      <c r="A8448">
        <v>10</v>
      </c>
      <c r="B8448">
        <v>4</v>
      </c>
      <c r="C8448">
        <v>19</v>
      </c>
      <c r="D8448">
        <v>15</v>
      </c>
      <c r="E8448">
        <f t="shared" si="131"/>
        <v>1.1970705891105253E-26</v>
      </c>
    </row>
    <row r="8449" spans="1:5" x14ac:dyDescent="0.25">
      <c r="A8449">
        <v>10</v>
      </c>
      <c r="B8449">
        <v>4</v>
      </c>
      <c r="C8449">
        <v>20</v>
      </c>
      <c r="D8449">
        <v>14</v>
      </c>
      <c r="E8449">
        <f t="shared" si="131"/>
        <v>3.7544486658466517E-26</v>
      </c>
    </row>
    <row r="8450" spans="1:5" x14ac:dyDescent="0.25">
      <c r="A8450">
        <v>10</v>
      </c>
      <c r="B8450">
        <v>4</v>
      </c>
      <c r="C8450">
        <v>21</v>
      </c>
      <c r="D8450">
        <v>13</v>
      </c>
      <c r="E8450">
        <f t="shared" si="131"/>
        <v>9.3861216646166194E-26</v>
      </c>
    </row>
    <row r="8451" spans="1:5" x14ac:dyDescent="0.25">
      <c r="A8451">
        <v>10</v>
      </c>
      <c r="B8451">
        <v>4</v>
      </c>
      <c r="C8451">
        <v>22</v>
      </c>
      <c r="D8451">
        <v>12</v>
      </c>
      <c r="E8451">
        <f t="shared" si="131"/>
        <v>1.877224332923325E-25</v>
      </c>
    </row>
    <row r="8452" spans="1:5" x14ac:dyDescent="0.25">
      <c r="A8452">
        <v>10</v>
      </c>
      <c r="B8452">
        <v>4</v>
      </c>
      <c r="C8452">
        <v>23</v>
      </c>
      <c r="D8452">
        <v>11</v>
      </c>
      <c r="E8452">
        <f t="shared" si="131"/>
        <v>3.0082228440634643E-25</v>
      </c>
    </row>
    <row r="8453" spans="1:5" x14ac:dyDescent="0.25">
      <c r="A8453">
        <v>10</v>
      </c>
      <c r="B8453">
        <v>4</v>
      </c>
      <c r="C8453">
        <v>24</v>
      </c>
      <c r="D8453">
        <v>10</v>
      </c>
      <c r="E8453">
        <f t="shared" si="131"/>
        <v>3.8605526498814447E-25</v>
      </c>
    </row>
    <row r="8454" spans="1:5" x14ac:dyDescent="0.25">
      <c r="A8454">
        <v>10</v>
      </c>
      <c r="B8454">
        <v>4</v>
      </c>
      <c r="C8454">
        <v>25</v>
      </c>
      <c r="D8454">
        <v>9</v>
      </c>
      <c r="E8454">
        <f t="shared" si="131"/>
        <v>3.9570664661284834E-25</v>
      </c>
    </row>
    <row r="8455" spans="1:5" x14ac:dyDescent="0.25">
      <c r="A8455">
        <v>10</v>
      </c>
      <c r="B8455">
        <v>4</v>
      </c>
      <c r="C8455">
        <v>26</v>
      </c>
      <c r="D8455">
        <v>8</v>
      </c>
      <c r="E8455">
        <f t="shared" si="131"/>
        <v>3.2229500629100744E-25</v>
      </c>
    </row>
    <row r="8456" spans="1:5" x14ac:dyDescent="0.25">
      <c r="A8456">
        <v>10</v>
      </c>
      <c r="B8456">
        <v>4</v>
      </c>
      <c r="C8456">
        <v>27</v>
      </c>
      <c r="D8456">
        <v>7</v>
      </c>
      <c r="E8456">
        <f t="shared" si="131"/>
        <v>2.0690543613743692E-25</v>
      </c>
    </row>
    <row r="8457" spans="1:5" x14ac:dyDescent="0.25">
      <c r="A8457">
        <v>10</v>
      </c>
      <c r="B8457">
        <v>4</v>
      </c>
      <c r="C8457">
        <v>28</v>
      </c>
      <c r="D8457">
        <v>6</v>
      </c>
      <c r="E8457">
        <f t="shared" si="131"/>
        <v>1.0345271806871844E-25</v>
      </c>
    </row>
    <row r="8458" spans="1:5" x14ac:dyDescent="0.25">
      <c r="A8458">
        <v>10</v>
      </c>
      <c r="B8458">
        <v>4</v>
      </c>
      <c r="C8458">
        <v>29</v>
      </c>
      <c r="D8458">
        <v>5</v>
      </c>
      <c r="E8458">
        <f t="shared" si="131"/>
        <v>3.9597419674578442E-26</v>
      </c>
    </row>
    <row r="8459" spans="1:5" x14ac:dyDescent="0.25">
      <c r="A8459">
        <v>10</v>
      </c>
      <c r="B8459">
        <v>4</v>
      </c>
      <c r="C8459">
        <v>30</v>
      </c>
      <c r="D8459">
        <v>4</v>
      </c>
      <c r="E8459">
        <f t="shared" si="131"/>
        <v>1.1313548478450983E-26</v>
      </c>
    </row>
    <row r="8460" spans="1:5" x14ac:dyDescent="0.25">
      <c r="A8460">
        <v>10</v>
      </c>
      <c r="B8460">
        <v>4</v>
      </c>
      <c r="C8460">
        <v>31</v>
      </c>
      <c r="D8460">
        <v>3</v>
      </c>
      <c r="E8460">
        <f t="shared" si="131"/>
        <v>2.3224293064268882E-27</v>
      </c>
    </row>
    <row r="8461" spans="1:5" x14ac:dyDescent="0.25">
      <c r="A8461">
        <v>10</v>
      </c>
      <c r="B8461">
        <v>4</v>
      </c>
      <c r="C8461">
        <v>32</v>
      </c>
      <c r="D8461">
        <v>2</v>
      </c>
      <c r="E8461">
        <f t="shared" si="131"/>
        <v>3.2185840931459588E-28</v>
      </c>
    </row>
    <row r="8462" spans="1:5" x14ac:dyDescent="0.25">
      <c r="A8462">
        <v>10</v>
      </c>
      <c r="B8462">
        <v>4</v>
      </c>
      <c r="C8462">
        <v>33</v>
      </c>
      <c r="D8462">
        <v>1</v>
      </c>
      <c r="E8462">
        <f t="shared" ref="E8462:E8525" si="132">COMBIN(A$4,A8462)*COMBIN(B$4,B8462)*COMBIN(C$4,C8462)*COMBIN(D$4,D8462)/COMBIN($G$4,$F$4)</f>
        <v>2.6821534109549658E-29</v>
      </c>
    </row>
    <row r="8463" spans="1:5" x14ac:dyDescent="0.25">
      <c r="A8463">
        <v>10</v>
      </c>
      <c r="B8463">
        <v>4</v>
      </c>
      <c r="C8463">
        <v>34</v>
      </c>
      <c r="D8463">
        <v>0</v>
      </c>
      <c r="E8463">
        <f t="shared" si="132"/>
        <v>1.0097518723595166E-30</v>
      </c>
    </row>
    <row r="8464" spans="1:5" x14ac:dyDescent="0.25">
      <c r="A8464">
        <v>10</v>
      </c>
      <c r="B8464">
        <v>5</v>
      </c>
      <c r="C8464">
        <v>8</v>
      </c>
      <c r="D8464">
        <v>25</v>
      </c>
      <c r="E8464">
        <f t="shared" si="132"/>
        <v>8.5508990314436051E-38</v>
      </c>
    </row>
    <row r="8465" spans="1:5" x14ac:dyDescent="0.25">
      <c r="A8465">
        <v>10</v>
      </c>
      <c r="B8465">
        <v>5</v>
      </c>
      <c r="C8465">
        <v>9</v>
      </c>
      <c r="D8465">
        <v>24</v>
      </c>
      <c r="E8465">
        <f t="shared" si="132"/>
        <v>1.3538923466452372E-35</v>
      </c>
    </row>
    <row r="8466" spans="1:5" x14ac:dyDescent="0.25">
      <c r="A8466">
        <v>10</v>
      </c>
      <c r="B8466">
        <v>5</v>
      </c>
      <c r="C8466">
        <v>10</v>
      </c>
      <c r="D8466">
        <v>23</v>
      </c>
      <c r="E8466">
        <f t="shared" si="132"/>
        <v>9.098156569455995E-34</v>
      </c>
    </row>
    <row r="8467" spans="1:5" x14ac:dyDescent="0.25">
      <c r="A8467">
        <v>10</v>
      </c>
      <c r="B8467">
        <v>5</v>
      </c>
      <c r="C8467">
        <v>11</v>
      </c>
      <c r="D8467">
        <v>22</v>
      </c>
      <c r="E8467">
        <f t="shared" si="132"/>
        <v>3.4876266849581321E-32</v>
      </c>
    </row>
    <row r="8468" spans="1:5" x14ac:dyDescent="0.25">
      <c r="A8468">
        <v>10</v>
      </c>
      <c r="B8468">
        <v>5</v>
      </c>
      <c r="C8468">
        <v>12</v>
      </c>
      <c r="D8468">
        <v>21</v>
      </c>
      <c r="E8468">
        <f t="shared" si="132"/>
        <v>8.6318760452713728E-31</v>
      </c>
    </row>
    <row r="8469" spans="1:5" x14ac:dyDescent="0.25">
      <c r="A8469">
        <v>10</v>
      </c>
      <c r="B8469">
        <v>5</v>
      </c>
      <c r="C8469">
        <v>13</v>
      </c>
      <c r="D8469">
        <v>20</v>
      </c>
      <c r="E8469">
        <f t="shared" si="132"/>
        <v>1.4780427751364678E-29</v>
      </c>
    </row>
    <row r="8470" spans="1:5" x14ac:dyDescent="0.25">
      <c r="A8470">
        <v>10</v>
      </c>
      <c r="B8470">
        <v>5</v>
      </c>
      <c r="C8470">
        <v>14</v>
      </c>
      <c r="D8470">
        <v>19</v>
      </c>
      <c r="E8470">
        <f t="shared" si="132"/>
        <v>1.8299577215975315E-28</v>
      </c>
    </row>
    <row r="8471" spans="1:5" x14ac:dyDescent="0.25">
      <c r="A8471">
        <v>10</v>
      </c>
      <c r="B8471">
        <v>5</v>
      </c>
      <c r="C8471">
        <v>15</v>
      </c>
      <c r="D8471">
        <v>18</v>
      </c>
      <c r="E8471">
        <f t="shared" si="132"/>
        <v>1.6887895545028651E-27</v>
      </c>
    </row>
    <row r="8472" spans="1:5" x14ac:dyDescent="0.25">
      <c r="A8472">
        <v>10</v>
      </c>
      <c r="B8472">
        <v>5</v>
      </c>
      <c r="C8472">
        <v>16</v>
      </c>
      <c r="D8472">
        <v>17</v>
      </c>
      <c r="E8472">
        <f t="shared" si="132"/>
        <v>1.1874301555098269E-26</v>
      </c>
    </row>
    <row r="8473" spans="1:5" x14ac:dyDescent="0.25">
      <c r="A8473">
        <v>10</v>
      </c>
      <c r="B8473">
        <v>5</v>
      </c>
      <c r="C8473">
        <v>17</v>
      </c>
      <c r="D8473">
        <v>16</v>
      </c>
      <c r="E8473">
        <f t="shared" si="132"/>
        <v>6.4648975133312827E-26</v>
      </c>
    </row>
    <row r="8474" spans="1:5" x14ac:dyDescent="0.25">
      <c r="A8474">
        <v>10</v>
      </c>
      <c r="B8474">
        <v>5</v>
      </c>
      <c r="C8474">
        <v>18</v>
      </c>
      <c r="D8474">
        <v>15</v>
      </c>
      <c r="E8474">
        <f t="shared" si="132"/>
        <v>2.7583562723546774E-25</v>
      </c>
    </row>
    <row r="8475" spans="1:5" x14ac:dyDescent="0.25">
      <c r="A8475">
        <v>10</v>
      </c>
      <c r="B8475">
        <v>5</v>
      </c>
      <c r="C8475">
        <v>19</v>
      </c>
      <c r="D8475">
        <v>14</v>
      </c>
      <c r="E8475">
        <f t="shared" si="132"/>
        <v>9.304503215359085E-25</v>
      </c>
    </row>
    <row r="8476" spans="1:5" x14ac:dyDescent="0.25">
      <c r="A8476">
        <v>10</v>
      </c>
      <c r="B8476">
        <v>5</v>
      </c>
      <c r="C8476">
        <v>20</v>
      </c>
      <c r="D8476">
        <v>13</v>
      </c>
      <c r="E8476">
        <f t="shared" si="132"/>
        <v>2.4967083627880238E-24</v>
      </c>
    </row>
    <row r="8477" spans="1:5" x14ac:dyDescent="0.25">
      <c r="A8477">
        <v>10</v>
      </c>
      <c r="B8477">
        <v>5</v>
      </c>
      <c r="C8477">
        <v>21</v>
      </c>
      <c r="D8477">
        <v>12</v>
      </c>
      <c r="E8477">
        <f t="shared" si="132"/>
        <v>5.3500893488314722E-24</v>
      </c>
    </row>
    <row r="8478" spans="1:5" x14ac:dyDescent="0.25">
      <c r="A8478">
        <v>10</v>
      </c>
      <c r="B8478">
        <v>5</v>
      </c>
      <c r="C8478">
        <v>22</v>
      </c>
      <c r="D8478">
        <v>11</v>
      </c>
      <c r="E8478">
        <f t="shared" si="132"/>
        <v>9.1715817408539592E-24</v>
      </c>
    </row>
    <row r="8479" spans="1:5" x14ac:dyDescent="0.25">
      <c r="A8479">
        <v>10</v>
      </c>
      <c r="B8479">
        <v>5</v>
      </c>
      <c r="C8479">
        <v>23</v>
      </c>
      <c r="D8479">
        <v>10</v>
      </c>
      <c r="E8479">
        <f t="shared" si="132"/>
        <v>1.2574371488185277E-23</v>
      </c>
    </row>
    <row r="8480" spans="1:5" x14ac:dyDescent="0.25">
      <c r="A8480">
        <v>10</v>
      </c>
      <c r="B8480">
        <v>5</v>
      </c>
      <c r="C8480">
        <v>24</v>
      </c>
      <c r="D8480">
        <v>9</v>
      </c>
      <c r="E8480">
        <f t="shared" si="132"/>
        <v>1.3753218815202648E-23</v>
      </c>
    </row>
    <row r="8481" spans="1:5" x14ac:dyDescent="0.25">
      <c r="A8481">
        <v>10</v>
      </c>
      <c r="B8481">
        <v>5</v>
      </c>
      <c r="C8481">
        <v>25</v>
      </c>
      <c r="D8481">
        <v>8</v>
      </c>
      <c r="E8481">
        <f t="shared" si="132"/>
        <v>1.1941029983081835E-23</v>
      </c>
    </row>
    <row r="8482" spans="1:5" x14ac:dyDescent="0.25">
      <c r="A8482">
        <v>10</v>
      </c>
      <c r="B8482">
        <v>5</v>
      </c>
      <c r="C8482">
        <v>26</v>
      </c>
      <c r="D8482">
        <v>7</v>
      </c>
      <c r="E8482">
        <f t="shared" si="132"/>
        <v>8.1648068260388561E-24</v>
      </c>
    </row>
    <row r="8483" spans="1:5" x14ac:dyDescent="0.25">
      <c r="A8483">
        <v>10</v>
      </c>
      <c r="B8483">
        <v>5</v>
      </c>
      <c r="C8483">
        <v>27</v>
      </c>
      <c r="D8483">
        <v>6</v>
      </c>
      <c r="E8483">
        <f t="shared" si="132"/>
        <v>4.3450141588861744E-24</v>
      </c>
    </row>
    <row r="8484" spans="1:5" x14ac:dyDescent="0.25">
      <c r="A8484">
        <v>10</v>
      </c>
      <c r="B8484">
        <v>5</v>
      </c>
      <c r="C8484">
        <v>28</v>
      </c>
      <c r="D8484">
        <v>5</v>
      </c>
      <c r="E8484">
        <f t="shared" si="132"/>
        <v>1.7690414789750853E-24</v>
      </c>
    </row>
    <row r="8485" spans="1:5" x14ac:dyDescent="0.25">
      <c r="A8485">
        <v>10</v>
      </c>
      <c r="B8485">
        <v>5</v>
      </c>
      <c r="C8485">
        <v>29</v>
      </c>
      <c r="D8485">
        <v>4</v>
      </c>
      <c r="E8485">
        <f t="shared" si="132"/>
        <v>5.3739355272642184E-25</v>
      </c>
    </row>
    <row r="8486" spans="1:5" x14ac:dyDescent="0.25">
      <c r="A8486">
        <v>10</v>
      </c>
      <c r="B8486">
        <v>5</v>
      </c>
      <c r="C8486">
        <v>30</v>
      </c>
      <c r="D8486">
        <v>3</v>
      </c>
      <c r="E8486">
        <f t="shared" si="132"/>
        <v>1.1724950241303746E-25</v>
      </c>
    </row>
    <row r="8487" spans="1:5" x14ac:dyDescent="0.25">
      <c r="A8487">
        <v>10</v>
      </c>
      <c r="B8487">
        <v>5</v>
      </c>
      <c r="C8487">
        <v>31</v>
      </c>
      <c r="D8487">
        <v>2</v>
      </c>
      <c r="E8487">
        <f t="shared" si="132"/>
        <v>1.7266757017347734E-26</v>
      </c>
    </row>
    <row r="8488" spans="1:5" x14ac:dyDescent="0.25">
      <c r="A8488">
        <v>10</v>
      </c>
      <c r="B8488">
        <v>5</v>
      </c>
      <c r="C8488">
        <v>32</v>
      </c>
      <c r="D8488">
        <v>1</v>
      </c>
      <c r="E8488">
        <f t="shared" si="132"/>
        <v>1.5288274442443303E-27</v>
      </c>
    </row>
    <row r="8489" spans="1:5" x14ac:dyDescent="0.25">
      <c r="A8489">
        <v>10</v>
      </c>
      <c r="B8489">
        <v>5</v>
      </c>
      <c r="C8489">
        <v>33</v>
      </c>
      <c r="D8489">
        <v>0</v>
      </c>
      <c r="E8489">
        <f t="shared" si="132"/>
        <v>6.1153097769773214E-29</v>
      </c>
    </row>
    <row r="8490" spans="1:5" x14ac:dyDescent="0.25">
      <c r="A8490">
        <v>10</v>
      </c>
      <c r="B8490">
        <v>6</v>
      </c>
      <c r="C8490">
        <v>7</v>
      </c>
      <c r="D8490">
        <v>25</v>
      </c>
      <c r="E8490">
        <f t="shared" si="132"/>
        <v>5.5826559193792724E-37</v>
      </c>
    </row>
    <row r="8491" spans="1:5" x14ac:dyDescent="0.25">
      <c r="A8491">
        <v>10</v>
      </c>
      <c r="B8491">
        <v>6</v>
      </c>
      <c r="C8491">
        <v>8</v>
      </c>
      <c r="D8491">
        <v>24</v>
      </c>
      <c r="E8491">
        <f t="shared" si="132"/>
        <v>1.0118563853874933E-34</v>
      </c>
    </row>
    <row r="8492" spans="1:5" x14ac:dyDescent="0.25">
      <c r="A8492">
        <v>10</v>
      </c>
      <c r="B8492">
        <v>6</v>
      </c>
      <c r="C8492">
        <v>9</v>
      </c>
      <c r="D8492">
        <v>23</v>
      </c>
      <c r="E8492">
        <f t="shared" si="132"/>
        <v>7.6901085289449489E-33</v>
      </c>
    </row>
    <row r="8493" spans="1:5" x14ac:dyDescent="0.25">
      <c r="A8493">
        <v>10</v>
      </c>
      <c r="B8493">
        <v>6</v>
      </c>
      <c r="C8493">
        <v>10</v>
      </c>
      <c r="D8493">
        <v>22</v>
      </c>
      <c r="E8493">
        <f t="shared" si="132"/>
        <v>3.3016199284270313E-31</v>
      </c>
    </row>
    <row r="8494" spans="1:5" x14ac:dyDescent="0.25">
      <c r="A8494">
        <v>10</v>
      </c>
      <c r="B8494">
        <v>6</v>
      </c>
      <c r="C8494">
        <v>11</v>
      </c>
      <c r="D8494">
        <v>21</v>
      </c>
      <c r="E8494">
        <f t="shared" si="132"/>
        <v>9.0794548031743401E-30</v>
      </c>
    </row>
    <row r="8495" spans="1:5" x14ac:dyDescent="0.25">
      <c r="A8495">
        <v>10</v>
      </c>
      <c r="B8495">
        <v>6</v>
      </c>
      <c r="C8495">
        <v>12</v>
      </c>
      <c r="D8495">
        <v>20</v>
      </c>
      <c r="E8495">
        <f t="shared" si="132"/>
        <v>1.7160169577999486E-28</v>
      </c>
    </row>
    <row r="8496" spans="1:5" x14ac:dyDescent="0.25">
      <c r="A8496">
        <v>10</v>
      </c>
      <c r="B8496">
        <v>6</v>
      </c>
      <c r="C8496">
        <v>13</v>
      </c>
      <c r="D8496">
        <v>19</v>
      </c>
      <c r="E8496">
        <f t="shared" si="132"/>
        <v>2.3320230452153158E-27</v>
      </c>
    </row>
    <row r="8497" spans="1:5" x14ac:dyDescent="0.25">
      <c r="A8497">
        <v>10</v>
      </c>
      <c r="B8497">
        <v>6</v>
      </c>
      <c r="C8497">
        <v>14</v>
      </c>
      <c r="D8497">
        <v>18</v>
      </c>
      <c r="E8497">
        <f t="shared" si="132"/>
        <v>2.3510599680334012E-26</v>
      </c>
    </row>
    <row r="8498" spans="1:5" x14ac:dyDescent="0.25">
      <c r="A8498">
        <v>10</v>
      </c>
      <c r="B8498">
        <v>6</v>
      </c>
      <c r="C8498">
        <v>15</v>
      </c>
      <c r="D8498">
        <v>17</v>
      </c>
      <c r="E8498">
        <f t="shared" si="132"/>
        <v>1.7985608755455508E-25</v>
      </c>
    </row>
    <row r="8499" spans="1:5" x14ac:dyDescent="0.25">
      <c r="A8499">
        <v>10</v>
      </c>
      <c r="B8499">
        <v>6</v>
      </c>
      <c r="C8499">
        <v>16</v>
      </c>
      <c r="D8499">
        <v>16</v>
      </c>
      <c r="E8499">
        <f t="shared" si="132"/>
        <v>1.0616505168150822E-24</v>
      </c>
    </row>
    <row r="8500" spans="1:5" x14ac:dyDescent="0.25">
      <c r="A8500">
        <v>10</v>
      </c>
      <c r="B8500">
        <v>6</v>
      </c>
      <c r="C8500">
        <v>17</v>
      </c>
      <c r="D8500">
        <v>15</v>
      </c>
      <c r="E8500">
        <f t="shared" si="132"/>
        <v>4.8960823834295579E-24</v>
      </c>
    </row>
    <row r="8501" spans="1:5" x14ac:dyDescent="0.25">
      <c r="A8501">
        <v>10</v>
      </c>
      <c r="B8501">
        <v>6</v>
      </c>
      <c r="C8501">
        <v>18</v>
      </c>
      <c r="D8501">
        <v>14</v>
      </c>
      <c r="E8501">
        <f t="shared" si="132"/>
        <v>1.7803935939743832E-23</v>
      </c>
    </row>
    <row r="8502" spans="1:5" x14ac:dyDescent="0.25">
      <c r="A8502">
        <v>10</v>
      </c>
      <c r="B8502">
        <v>6</v>
      </c>
      <c r="C8502">
        <v>19</v>
      </c>
      <c r="D8502">
        <v>13</v>
      </c>
      <c r="E8502">
        <f t="shared" si="132"/>
        <v>5.1381534422594066E-23</v>
      </c>
    </row>
    <row r="8503" spans="1:5" x14ac:dyDescent="0.25">
      <c r="A8503">
        <v>10</v>
      </c>
      <c r="B8503">
        <v>6</v>
      </c>
      <c r="C8503">
        <v>20</v>
      </c>
      <c r="D8503">
        <v>12</v>
      </c>
      <c r="E8503">
        <f t="shared" si="132"/>
        <v>1.1817752917196648E-22</v>
      </c>
    </row>
    <row r="8504" spans="1:5" x14ac:dyDescent="0.25">
      <c r="A8504">
        <v>10</v>
      </c>
      <c r="B8504">
        <v>6</v>
      </c>
      <c r="C8504">
        <v>21</v>
      </c>
      <c r="D8504">
        <v>11</v>
      </c>
      <c r="E8504">
        <f t="shared" si="132"/>
        <v>2.1706076786687683E-22</v>
      </c>
    </row>
    <row r="8505" spans="1:5" x14ac:dyDescent="0.25">
      <c r="A8505">
        <v>10</v>
      </c>
      <c r="B8505">
        <v>6</v>
      </c>
      <c r="C8505">
        <v>22</v>
      </c>
      <c r="D8505">
        <v>10</v>
      </c>
      <c r="E8505">
        <f t="shared" si="132"/>
        <v>3.1835579287141959E-22</v>
      </c>
    </row>
    <row r="8506" spans="1:5" x14ac:dyDescent="0.25">
      <c r="A8506">
        <v>10</v>
      </c>
      <c r="B8506">
        <v>6</v>
      </c>
      <c r="C8506">
        <v>23</v>
      </c>
      <c r="D8506">
        <v>9</v>
      </c>
      <c r="E8506">
        <f t="shared" si="132"/>
        <v>3.7199182319214778E-22</v>
      </c>
    </row>
    <row r="8507" spans="1:5" x14ac:dyDescent="0.25">
      <c r="A8507">
        <v>10</v>
      </c>
      <c r="B8507">
        <v>6</v>
      </c>
      <c r="C8507">
        <v>24</v>
      </c>
      <c r="D8507">
        <v>8</v>
      </c>
      <c r="E8507">
        <f t="shared" si="132"/>
        <v>3.4463948325154872E-22</v>
      </c>
    </row>
    <row r="8508" spans="1:5" x14ac:dyDescent="0.25">
      <c r="A8508">
        <v>10</v>
      </c>
      <c r="B8508">
        <v>6</v>
      </c>
      <c r="C8508">
        <v>25</v>
      </c>
      <c r="D8508">
        <v>7</v>
      </c>
      <c r="E8508">
        <f t="shared" si="132"/>
        <v>2.5120389001446232E-22</v>
      </c>
    </row>
    <row r="8509" spans="1:5" x14ac:dyDescent="0.25">
      <c r="A8509">
        <v>10</v>
      </c>
      <c r="B8509">
        <v>6</v>
      </c>
      <c r="C8509">
        <v>26</v>
      </c>
      <c r="D8509">
        <v>6</v>
      </c>
      <c r="E8509">
        <f t="shared" si="132"/>
        <v>1.4238277166811616E-22</v>
      </c>
    </row>
    <row r="8510" spans="1:5" x14ac:dyDescent="0.25">
      <c r="A8510">
        <v>10</v>
      </c>
      <c r="B8510">
        <v>6</v>
      </c>
      <c r="C8510">
        <v>27</v>
      </c>
      <c r="D8510">
        <v>5</v>
      </c>
      <c r="E8510">
        <f t="shared" si="132"/>
        <v>6.1699201056183665E-23</v>
      </c>
    </row>
    <row r="8511" spans="1:5" x14ac:dyDescent="0.25">
      <c r="A8511">
        <v>10</v>
      </c>
      <c r="B8511">
        <v>6</v>
      </c>
      <c r="C8511">
        <v>28</v>
      </c>
      <c r="D8511">
        <v>4</v>
      </c>
      <c r="E8511">
        <f t="shared" si="132"/>
        <v>1.9936816667814461E-23</v>
      </c>
    </row>
    <row r="8512" spans="1:5" x14ac:dyDescent="0.25">
      <c r="A8512">
        <v>10</v>
      </c>
      <c r="B8512">
        <v>6</v>
      </c>
      <c r="C8512">
        <v>29</v>
      </c>
      <c r="D8512">
        <v>3</v>
      </c>
      <c r="E8512">
        <f t="shared" si="132"/>
        <v>4.6248414840698117E-24</v>
      </c>
    </row>
    <row r="8513" spans="1:5" x14ac:dyDescent="0.25">
      <c r="A8513">
        <v>10</v>
      </c>
      <c r="B8513">
        <v>6</v>
      </c>
      <c r="C8513">
        <v>30</v>
      </c>
      <c r="D8513">
        <v>2</v>
      </c>
      <c r="E8513">
        <f t="shared" si="132"/>
        <v>7.2388823228918789E-25</v>
      </c>
    </row>
    <row r="8514" spans="1:5" x14ac:dyDescent="0.25">
      <c r="A8514">
        <v>10</v>
      </c>
      <c r="B8514">
        <v>6</v>
      </c>
      <c r="C8514">
        <v>31</v>
      </c>
      <c r="D8514">
        <v>1</v>
      </c>
      <c r="E8514">
        <f t="shared" si="132"/>
        <v>6.8107763790649404E-26</v>
      </c>
    </row>
    <row r="8515" spans="1:5" x14ac:dyDescent="0.25">
      <c r="A8515">
        <v>10</v>
      </c>
      <c r="B8515">
        <v>6</v>
      </c>
      <c r="C8515">
        <v>32</v>
      </c>
      <c r="D8515">
        <v>0</v>
      </c>
      <c r="E8515">
        <f t="shared" si="132"/>
        <v>2.8945799611025987E-27</v>
      </c>
    </row>
    <row r="8516" spans="1:5" x14ac:dyDescent="0.25">
      <c r="A8516">
        <v>10</v>
      </c>
      <c r="B8516">
        <v>7</v>
      </c>
      <c r="C8516">
        <v>6</v>
      </c>
      <c r="D8516">
        <v>25</v>
      </c>
      <c r="E8516">
        <f t="shared" si="132"/>
        <v>2.6777824155666682E-36</v>
      </c>
    </row>
    <row r="8517" spans="1:5" x14ac:dyDescent="0.25">
      <c r="A8517">
        <v>10</v>
      </c>
      <c r="B8517">
        <v>7</v>
      </c>
      <c r="C8517">
        <v>7</v>
      </c>
      <c r="D8517">
        <v>24</v>
      </c>
      <c r="E8517">
        <f t="shared" si="132"/>
        <v>5.6424700899440518E-34</v>
      </c>
    </row>
    <row r="8518" spans="1:5" x14ac:dyDescent="0.25">
      <c r="A8518">
        <v>10</v>
      </c>
      <c r="B8518">
        <v>7</v>
      </c>
      <c r="C8518">
        <v>8</v>
      </c>
      <c r="D8518">
        <v>23</v>
      </c>
      <c r="E8518">
        <f t="shared" si="132"/>
        <v>4.9089489782513261E-32</v>
      </c>
    </row>
    <row r="8519" spans="1:5" x14ac:dyDescent="0.25">
      <c r="A8519">
        <v>10</v>
      </c>
      <c r="B8519">
        <v>7</v>
      </c>
      <c r="C8519">
        <v>9</v>
      </c>
      <c r="D8519">
        <v>22</v>
      </c>
      <c r="E8519">
        <f t="shared" si="132"/>
        <v>2.3835674483286987E-30</v>
      </c>
    </row>
    <row r="8520" spans="1:5" x14ac:dyDescent="0.25">
      <c r="A8520">
        <v>10</v>
      </c>
      <c r="B8520">
        <v>7</v>
      </c>
      <c r="C8520">
        <v>10</v>
      </c>
      <c r="D8520">
        <v>21</v>
      </c>
      <c r="E8520">
        <f t="shared" si="132"/>
        <v>7.3413877408523949E-29</v>
      </c>
    </row>
    <row r="8521" spans="1:5" x14ac:dyDescent="0.25">
      <c r="A8521">
        <v>10</v>
      </c>
      <c r="B8521">
        <v>7</v>
      </c>
      <c r="C8521">
        <v>11</v>
      </c>
      <c r="D8521">
        <v>20</v>
      </c>
      <c r="E8521">
        <f t="shared" si="132"/>
        <v>1.5416914255790025E-27</v>
      </c>
    </row>
    <row r="8522" spans="1:5" x14ac:dyDescent="0.25">
      <c r="A8522">
        <v>10</v>
      </c>
      <c r="B8522">
        <v>7</v>
      </c>
      <c r="C8522">
        <v>12</v>
      </c>
      <c r="D8522">
        <v>19</v>
      </c>
      <c r="E8522">
        <f t="shared" si="132"/>
        <v>2.3125371383685025E-26</v>
      </c>
    </row>
    <row r="8523" spans="1:5" x14ac:dyDescent="0.25">
      <c r="A8523">
        <v>10</v>
      </c>
      <c r="B8523">
        <v>7</v>
      </c>
      <c r="C8523">
        <v>13</v>
      </c>
      <c r="D8523">
        <v>18</v>
      </c>
      <c r="E8523">
        <f t="shared" si="132"/>
        <v>2.5590383498209714E-25</v>
      </c>
    </row>
    <row r="8524" spans="1:5" x14ac:dyDescent="0.25">
      <c r="A8524">
        <v>10</v>
      </c>
      <c r="B8524">
        <v>7</v>
      </c>
      <c r="C8524">
        <v>14</v>
      </c>
      <c r="D8524">
        <v>17</v>
      </c>
      <c r="E8524">
        <f t="shared" si="132"/>
        <v>2.1386249066360974E-24</v>
      </c>
    </row>
    <row r="8525" spans="1:5" x14ac:dyDescent="0.25">
      <c r="A8525">
        <v>10</v>
      </c>
      <c r="B8525">
        <v>7</v>
      </c>
      <c r="C8525">
        <v>15</v>
      </c>
      <c r="D8525">
        <v>16</v>
      </c>
      <c r="E8525">
        <f t="shared" si="132"/>
        <v>1.3734724400396264E-23</v>
      </c>
    </row>
    <row r="8526" spans="1:5" x14ac:dyDescent="0.25">
      <c r="A8526">
        <v>10</v>
      </c>
      <c r="B8526">
        <v>7</v>
      </c>
      <c r="C8526">
        <v>16</v>
      </c>
      <c r="D8526">
        <v>15</v>
      </c>
      <c r="E8526">
        <f t="shared" ref="E8526:E8589" si="133">COMBIN(A$4,A8526)*COMBIN(B$4,B8526)*COMBIN(C$4,C8526)*COMBIN(D$4,D8526)/COMBIN($G$4,$F$4)</f>
        <v>6.8673622001981308E-23</v>
      </c>
    </row>
    <row r="8527" spans="1:5" x14ac:dyDescent="0.25">
      <c r="A8527">
        <v>10</v>
      </c>
      <c r="B8527">
        <v>7</v>
      </c>
      <c r="C8527">
        <v>17</v>
      </c>
      <c r="D8527">
        <v>14</v>
      </c>
      <c r="E8527">
        <f t="shared" si="133"/>
        <v>2.6992038594361657E-22</v>
      </c>
    </row>
    <row r="8528" spans="1:5" x14ac:dyDescent="0.25">
      <c r="A8528">
        <v>10</v>
      </c>
      <c r="B8528">
        <v>7</v>
      </c>
      <c r="C8528">
        <v>18</v>
      </c>
      <c r="D8528">
        <v>13</v>
      </c>
      <c r="E8528">
        <f t="shared" si="133"/>
        <v>8.3975231182458428E-22</v>
      </c>
    </row>
    <row r="8529" spans="1:5" x14ac:dyDescent="0.25">
      <c r="A8529">
        <v>10</v>
      </c>
      <c r="B8529">
        <v>7</v>
      </c>
      <c r="C8529">
        <v>19</v>
      </c>
      <c r="D8529">
        <v>12</v>
      </c>
      <c r="E8529">
        <f t="shared" si="133"/>
        <v>2.0772820345134462E-21</v>
      </c>
    </row>
    <row r="8530" spans="1:5" x14ac:dyDescent="0.25">
      <c r="A8530">
        <v>10</v>
      </c>
      <c r="B8530">
        <v>7</v>
      </c>
      <c r="C8530">
        <v>20</v>
      </c>
      <c r="D8530">
        <v>11</v>
      </c>
      <c r="E8530">
        <f t="shared" si="133"/>
        <v>4.0952131537550826E-21</v>
      </c>
    </row>
    <row r="8531" spans="1:5" x14ac:dyDescent="0.25">
      <c r="A8531">
        <v>10</v>
      </c>
      <c r="B8531">
        <v>7</v>
      </c>
      <c r="C8531">
        <v>21</v>
      </c>
      <c r="D8531">
        <v>10</v>
      </c>
      <c r="E8531">
        <f t="shared" si="133"/>
        <v>6.4353349559008343E-21</v>
      </c>
    </row>
    <row r="8532" spans="1:5" x14ac:dyDescent="0.25">
      <c r="A8532">
        <v>10</v>
      </c>
      <c r="B8532">
        <v>7</v>
      </c>
      <c r="C8532">
        <v>22</v>
      </c>
      <c r="D8532">
        <v>9</v>
      </c>
      <c r="E8532">
        <f t="shared" si="133"/>
        <v>8.0441686948760497E-21</v>
      </c>
    </row>
    <row r="8533" spans="1:5" x14ac:dyDescent="0.25">
      <c r="A8533">
        <v>10</v>
      </c>
      <c r="B8533">
        <v>7</v>
      </c>
      <c r="C8533">
        <v>23</v>
      </c>
      <c r="D8533">
        <v>8</v>
      </c>
      <c r="E8533">
        <f t="shared" si="133"/>
        <v>7.9618754089949645E-21</v>
      </c>
    </row>
    <row r="8534" spans="1:5" x14ac:dyDescent="0.25">
      <c r="A8534">
        <v>10</v>
      </c>
      <c r="B8534">
        <v>7</v>
      </c>
      <c r="C8534">
        <v>24</v>
      </c>
      <c r="D8534">
        <v>7</v>
      </c>
      <c r="E8534">
        <f t="shared" si="133"/>
        <v>6.1925697625516386E-21</v>
      </c>
    </row>
    <row r="8535" spans="1:5" x14ac:dyDescent="0.25">
      <c r="A8535">
        <v>10</v>
      </c>
      <c r="B8535">
        <v>7</v>
      </c>
      <c r="C8535">
        <v>25</v>
      </c>
      <c r="D8535">
        <v>6</v>
      </c>
      <c r="E8535">
        <f t="shared" si="133"/>
        <v>3.7416158354785699E-21</v>
      </c>
    </row>
    <row r="8536" spans="1:5" x14ac:dyDescent="0.25">
      <c r="A8536">
        <v>10</v>
      </c>
      <c r="B8536">
        <v>7</v>
      </c>
      <c r="C8536">
        <v>26</v>
      </c>
      <c r="D8536">
        <v>5</v>
      </c>
      <c r="E8536">
        <f t="shared" si="133"/>
        <v>1.7268996163747233E-21</v>
      </c>
    </row>
    <row r="8537" spans="1:5" x14ac:dyDescent="0.25">
      <c r="A8537">
        <v>10</v>
      </c>
      <c r="B8537">
        <v>7</v>
      </c>
      <c r="C8537">
        <v>27</v>
      </c>
      <c r="D8537">
        <v>4</v>
      </c>
      <c r="E8537">
        <f t="shared" si="133"/>
        <v>5.9390727547278863E-22</v>
      </c>
    </row>
    <row r="8538" spans="1:5" x14ac:dyDescent="0.25">
      <c r="A8538">
        <v>10</v>
      </c>
      <c r="B8538">
        <v>7</v>
      </c>
      <c r="C8538">
        <v>28</v>
      </c>
      <c r="D8538">
        <v>3</v>
      </c>
      <c r="E8538">
        <f t="shared" si="133"/>
        <v>1.465485484932855E-22</v>
      </c>
    </row>
    <row r="8539" spans="1:5" x14ac:dyDescent="0.25">
      <c r="A8539">
        <v>10</v>
      </c>
      <c r="B8539">
        <v>7</v>
      </c>
      <c r="C8539">
        <v>29</v>
      </c>
      <c r="D8539">
        <v>2</v>
      </c>
      <c r="E8539">
        <f t="shared" si="133"/>
        <v>2.4388139254504788E-23</v>
      </c>
    </row>
    <row r="8540" spans="1:5" x14ac:dyDescent="0.25">
      <c r="A8540">
        <v>10</v>
      </c>
      <c r="B8540">
        <v>7</v>
      </c>
      <c r="C8540">
        <v>30</v>
      </c>
      <c r="D8540">
        <v>1</v>
      </c>
      <c r="E8540">
        <f t="shared" si="133"/>
        <v>2.4388139254504782E-24</v>
      </c>
    </row>
    <row r="8541" spans="1:5" x14ac:dyDescent="0.25">
      <c r="A8541">
        <v>10</v>
      </c>
      <c r="B8541">
        <v>7</v>
      </c>
      <c r="C8541">
        <v>31</v>
      </c>
      <c r="D8541">
        <v>0</v>
      </c>
      <c r="E8541">
        <f t="shared" si="133"/>
        <v>1.1013998373002161E-25</v>
      </c>
    </row>
    <row r="8542" spans="1:5" x14ac:dyDescent="0.25">
      <c r="A8542">
        <v>10</v>
      </c>
      <c r="B8542">
        <v>8</v>
      </c>
      <c r="C8542">
        <v>5</v>
      </c>
      <c r="D8542">
        <v>25</v>
      </c>
      <c r="E8542">
        <f t="shared" si="133"/>
        <v>9.4391830148725065E-36</v>
      </c>
    </row>
    <row r="8543" spans="1:5" x14ac:dyDescent="0.25">
      <c r="A8543">
        <v>10</v>
      </c>
      <c r="B8543">
        <v>8</v>
      </c>
      <c r="C8543">
        <v>6</v>
      </c>
      <c r="D8543">
        <v>24</v>
      </c>
      <c r="E8543">
        <f t="shared" si="133"/>
        <v>2.3597957537181261E-33</v>
      </c>
    </row>
    <row r="8544" spans="1:5" x14ac:dyDescent="0.25">
      <c r="A8544">
        <v>10</v>
      </c>
      <c r="B8544">
        <v>8</v>
      </c>
      <c r="C8544">
        <v>7</v>
      </c>
      <c r="D8544">
        <v>23</v>
      </c>
      <c r="E8544">
        <f t="shared" si="133"/>
        <v>2.3867648480463332E-31</v>
      </c>
    </row>
    <row r="8545" spans="1:5" x14ac:dyDescent="0.25">
      <c r="A8545">
        <v>10</v>
      </c>
      <c r="B8545">
        <v>8</v>
      </c>
      <c r="C8545">
        <v>8</v>
      </c>
      <c r="D8545">
        <v>22</v>
      </c>
      <c r="E8545">
        <f t="shared" si="133"/>
        <v>1.3266434613724207E-29</v>
      </c>
    </row>
    <row r="8546" spans="1:5" x14ac:dyDescent="0.25">
      <c r="A8546">
        <v>10</v>
      </c>
      <c r="B8546">
        <v>8</v>
      </c>
      <c r="C8546">
        <v>9</v>
      </c>
      <c r="D8546">
        <v>21</v>
      </c>
      <c r="E8546">
        <f t="shared" si="133"/>
        <v>4.6211413904472653E-28</v>
      </c>
    </row>
    <row r="8547" spans="1:5" x14ac:dyDescent="0.25">
      <c r="A8547">
        <v>10</v>
      </c>
      <c r="B8547">
        <v>8</v>
      </c>
      <c r="C8547">
        <v>10</v>
      </c>
      <c r="D8547">
        <v>20</v>
      </c>
      <c r="E8547">
        <f t="shared" si="133"/>
        <v>1.0868924550331966E-26</v>
      </c>
    </row>
    <row r="8548" spans="1:5" x14ac:dyDescent="0.25">
      <c r="A8548">
        <v>10</v>
      </c>
      <c r="B8548">
        <v>8</v>
      </c>
      <c r="C8548">
        <v>11</v>
      </c>
      <c r="D8548">
        <v>19</v>
      </c>
      <c r="E8548">
        <f t="shared" si="133"/>
        <v>1.8114874250553277E-25</v>
      </c>
    </row>
    <row r="8549" spans="1:5" x14ac:dyDescent="0.25">
      <c r="A8549">
        <v>10</v>
      </c>
      <c r="B8549">
        <v>8</v>
      </c>
      <c r="C8549">
        <v>12</v>
      </c>
      <c r="D8549">
        <v>18</v>
      </c>
      <c r="E8549">
        <f t="shared" si="133"/>
        <v>2.2126024977461498E-24</v>
      </c>
    </row>
    <row r="8550" spans="1:5" x14ac:dyDescent="0.25">
      <c r="A8550">
        <v>10</v>
      </c>
      <c r="B8550">
        <v>8</v>
      </c>
      <c r="C8550">
        <v>13</v>
      </c>
      <c r="D8550">
        <v>17</v>
      </c>
      <c r="E8550">
        <f t="shared" si="133"/>
        <v>2.029637291201757E-23</v>
      </c>
    </row>
    <row r="8551" spans="1:5" x14ac:dyDescent="0.25">
      <c r="A8551">
        <v>10</v>
      </c>
      <c r="B8551">
        <v>8</v>
      </c>
      <c r="C8551">
        <v>14</v>
      </c>
      <c r="D8551">
        <v>16</v>
      </c>
      <c r="E8551">
        <f t="shared" si="133"/>
        <v>1.4239677503352012E-22</v>
      </c>
    </row>
    <row r="8552" spans="1:5" x14ac:dyDescent="0.25">
      <c r="A8552">
        <v>10</v>
      </c>
      <c r="B8552">
        <v>8</v>
      </c>
      <c r="C8552">
        <v>15</v>
      </c>
      <c r="D8552">
        <v>15</v>
      </c>
      <c r="E8552">
        <f t="shared" si="133"/>
        <v>7.7463845618234899E-22</v>
      </c>
    </row>
    <row r="8553" spans="1:5" x14ac:dyDescent="0.25">
      <c r="A8553">
        <v>10</v>
      </c>
      <c r="B8553">
        <v>8</v>
      </c>
      <c r="C8553">
        <v>16</v>
      </c>
      <c r="D8553">
        <v>14</v>
      </c>
      <c r="E8553">
        <f t="shared" si="133"/>
        <v>3.3010161485043294E-21</v>
      </c>
    </row>
    <row r="8554" spans="1:5" x14ac:dyDescent="0.25">
      <c r="A8554">
        <v>10</v>
      </c>
      <c r="B8554">
        <v>8</v>
      </c>
      <c r="C8554">
        <v>17</v>
      </c>
      <c r="D8554">
        <v>13</v>
      </c>
      <c r="E8554">
        <f t="shared" si="133"/>
        <v>1.1100475871931234E-20</v>
      </c>
    </row>
    <row r="8555" spans="1:5" x14ac:dyDescent="0.25">
      <c r="A8555">
        <v>10</v>
      </c>
      <c r="B8555">
        <v>8</v>
      </c>
      <c r="C8555">
        <v>18</v>
      </c>
      <c r="D8555">
        <v>12</v>
      </c>
      <c r="E8555">
        <f t="shared" si="133"/>
        <v>2.9601268991816591E-20</v>
      </c>
    </row>
    <row r="8556" spans="1:5" x14ac:dyDescent="0.25">
      <c r="A8556">
        <v>10</v>
      </c>
      <c r="B8556">
        <v>8</v>
      </c>
      <c r="C8556">
        <v>19</v>
      </c>
      <c r="D8556">
        <v>11</v>
      </c>
      <c r="E8556">
        <f t="shared" si="133"/>
        <v>6.2763592899941969E-20</v>
      </c>
    </row>
    <row r="8557" spans="1:5" x14ac:dyDescent="0.25">
      <c r="A8557">
        <v>10</v>
      </c>
      <c r="B8557">
        <v>8</v>
      </c>
      <c r="C8557">
        <v>20</v>
      </c>
      <c r="D8557">
        <v>10</v>
      </c>
      <c r="E8557">
        <f t="shared" si="133"/>
        <v>1.0586126002456886E-19</v>
      </c>
    </row>
    <row r="8558" spans="1:5" x14ac:dyDescent="0.25">
      <c r="A8558">
        <v>10</v>
      </c>
      <c r="B8558">
        <v>8</v>
      </c>
      <c r="C8558">
        <v>21</v>
      </c>
      <c r="D8558">
        <v>9</v>
      </c>
      <c r="E8558">
        <f t="shared" si="133"/>
        <v>1.4177847324719027E-19</v>
      </c>
    </row>
    <row r="8559" spans="1:5" x14ac:dyDescent="0.25">
      <c r="A8559">
        <v>10</v>
      </c>
      <c r="B8559">
        <v>8</v>
      </c>
      <c r="C8559">
        <v>22</v>
      </c>
      <c r="D8559">
        <v>8</v>
      </c>
      <c r="E8559">
        <f t="shared" si="133"/>
        <v>1.5011838343820155E-19</v>
      </c>
    </row>
    <row r="8560" spans="1:5" x14ac:dyDescent="0.25">
      <c r="A8560">
        <v>10</v>
      </c>
      <c r="B8560">
        <v>8</v>
      </c>
      <c r="C8560">
        <v>23</v>
      </c>
      <c r="D8560">
        <v>7</v>
      </c>
      <c r="E8560">
        <f t="shared" si="133"/>
        <v>1.2473604807425445E-19</v>
      </c>
    </row>
    <row r="8561" spans="1:5" x14ac:dyDescent="0.25">
      <c r="A8561">
        <v>10</v>
      </c>
      <c r="B8561">
        <v>8</v>
      </c>
      <c r="C8561">
        <v>24</v>
      </c>
      <c r="D8561">
        <v>6</v>
      </c>
      <c r="E8561">
        <f t="shared" si="133"/>
        <v>8.0421925732085065E-20</v>
      </c>
    </row>
    <row r="8562" spans="1:5" x14ac:dyDescent="0.25">
      <c r="A8562">
        <v>10</v>
      </c>
      <c r="B8562">
        <v>8</v>
      </c>
      <c r="C8562">
        <v>25</v>
      </c>
      <c r="D8562">
        <v>5</v>
      </c>
      <c r="E8562">
        <f t="shared" si="133"/>
        <v>3.9567587460185869E-20</v>
      </c>
    </row>
    <row r="8563" spans="1:5" x14ac:dyDescent="0.25">
      <c r="A8563">
        <v>10</v>
      </c>
      <c r="B8563">
        <v>8</v>
      </c>
      <c r="C8563">
        <v>26</v>
      </c>
      <c r="D8563">
        <v>4</v>
      </c>
      <c r="E8563">
        <f t="shared" si="133"/>
        <v>1.4493621780287857E-20</v>
      </c>
    </row>
    <row r="8564" spans="1:5" x14ac:dyDescent="0.25">
      <c r="A8564">
        <v>10</v>
      </c>
      <c r="B8564">
        <v>8</v>
      </c>
      <c r="C8564">
        <v>27</v>
      </c>
      <c r="D8564">
        <v>3</v>
      </c>
      <c r="E8564">
        <f t="shared" si="133"/>
        <v>3.8064057200755983E-21</v>
      </c>
    </row>
    <row r="8565" spans="1:5" x14ac:dyDescent="0.25">
      <c r="A8565">
        <v>10</v>
      </c>
      <c r="B8565">
        <v>8</v>
      </c>
      <c r="C8565">
        <v>28</v>
      </c>
      <c r="D8565">
        <v>2</v>
      </c>
      <c r="E8565">
        <f t="shared" si="133"/>
        <v>6.7380473926804076E-22</v>
      </c>
    </row>
    <row r="8566" spans="1:5" x14ac:dyDescent="0.25">
      <c r="A8566">
        <v>10</v>
      </c>
      <c r="B8566">
        <v>8</v>
      </c>
      <c r="C8566">
        <v>29</v>
      </c>
      <c r="D8566">
        <v>1</v>
      </c>
      <c r="E8566">
        <f t="shared" si="133"/>
        <v>7.1640159060107811E-23</v>
      </c>
    </row>
    <row r="8567" spans="1:5" x14ac:dyDescent="0.25">
      <c r="A8567">
        <v>10</v>
      </c>
      <c r="B8567">
        <v>8</v>
      </c>
      <c r="C8567">
        <v>30</v>
      </c>
      <c r="D8567">
        <v>0</v>
      </c>
      <c r="E8567">
        <f t="shared" si="133"/>
        <v>3.4387276348851742E-24</v>
      </c>
    </row>
    <row r="8568" spans="1:5" x14ac:dyDescent="0.25">
      <c r="A8568">
        <v>10</v>
      </c>
      <c r="B8568">
        <v>9</v>
      </c>
      <c r="C8568">
        <v>4</v>
      </c>
      <c r="D8568">
        <v>25</v>
      </c>
      <c r="E8568">
        <f t="shared" si="133"/>
        <v>2.4156743416932367E-35</v>
      </c>
    </row>
    <row r="8569" spans="1:5" x14ac:dyDescent="0.25">
      <c r="A8569">
        <v>10</v>
      </c>
      <c r="B8569">
        <v>9</v>
      </c>
      <c r="C8569">
        <v>5</v>
      </c>
      <c r="D8569">
        <v>24</v>
      </c>
      <c r="E8569">
        <f t="shared" si="133"/>
        <v>7.3678067421643738E-33</v>
      </c>
    </row>
    <row r="8570" spans="1:5" x14ac:dyDescent="0.25">
      <c r="A8570">
        <v>10</v>
      </c>
      <c r="B8570">
        <v>9</v>
      </c>
      <c r="C8570">
        <v>6</v>
      </c>
      <c r="D8570">
        <v>23</v>
      </c>
      <c r="E8570">
        <f t="shared" si="133"/>
        <v>8.8413680905972461E-31</v>
      </c>
    </row>
    <row r="8571" spans="1:5" x14ac:dyDescent="0.25">
      <c r="A8571">
        <v>10</v>
      </c>
      <c r="B8571">
        <v>9</v>
      </c>
      <c r="C8571">
        <v>7</v>
      </c>
      <c r="D8571">
        <v>22</v>
      </c>
      <c r="E8571">
        <f t="shared" si="133"/>
        <v>5.7132078566383156E-29</v>
      </c>
    </row>
    <row r="8572" spans="1:5" x14ac:dyDescent="0.25">
      <c r="A8572">
        <v>10</v>
      </c>
      <c r="B8572">
        <v>9</v>
      </c>
      <c r="C8572">
        <v>8</v>
      </c>
      <c r="D8572">
        <v>21</v>
      </c>
      <c r="E8572">
        <f t="shared" si="133"/>
        <v>2.2781416328345293E-27</v>
      </c>
    </row>
    <row r="8573" spans="1:5" x14ac:dyDescent="0.25">
      <c r="A8573">
        <v>10</v>
      </c>
      <c r="B8573">
        <v>9</v>
      </c>
      <c r="C8573">
        <v>9</v>
      </c>
      <c r="D8573">
        <v>20</v>
      </c>
      <c r="E8573">
        <f t="shared" si="133"/>
        <v>6.0598567433398445E-26</v>
      </c>
    </row>
    <row r="8574" spans="1:5" x14ac:dyDescent="0.25">
      <c r="A8574">
        <v>10</v>
      </c>
      <c r="B8574">
        <v>9</v>
      </c>
      <c r="C8574">
        <v>10</v>
      </c>
      <c r="D8574">
        <v>19</v>
      </c>
      <c r="E8574">
        <f t="shared" si="133"/>
        <v>1.1311732587567713E-24</v>
      </c>
    </row>
    <row r="8575" spans="1:5" x14ac:dyDescent="0.25">
      <c r="A8575">
        <v>10</v>
      </c>
      <c r="B8575">
        <v>9</v>
      </c>
      <c r="C8575">
        <v>11</v>
      </c>
      <c r="D8575">
        <v>18</v>
      </c>
      <c r="E8575">
        <f t="shared" si="133"/>
        <v>1.5351637083127619E-23</v>
      </c>
    </row>
    <row r="8576" spans="1:5" x14ac:dyDescent="0.25">
      <c r="A8576">
        <v>10</v>
      </c>
      <c r="B8576">
        <v>9</v>
      </c>
      <c r="C8576">
        <v>12</v>
      </c>
      <c r="D8576">
        <v>17</v>
      </c>
      <c r="E8576">
        <f t="shared" si="133"/>
        <v>1.5543532546666698E-22</v>
      </c>
    </row>
    <row r="8577" spans="1:5" x14ac:dyDescent="0.25">
      <c r="A8577">
        <v>10</v>
      </c>
      <c r="B8577">
        <v>9</v>
      </c>
      <c r="C8577">
        <v>13</v>
      </c>
      <c r="D8577">
        <v>16</v>
      </c>
      <c r="E8577">
        <f t="shared" si="133"/>
        <v>1.1969848567988634E-21</v>
      </c>
    </row>
    <row r="8578" spans="1:5" x14ac:dyDescent="0.25">
      <c r="A8578">
        <v>10</v>
      </c>
      <c r="B8578">
        <v>9</v>
      </c>
      <c r="C8578">
        <v>14</v>
      </c>
      <c r="D8578">
        <v>15</v>
      </c>
      <c r="E8578">
        <f t="shared" si="133"/>
        <v>7.1135100061189601E-21</v>
      </c>
    </row>
    <row r="8579" spans="1:5" x14ac:dyDescent="0.25">
      <c r="A8579">
        <v>10</v>
      </c>
      <c r="B8579">
        <v>9</v>
      </c>
      <c r="C8579">
        <v>15</v>
      </c>
      <c r="D8579">
        <v>14</v>
      </c>
      <c r="E8579">
        <f t="shared" si="133"/>
        <v>3.2980819119278805E-20</v>
      </c>
    </row>
    <row r="8580" spans="1:5" x14ac:dyDescent="0.25">
      <c r="A8580">
        <v>10</v>
      </c>
      <c r="B8580">
        <v>9</v>
      </c>
      <c r="C8580">
        <v>16</v>
      </c>
      <c r="D8580">
        <v>13</v>
      </c>
      <c r="E8580">
        <f t="shared" si="133"/>
        <v>1.2024256970570402E-19</v>
      </c>
    </row>
    <row r="8581" spans="1:5" x14ac:dyDescent="0.25">
      <c r="A8581">
        <v>10</v>
      </c>
      <c r="B8581">
        <v>9</v>
      </c>
      <c r="C8581">
        <v>17</v>
      </c>
      <c r="D8581">
        <v>12</v>
      </c>
      <c r="E8581">
        <f t="shared" si="133"/>
        <v>3.4658152444585293E-19</v>
      </c>
    </row>
    <row r="8582" spans="1:5" x14ac:dyDescent="0.25">
      <c r="A8582">
        <v>10</v>
      </c>
      <c r="B8582">
        <v>9</v>
      </c>
      <c r="C8582">
        <v>18</v>
      </c>
      <c r="D8582">
        <v>11</v>
      </c>
      <c r="E8582">
        <f t="shared" si="133"/>
        <v>7.9218634159052022E-19</v>
      </c>
    </row>
    <row r="8583" spans="1:5" x14ac:dyDescent="0.25">
      <c r="A8583">
        <v>10</v>
      </c>
      <c r="B8583">
        <v>9</v>
      </c>
      <c r="C8583">
        <v>19</v>
      </c>
      <c r="D8583">
        <v>10</v>
      </c>
      <c r="E8583">
        <f t="shared" si="133"/>
        <v>1.4370538196571894E-18</v>
      </c>
    </row>
    <row r="8584" spans="1:5" x14ac:dyDescent="0.25">
      <c r="A8584">
        <v>10</v>
      </c>
      <c r="B8584">
        <v>9</v>
      </c>
      <c r="C8584">
        <v>20</v>
      </c>
      <c r="D8584">
        <v>9</v>
      </c>
      <c r="E8584">
        <f t="shared" si="133"/>
        <v>2.065764865757212E-18</v>
      </c>
    </row>
    <row r="8585" spans="1:5" x14ac:dyDescent="0.25">
      <c r="A8585">
        <v>10</v>
      </c>
      <c r="B8585">
        <v>9</v>
      </c>
      <c r="C8585">
        <v>21</v>
      </c>
      <c r="D8585">
        <v>8</v>
      </c>
      <c r="E8585">
        <f t="shared" si="133"/>
        <v>2.343514763674145E-18</v>
      </c>
    </row>
    <row r="8586" spans="1:5" x14ac:dyDescent="0.25">
      <c r="A8586">
        <v>10</v>
      </c>
      <c r="B8586">
        <v>9</v>
      </c>
      <c r="C8586">
        <v>22</v>
      </c>
      <c r="D8586">
        <v>7</v>
      </c>
      <c r="E8586">
        <f t="shared" si="133"/>
        <v>2.0831242343770198E-18</v>
      </c>
    </row>
    <row r="8587" spans="1:5" x14ac:dyDescent="0.25">
      <c r="A8587">
        <v>10</v>
      </c>
      <c r="B8587">
        <v>9</v>
      </c>
      <c r="C8587">
        <v>23</v>
      </c>
      <c r="D8587">
        <v>6</v>
      </c>
      <c r="E8587">
        <f t="shared" si="133"/>
        <v>1.4348292781406923E-18</v>
      </c>
    </row>
    <row r="8588" spans="1:5" x14ac:dyDescent="0.25">
      <c r="A8588">
        <v>10</v>
      </c>
      <c r="B8588">
        <v>9</v>
      </c>
      <c r="C8588">
        <v>24</v>
      </c>
      <c r="D8588">
        <v>5</v>
      </c>
      <c r="E8588">
        <f t="shared" si="133"/>
        <v>7.532853710238635E-19</v>
      </c>
    </row>
    <row r="8589" spans="1:5" x14ac:dyDescent="0.25">
      <c r="A8589">
        <v>10</v>
      </c>
      <c r="B8589">
        <v>9</v>
      </c>
      <c r="C8589">
        <v>25</v>
      </c>
      <c r="D8589">
        <v>4</v>
      </c>
      <c r="E8589">
        <f t="shared" si="133"/>
        <v>2.9414000201884211E-19</v>
      </c>
    </row>
    <row r="8590" spans="1:5" x14ac:dyDescent="0.25">
      <c r="A8590">
        <v>10</v>
      </c>
      <c r="B8590">
        <v>9</v>
      </c>
      <c r="C8590">
        <v>26</v>
      </c>
      <c r="D8590">
        <v>3</v>
      </c>
      <c r="E8590">
        <f t="shared" ref="E8590:E8653" si="134">COMBIN(A$4,A8590)*COMBIN(B$4,B8590)*COMBIN(C$4,C8590)*COMBIN(D$4,D8590)/COMBIN($G$4,$F$4)</f>
        <v>8.2276923641634088E-20</v>
      </c>
    </row>
    <row r="8591" spans="1:5" x14ac:dyDescent="0.25">
      <c r="A8591">
        <v>10</v>
      </c>
      <c r="B8591">
        <v>9</v>
      </c>
      <c r="C8591">
        <v>27</v>
      </c>
      <c r="D8591">
        <v>2</v>
      </c>
      <c r="E8591">
        <f t="shared" si="134"/>
        <v>1.5501449381757147E-20</v>
      </c>
    </row>
    <row r="8592" spans="1:5" x14ac:dyDescent="0.25">
      <c r="A8592">
        <v>10</v>
      </c>
      <c r="B8592">
        <v>9</v>
      </c>
      <c r="C8592">
        <v>28</v>
      </c>
      <c r="D8592">
        <v>1</v>
      </c>
      <c r="E8592">
        <f t="shared" si="134"/>
        <v>1.7531401086511062E-21</v>
      </c>
    </row>
    <row r="8593" spans="1:5" x14ac:dyDescent="0.25">
      <c r="A8593">
        <v>10</v>
      </c>
      <c r="B8593">
        <v>9</v>
      </c>
      <c r="C8593">
        <v>29</v>
      </c>
      <c r="D8593">
        <v>0</v>
      </c>
      <c r="E8593">
        <f t="shared" si="134"/>
        <v>8.94705986484013E-23</v>
      </c>
    </row>
    <row r="8594" spans="1:5" x14ac:dyDescent="0.25">
      <c r="A8594">
        <v>10</v>
      </c>
      <c r="B8594">
        <v>10</v>
      </c>
      <c r="C8594">
        <v>3</v>
      </c>
      <c r="D8594">
        <v>25</v>
      </c>
      <c r="E8594">
        <f t="shared" si="134"/>
        <v>4.3637988108006863E-35</v>
      </c>
    </row>
    <row r="8595" spans="1:5" x14ac:dyDescent="0.25">
      <c r="A8595">
        <v>10</v>
      </c>
      <c r="B8595">
        <v>10</v>
      </c>
      <c r="C8595">
        <v>4</v>
      </c>
      <c r="D8595">
        <v>24</v>
      </c>
      <c r="E8595">
        <f t="shared" si="134"/>
        <v>1.6909720391852657E-32</v>
      </c>
    </row>
    <row r="8596" spans="1:5" x14ac:dyDescent="0.25">
      <c r="A8596">
        <v>10</v>
      </c>
      <c r="B8596">
        <v>10</v>
      </c>
      <c r="C8596">
        <v>5</v>
      </c>
      <c r="D8596">
        <v>23</v>
      </c>
      <c r="E8596">
        <f t="shared" si="134"/>
        <v>2.4755830653672293E-30</v>
      </c>
    </row>
    <row r="8597" spans="1:5" x14ac:dyDescent="0.25">
      <c r="A8597">
        <v>10</v>
      </c>
      <c r="B8597">
        <v>10</v>
      </c>
      <c r="C8597">
        <v>6</v>
      </c>
      <c r="D8597">
        <v>22</v>
      </c>
      <c r="E8597">
        <f t="shared" si="134"/>
        <v>1.8979470167815423E-28</v>
      </c>
    </row>
    <row r="8598" spans="1:5" x14ac:dyDescent="0.25">
      <c r="A8598">
        <v>10</v>
      </c>
      <c r="B8598">
        <v>10</v>
      </c>
      <c r="C8598">
        <v>7</v>
      </c>
      <c r="D8598">
        <v>21</v>
      </c>
      <c r="E8598">
        <f t="shared" si="134"/>
        <v>8.7983400992230081E-27</v>
      </c>
    </row>
    <row r="8599" spans="1:5" x14ac:dyDescent="0.25">
      <c r="A8599">
        <v>10</v>
      </c>
      <c r="B8599">
        <v>10</v>
      </c>
      <c r="C8599">
        <v>8</v>
      </c>
      <c r="D8599">
        <v>20</v>
      </c>
      <c r="E8599">
        <f t="shared" si="134"/>
        <v>2.6790945602134059E-25</v>
      </c>
    </row>
    <row r="8600" spans="1:5" x14ac:dyDescent="0.25">
      <c r="A8600">
        <v>10</v>
      </c>
      <c r="B8600">
        <v>10</v>
      </c>
      <c r="C8600">
        <v>9</v>
      </c>
      <c r="D8600">
        <v>19</v>
      </c>
      <c r="E8600">
        <f t="shared" si="134"/>
        <v>5.6558662937838547E-24</v>
      </c>
    </row>
    <row r="8601" spans="1:5" x14ac:dyDescent="0.25">
      <c r="A8601">
        <v>10</v>
      </c>
      <c r="B8601">
        <v>10</v>
      </c>
      <c r="C8601">
        <v>10</v>
      </c>
      <c r="D8601">
        <v>18</v>
      </c>
      <c r="E8601">
        <f t="shared" si="134"/>
        <v>8.5969167665514665E-23</v>
      </c>
    </row>
    <row r="8602" spans="1:5" x14ac:dyDescent="0.25">
      <c r="A8602">
        <v>10</v>
      </c>
      <c r="B8602">
        <v>10</v>
      </c>
      <c r="C8602">
        <v>11</v>
      </c>
      <c r="D8602">
        <v>17</v>
      </c>
      <c r="E8602">
        <f t="shared" si="134"/>
        <v>9.6715313623703972E-22</v>
      </c>
    </row>
    <row r="8603" spans="1:5" x14ac:dyDescent="0.25">
      <c r="A8603">
        <v>10</v>
      </c>
      <c r="B8603">
        <v>10</v>
      </c>
      <c r="C8603">
        <v>12</v>
      </c>
      <c r="D8603">
        <v>16</v>
      </c>
      <c r="E8603">
        <f t="shared" si="134"/>
        <v>8.2208016580148331E-21</v>
      </c>
    </row>
    <row r="8604" spans="1:5" x14ac:dyDescent="0.25">
      <c r="A8604">
        <v>10</v>
      </c>
      <c r="B8604">
        <v>10</v>
      </c>
      <c r="C8604">
        <v>13</v>
      </c>
      <c r="D8604">
        <v>15</v>
      </c>
      <c r="E8604">
        <f t="shared" si="134"/>
        <v>5.3624921584589085E-20</v>
      </c>
    </row>
    <row r="8605" spans="1:5" x14ac:dyDescent="0.25">
      <c r="A8605">
        <v>10</v>
      </c>
      <c r="B8605">
        <v>10</v>
      </c>
      <c r="C8605">
        <v>14</v>
      </c>
      <c r="D8605">
        <v>14</v>
      </c>
      <c r="E8605">
        <f t="shared" si="134"/>
        <v>2.7160674568817854E-19</v>
      </c>
    </row>
    <row r="8606" spans="1:5" x14ac:dyDescent="0.25">
      <c r="A8606">
        <v>10</v>
      </c>
      <c r="B8606">
        <v>10</v>
      </c>
      <c r="C8606">
        <v>15</v>
      </c>
      <c r="D8606">
        <v>13</v>
      </c>
      <c r="E8606">
        <f t="shared" si="134"/>
        <v>1.077373424563108E-18</v>
      </c>
    </row>
    <row r="8607" spans="1:5" x14ac:dyDescent="0.25">
      <c r="A8607">
        <v>10</v>
      </c>
      <c r="B8607">
        <v>10</v>
      </c>
      <c r="C8607">
        <v>16</v>
      </c>
      <c r="D8607">
        <v>12</v>
      </c>
      <c r="E8607">
        <f t="shared" si="134"/>
        <v>3.3667919517597129E-18</v>
      </c>
    </row>
    <row r="8608" spans="1:5" x14ac:dyDescent="0.25">
      <c r="A8608">
        <v>10</v>
      </c>
      <c r="B8608">
        <v>10</v>
      </c>
      <c r="C8608">
        <v>17</v>
      </c>
      <c r="D8608">
        <v>11</v>
      </c>
      <c r="E8608">
        <f t="shared" si="134"/>
        <v>8.31795658670047E-18</v>
      </c>
    </row>
    <row r="8609" spans="1:5" x14ac:dyDescent="0.25">
      <c r="A8609">
        <v>10</v>
      </c>
      <c r="B8609">
        <v>10</v>
      </c>
      <c r="C8609">
        <v>18</v>
      </c>
      <c r="D8609">
        <v>10</v>
      </c>
      <c r="E8609">
        <f t="shared" si="134"/>
        <v>1.6266226213992011E-17</v>
      </c>
    </row>
    <row r="8610" spans="1:5" x14ac:dyDescent="0.25">
      <c r="A8610">
        <v>10</v>
      </c>
      <c r="B8610">
        <v>10</v>
      </c>
      <c r="C8610">
        <v>19</v>
      </c>
      <c r="D8610">
        <v>9</v>
      </c>
      <c r="E8610">
        <f t="shared" si="134"/>
        <v>2.514844184400082E-17</v>
      </c>
    </row>
    <row r="8611" spans="1:5" x14ac:dyDescent="0.25">
      <c r="A8611">
        <v>10</v>
      </c>
      <c r="B8611">
        <v>10</v>
      </c>
      <c r="C8611">
        <v>20</v>
      </c>
      <c r="D8611">
        <v>8</v>
      </c>
      <c r="E8611">
        <f t="shared" si="134"/>
        <v>3.0621926245342205E-17</v>
      </c>
    </row>
    <row r="8612" spans="1:5" x14ac:dyDescent="0.25">
      <c r="A8612">
        <v>10</v>
      </c>
      <c r="B8612">
        <v>10</v>
      </c>
      <c r="C8612">
        <v>21</v>
      </c>
      <c r="D8612">
        <v>7</v>
      </c>
      <c r="E8612">
        <f t="shared" si="134"/>
        <v>2.9163739281278259E-17</v>
      </c>
    </row>
    <row r="8613" spans="1:5" x14ac:dyDescent="0.25">
      <c r="A8613">
        <v>10</v>
      </c>
      <c r="B8613">
        <v>10</v>
      </c>
      <c r="C8613">
        <v>22</v>
      </c>
      <c r="D8613">
        <v>6</v>
      </c>
      <c r="E8613">
        <f t="shared" si="134"/>
        <v>2.1489071049362935E-17</v>
      </c>
    </row>
    <row r="8614" spans="1:5" x14ac:dyDescent="0.25">
      <c r="A8614">
        <v>10</v>
      </c>
      <c r="B8614">
        <v>10</v>
      </c>
      <c r="C8614">
        <v>23</v>
      </c>
      <c r="D8614">
        <v>5</v>
      </c>
      <c r="E8614">
        <f t="shared" si="134"/>
        <v>1.2052565936381817E-17</v>
      </c>
    </row>
    <row r="8615" spans="1:5" x14ac:dyDescent="0.25">
      <c r="A8615">
        <v>10</v>
      </c>
      <c r="B8615">
        <v>10</v>
      </c>
      <c r="C8615">
        <v>24</v>
      </c>
      <c r="D8615">
        <v>4</v>
      </c>
      <c r="E8615">
        <f t="shared" si="134"/>
        <v>5.0219024734924252E-18</v>
      </c>
    </row>
    <row r="8616" spans="1:5" x14ac:dyDescent="0.25">
      <c r="A8616">
        <v>10</v>
      </c>
      <c r="B8616">
        <v>10</v>
      </c>
      <c r="C8616">
        <v>25</v>
      </c>
      <c r="D8616">
        <v>3</v>
      </c>
      <c r="E8616">
        <f t="shared" si="134"/>
        <v>1.4974400102777417E-18</v>
      </c>
    </row>
    <row r="8617" spans="1:5" x14ac:dyDescent="0.25">
      <c r="A8617">
        <v>10</v>
      </c>
      <c r="B8617">
        <v>10</v>
      </c>
      <c r="C8617">
        <v>26</v>
      </c>
      <c r="D8617">
        <v>2</v>
      </c>
      <c r="E8617">
        <f t="shared" si="134"/>
        <v>3.0048963416944628E-19</v>
      </c>
    </row>
    <row r="8618" spans="1:5" x14ac:dyDescent="0.25">
      <c r="A8618">
        <v>10</v>
      </c>
      <c r="B8618">
        <v>10</v>
      </c>
      <c r="C8618">
        <v>27</v>
      </c>
      <c r="D8618">
        <v>1</v>
      </c>
      <c r="E8618">
        <f t="shared" si="134"/>
        <v>3.6170048557433347E-20</v>
      </c>
    </row>
    <row r="8619" spans="1:5" x14ac:dyDescent="0.25">
      <c r="A8619">
        <v>10</v>
      </c>
      <c r="B8619">
        <v>10</v>
      </c>
      <c r="C8619">
        <v>28</v>
      </c>
      <c r="D8619">
        <v>0</v>
      </c>
      <c r="E8619">
        <f t="shared" si="134"/>
        <v>1.9635169216892392E-21</v>
      </c>
    </row>
    <row r="8620" spans="1:5" x14ac:dyDescent="0.25">
      <c r="A8620">
        <v>10</v>
      </c>
      <c r="B8620">
        <v>11</v>
      </c>
      <c r="C8620">
        <v>2</v>
      </c>
      <c r="D8620">
        <v>25</v>
      </c>
      <c r="E8620">
        <f t="shared" si="134"/>
        <v>5.2705622000579711E-35</v>
      </c>
    </row>
    <row r="8621" spans="1:5" x14ac:dyDescent="0.25">
      <c r="A8621">
        <v>10</v>
      </c>
      <c r="B8621">
        <v>11</v>
      </c>
      <c r="C8621">
        <v>3</v>
      </c>
      <c r="D8621">
        <v>24</v>
      </c>
      <c r="E8621">
        <f t="shared" si="134"/>
        <v>2.7670451550304347E-32</v>
      </c>
    </row>
    <row r="8622" spans="1:5" x14ac:dyDescent="0.25">
      <c r="A8622">
        <v>10</v>
      </c>
      <c r="B8622">
        <v>11</v>
      </c>
      <c r="C8622">
        <v>4</v>
      </c>
      <c r="D8622">
        <v>23</v>
      </c>
      <c r="E8622">
        <f t="shared" si="134"/>
        <v>5.1467039883566093E-30</v>
      </c>
    </row>
    <row r="8623" spans="1:5" x14ac:dyDescent="0.25">
      <c r="A8623">
        <v>10</v>
      </c>
      <c r="B8623">
        <v>11</v>
      </c>
      <c r="C8623">
        <v>5</v>
      </c>
      <c r="D8623">
        <v>22</v>
      </c>
      <c r="E8623">
        <f t="shared" si="134"/>
        <v>4.8138837971095481E-28</v>
      </c>
    </row>
    <row r="8624" spans="1:5" x14ac:dyDescent="0.25">
      <c r="A8624">
        <v>10</v>
      </c>
      <c r="B8624">
        <v>11</v>
      </c>
      <c r="C8624">
        <v>6</v>
      </c>
      <c r="D8624">
        <v>21</v>
      </c>
      <c r="E8624">
        <f t="shared" si="134"/>
        <v>2.6476360884102523E-26</v>
      </c>
    </row>
    <row r="8625" spans="1:5" x14ac:dyDescent="0.25">
      <c r="A8625">
        <v>10</v>
      </c>
      <c r="B8625">
        <v>11</v>
      </c>
      <c r="C8625">
        <v>7</v>
      </c>
      <c r="D8625">
        <v>20</v>
      </c>
      <c r="E8625">
        <f t="shared" si="134"/>
        <v>9.3726317529722887E-25</v>
      </c>
    </row>
    <row r="8626" spans="1:5" x14ac:dyDescent="0.25">
      <c r="A8626">
        <v>10</v>
      </c>
      <c r="B8626">
        <v>11</v>
      </c>
      <c r="C8626">
        <v>8</v>
      </c>
      <c r="D8626">
        <v>19</v>
      </c>
      <c r="E8626">
        <f t="shared" si="134"/>
        <v>2.2650526736349702E-23</v>
      </c>
    </row>
    <row r="8627" spans="1:5" x14ac:dyDescent="0.25">
      <c r="A8627">
        <v>10</v>
      </c>
      <c r="B8627">
        <v>11</v>
      </c>
      <c r="C8627">
        <v>9</v>
      </c>
      <c r="D8627">
        <v>18</v>
      </c>
      <c r="E8627">
        <f t="shared" si="134"/>
        <v>3.89373340562964E-22</v>
      </c>
    </row>
    <row r="8628" spans="1:5" x14ac:dyDescent="0.25">
      <c r="A8628">
        <v>10</v>
      </c>
      <c r="B8628">
        <v>11</v>
      </c>
      <c r="C8628">
        <v>10</v>
      </c>
      <c r="D8628">
        <v>17</v>
      </c>
      <c r="E8628">
        <f t="shared" si="134"/>
        <v>4.9061040910933463E-21</v>
      </c>
    </row>
    <row r="8629" spans="1:5" x14ac:dyDescent="0.25">
      <c r="A8629">
        <v>10</v>
      </c>
      <c r="B8629">
        <v>11</v>
      </c>
      <c r="C8629">
        <v>11</v>
      </c>
      <c r="D8629">
        <v>16</v>
      </c>
      <c r="E8629">
        <f t="shared" si="134"/>
        <v>4.6335427526992718E-20</v>
      </c>
    </row>
    <row r="8630" spans="1:5" x14ac:dyDescent="0.25">
      <c r="A8630">
        <v>10</v>
      </c>
      <c r="B8630">
        <v>11</v>
      </c>
      <c r="C8630">
        <v>12</v>
      </c>
      <c r="D8630">
        <v>15</v>
      </c>
      <c r="E8630">
        <f t="shared" si="134"/>
        <v>3.3361507819434733E-19</v>
      </c>
    </row>
    <row r="8631" spans="1:5" x14ac:dyDescent="0.25">
      <c r="A8631">
        <v>10</v>
      </c>
      <c r="B8631">
        <v>11</v>
      </c>
      <c r="C8631">
        <v>13</v>
      </c>
      <c r="D8631">
        <v>14</v>
      </c>
      <c r="E8631">
        <f t="shared" si="134"/>
        <v>1.8547131969545891E-18</v>
      </c>
    </row>
    <row r="8632" spans="1:5" x14ac:dyDescent="0.25">
      <c r="A8632">
        <v>10</v>
      </c>
      <c r="B8632">
        <v>11</v>
      </c>
      <c r="C8632">
        <v>14</v>
      </c>
      <c r="D8632">
        <v>13</v>
      </c>
      <c r="E8632">
        <f t="shared" si="134"/>
        <v>8.0370905201365553E-18</v>
      </c>
    </row>
    <row r="8633" spans="1:5" x14ac:dyDescent="0.25">
      <c r="A8633">
        <v>10</v>
      </c>
      <c r="B8633">
        <v>11</v>
      </c>
      <c r="C8633">
        <v>15</v>
      </c>
      <c r="D8633">
        <v>12</v>
      </c>
      <c r="E8633">
        <f t="shared" si="134"/>
        <v>2.732610776846428E-17</v>
      </c>
    </row>
    <row r="8634" spans="1:5" x14ac:dyDescent="0.25">
      <c r="A8634">
        <v>10</v>
      </c>
      <c r="B8634">
        <v>11</v>
      </c>
      <c r="C8634">
        <v>16</v>
      </c>
      <c r="D8634">
        <v>11</v>
      </c>
      <c r="E8634">
        <f t="shared" si="134"/>
        <v>7.3194931522672162E-17</v>
      </c>
    </row>
    <row r="8635" spans="1:5" x14ac:dyDescent="0.25">
      <c r="A8635">
        <v>10</v>
      </c>
      <c r="B8635">
        <v>11</v>
      </c>
      <c r="C8635">
        <v>17</v>
      </c>
      <c r="D8635">
        <v>10</v>
      </c>
      <c r="E8635">
        <f t="shared" si="134"/>
        <v>1.5471399251262868E-16</v>
      </c>
    </row>
    <row r="8636" spans="1:5" x14ac:dyDescent="0.25">
      <c r="A8636">
        <v>10</v>
      </c>
      <c r="B8636">
        <v>11</v>
      </c>
      <c r="C8636">
        <v>18</v>
      </c>
      <c r="D8636">
        <v>9</v>
      </c>
      <c r="E8636">
        <f t="shared" si="134"/>
        <v>2.5785665418771429E-16</v>
      </c>
    </row>
    <row r="8637" spans="1:5" x14ac:dyDescent="0.25">
      <c r="A8637">
        <v>10</v>
      </c>
      <c r="B8637">
        <v>11</v>
      </c>
      <c r="C8637">
        <v>19</v>
      </c>
      <c r="D8637">
        <v>8</v>
      </c>
      <c r="E8637">
        <f t="shared" si="134"/>
        <v>3.3768843566997893E-16</v>
      </c>
    </row>
    <row r="8638" spans="1:5" x14ac:dyDescent="0.25">
      <c r="A8638">
        <v>10</v>
      </c>
      <c r="B8638">
        <v>11</v>
      </c>
      <c r="C8638">
        <v>20</v>
      </c>
      <c r="D8638">
        <v>7</v>
      </c>
      <c r="E8638">
        <f t="shared" si="134"/>
        <v>3.4519262312931218E-16</v>
      </c>
    </row>
    <row r="8639" spans="1:5" x14ac:dyDescent="0.25">
      <c r="A8639">
        <v>10</v>
      </c>
      <c r="B8639">
        <v>11</v>
      </c>
      <c r="C8639">
        <v>21</v>
      </c>
      <c r="D8639">
        <v>6</v>
      </c>
      <c r="E8639">
        <f t="shared" si="134"/>
        <v>2.7252049194419331E-16</v>
      </c>
    </row>
    <row r="8640" spans="1:5" x14ac:dyDescent="0.25">
      <c r="A8640">
        <v>10</v>
      </c>
      <c r="B8640">
        <v>11</v>
      </c>
      <c r="C8640">
        <v>22</v>
      </c>
      <c r="D8640">
        <v>5</v>
      </c>
      <c r="E8640">
        <f t="shared" si="134"/>
        <v>1.6351229516651614E-16</v>
      </c>
    </row>
    <row r="8641" spans="1:5" x14ac:dyDescent="0.25">
      <c r="A8641">
        <v>10</v>
      </c>
      <c r="B8641">
        <v>11</v>
      </c>
      <c r="C8641">
        <v>23</v>
      </c>
      <c r="D8641">
        <v>4</v>
      </c>
      <c r="E8641">
        <f t="shared" si="134"/>
        <v>7.2784976109318787E-17</v>
      </c>
    </row>
    <row r="8642" spans="1:5" x14ac:dyDescent="0.25">
      <c r="A8642">
        <v>10</v>
      </c>
      <c r="B8642">
        <v>11</v>
      </c>
      <c r="C8642">
        <v>24</v>
      </c>
      <c r="D8642">
        <v>3</v>
      </c>
      <c r="E8642">
        <f t="shared" si="134"/>
        <v>2.3158856034783242E-17</v>
      </c>
    </row>
    <row r="8643" spans="1:5" x14ac:dyDescent="0.25">
      <c r="A8643">
        <v>10</v>
      </c>
      <c r="B8643">
        <v>11</v>
      </c>
      <c r="C8643">
        <v>25</v>
      </c>
      <c r="D8643">
        <v>2</v>
      </c>
      <c r="E8643">
        <f t="shared" si="134"/>
        <v>4.9539813778753738E-18</v>
      </c>
    </row>
    <row r="8644" spans="1:5" x14ac:dyDescent="0.25">
      <c r="A8644">
        <v>10</v>
      </c>
      <c r="B8644">
        <v>11</v>
      </c>
      <c r="C8644">
        <v>26</v>
      </c>
      <c r="D8644">
        <v>1</v>
      </c>
      <c r="E8644">
        <f t="shared" si="134"/>
        <v>6.3512581767632953E-19</v>
      </c>
    </row>
    <row r="8645" spans="1:5" x14ac:dyDescent="0.25">
      <c r="A8645">
        <v>10</v>
      </c>
      <c r="B8645">
        <v>11</v>
      </c>
      <c r="C8645">
        <v>27</v>
      </c>
      <c r="D8645">
        <v>0</v>
      </c>
      <c r="E8645">
        <f t="shared" si="134"/>
        <v>3.6696158354632375E-20</v>
      </c>
    </row>
    <row r="8646" spans="1:5" x14ac:dyDescent="0.25">
      <c r="A8646">
        <v>10</v>
      </c>
      <c r="B8646">
        <v>12</v>
      </c>
      <c r="C8646">
        <v>1</v>
      </c>
      <c r="D8646">
        <v>25</v>
      </c>
      <c r="E8646">
        <f t="shared" si="134"/>
        <v>3.8156674260836348E-35</v>
      </c>
    </row>
    <row r="8647" spans="1:5" x14ac:dyDescent="0.25">
      <c r="A8647">
        <v>10</v>
      </c>
      <c r="B8647">
        <v>12</v>
      </c>
      <c r="C8647">
        <v>2</v>
      </c>
      <c r="D8647">
        <v>24</v>
      </c>
      <c r="E8647">
        <f t="shared" si="134"/>
        <v>3.0525339408669077E-32</v>
      </c>
    </row>
    <row r="8648" spans="1:5" x14ac:dyDescent="0.25">
      <c r="A8648">
        <v>10</v>
      </c>
      <c r="B8648">
        <v>12</v>
      </c>
      <c r="C8648">
        <v>3</v>
      </c>
      <c r="D8648">
        <v>23</v>
      </c>
      <c r="E8648">
        <f t="shared" si="134"/>
        <v>7.6923855309846067E-30</v>
      </c>
    </row>
    <row r="8649" spans="1:5" x14ac:dyDescent="0.25">
      <c r="A8649">
        <v>10</v>
      </c>
      <c r="B8649">
        <v>12</v>
      </c>
      <c r="C8649">
        <v>4</v>
      </c>
      <c r="D8649">
        <v>22</v>
      </c>
      <c r="E8649">
        <f t="shared" si="134"/>
        <v>9.1411181393200415E-28</v>
      </c>
    </row>
    <row r="8650" spans="1:5" x14ac:dyDescent="0.25">
      <c r="A8650">
        <v>10</v>
      </c>
      <c r="B8650">
        <v>12</v>
      </c>
      <c r="C8650">
        <v>5</v>
      </c>
      <c r="D8650">
        <v>21</v>
      </c>
      <c r="E8650">
        <f t="shared" si="134"/>
        <v>6.1336902714837504E-26</v>
      </c>
    </row>
    <row r="8651" spans="1:5" x14ac:dyDescent="0.25">
      <c r="A8651">
        <v>10</v>
      </c>
      <c r="B8651">
        <v>12</v>
      </c>
      <c r="C8651">
        <v>6</v>
      </c>
      <c r="D8651">
        <v>20</v>
      </c>
      <c r="E8651">
        <f t="shared" si="134"/>
        <v>2.5761499140231736E-24</v>
      </c>
    </row>
    <row r="8652" spans="1:5" x14ac:dyDescent="0.25">
      <c r="A8652">
        <v>10</v>
      </c>
      <c r="B8652">
        <v>12</v>
      </c>
      <c r="C8652">
        <v>7</v>
      </c>
      <c r="D8652">
        <v>19</v>
      </c>
      <c r="E8652">
        <f t="shared" si="134"/>
        <v>7.2377545203508215E-23</v>
      </c>
    </row>
    <row r="8653" spans="1:5" x14ac:dyDescent="0.25">
      <c r="A8653">
        <v>10</v>
      </c>
      <c r="B8653">
        <v>12</v>
      </c>
      <c r="C8653">
        <v>8</v>
      </c>
      <c r="D8653">
        <v>18</v>
      </c>
      <c r="E8653">
        <f t="shared" si="134"/>
        <v>1.4242866931118946E-21</v>
      </c>
    </row>
    <row r="8654" spans="1:5" x14ac:dyDescent="0.25">
      <c r="A8654">
        <v>10</v>
      </c>
      <c r="B8654">
        <v>12</v>
      </c>
      <c r="C8654">
        <v>9</v>
      </c>
      <c r="D8654">
        <v>17</v>
      </c>
      <c r="E8654">
        <f t="shared" ref="E8654:E8717" si="135">COMBIN(A$4,A8654)*COMBIN(B$4,B8654)*COMBIN(C$4,C8654)*COMBIN(D$4,D8654)/COMBIN($G$4,$F$4)</f>
        <v>2.029608537684449E-20</v>
      </c>
    </row>
    <row r="8655" spans="1:5" x14ac:dyDescent="0.25">
      <c r="A8655">
        <v>10</v>
      </c>
      <c r="B8655">
        <v>12</v>
      </c>
      <c r="C8655">
        <v>10</v>
      </c>
      <c r="D8655">
        <v>16</v>
      </c>
      <c r="E8655">
        <f t="shared" si="135"/>
        <v>2.1468748087506618E-19</v>
      </c>
    </row>
    <row r="8656" spans="1:5" x14ac:dyDescent="0.25">
      <c r="A8656">
        <v>10</v>
      </c>
      <c r="B8656">
        <v>12</v>
      </c>
      <c r="C8656">
        <v>11</v>
      </c>
      <c r="D8656">
        <v>15</v>
      </c>
      <c r="E8656">
        <f t="shared" si="135"/>
        <v>1.7174998470005294E-18</v>
      </c>
    </row>
    <row r="8657" spans="1:5" x14ac:dyDescent="0.25">
      <c r="A8657">
        <v>10</v>
      </c>
      <c r="B8657">
        <v>12</v>
      </c>
      <c r="C8657">
        <v>12</v>
      </c>
      <c r="D8657">
        <v>14</v>
      </c>
      <c r="E8657">
        <f t="shared" si="135"/>
        <v>1.0539203606594154E-17</v>
      </c>
    </row>
    <row r="8658" spans="1:5" x14ac:dyDescent="0.25">
      <c r="A8658">
        <v>10</v>
      </c>
      <c r="B8658">
        <v>12</v>
      </c>
      <c r="C8658">
        <v>13</v>
      </c>
      <c r="D8658">
        <v>13</v>
      </c>
      <c r="E8658">
        <f t="shared" si="135"/>
        <v>5.0128776128800426E-17</v>
      </c>
    </row>
    <row r="8659" spans="1:5" x14ac:dyDescent="0.25">
      <c r="A8659">
        <v>10</v>
      </c>
      <c r="B8659">
        <v>12</v>
      </c>
      <c r="C8659">
        <v>14</v>
      </c>
      <c r="D8659">
        <v>12</v>
      </c>
      <c r="E8659">
        <f t="shared" si="135"/>
        <v>1.8619259704983019E-16</v>
      </c>
    </row>
    <row r="8660" spans="1:5" x14ac:dyDescent="0.25">
      <c r="A8660">
        <v>10</v>
      </c>
      <c r="B8660">
        <v>12</v>
      </c>
      <c r="C8660">
        <v>15</v>
      </c>
      <c r="D8660">
        <v>11</v>
      </c>
      <c r="E8660">
        <f t="shared" si="135"/>
        <v>5.4261842568807625E-16</v>
      </c>
    </row>
    <row r="8661" spans="1:5" x14ac:dyDescent="0.25">
      <c r="A8661">
        <v>10</v>
      </c>
      <c r="B8661">
        <v>12</v>
      </c>
      <c r="C8661">
        <v>16</v>
      </c>
      <c r="D8661">
        <v>10</v>
      </c>
      <c r="E8661">
        <f t="shared" si="135"/>
        <v>1.2435005588685081E-15</v>
      </c>
    </row>
    <row r="8662" spans="1:5" x14ac:dyDescent="0.25">
      <c r="A8662">
        <v>10</v>
      </c>
      <c r="B8662">
        <v>12</v>
      </c>
      <c r="C8662">
        <v>17</v>
      </c>
      <c r="D8662">
        <v>9</v>
      </c>
      <c r="E8662">
        <f t="shared" si="135"/>
        <v>2.2401296832557694E-15</v>
      </c>
    </row>
    <row r="8663" spans="1:5" x14ac:dyDescent="0.25">
      <c r="A8663">
        <v>10</v>
      </c>
      <c r="B8663">
        <v>12</v>
      </c>
      <c r="C8663">
        <v>18</v>
      </c>
      <c r="D8663">
        <v>8</v>
      </c>
      <c r="E8663">
        <f t="shared" si="135"/>
        <v>3.1625360234199071E-15</v>
      </c>
    </row>
    <row r="8664" spans="1:5" x14ac:dyDescent="0.25">
      <c r="A8664">
        <v>10</v>
      </c>
      <c r="B8664">
        <v>12</v>
      </c>
      <c r="C8664">
        <v>19</v>
      </c>
      <c r="D8664">
        <v>7</v>
      </c>
      <c r="E8664">
        <f t="shared" si="135"/>
        <v>3.4769401894908944E-15</v>
      </c>
    </row>
    <row r="8665" spans="1:5" x14ac:dyDescent="0.25">
      <c r="A8665">
        <v>10</v>
      </c>
      <c r="B8665">
        <v>12</v>
      </c>
      <c r="C8665">
        <v>20</v>
      </c>
      <c r="D8665">
        <v>6</v>
      </c>
      <c r="E8665">
        <f t="shared" si="135"/>
        <v>2.9462493184633382E-15</v>
      </c>
    </row>
    <row r="8666" spans="1:5" x14ac:dyDescent="0.25">
      <c r="A8666">
        <v>10</v>
      </c>
      <c r="B8666">
        <v>12</v>
      </c>
      <c r="C8666">
        <v>21</v>
      </c>
      <c r="D8666">
        <v>5</v>
      </c>
      <c r="E8666">
        <f t="shared" si="135"/>
        <v>1.8940174190121434E-15</v>
      </c>
    </row>
    <row r="8667" spans="1:5" x14ac:dyDescent="0.25">
      <c r="A8667">
        <v>10</v>
      </c>
      <c r="B8667">
        <v>12</v>
      </c>
      <c r="C8667">
        <v>22</v>
      </c>
      <c r="D8667">
        <v>4</v>
      </c>
      <c r="E8667">
        <f t="shared" si="135"/>
        <v>9.0191305667245014E-16</v>
      </c>
    </row>
    <row r="8668" spans="1:5" x14ac:dyDescent="0.25">
      <c r="A8668">
        <v>10</v>
      </c>
      <c r="B8668">
        <v>12</v>
      </c>
      <c r="C8668">
        <v>23</v>
      </c>
      <c r="D8668">
        <v>3</v>
      </c>
      <c r="E8668">
        <f t="shared" si="135"/>
        <v>3.0657914179379717E-16</v>
      </c>
    </row>
    <row r="8669" spans="1:5" x14ac:dyDescent="0.25">
      <c r="A8669">
        <v>10</v>
      </c>
      <c r="B8669">
        <v>12</v>
      </c>
      <c r="C8669">
        <v>24</v>
      </c>
      <c r="D8669">
        <v>2</v>
      </c>
      <c r="E8669">
        <f t="shared" si="135"/>
        <v>6.9980021496410233E-17</v>
      </c>
    </row>
    <row r="8670" spans="1:5" x14ac:dyDescent="0.25">
      <c r="A8670">
        <v>10</v>
      </c>
      <c r="B8670">
        <v>12</v>
      </c>
      <c r="C8670">
        <v>25</v>
      </c>
      <c r="D8670">
        <v>1</v>
      </c>
      <c r="E8670">
        <f t="shared" si="135"/>
        <v>9.5639362711760682E-18</v>
      </c>
    </row>
    <row r="8671" spans="1:5" x14ac:dyDescent="0.25">
      <c r="A8671">
        <v>10</v>
      </c>
      <c r="B8671">
        <v>12</v>
      </c>
      <c r="C8671">
        <v>26</v>
      </c>
      <c r="D8671">
        <v>0</v>
      </c>
      <c r="E8671">
        <f t="shared" si="135"/>
        <v>5.8854992438006532E-19</v>
      </c>
    </row>
    <row r="8672" spans="1:5" x14ac:dyDescent="0.25">
      <c r="A8672">
        <v>10</v>
      </c>
      <c r="B8672">
        <v>13</v>
      </c>
      <c r="C8672">
        <v>0</v>
      </c>
      <c r="D8672">
        <v>25</v>
      </c>
      <c r="E8672">
        <f t="shared" si="135"/>
        <v>1.2508164225149905E-35</v>
      </c>
    </row>
    <row r="8673" spans="1:5" x14ac:dyDescent="0.25">
      <c r="A8673">
        <v>10</v>
      </c>
      <c r="B8673">
        <v>13</v>
      </c>
      <c r="C8673">
        <v>1</v>
      </c>
      <c r="D8673">
        <v>24</v>
      </c>
      <c r="E8673">
        <f t="shared" si="135"/>
        <v>2.0325766865868596E-32</v>
      </c>
    </row>
    <row r="8674" spans="1:5" x14ac:dyDescent="0.25">
      <c r="A8674">
        <v>10</v>
      </c>
      <c r="B8674">
        <v>13</v>
      </c>
      <c r="C8674">
        <v>2</v>
      </c>
      <c r="D8674">
        <v>23</v>
      </c>
      <c r="E8674">
        <f t="shared" si="135"/>
        <v>7.8050944764935409E-30</v>
      </c>
    </row>
    <row r="8675" spans="1:5" x14ac:dyDescent="0.25">
      <c r="A8675">
        <v>10</v>
      </c>
      <c r="B8675">
        <v>13</v>
      </c>
      <c r="C8675">
        <v>3</v>
      </c>
      <c r="D8675">
        <v>22</v>
      </c>
      <c r="E8675">
        <f t="shared" si="135"/>
        <v>1.2566202107154602E-27</v>
      </c>
    </row>
    <row r="8676" spans="1:5" x14ac:dyDescent="0.25">
      <c r="A8676">
        <v>10</v>
      </c>
      <c r="B8676">
        <v>13</v>
      </c>
      <c r="C8676">
        <v>4</v>
      </c>
      <c r="D8676">
        <v>21</v>
      </c>
      <c r="E8676">
        <f t="shared" si="135"/>
        <v>1.07126872963493E-25</v>
      </c>
    </row>
    <row r="8677" spans="1:5" x14ac:dyDescent="0.25">
      <c r="A8677">
        <v>10</v>
      </c>
      <c r="B8677">
        <v>13</v>
      </c>
      <c r="C8677">
        <v>5</v>
      </c>
      <c r="D8677">
        <v>20</v>
      </c>
      <c r="E8677">
        <f t="shared" si="135"/>
        <v>5.4891809706493793E-24</v>
      </c>
    </row>
    <row r="8678" spans="1:5" x14ac:dyDescent="0.25">
      <c r="A8678">
        <v>10</v>
      </c>
      <c r="B8678">
        <v>13</v>
      </c>
      <c r="C8678">
        <v>6</v>
      </c>
      <c r="D8678">
        <v>19</v>
      </c>
      <c r="E8678">
        <f t="shared" si="135"/>
        <v>1.8297269902164598E-22</v>
      </c>
    </row>
    <row r="8679" spans="1:5" x14ac:dyDescent="0.25">
      <c r="A8679">
        <v>10</v>
      </c>
      <c r="B8679">
        <v>13</v>
      </c>
      <c r="C8679">
        <v>7</v>
      </c>
      <c r="D8679">
        <v>18</v>
      </c>
      <c r="E8679">
        <f t="shared" si="135"/>
        <v>4.1859672572094946E-21</v>
      </c>
    </row>
    <row r="8680" spans="1:5" x14ac:dyDescent="0.25">
      <c r="A8680">
        <v>10</v>
      </c>
      <c r="B8680">
        <v>13</v>
      </c>
      <c r="C8680">
        <v>8</v>
      </c>
      <c r="D8680">
        <v>17</v>
      </c>
      <c r="E8680">
        <f t="shared" si="135"/>
        <v>6.8283590883229875E-20</v>
      </c>
    </row>
    <row r="8681" spans="1:5" x14ac:dyDescent="0.25">
      <c r="A8681">
        <v>10</v>
      </c>
      <c r="B8681">
        <v>13</v>
      </c>
      <c r="C8681">
        <v>9</v>
      </c>
      <c r="D8681">
        <v>16</v>
      </c>
      <c r="E8681">
        <f t="shared" si="135"/>
        <v>8.168740687141943E-19</v>
      </c>
    </row>
    <row r="8682" spans="1:5" x14ac:dyDescent="0.25">
      <c r="A8682">
        <v>10</v>
      </c>
      <c r="B8682">
        <v>13</v>
      </c>
      <c r="C8682">
        <v>10</v>
      </c>
      <c r="D8682">
        <v>15</v>
      </c>
      <c r="E8682">
        <f t="shared" si="135"/>
        <v>7.3191916556791796E-18</v>
      </c>
    </row>
    <row r="8683" spans="1:5" x14ac:dyDescent="0.25">
      <c r="A8683">
        <v>10</v>
      </c>
      <c r="B8683">
        <v>13</v>
      </c>
      <c r="C8683">
        <v>11</v>
      </c>
      <c r="D8683">
        <v>14</v>
      </c>
      <c r="E8683">
        <f t="shared" si="135"/>
        <v>4.9903579470539879E-17</v>
      </c>
    </row>
    <row r="8684" spans="1:5" x14ac:dyDescent="0.25">
      <c r="A8684">
        <v>10</v>
      </c>
      <c r="B8684">
        <v>13</v>
      </c>
      <c r="C8684">
        <v>12</v>
      </c>
      <c r="D8684">
        <v>13</v>
      </c>
      <c r="E8684">
        <f t="shared" si="135"/>
        <v>2.6199379222033427E-16</v>
      </c>
    </row>
    <row r="8685" spans="1:5" x14ac:dyDescent="0.25">
      <c r="A8685">
        <v>10</v>
      </c>
      <c r="B8685">
        <v>13</v>
      </c>
      <c r="C8685">
        <v>13</v>
      </c>
      <c r="D8685">
        <v>12</v>
      </c>
      <c r="E8685">
        <f t="shared" si="135"/>
        <v>1.0681285375136709E-15</v>
      </c>
    </row>
    <row r="8686" spans="1:5" x14ac:dyDescent="0.25">
      <c r="A8686">
        <v>10</v>
      </c>
      <c r="B8686">
        <v>13</v>
      </c>
      <c r="C8686">
        <v>14</v>
      </c>
      <c r="D8686">
        <v>11</v>
      </c>
      <c r="E8686">
        <f t="shared" si="135"/>
        <v>3.4005724867782178E-15</v>
      </c>
    </row>
    <row r="8687" spans="1:5" x14ac:dyDescent="0.25">
      <c r="A8687">
        <v>10</v>
      </c>
      <c r="B8687">
        <v>13</v>
      </c>
      <c r="C8687">
        <v>15</v>
      </c>
      <c r="D8687">
        <v>10</v>
      </c>
      <c r="E8687">
        <f t="shared" si="135"/>
        <v>8.4787607337003505E-15</v>
      </c>
    </row>
    <row r="8688" spans="1:5" x14ac:dyDescent="0.25">
      <c r="A8688">
        <v>10</v>
      </c>
      <c r="B8688">
        <v>13</v>
      </c>
      <c r="C8688">
        <v>16</v>
      </c>
      <c r="D8688">
        <v>9</v>
      </c>
      <c r="E8688">
        <f t="shared" si="135"/>
        <v>1.6560079558008504E-14</v>
      </c>
    </row>
    <row r="8689" spans="1:5" x14ac:dyDescent="0.25">
      <c r="A8689">
        <v>10</v>
      </c>
      <c r="B8689">
        <v>13</v>
      </c>
      <c r="C8689">
        <v>17</v>
      </c>
      <c r="D8689">
        <v>8</v>
      </c>
      <c r="E8689">
        <f t="shared" si="135"/>
        <v>2.5269879187134097E-14</v>
      </c>
    </row>
    <row r="8690" spans="1:5" x14ac:dyDescent="0.25">
      <c r="A8690">
        <v>10</v>
      </c>
      <c r="B8690">
        <v>13</v>
      </c>
      <c r="C8690">
        <v>18</v>
      </c>
      <c r="D8690">
        <v>7</v>
      </c>
      <c r="E8690">
        <f t="shared" si="135"/>
        <v>2.9949486444010763E-14</v>
      </c>
    </row>
    <row r="8691" spans="1:5" x14ac:dyDescent="0.25">
      <c r="A8691">
        <v>10</v>
      </c>
      <c r="B8691">
        <v>13</v>
      </c>
      <c r="C8691">
        <v>19</v>
      </c>
      <c r="D8691">
        <v>6</v>
      </c>
      <c r="E8691">
        <f t="shared" si="135"/>
        <v>2.7294684321549972E-14</v>
      </c>
    </row>
    <row r="8692" spans="1:5" x14ac:dyDescent="0.25">
      <c r="A8692">
        <v>10</v>
      </c>
      <c r="B8692">
        <v>13</v>
      </c>
      <c r="C8692">
        <v>20</v>
      </c>
      <c r="D8692">
        <v>5</v>
      </c>
      <c r="E8692">
        <f t="shared" si="135"/>
        <v>1.8833332181869496E-14</v>
      </c>
    </row>
    <row r="8693" spans="1:5" x14ac:dyDescent="0.25">
      <c r="A8693">
        <v>10</v>
      </c>
      <c r="B8693">
        <v>13</v>
      </c>
      <c r="C8693">
        <v>21</v>
      </c>
      <c r="D8693">
        <v>4</v>
      </c>
      <c r="E8693">
        <f t="shared" si="135"/>
        <v>9.6088429499334056E-15</v>
      </c>
    </row>
    <row r="8694" spans="1:5" x14ac:dyDescent="0.25">
      <c r="A8694">
        <v>10</v>
      </c>
      <c r="B8694">
        <v>13</v>
      </c>
      <c r="C8694">
        <v>22</v>
      </c>
      <c r="D8694">
        <v>3</v>
      </c>
      <c r="E8694">
        <f t="shared" si="135"/>
        <v>3.4941247090666955E-15</v>
      </c>
    </row>
    <row r="8695" spans="1:5" x14ac:dyDescent="0.25">
      <c r="A8695">
        <v>10</v>
      </c>
      <c r="B8695">
        <v>13</v>
      </c>
      <c r="C8695">
        <v>23</v>
      </c>
      <c r="D8695">
        <v>2</v>
      </c>
      <c r="E8695">
        <f t="shared" si="135"/>
        <v>8.5206443756068724E-16</v>
      </c>
    </row>
    <row r="8696" spans="1:5" x14ac:dyDescent="0.25">
      <c r="A8696">
        <v>10</v>
      </c>
      <c r="B8696">
        <v>13</v>
      </c>
      <c r="C8696">
        <v>24</v>
      </c>
      <c r="D8696">
        <v>1</v>
      </c>
      <c r="E8696">
        <f t="shared" si="135"/>
        <v>1.242593971442669E-16</v>
      </c>
    </row>
    <row r="8697" spans="1:5" x14ac:dyDescent="0.25">
      <c r="A8697">
        <v>10</v>
      </c>
      <c r="B8697">
        <v>13</v>
      </c>
      <c r="C8697">
        <v>25</v>
      </c>
      <c r="D8697">
        <v>0</v>
      </c>
      <c r="E8697">
        <f t="shared" si="135"/>
        <v>8.1514164526639115E-18</v>
      </c>
    </row>
    <row r="8698" spans="1:5" x14ac:dyDescent="0.25">
      <c r="A8698">
        <v>10</v>
      </c>
      <c r="B8698">
        <v>14</v>
      </c>
      <c r="C8698">
        <v>0</v>
      </c>
      <c r="D8698">
        <v>24</v>
      </c>
      <c r="E8698">
        <f t="shared" si="135"/>
        <v>6.1647380823953098E-33</v>
      </c>
    </row>
    <row r="8699" spans="1:5" x14ac:dyDescent="0.25">
      <c r="A8699">
        <v>10</v>
      </c>
      <c r="B8699">
        <v>14</v>
      </c>
      <c r="C8699">
        <v>1</v>
      </c>
      <c r="D8699">
        <v>23</v>
      </c>
      <c r="E8699">
        <f t="shared" si="135"/>
        <v>4.8084957042683415E-30</v>
      </c>
    </row>
    <row r="8700" spans="1:5" x14ac:dyDescent="0.25">
      <c r="A8700">
        <v>10</v>
      </c>
      <c r="B8700">
        <v>14</v>
      </c>
      <c r="C8700">
        <v>2</v>
      </c>
      <c r="D8700">
        <v>22</v>
      </c>
      <c r="E8700">
        <f t="shared" si="135"/>
        <v>1.1796842794471665E-27</v>
      </c>
    </row>
    <row r="8701" spans="1:5" x14ac:dyDescent="0.25">
      <c r="A8701">
        <v>10</v>
      </c>
      <c r="B8701">
        <v>14</v>
      </c>
      <c r="C8701">
        <v>3</v>
      </c>
      <c r="D8701">
        <v>21</v>
      </c>
      <c r="E8701">
        <f t="shared" si="135"/>
        <v>1.3625353427614772E-25</v>
      </c>
    </row>
    <row r="8702" spans="1:5" x14ac:dyDescent="0.25">
      <c r="A8702">
        <v>10</v>
      </c>
      <c r="B8702">
        <v>14</v>
      </c>
      <c r="C8702">
        <v>4</v>
      </c>
      <c r="D8702">
        <v>20</v>
      </c>
      <c r="E8702">
        <f t="shared" si="135"/>
        <v>8.8701050813772173E-24</v>
      </c>
    </row>
    <row r="8703" spans="1:5" x14ac:dyDescent="0.25">
      <c r="A8703">
        <v>10</v>
      </c>
      <c r="B8703">
        <v>14</v>
      </c>
      <c r="C8703">
        <v>5</v>
      </c>
      <c r="D8703">
        <v>19</v>
      </c>
      <c r="E8703">
        <f t="shared" si="135"/>
        <v>3.6071760664267346E-22</v>
      </c>
    </row>
    <row r="8704" spans="1:5" x14ac:dyDescent="0.25">
      <c r="A8704">
        <v>10</v>
      </c>
      <c r="B8704">
        <v>14</v>
      </c>
      <c r="C8704">
        <v>6</v>
      </c>
      <c r="D8704">
        <v>18</v>
      </c>
      <c r="E8704">
        <f t="shared" si="135"/>
        <v>9.7909064660154258E-21</v>
      </c>
    </row>
    <row r="8705" spans="1:5" x14ac:dyDescent="0.25">
      <c r="A8705">
        <v>10</v>
      </c>
      <c r="B8705">
        <v>14</v>
      </c>
      <c r="C8705">
        <v>7</v>
      </c>
      <c r="D8705">
        <v>17</v>
      </c>
      <c r="E8705">
        <f t="shared" si="135"/>
        <v>1.8567754762336393E-19</v>
      </c>
    </row>
    <row r="8706" spans="1:5" x14ac:dyDescent="0.25">
      <c r="A8706">
        <v>10</v>
      </c>
      <c r="B8706">
        <v>14</v>
      </c>
      <c r="C8706">
        <v>8</v>
      </c>
      <c r="D8706">
        <v>16</v>
      </c>
      <c r="E8706">
        <f t="shared" si="135"/>
        <v>2.5427508605088455E-18</v>
      </c>
    </row>
    <row r="8707" spans="1:5" x14ac:dyDescent="0.25">
      <c r="A8707">
        <v>10</v>
      </c>
      <c r="B8707">
        <v>14</v>
      </c>
      <c r="C8707">
        <v>9</v>
      </c>
      <c r="D8707">
        <v>15</v>
      </c>
      <c r="E8707">
        <f t="shared" si="135"/>
        <v>2.5766542053156292E-17</v>
      </c>
    </row>
    <row r="8708" spans="1:5" x14ac:dyDescent="0.25">
      <c r="A8708">
        <v>10</v>
      </c>
      <c r="B8708">
        <v>14</v>
      </c>
      <c r="C8708">
        <v>10</v>
      </c>
      <c r="D8708">
        <v>14</v>
      </c>
      <c r="E8708">
        <f t="shared" si="135"/>
        <v>1.9676268476955719E-16</v>
      </c>
    </row>
    <row r="8709" spans="1:5" x14ac:dyDescent="0.25">
      <c r="A8709">
        <v>10</v>
      </c>
      <c r="B8709">
        <v>14</v>
      </c>
      <c r="C8709">
        <v>11</v>
      </c>
      <c r="D8709">
        <v>13</v>
      </c>
      <c r="E8709">
        <f t="shared" si="135"/>
        <v>1.1477823278224174E-15</v>
      </c>
    </row>
    <row r="8710" spans="1:5" x14ac:dyDescent="0.25">
      <c r="A8710">
        <v>10</v>
      </c>
      <c r="B8710">
        <v>14</v>
      </c>
      <c r="C8710">
        <v>12</v>
      </c>
      <c r="D8710">
        <v>12</v>
      </c>
      <c r="E8710">
        <f t="shared" si="135"/>
        <v>5.1650204752008751E-15</v>
      </c>
    </row>
    <row r="8711" spans="1:5" x14ac:dyDescent="0.25">
      <c r="A8711">
        <v>10</v>
      </c>
      <c r="B8711">
        <v>14</v>
      </c>
      <c r="C8711">
        <v>13</v>
      </c>
      <c r="D8711">
        <v>11</v>
      </c>
      <c r="E8711">
        <f t="shared" si="135"/>
        <v>1.8049192429822842E-14</v>
      </c>
    </row>
    <row r="8712" spans="1:5" x14ac:dyDescent="0.25">
      <c r="A8712">
        <v>10</v>
      </c>
      <c r="B8712">
        <v>14</v>
      </c>
      <c r="C8712">
        <v>14</v>
      </c>
      <c r="D8712">
        <v>10</v>
      </c>
      <c r="E8712">
        <f t="shared" si="135"/>
        <v>4.9162562237422212E-14</v>
      </c>
    </row>
    <row r="8713" spans="1:5" x14ac:dyDescent="0.25">
      <c r="A8713">
        <v>10</v>
      </c>
      <c r="B8713">
        <v>14</v>
      </c>
      <c r="C8713">
        <v>15</v>
      </c>
      <c r="D8713">
        <v>9</v>
      </c>
      <c r="E8713">
        <f t="shared" si="135"/>
        <v>1.0447044475452217E-13</v>
      </c>
    </row>
    <row r="8714" spans="1:5" x14ac:dyDescent="0.25">
      <c r="A8714">
        <v>10</v>
      </c>
      <c r="B8714">
        <v>14</v>
      </c>
      <c r="C8714">
        <v>16</v>
      </c>
      <c r="D8714">
        <v>8</v>
      </c>
      <c r="E8714">
        <f t="shared" si="135"/>
        <v>1.7283713286593745E-13</v>
      </c>
    </row>
    <row r="8715" spans="1:5" x14ac:dyDescent="0.25">
      <c r="A8715">
        <v>10</v>
      </c>
      <c r="B8715">
        <v>14</v>
      </c>
      <c r="C8715">
        <v>17</v>
      </c>
      <c r="D8715">
        <v>7</v>
      </c>
      <c r="E8715">
        <f t="shared" si="135"/>
        <v>2.2141227478250829E-13</v>
      </c>
    </row>
    <row r="8716" spans="1:5" x14ac:dyDescent="0.25">
      <c r="A8716">
        <v>10</v>
      </c>
      <c r="B8716">
        <v>14</v>
      </c>
      <c r="C8716">
        <v>18</v>
      </c>
      <c r="D8716">
        <v>6</v>
      </c>
      <c r="E8716">
        <f t="shared" si="135"/>
        <v>2.1752784890913068E-13</v>
      </c>
    </row>
    <row r="8717" spans="1:5" x14ac:dyDescent="0.25">
      <c r="A8717">
        <v>10</v>
      </c>
      <c r="B8717">
        <v>14</v>
      </c>
      <c r="C8717">
        <v>19</v>
      </c>
      <c r="D8717">
        <v>5</v>
      </c>
      <c r="E8717">
        <f t="shared" si="135"/>
        <v>1.6142856155888122E-13</v>
      </c>
    </row>
    <row r="8718" spans="1:5" x14ac:dyDescent="0.25">
      <c r="A8718">
        <v>10</v>
      </c>
      <c r="B8718">
        <v>14</v>
      </c>
      <c r="C8718">
        <v>20</v>
      </c>
      <c r="D8718">
        <v>4</v>
      </c>
      <c r="E8718">
        <f t="shared" ref="E8718:E8781" si="136">COMBIN(A$4,A8718)*COMBIN(B$4,B8718)*COMBIN(C$4,C8718)*COMBIN(D$4,D8718)/COMBIN($G$4,$F$4)</f>
        <v>8.840135513938744E-14</v>
      </c>
    </row>
    <row r="8719" spans="1:5" x14ac:dyDescent="0.25">
      <c r="A8719">
        <v>10</v>
      </c>
      <c r="B8719">
        <v>14</v>
      </c>
      <c r="C8719">
        <v>21</v>
      </c>
      <c r="D8719">
        <v>3</v>
      </c>
      <c r="E8719">
        <f t="shared" si="136"/>
        <v>3.4442086417943114E-14</v>
      </c>
    </row>
    <row r="8720" spans="1:5" x14ac:dyDescent="0.25">
      <c r="A8720">
        <v>10</v>
      </c>
      <c r="B8720">
        <v>14</v>
      </c>
      <c r="C8720">
        <v>22</v>
      </c>
      <c r="D8720">
        <v>2</v>
      </c>
      <c r="E8720">
        <f t="shared" si="136"/>
        <v>8.9848921090286452E-15</v>
      </c>
    </row>
    <row r="8721" spans="1:5" x14ac:dyDescent="0.25">
      <c r="A8721">
        <v>10</v>
      </c>
      <c r="B8721">
        <v>14</v>
      </c>
      <c r="C8721">
        <v>23</v>
      </c>
      <c r="D8721">
        <v>1</v>
      </c>
      <c r="E8721">
        <f t="shared" si="136"/>
        <v>1.3998201474211292E-15</v>
      </c>
    </row>
    <row r="8722" spans="1:5" x14ac:dyDescent="0.25">
      <c r="A8722">
        <v>10</v>
      </c>
      <c r="B8722">
        <v>14</v>
      </c>
      <c r="C8722">
        <v>24</v>
      </c>
      <c r="D8722">
        <v>0</v>
      </c>
      <c r="E8722">
        <f t="shared" si="136"/>
        <v>9.7987410319479029E-17</v>
      </c>
    </row>
    <row r="8723" spans="1:5" x14ac:dyDescent="0.25">
      <c r="A8723">
        <v>10</v>
      </c>
      <c r="B8723">
        <v>15</v>
      </c>
      <c r="C8723">
        <v>0</v>
      </c>
      <c r="D8723">
        <v>23</v>
      </c>
      <c r="E8723">
        <f t="shared" si="136"/>
        <v>1.3562423781269681E-30</v>
      </c>
    </row>
    <row r="8724" spans="1:5" x14ac:dyDescent="0.25">
      <c r="A8724">
        <v>10</v>
      </c>
      <c r="B8724">
        <v>15</v>
      </c>
      <c r="C8724">
        <v>1</v>
      </c>
      <c r="D8724">
        <v>22</v>
      </c>
      <c r="E8724">
        <f t="shared" si="136"/>
        <v>6.7586078509993909E-28</v>
      </c>
    </row>
    <row r="8725" spans="1:5" x14ac:dyDescent="0.25">
      <c r="A8725">
        <v>10</v>
      </c>
      <c r="B8725">
        <v>15</v>
      </c>
      <c r="C8725">
        <v>2</v>
      </c>
      <c r="D8725">
        <v>21</v>
      </c>
      <c r="E8725">
        <f t="shared" si="136"/>
        <v>1.1895149817758929E-25</v>
      </c>
    </row>
    <row r="8726" spans="1:5" x14ac:dyDescent="0.25">
      <c r="A8726">
        <v>10</v>
      </c>
      <c r="B8726">
        <v>15</v>
      </c>
      <c r="C8726">
        <v>3</v>
      </c>
      <c r="D8726">
        <v>20</v>
      </c>
      <c r="E8726">
        <f t="shared" si="136"/>
        <v>1.0491522139263372E-23</v>
      </c>
    </row>
    <row r="8727" spans="1:5" x14ac:dyDescent="0.25">
      <c r="A8727">
        <v>10</v>
      </c>
      <c r="B8727">
        <v>15</v>
      </c>
      <c r="C8727">
        <v>4</v>
      </c>
      <c r="D8727">
        <v>19</v>
      </c>
      <c r="E8727">
        <f t="shared" si="136"/>
        <v>5.4206197719527422E-22</v>
      </c>
    </row>
    <row r="8728" spans="1:5" x14ac:dyDescent="0.25">
      <c r="A8728">
        <v>10</v>
      </c>
      <c r="B8728">
        <v>15</v>
      </c>
      <c r="C8728">
        <v>5</v>
      </c>
      <c r="D8728">
        <v>18</v>
      </c>
      <c r="E8728">
        <f t="shared" si="136"/>
        <v>1.7949995187694948E-20</v>
      </c>
    </row>
    <row r="8729" spans="1:5" x14ac:dyDescent="0.25">
      <c r="A8729">
        <v>10</v>
      </c>
      <c r="B8729">
        <v>15</v>
      </c>
      <c r="C8729">
        <v>6</v>
      </c>
      <c r="D8729">
        <v>17</v>
      </c>
      <c r="E8729">
        <f t="shared" si="136"/>
        <v>4.038748917231362E-19</v>
      </c>
    </row>
    <row r="8730" spans="1:5" x14ac:dyDescent="0.25">
      <c r="A8730">
        <v>10</v>
      </c>
      <c r="B8730">
        <v>15</v>
      </c>
      <c r="C8730">
        <v>7</v>
      </c>
      <c r="D8730">
        <v>16</v>
      </c>
      <c r="E8730">
        <f t="shared" si="136"/>
        <v>6.4299447047350096E-18</v>
      </c>
    </row>
    <row r="8731" spans="1:5" x14ac:dyDescent="0.25">
      <c r="A8731">
        <v>10</v>
      </c>
      <c r="B8731">
        <v>15</v>
      </c>
      <c r="C8731">
        <v>8</v>
      </c>
      <c r="D8731">
        <v>15</v>
      </c>
      <c r="E8731">
        <f t="shared" si="136"/>
        <v>7.458735857492613E-17</v>
      </c>
    </row>
    <row r="8732" spans="1:5" x14ac:dyDescent="0.25">
      <c r="A8732">
        <v>10</v>
      </c>
      <c r="B8732">
        <v>15</v>
      </c>
      <c r="C8732">
        <v>9</v>
      </c>
      <c r="D8732">
        <v>14</v>
      </c>
      <c r="E8732">
        <f t="shared" si="136"/>
        <v>6.4416355132890734E-16</v>
      </c>
    </row>
    <row r="8733" spans="1:5" x14ac:dyDescent="0.25">
      <c r="A8733">
        <v>10</v>
      </c>
      <c r="B8733">
        <v>15</v>
      </c>
      <c r="C8733">
        <v>10</v>
      </c>
      <c r="D8733">
        <v>13</v>
      </c>
      <c r="E8733">
        <f t="shared" si="136"/>
        <v>4.2085352020155298E-15</v>
      </c>
    </row>
    <row r="8734" spans="1:5" x14ac:dyDescent="0.25">
      <c r="A8734">
        <v>10</v>
      </c>
      <c r="B8734">
        <v>15</v>
      </c>
      <c r="C8734">
        <v>11</v>
      </c>
      <c r="D8734">
        <v>12</v>
      </c>
      <c r="E8734">
        <f t="shared" si="136"/>
        <v>2.1042676010077653E-14</v>
      </c>
    </row>
    <row r="8735" spans="1:5" x14ac:dyDescent="0.25">
      <c r="A8735">
        <v>10</v>
      </c>
      <c r="B8735">
        <v>15</v>
      </c>
      <c r="C8735">
        <v>12</v>
      </c>
      <c r="D8735">
        <v>11</v>
      </c>
      <c r="E8735">
        <f t="shared" si="136"/>
        <v>8.1164607467442283E-14</v>
      </c>
    </row>
    <row r="8736" spans="1:5" x14ac:dyDescent="0.25">
      <c r="A8736">
        <v>10</v>
      </c>
      <c r="B8736">
        <v>15</v>
      </c>
      <c r="C8736">
        <v>13</v>
      </c>
      <c r="D8736">
        <v>10</v>
      </c>
      <c r="E8736">
        <f t="shared" si="136"/>
        <v>2.4266136488984038E-13</v>
      </c>
    </row>
    <row r="8737" spans="1:5" x14ac:dyDescent="0.25">
      <c r="A8737">
        <v>10</v>
      </c>
      <c r="B8737">
        <v>15</v>
      </c>
      <c r="C8737">
        <v>14</v>
      </c>
      <c r="D8737">
        <v>9</v>
      </c>
      <c r="E8737">
        <f t="shared" si="136"/>
        <v>5.6332102563712966E-13</v>
      </c>
    </row>
    <row r="8738" spans="1:5" x14ac:dyDescent="0.25">
      <c r="A8738">
        <v>10</v>
      </c>
      <c r="B8738">
        <v>15</v>
      </c>
      <c r="C8738">
        <v>15</v>
      </c>
      <c r="D8738">
        <v>8</v>
      </c>
      <c r="E8738">
        <f t="shared" si="136"/>
        <v>1.0139778461468328E-12</v>
      </c>
    </row>
    <row r="8739" spans="1:5" x14ac:dyDescent="0.25">
      <c r="A8739">
        <v>10</v>
      </c>
      <c r="B8739">
        <v>15</v>
      </c>
      <c r="C8739">
        <v>16</v>
      </c>
      <c r="D8739">
        <v>7</v>
      </c>
      <c r="E8739">
        <f t="shared" si="136"/>
        <v>1.4083025640928237E-12</v>
      </c>
    </row>
    <row r="8740" spans="1:5" x14ac:dyDescent="0.25">
      <c r="A8740">
        <v>10</v>
      </c>
      <c r="B8740">
        <v>15</v>
      </c>
      <c r="C8740">
        <v>17</v>
      </c>
      <c r="D8740">
        <v>6</v>
      </c>
      <c r="E8740">
        <f t="shared" si="136"/>
        <v>1.4955039612502748E-12</v>
      </c>
    </row>
    <row r="8741" spans="1:5" x14ac:dyDescent="0.25">
      <c r="A8741">
        <v>10</v>
      </c>
      <c r="B8741">
        <v>15</v>
      </c>
      <c r="C8741">
        <v>18</v>
      </c>
      <c r="D8741">
        <v>5</v>
      </c>
      <c r="E8741">
        <f t="shared" si="136"/>
        <v>1.1964031690002185E-12</v>
      </c>
    </row>
    <row r="8742" spans="1:5" x14ac:dyDescent="0.25">
      <c r="A8742">
        <v>10</v>
      </c>
      <c r="B8742">
        <v>15</v>
      </c>
      <c r="C8742">
        <v>19</v>
      </c>
      <c r="D8742">
        <v>4</v>
      </c>
      <c r="E8742">
        <f t="shared" si="136"/>
        <v>7.0464848299511669E-13</v>
      </c>
    </row>
    <row r="8743" spans="1:5" x14ac:dyDescent="0.25">
      <c r="A8743">
        <v>10</v>
      </c>
      <c r="B8743">
        <v>15</v>
      </c>
      <c r="C8743">
        <v>20</v>
      </c>
      <c r="D8743">
        <v>3</v>
      </c>
      <c r="E8743">
        <f t="shared" si="136"/>
        <v>2.9467118379795809E-13</v>
      </c>
    </row>
    <row r="8744" spans="1:5" x14ac:dyDescent="0.25">
      <c r="A8744">
        <v>10</v>
      </c>
      <c r="B8744">
        <v>15</v>
      </c>
      <c r="C8744">
        <v>21</v>
      </c>
      <c r="D8744">
        <v>2</v>
      </c>
      <c r="E8744">
        <f t="shared" si="136"/>
        <v>8.2361510999429182E-14</v>
      </c>
    </row>
    <row r="8745" spans="1:5" x14ac:dyDescent="0.25">
      <c r="A8745">
        <v>10</v>
      </c>
      <c r="B8745">
        <v>15</v>
      </c>
      <c r="C8745">
        <v>22</v>
      </c>
      <c r="D8745">
        <v>1</v>
      </c>
      <c r="E8745">
        <f t="shared" si="136"/>
        <v>1.3726918499904873E-14</v>
      </c>
    </row>
    <row r="8746" spans="1:5" x14ac:dyDescent="0.25">
      <c r="A8746">
        <v>10</v>
      </c>
      <c r="B8746">
        <v>15</v>
      </c>
      <c r="C8746">
        <v>23</v>
      </c>
      <c r="D8746">
        <v>0</v>
      </c>
      <c r="E8746">
        <f t="shared" si="136"/>
        <v>1.0265347747754946E-15</v>
      </c>
    </row>
    <row r="8747" spans="1:5" x14ac:dyDescent="0.25">
      <c r="A8747">
        <v>10</v>
      </c>
      <c r="B8747">
        <v>16</v>
      </c>
      <c r="C8747">
        <v>0</v>
      </c>
      <c r="D8747">
        <v>22</v>
      </c>
      <c r="E8747">
        <f t="shared" si="136"/>
        <v>1.7806332222825314E-28</v>
      </c>
    </row>
    <row r="8748" spans="1:5" x14ac:dyDescent="0.25">
      <c r="A8748">
        <v>10</v>
      </c>
      <c r="B8748">
        <v>16</v>
      </c>
      <c r="C8748">
        <v>1</v>
      </c>
      <c r="D8748">
        <v>21</v>
      </c>
      <c r="E8748">
        <f t="shared" si="136"/>
        <v>6.3657637696600506E-26</v>
      </c>
    </row>
    <row r="8749" spans="1:5" x14ac:dyDescent="0.25">
      <c r="A8749">
        <v>10</v>
      </c>
      <c r="B8749">
        <v>16</v>
      </c>
      <c r="C8749">
        <v>2</v>
      </c>
      <c r="D8749">
        <v>20</v>
      </c>
      <c r="E8749">
        <f t="shared" si="136"/>
        <v>8.5555865064231063E-24</v>
      </c>
    </row>
    <row r="8750" spans="1:5" x14ac:dyDescent="0.25">
      <c r="A8750">
        <v>10</v>
      </c>
      <c r="B8750">
        <v>16</v>
      </c>
      <c r="C8750">
        <v>3</v>
      </c>
      <c r="D8750">
        <v>19</v>
      </c>
      <c r="E8750">
        <f t="shared" si="136"/>
        <v>5.9889105544961751E-22</v>
      </c>
    </row>
    <row r="8751" spans="1:5" x14ac:dyDescent="0.25">
      <c r="A8751">
        <v>10</v>
      </c>
      <c r="B8751">
        <v>16</v>
      </c>
      <c r="C8751">
        <v>4</v>
      </c>
      <c r="D8751">
        <v>18</v>
      </c>
      <c r="E8751">
        <f t="shared" si="136"/>
        <v>2.5196202261416058E-20</v>
      </c>
    </row>
    <row r="8752" spans="1:5" x14ac:dyDescent="0.25">
      <c r="A8752">
        <v>10</v>
      </c>
      <c r="B8752">
        <v>16</v>
      </c>
      <c r="C8752">
        <v>5</v>
      </c>
      <c r="D8752">
        <v>17</v>
      </c>
      <c r="E8752">
        <f t="shared" si="136"/>
        <v>6.9163575207587083E-19</v>
      </c>
    </row>
    <row r="8753" spans="1:5" x14ac:dyDescent="0.25">
      <c r="A8753">
        <v>10</v>
      </c>
      <c r="B8753">
        <v>16</v>
      </c>
      <c r="C8753">
        <v>6</v>
      </c>
      <c r="D8753">
        <v>16</v>
      </c>
      <c r="E8753">
        <f t="shared" si="136"/>
        <v>1.3064230872544225E-17</v>
      </c>
    </row>
    <row r="8754" spans="1:5" x14ac:dyDescent="0.25">
      <c r="A8754">
        <v>10</v>
      </c>
      <c r="B8754">
        <v>16</v>
      </c>
      <c r="C8754">
        <v>7</v>
      </c>
      <c r="D8754">
        <v>15</v>
      </c>
      <c r="E8754">
        <f t="shared" si="136"/>
        <v>1.7618048490973922E-16</v>
      </c>
    </row>
    <row r="8755" spans="1:5" x14ac:dyDescent="0.25">
      <c r="A8755">
        <v>10</v>
      </c>
      <c r="B8755">
        <v>16</v>
      </c>
      <c r="C8755">
        <v>8</v>
      </c>
      <c r="D8755">
        <v>14</v>
      </c>
      <c r="E8755">
        <f t="shared" si="136"/>
        <v>1.7417843394485587E-15</v>
      </c>
    </row>
    <row r="8756" spans="1:5" x14ac:dyDescent="0.25">
      <c r="A8756">
        <v>10</v>
      </c>
      <c r="B8756">
        <v>16</v>
      </c>
      <c r="C8756">
        <v>9</v>
      </c>
      <c r="D8756">
        <v>13</v>
      </c>
      <c r="E8756">
        <f t="shared" si="136"/>
        <v>1.2869850952592127E-14</v>
      </c>
    </row>
    <row r="8757" spans="1:5" x14ac:dyDescent="0.25">
      <c r="A8757">
        <v>10</v>
      </c>
      <c r="B8757">
        <v>16</v>
      </c>
      <c r="C8757">
        <v>10</v>
      </c>
      <c r="D8757">
        <v>12</v>
      </c>
      <c r="E8757">
        <f t="shared" si="136"/>
        <v>7.2071165334515925E-14</v>
      </c>
    </row>
    <row r="8758" spans="1:5" x14ac:dyDescent="0.25">
      <c r="A8758">
        <v>10</v>
      </c>
      <c r="B8758">
        <v>16</v>
      </c>
      <c r="C8758">
        <v>11</v>
      </c>
      <c r="D8758">
        <v>11</v>
      </c>
      <c r="E8758">
        <f t="shared" si="136"/>
        <v>3.0887642286221108E-13</v>
      </c>
    </row>
    <row r="8759" spans="1:5" x14ac:dyDescent="0.25">
      <c r="A8759">
        <v>10</v>
      </c>
      <c r="B8759">
        <v>16</v>
      </c>
      <c r="C8759">
        <v>12</v>
      </c>
      <c r="D8759">
        <v>10</v>
      </c>
      <c r="E8759">
        <f t="shared" si="136"/>
        <v>1.0192921954452958E-12</v>
      </c>
    </row>
    <row r="8760" spans="1:5" x14ac:dyDescent="0.25">
      <c r="A8760">
        <v>10</v>
      </c>
      <c r="B8760">
        <v>16</v>
      </c>
      <c r="C8760">
        <v>13</v>
      </c>
      <c r="D8760">
        <v>9</v>
      </c>
      <c r="E8760">
        <f t="shared" si="136"/>
        <v>2.5972349210865728E-12</v>
      </c>
    </row>
    <row r="8761" spans="1:5" x14ac:dyDescent="0.25">
      <c r="A8761">
        <v>10</v>
      </c>
      <c r="B8761">
        <v>16</v>
      </c>
      <c r="C8761">
        <v>14</v>
      </c>
      <c r="D8761">
        <v>8</v>
      </c>
      <c r="E8761">
        <f t="shared" si="136"/>
        <v>5.1071678280189765E-12</v>
      </c>
    </row>
    <row r="8762" spans="1:5" x14ac:dyDescent="0.25">
      <c r="A8762">
        <v>10</v>
      </c>
      <c r="B8762">
        <v>16</v>
      </c>
      <c r="C8762">
        <v>15</v>
      </c>
      <c r="D8762">
        <v>7</v>
      </c>
      <c r="E8762">
        <f t="shared" si="136"/>
        <v>7.7174980512286737E-12</v>
      </c>
    </row>
    <row r="8763" spans="1:5" x14ac:dyDescent="0.25">
      <c r="A8763">
        <v>10</v>
      </c>
      <c r="B8763">
        <v>16</v>
      </c>
      <c r="C8763">
        <v>16</v>
      </c>
      <c r="D8763">
        <v>6</v>
      </c>
      <c r="E8763">
        <f t="shared" si="136"/>
        <v>8.8852773616119586E-12</v>
      </c>
    </row>
    <row r="8764" spans="1:5" x14ac:dyDescent="0.25">
      <c r="A8764">
        <v>10</v>
      </c>
      <c r="B8764">
        <v>16</v>
      </c>
      <c r="C8764">
        <v>17</v>
      </c>
      <c r="D8764">
        <v>5</v>
      </c>
      <c r="E8764">
        <f t="shared" si="136"/>
        <v>7.6831516009232852E-12</v>
      </c>
    </row>
    <row r="8765" spans="1:5" x14ac:dyDescent="0.25">
      <c r="A8765">
        <v>10</v>
      </c>
      <c r="B8765">
        <v>16</v>
      </c>
      <c r="C8765">
        <v>18</v>
      </c>
      <c r="D8765">
        <v>4</v>
      </c>
      <c r="E8765">
        <f t="shared" si="136"/>
        <v>4.8781914926497012E-12</v>
      </c>
    </row>
    <row r="8766" spans="1:5" x14ac:dyDescent="0.25">
      <c r="A8766">
        <v>10</v>
      </c>
      <c r="B8766">
        <v>16</v>
      </c>
      <c r="C8766">
        <v>19</v>
      </c>
      <c r="D8766">
        <v>3</v>
      </c>
      <c r="E8766">
        <f t="shared" si="136"/>
        <v>2.1940191402347947E-12</v>
      </c>
    </row>
    <row r="8767" spans="1:5" x14ac:dyDescent="0.25">
      <c r="A8767">
        <v>10</v>
      </c>
      <c r="B8767">
        <v>16</v>
      </c>
      <c r="C8767">
        <v>20</v>
      </c>
      <c r="D8767">
        <v>2</v>
      </c>
      <c r="E8767">
        <f t="shared" si="136"/>
        <v>6.5820574207043889E-13</v>
      </c>
    </row>
    <row r="8768" spans="1:5" x14ac:dyDescent="0.25">
      <c r="A8768">
        <v>10</v>
      </c>
      <c r="B8768">
        <v>16</v>
      </c>
      <c r="C8768">
        <v>21</v>
      </c>
      <c r="D8768">
        <v>1</v>
      </c>
      <c r="E8768">
        <f t="shared" si="136"/>
        <v>1.1753673965543538E-13</v>
      </c>
    </row>
    <row r="8769" spans="1:5" x14ac:dyDescent="0.25">
      <c r="A8769">
        <v>10</v>
      </c>
      <c r="B8769">
        <v>16</v>
      </c>
      <c r="C8769">
        <v>22</v>
      </c>
      <c r="D8769">
        <v>0</v>
      </c>
      <c r="E8769">
        <f t="shared" si="136"/>
        <v>9.4029391724348372E-15</v>
      </c>
    </row>
    <row r="8770" spans="1:5" x14ac:dyDescent="0.25">
      <c r="A8770">
        <v>10</v>
      </c>
      <c r="B8770">
        <v>17</v>
      </c>
      <c r="C8770">
        <v>0</v>
      </c>
      <c r="D8770">
        <v>21</v>
      </c>
      <c r="E8770">
        <f t="shared" si="136"/>
        <v>1.5727181077983664E-26</v>
      </c>
    </row>
    <row r="8771" spans="1:5" x14ac:dyDescent="0.25">
      <c r="A8771">
        <v>10</v>
      </c>
      <c r="B8771">
        <v>17</v>
      </c>
      <c r="C8771">
        <v>1</v>
      </c>
      <c r="D8771">
        <v>20</v>
      </c>
      <c r="E8771">
        <f t="shared" si="136"/>
        <v>4.2935204342895391E-24</v>
      </c>
    </row>
    <row r="8772" spans="1:5" x14ac:dyDescent="0.25">
      <c r="A8772">
        <v>10</v>
      </c>
      <c r="B8772">
        <v>17</v>
      </c>
      <c r="C8772">
        <v>2</v>
      </c>
      <c r="D8772">
        <v>19</v>
      </c>
      <c r="E8772">
        <f t="shared" si="136"/>
        <v>4.5797551299088414E-22</v>
      </c>
    </row>
    <row r="8773" spans="1:5" x14ac:dyDescent="0.25">
      <c r="A8773">
        <v>10</v>
      </c>
      <c r="B8773">
        <v>17</v>
      </c>
      <c r="C8773">
        <v>3</v>
      </c>
      <c r="D8773">
        <v>18</v>
      </c>
      <c r="E8773">
        <f t="shared" si="136"/>
        <v>2.6104604240480407E-20</v>
      </c>
    </row>
    <row r="8774" spans="1:5" x14ac:dyDescent="0.25">
      <c r="A8774">
        <v>10</v>
      </c>
      <c r="B8774">
        <v>17</v>
      </c>
      <c r="C8774">
        <v>4</v>
      </c>
      <c r="D8774">
        <v>17</v>
      </c>
      <c r="E8774">
        <f t="shared" si="136"/>
        <v>9.1039807288675403E-19</v>
      </c>
    </row>
    <row r="8775" spans="1:5" x14ac:dyDescent="0.25">
      <c r="A8775">
        <v>10</v>
      </c>
      <c r="B8775">
        <v>17</v>
      </c>
      <c r="C8775">
        <v>5</v>
      </c>
      <c r="D8775">
        <v>16</v>
      </c>
      <c r="E8775">
        <f t="shared" si="136"/>
        <v>2.0979617812968089E-17</v>
      </c>
    </row>
    <row r="8776" spans="1:5" x14ac:dyDescent="0.25">
      <c r="A8776">
        <v>10</v>
      </c>
      <c r="B8776">
        <v>17</v>
      </c>
      <c r="C8776">
        <v>6</v>
      </c>
      <c r="D8776">
        <v>15</v>
      </c>
      <c r="E8776">
        <f t="shared" si="136"/>
        <v>3.3567388500748938E-16</v>
      </c>
    </row>
    <row r="8777" spans="1:5" x14ac:dyDescent="0.25">
      <c r="A8777">
        <v>10</v>
      </c>
      <c r="B8777">
        <v>17</v>
      </c>
      <c r="C8777">
        <v>7</v>
      </c>
      <c r="D8777">
        <v>14</v>
      </c>
      <c r="E8777">
        <f t="shared" si="136"/>
        <v>3.8580699770341315E-15</v>
      </c>
    </row>
    <row r="8778" spans="1:5" x14ac:dyDescent="0.25">
      <c r="A8778">
        <v>10</v>
      </c>
      <c r="B8778">
        <v>17</v>
      </c>
      <c r="C8778">
        <v>8</v>
      </c>
      <c r="D8778">
        <v>13</v>
      </c>
      <c r="E8778">
        <f t="shared" si="136"/>
        <v>3.2632841889080371E-14</v>
      </c>
    </row>
    <row r="8779" spans="1:5" x14ac:dyDescent="0.25">
      <c r="A8779">
        <v>10</v>
      </c>
      <c r="B8779">
        <v>17</v>
      </c>
      <c r="C8779">
        <v>9</v>
      </c>
      <c r="D8779">
        <v>12</v>
      </c>
      <c r="E8779">
        <f t="shared" si="136"/>
        <v>2.0667466529750901E-13</v>
      </c>
    </row>
    <row r="8780" spans="1:5" x14ac:dyDescent="0.25">
      <c r="A8780">
        <v>10</v>
      </c>
      <c r="B8780">
        <v>17</v>
      </c>
      <c r="C8780">
        <v>10</v>
      </c>
      <c r="D8780">
        <v>11</v>
      </c>
      <c r="E8780">
        <f t="shared" si="136"/>
        <v>9.9203839342804313E-13</v>
      </c>
    </row>
    <row r="8781" spans="1:5" x14ac:dyDescent="0.25">
      <c r="A8781">
        <v>10</v>
      </c>
      <c r="B8781">
        <v>17</v>
      </c>
      <c r="C8781">
        <v>11</v>
      </c>
      <c r="D8781">
        <v>10</v>
      </c>
      <c r="E8781">
        <f t="shared" si="136"/>
        <v>3.637474109236158E-12</v>
      </c>
    </row>
    <row r="8782" spans="1:5" x14ac:dyDescent="0.25">
      <c r="A8782">
        <v>10</v>
      </c>
      <c r="B8782">
        <v>17</v>
      </c>
      <c r="C8782">
        <v>12</v>
      </c>
      <c r="D8782">
        <v>9</v>
      </c>
      <c r="E8782">
        <f t="shared" ref="E8782:E8845" si="137">COMBIN(A$4,A8782)*COMBIN(B$4,B8782)*COMBIN(C$4,C8782)*COMBIN(D$4,D8782)/COMBIN($G$4,$F$4)</f>
        <v>1.0230395932226687E-11</v>
      </c>
    </row>
    <row r="8783" spans="1:5" x14ac:dyDescent="0.25">
      <c r="A8783">
        <v>10</v>
      </c>
      <c r="B8783">
        <v>17</v>
      </c>
      <c r="C8783">
        <v>13</v>
      </c>
      <c r="D8783">
        <v>8</v>
      </c>
      <c r="E8783">
        <f t="shared" si="137"/>
        <v>2.2080990315258522E-11</v>
      </c>
    </row>
    <row r="8784" spans="1:5" x14ac:dyDescent="0.25">
      <c r="A8784">
        <v>10</v>
      </c>
      <c r="B8784">
        <v>17</v>
      </c>
      <c r="C8784">
        <v>14</v>
      </c>
      <c r="D8784">
        <v>7</v>
      </c>
      <c r="E8784">
        <f t="shared" si="137"/>
        <v>3.6451158615664879E-11</v>
      </c>
    </row>
    <row r="8785" spans="1:5" x14ac:dyDescent="0.25">
      <c r="A8785">
        <v>10</v>
      </c>
      <c r="B8785">
        <v>17</v>
      </c>
      <c r="C8785">
        <v>15</v>
      </c>
      <c r="D8785">
        <v>6</v>
      </c>
      <c r="E8785">
        <f t="shared" si="137"/>
        <v>4.5659872371201227E-11</v>
      </c>
    </row>
    <row r="8786" spans="1:5" x14ac:dyDescent="0.25">
      <c r="A8786">
        <v>10</v>
      </c>
      <c r="B8786">
        <v>17</v>
      </c>
      <c r="C8786">
        <v>16</v>
      </c>
      <c r="D8786">
        <v>5</v>
      </c>
      <c r="E8786">
        <f t="shared" si="137"/>
        <v>4.2806130348001159E-11</v>
      </c>
    </row>
    <row r="8787" spans="1:5" x14ac:dyDescent="0.25">
      <c r="A8787">
        <v>10</v>
      </c>
      <c r="B8787">
        <v>17</v>
      </c>
      <c r="C8787">
        <v>17</v>
      </c>
      <c r="D8787">
        <v>4</v>
      </c>
      <c r="E8787">
        <f t="shared" si="137"/>
        <v>2.9376756121177289E-11</v>
      </c>
    </row>
    <row r="8788" spans="1:5" x14ac:dyDescent="0.25">
      <c r="A8788">
        <v>10</v>
      </c>
      <c r="B8788">
        <v>17</v>
      </c>
      <c r="C8788">
        <v>18</v>
      </c>
      <c r="D8788">
        <v>3</v>
      </c>
      <c r="E8788">
        <f t="shared" si="137"/>
        <v>1.4243275695116245E-11</v>
      </c>
    </row>
    <row r="8789" spans="1:5" x14ac:dyDescent="0.25">
      <c r="A8789">
        <v>10</v>
      </c>
      <c r="B8789">
        <v>17</v>
      </c>
      <c r="C8789">
        <v>19</v>
      </c>
      <c r="D8789">
        <v>2</v>
      </c>
      <c r="E8789">
        <f t="shared" si="137"/>
        <v>4.5956564599803006E-12</v>
      </c>
    </row>
    <row r="8790" spans="1:5" x14ac:dyDescent="0.25">
      <c r="A8790">
        <v>10</v>
      </c>
      <c r="B8790">
        <v>17</v>
      </c>
      <c r="C8790">
        <v>20</v>
      </c>
      <c r="D8790">
        <v>1</v>
      </c>
      <c r="E8790">
        <f t="shared" si="137"/>
        <v>8.8083415482955829E-13</v>
      </c>
    </row>
    <row r="8791" spans="1:5" x14ac:dyDescent="0.25">
      <c r="A8791">
        <v>10</v>
      </c>
      <c r="B8791">
        <v>17</v>
      </c>
      <c r="C8791">
        <v>21</v>
      </c>
      <c r="D8791">
        <v>0</v>
      </c>
      <c r="E8791">
        <f t="shared" si="137"/>
        <v>7.5500070413962062E-14</v>
      </c>
    </row>
    <row r="8792" spans="1:5" x14ac:dyDescent="0.25">
      <c r="A8792">
        <v>10</v>
      </c>
      <c r="B8792">
        <v>18</v>
      </c>
      <c r="C8792">
        <v>0</v>
      </c>
      <c r="D8792">
        <v>20</v>
      </c>
      <c r="E8792">
        <f t="shared" si="137"/>
        <v>9.9815175908269616E-25</v>
      </c>
    </row>
    <row r="8793" spans="1:5" x14ac:dyDescent="0.25">
      <c r="A8793">
        <v>10</v>
      </c>
      <c r="B8793">
        <v>18</v>
      </c>
      <c r="C8793">
        <v>1</v>
      </c>
      <c r="D8793">
        <v>19</v>
      </c>
      <c r="E8793">
        <f t="shared" si="137"/>
        <v>2.162662144679175E-22</v>
      </c>
    </row>
    <row r="8794" spans="1:5" x14ac:dyDescent="0.25">
      <c r="A8794">
        <v>10</v>
      </c>
      <c r="B8794">
        <v>18</v>
      </c>
      <c r="C8794">
        <v>2</v>
      </c>
      <c r="D8794">
        <v>18</v>
      </c>
      <c r="E8794">
        <f t="shared" si="137"/>
        <v>1.8784265485213411E-20</v>
      </c>
    </row>
    <row r="8795" spans="1:5" x14ac:dyDescent="0.25">
      <c r="A8795">
        <v>10</v>
      </c>
      <c r="B8795">
        <v>18</v>
      </c>
      <c r="C8795">
        <v>3</v>
      </c>
      <c r="D8795">
        <v>17</v>
      </c>
      <c r="E8795">
        <f t="shared" si="137"/>
        <v>8.8755654417633342E-19</v>
      </c>
    </row>
    <row r="8796" spans="1:5" x14ac:dyDescent="0.25">
      <c r="A8796">
        <v>10</v>
      </c>
      <c r="B8796">
        <v>18</v>
      </c>
      <c r="C8796">
        <v>4</v>
      </c>
      <c r="D8796">
        <v>16</v>
      </c>
      <c r="E8796">
        <f t="shared" si="137"/>
        <v>2.59856832656071E-17</v>
      </c>
    </row>
    <row r="8797" spans="1:5" x14ac:dyDescent="0.25">
      <c r="A8797">
        <v>10</v>
      </c>
      <c r="B8797">
        <v>18</v>
      </c>
      <c r="C8797">
        <v>5</v>
      </c>
      <c r="D8797">
        <v>15</v>
      </c>
      <c r="E8797">
        <f t="shared" si="137"/>
        <v>5.0724053734465055E-16</v>
      </c>
    </row>
    <row r="8798" spans="1:5" x14ac:dyDescent="0.25">
      <c r="A8798">
        <v>10</v>
      </c>
      <c r="B8798">
        <v>18</v>
      </c>
      <c r="C8798">
        <v>6</v>
      </c>
      <c r="D8798">
        <v>14</v>
      </c>
      <c r="E8798">
        <f t="shared" si="137"/>
        <v>6.9169164183361435E-15</v>
      </c>
    </row>
    <row r="8799" spans="1:5" x14ac:dyDescent="0.25">
      <c r="A8799">
        <v>10</v>
      </c>
      <c r="B8799">
        <v>18</v>
      </c>
      <c r="C8799">
        <v>7</v>
      </c>
      <c r="D8799">
        <v>13</v>
      </c>
      <c r="E8799">
        <f t="shared" si="137"/>
        <v>6.8016344780305424E-14</v>
      </c>
    </row>
    <row r="8800" spans="1:5" x14ac:dyDescent="0.25">
      <c r="A8800">
        <v>10</v>
      </c>
      <c r="B8800">
        <v>18</v>
      </c>
      <c r="C8800">
        <v>8</v>
      </c>
      <c r="D8800">
        <v>12</v>
      </c>
      <c r="E8800">
        <f t="shared" si="137"/>
        <v>4.9311849965721448E-13</v>
      </c>
    </row>
    <row r="8801" spans="1:5" x14ac:dyDescent="0.25">
      <c r="A8801">
        <v>10</v>
      </c>
      <c r="B8801">
        <v>18</v>
      </c>
      <c r="C8801">
        <v>9</v>
      </c>
      <c r="D8801">
        <v>11</v>
      </c>
      <c r="E8801">
        <f t="shared" si="137"/>
        <v>2.6769289981391633E-12</v>
      </c>
    </row>
    <row r="8802" spans="1:5" x14ac:dyDescent="0.25">
      <c r="A8802">
        <v>10</v>
      </c>
      <c r="B8802">
        <v>18</v>
      </c>
      <c r="C8802">
        <v>10</v>
      </c>
      <c r="D8802">
        <v>10</v>
      </c>
      <c r="E8802">
        <f t="shared" si="137"/>
        <v>1.0993255085691495E-11</v>
      </c>
    </row>
    <row r="8803" spans="1:5" x14ac:dyDescent="0.25">
      <c r="A8803">
        <v>10</v>
      </c>
      <c r="B8803">
        <v>18</v>
      </c>
      <c r="C8803">
        <v>11</v>
      </c>
      <c r="D8803">
        <v>9</v>
      </c>
      <c r="E8803">
        <f t="shared" si="137"/>
        <v>3.4353922142785932E-11</v>
      </c>
    </row>
    <row r="8804" spans="1:5" x14ac:dyDescent="0.25">
      <c r="A8804">
        <v>10</v>
      </c>
      <c r="B8804">
        <v>18</v>
      </c>
      <c r="C8804">
        <v>12</v>
      </c>
      <c r="D8804">
        <v>8</v>
      </c>
      <c r="E8804">
        <f t="shared" si="137"/>
        <v>8.1843167457813499E-11</v>
      </c>
    </row>
    <row r="8805" spans="1:5" x14ac:dyDescent="0.25">
      <c r="A8805">
        <v>10</v>
      </c>
      <c r="B8805">
        <v>18</v>
      </c>
      <c r="C8805">
        <v>13</v>
      </c>
      <c r="D8805">
        <v>7</v>
      </c>
      <c r="E8805">
        <f t="shared" si="137"/>
        <v>1.4829702137655107E-10</v>
      </c>
    </row>
    <row r="8806" spans="1:5" x14ac:dyDescent="0.25">
      <c r="A8806">
        <v>10</v>
      </c>
      <c r="B8806">
        <v>18</v>
      </c>
      <c r="C8806">
        <v>14</v>
      </c>
      <c r="D8806">
        <v>6</v>
      </c>
      <c r="E8806">
        <f t="shared" si="137"/>
        <v>2.0293276609422771E-10</v>
      </c>
    </row>
    <row r="8807" spans="1:5" x14ac:dyDescent="0.25">
      <c r="A8807">
        <v>10</v>
      </c>
      <c r="B8807">
        <v>18</v>
      </c>
      <c r="C8807">
        <v>15</v>
      </c>
      <c r="D8807">
        <v>5</v>
      </c>
      <c r="E8807">
        <f t="shared" si="137"/>
        <v>2.0699142141611219E-10</v>
      </c>
    </row>
    <row r="8808" spans="1:5" x14ac:dyDescent="0.25">
      <c r="A8808">
        <v>10</v>
      </c>
      <c r="B8808">
        <v>18</v>
      </c>
      <c r="C8808">
        <v>16</v>
      </c>
      <c r="D8808">
        <v>4</v>
      </c>
      <c r="E8808">
        <f t="shared" si="137"/>
        <v>1.5401147426794071E-10</v>
      </c>
    </row>
    <row r="8809" spans="1:5" x14ac:dyDescent="0.25">
      <c r="A8809">
        <v>10</v>
      </c>
      <c r="B8809">
        <v>18</v>
      </c>
      <c r="C8809">
        <v>17</v>
      </c>
      <c r="D8809">
        <v>3</v>
      </c>
      <c r="E8809">
        <f t="shared" si="137"/>
        <v>8.0711895605658788E-11</v>
      </c>
    </row>
    <row r="8810" spans="1:5" x14ac:dyDescent="0.25">
      <c r="A8810">
        <v>10</v>
      </c>
      <c r="B8810">
        <v>18</v>
      </c>
      <c r="C8810">
        <v>18</v>
      </c>
      <c r="D8810">
        <v>2</v>
      </c>
      <c r="E8810">
        <f t="shared" si="137"/>
        <v>2.807370281935955E-11</v>
      </c>
    </row>
    <row r="8811" spans="1:5" x14ac:dyDescent="0.25">
      <c r="A8811">
        <v>10</v>
      </c>
      <c r="B8811">
        <v>18</v>
      </c>
      <c r="C8811">
        <v>19</v>
      </c>
      <c r="D8811">
        <v>1</v>
      </c>
      <c r="E8811">
        <f t="shared" si="137"/>
        <v>5.7871229496048227E-12</v>
      </c>
    </row>
    <row r="8812" spans="1:5" x14ac:dyDescent="0.25">
      <c r="A8812">
        <v>10</v>
      </c>
      <c r="B8812">
        <v>18</v>
      </c>
      <c r="C8812">
        <v>20</v>
      </c>
      <c r="D8812">
        <v>0</v>
      </c>
      <c r="E8812">
        <f t="shared" si="137"/>
        <v>5.3241531136364406E-13</v>
      </c>
    </row>
    <row r="8813" spans="1:5" x14ac:dyDescent="0.25">
      <c r="A8813">
        <v>10</v>
      </c>
      <c r="B8813">
        <v>19</v>
      </c>
      <c r="C8813">
        <v>0</v>
      </c>
      <c r="D8813">
        <v>19</v>
      </c>
      <c r="E8813">
        <f t="shared" si="137"/>
        <v>4.7455987142352731E-23</v>
      </c>
    </row>
    <row r="8814" spans="1:5" x14ac:dyDescent="0.25">
      <c r="A8814">
        <v>10</v>
      </c>
      <c r="B8814">
        <v>19</v>
      </c>
      <c r="C8814">
        <v>1</v>
      </c>
      <c r="D8814">
        <v>18</v>
      </c>
      <c r="E8814">
        <f t="shared" si="137"/>
        <v>8.3725920172579495E-21</v>
      </c>
    </row>
    <row r="8815" spans="1:5" x14ac:dyDescent="0.25">
      <c r="A8815">
        <v>10</v>
      </c>
      <c r="B8815">
        <v>19</v>
      </c>
      <c r="C8815">
        <v>2</v>
      </c>
      <c r="D8815">
        <v>17</v>
      </c>
      <c r="E8815">
        <f t="shared" si="137"/>
        <v>6.028266252425723E-19</v>
      </c>
    </row>
    <row r="8816" spans="1:5" x14ac:dyDescent="0.25">
      <c r="A8816">
        <v>10</v>
      </c>
      <c r="B8816">
        <v>19</v>
      </c>
      <c r="C8816">
        <v>3</v>
      </c>
      <c r="D8816">
        <v>16</v>
      </c>
      <c r="E8816">
        <f t="shared" si="137"/>
        <v>2.3912122801288699E-17</v>
      </c>
    </row>
    <row r="8817" spans="1:5" x14ac:dyDescent="0.25">
      <c r="A8817">
        <v>10</v>
      </c>
      <c r="B8817">
        <v>19</v>
      </c>
      <c r="C8817">
        <v>4</v>
      </c>
      <c r="D8817">
        <v>15</v>
      </c>
      <c r="E8817">
        <f t="shared" si="137"/>
        <v>5.9302064547195961E-16</v>
      </c>
    </row>
    <row r="8818" spans="1:5" x14ac:dyDescent="0.25">
      <c r="A8818">
        <v>10</v>
      </c>
      <c r="B8818">
        <v>19</v>
      </c>
      <c r="C8818">
        <v>5</v>
      </c>
      <c r="D8818">
        <v>14</v>
      </c>
      <c r="E8818">
        <f t="shared" si="137"/>
        <v>9.8657071019426028E-15</v>
      </c>
    </row>
    <row r="8819" spans="1:5" x14ac:dyDescent="0.25">
      <c r="A8819">
        <v>10</v>
      </c>
      <c r="B8819">
        <v>19</v>
      </c>
      <c r="C8819">
        <v>6</v>
      </c>
      <c r="D8819">
        <v>13</v>
      </c>
      <c r="E8819">
        <f t="shared" si="137"/>
        <v>1.1509991618933038E-13</v>
      </c>
    </row>
    <row r="8820" spans="1:5" x14ac:dyDescent="0.25">
      <c r="A8820">
        <v>10</v>
      </c>
      <c r="B8820">
        <v>19</v>
      </c>
      <c r="C8820">
        <v>7</v>
      </c>
      <c r="D8820">
        <v>12</v>
      </c>
      <c r="E8820">
        <f t="shared" si="137"/>
        <v>9.7012786502435611E-13</v>
      </c>
    </row>
    <row r="8821" spans="1:5" x14ac:dyDescent="0.25">
      <c r="A8821">
        <v>10</v>
      </c>
      <c r="B8821">
        <v>19</v>
      </c>
      <c r="C8821">
        <v>8</v>
      </c>
      <c r="D8821">
        <v>11</v>
      </c>
      <c r="E8821">
        <f t="shared" si="137"/>
        <v>6.0286517326513564E-12</v>
      </c>
    </row>
    <row r="8822" spans="1:5" x14ac:dyDescent="0.25">
      <c r="A8822">
        <v>10</v>
      </c>
      <c r="B8822">
        <v>19</v>
      </c>
      <c r="C8822">
        <v>9</v>
      </c>
      <c r="D8822">
        <v>10</v>
      </c>
      <c r="E8822">
        <f t="shared" si="137"/>
        <v>2.7999738047202956E-11</v>
      </c>
    </row>
    <row r="8823" spans="1:5" x14ac:dyDescent="0.25">
      <c r="A8823">
        <v>10</v>
      </c>
      <c r="B8823">
        <v>19</v>
      </c>
      <c r="C8823">
        <v>10</v>
      </c>
      <c r="D8823">
        <v>9</v>
      </c>
      <c r="E8823">
        <f t="shared" si="137"/>
        <v>9.7999083165210384E-11</v>
      </c>
    </row>
    <row r="8824" spans="1:5" x14ac:dyDescent="0.25">
      <c r="A8824">
        <v>10</v>
      </c>
      <c r="B8824">
        <v>19</v>
      </c>
      <c r="C8824">
        <v>11</v>
      </c>
      <c r="D8824">
        <v>8</v>
      </c>
      <c r="E8824">
        <f t="shared" si="137"/>
        <v>2.5940933779026278E-10</v>
      </c>
    </row>
    <row r="8825" spans="1:5" x14ac:dyDescent="0.25">
      <c r="A8825">
        <v>10</v>
      </c>
      <c r="B8825">
        <v>19</v>
      </c>
      <c r="C8825">
        <v>12</v>
      </c>
      <c r="D8825">
        <v>7</v>
      </c>
      <c r="E8825">
        <f t="shared" si="137"/>
        <v>5.1881867558052535E-10</v>
      </c>
    </row>
    <row r="8826" spans="1:5" x14ac:dyDescent="0.25">
      <c r="A8826">
        <v>10</v>
      </c>
      <c r="B8826">
        <v>19</v>
      </c>
      <c r="C8826">
        <v>13</v>
      </c>
      <c r="D8826">
        <v>6</v>
      </c>
      <c r="E8826">
        <f t="shared" si="137"/>
        <v>7.7927825360475672E-10</v>
      </c>
    </row>
    <row r="8827" spans="1:5" x14ac:dyDescent="0.25">
      <c r="A8827">
        <v>10</v>
      </c>
      <c r="B8827">
        <v>19</v>
      </c>
      <c r="C8827">
        <v>14</v>
      </c>
      <c r="D8827">
        <v>5</v>
      </c>
      <c r="E8827">
        <f t="shared" si="137"/>
        <v>8.6833862544530048E-10</v>
      </c>
    </row>
    <row r="8828" spans="1:5" x14ac:dyDescent="0.25">
      <c r="A8828">
        <v>10</v>
      </c>
      <c r="B8828">
        <v>19</v>
      </c>
      <c r="C8828">
        <v>15</v>
      </c>
      <c r="D8828">
        <v>4</v>
      </c>
      <c r="E8828">
        <f t="shared" si="137"/>
        <v>7.0294079202714801E-10</v>
      </c>
    </row>
    <row r="8829" spans="1:5" x14ac:dyDescent="0.25">
      <c r="A8829">
        <v>10</v>
      </c>
      <c r="B8829">
        <v>19</v>
      </c>
      <c r="C8829">
        <v>16</v>
      </c>
      <c r="D8829">
        <v>3</v>
      </c>
      <c r="E8829">
        <f t="shared" si="137"/>
        <v>3.9939817728815226E-10</v>
      </c>
    </row>
    <row r="8830" spans="1:5" x14ac:dyDescent="0.25">
      <c r="A8830">
        <v>10</v>
      </c>
      <c r="B8830">
        <v>19</v>
      </c>
      <c r="C8830">
        <v>17</v>
      </c>
      <c r="D8830">
        <v>2</v>
      </c>
      <c r="E8830">
        <f t="shared" si="137"/>
        <v>1.5015737100091664E-10</v>
      </c>
    </row>
    <row r="8831" spans="1:5" x14ac:dyDescent="0.25">
      <c r="A8831">
        <v>10</v>
      </c>
      <c r="B8831">
        <v>19</v>
      </c>
      <c r="C8831">
        <v>18</v>
      </c>
      <c r="D8831">
        <v>1</v>
      </c>
      <c r="E8831">
        <f t="shared" si="137"/>
        <v>3.3368304666870335E-11</v>
      </c>
    </row>
    <row r="8832" spans="1:5" x14ac:dyDescent="0.25">
      <c r="A8832">
        <v>10</v>
      </c>
      <c r="B8832">
        <v>19</v>
      </c>
      <c r="C8832">
        <v>19</v>
      </c>
      <c r="D8832">
        <v>0</v>
      </c>
      <c r="E8832">
        <f t="shared" si="137"/>
        <v>3.3017059354587506E-12</v>
      </c>
    </row>
    <row r="8833" spans="1:5" x14ac:dyDescent="0.25">
      <c r="A8833">
        <v>10</v>
      </c>
      <c r="B8833">
        <v>20</v>
      </c>
      <c r="C8833">
        <v>0</v>
      </c>
      <c r="D8833">
        <v>18</v>
      </c>
      <c r="E8833">
        <f t="shared" si="137"/>
        <v>1.7389229574304973E-21</v>
      </c>
    </row>
    <row r="8834" spans="1:5" x14ac:dyDescent="0.25">
      <c r="A8834">
        <v>10</v>
      </c>
      <c r="B8834">
        <v>20</v>
      </c>
      <c r="C8834">
        <v>1</v>
      </c>
      <c r="D8834">
        <v>17</v>
      </c>
      <c r="E8834">
        <f t="shared" si="137"/>
        <v>2.5431748252421019E-19</v>
      </c>
    </row>
    <row r="8835" spans="1:5" x14ac:dyDescent="0.25">
      <c r="A8835">
        <v>10</v>
      </c>
      <c r="B8835">
        <v>20</v>
      </c>
      <c r="C8835">
        <v>2</v>
      </c>
      <c r="D8835">
        <v>16</v>
      </c>
      <c r="E8835">
        <f t="shared" si="137"/>
        <v>1.5372078943685594E-17</v>
      </c>
    </row>
    <row r="8836" spans="1:5" x14ac:dyDescent="0.25">
      <c r="A8836">
        <v>10</v>
      </c>
      <c r="B8836">
        <v>20</v>
      </c>
      <c r="C8836">
        <v>3</v>
      </c>
      <c r="D8836">
        <v>15</v>
      </c>
      <c r="E8836">
        <f t="shared" si="137"/>
        <v>5.1650185250783583E-16</v>
      </c>
    </row>
    <row r="8837" spans="1:5" x14ac:dyDescent="0.25">
      <c r="A8837">
        <v>10</v>
      </c>
      <c r="B8837">
        <v>20</v>
      </c>
      <c r="C8837">
        <v>4</v>
      </c>
      <c r="D8837">
        <v>14</v>
      </c>
      <c r="E8837">
        <f t="shared" si="137"/>
        <v>1.0916970973461077E-14</v>
      </c>
    </row>
    <row r="8838" spans="1:5" x14ac:dyDescent="0.25">
      <c r="A8838">
        <v>10</v>
      </c>
      <c r="B8838">
        <v>20</v>
      </c>
      <c r="C8838">
        <v>5</v>
      </c>
      <c r="D8838">
        <v>13</v>
      </c>
      <c r="E8838">
        <f t="shared" si="137"/>
        <v>1.5538488685559602E-13</v>
      </c>
    </row>
    <row r="8839" spans="1:5" x14ac:dyDescent="0.25">
      <c r="A8839">
        <v>10</v>
      </c>
      <c r="B8839">
        <v>20</v>
      </c>
      <c r="C8839">
        <v>6</v>
      </c>
      <c r="D8839">
        <v>12</v>
      </c>
      <c r="E8839">
        <f t="shared" si="137"/>
        <v>1.5538488685559604E-12</v>
      </c>
    </row>
    <row r="8840" spans="1:5" x14ac:dyDescent="0.25">
      <c r="A8840">
        <v>10</v>
      </c>
      <c r="B8840">
        <v>20</v>
      </c>
      <c r="C8840">
        <v>7</v>
      </c>
      <c r="D8840">
        <v>11</v>
      </c>
      <c r="E8840">
        <f t="shared" si="137"/>
        <v>1.1225765295281832E-11</v>
      </c>
    </row>
    <row r="8841" spans="1:5" x14ac:dyDescent="0.25">
      <c r="A8841">
        <v>10</v>
      </c>
      <c r="B8841">
        <v>20</v>
      </c>
      <c r="C8841">
        <v>8</v>
      </c>
      <c r="D8841">
        <v>10</v>
      </c>
      <c r="E8841">
        <f t="shared" si="137"/>
        <v>5.9683652153248426E-11</v>
      </c>
    </row>
    <row r="8842" spans="1:5" x14ac:dyDescent="0.25">
      <c r="A8842">
        <v>10</v>
      </c>
      <c r="B8842">
        <v>20</v>
      </c>
      <c r="C8842">
        <v>9</v>
      </c>
      <c r="D8842">
        <v>9</v>
      </c>
      <c r="E8842">
        <f t="shared" si="137"/>
        <v>2.3624778977327498E-10</v>
      </c>
    </row>
    <row r="8843" spans="1:5" x14ac:dyDescent="0.25">
      <c r="A8843">
        <v>10</v>
      </c>
      <c r="B8843">
        <v>20</v>
      </c>
      <c r="C8843">
        <v>10</v>
      </c>
      <c r="D8843">
        <v>8</v>
      </c>
      <c r="E8843">
        <f t="shared" si="137"/>
        <v>7.0040521203370959E-10</v>
      </c>
    </row>
    <row r="8844" spans="1:5" x14ac:dyDescent="0.25">
      <c r="A8844">
        <v>10</v>
      </c>
      <c r="B8844">
        <v>20</v>
      </c>
      <c r="C8844">
        <v>11</v>
      </c>
      <c r="D8844">
        <v>7</v>
      </c>
      <c r="E8844">
        <f t="shared" si="137"/>
        <v>1.5564560267415773E-9</v>
      </c>
    </row>
    <row r="8845" spans="1:5" x14ac:dyDescent="0.25">
      <c r="A8845">
        <v>10</v>
      </c>
      <c r="B8845">
        <v>20</v>
      </c>
      <c r="C8845">
        <v>12</v>
      </c>
      <c r="D8845">
        <v>6</v>
      </c>
      <c r="E8845">
        <f t="shared" si="137"/>
        <v>2.5804402548610331E-9</v>
      </c>
    </row>
    <row r="8846" spans="1:5" x14ac:dyDescent="0.25">
      <c r="A8846">
        <v>10</v>
      </c>
      <c r="B8846">
        <v>20</v>
      </c>
      <c r="C8846">
        <v>13</v>
      </c>
      <c r="D8846">
        <v>5</v>
      </c>
      <c r="E8846">
        <f t="shared" ref="E8846:E8909" si="138">COMBIN(A$4,A8846)*COMBIN(B$4,B8846)*COMBIN(C$4,C8846)*COMBIN(D$4,D8846)/COMBIN($G$4,$F$4)</f>
        <v>3.1560769270992648E-9</v>
      </c>
    </row>
    <row r="8847" spans="1:5" x14ac:dyDescent="0.25">
      <c r="A8847">
        <v>10</v>
      </c>
      <c r="B8847">
        <v>20</v>
      </c>
      <c r="C8847">
        <v>14</v>
      </c>
      <c r="D8847">
        <v>4</v>
      </c>
      <c r="E8847">
        <f t="shared" si="138"/>
        <v>2.7910884389313242E-9</v>
      </c>
    </row>
    <row r="8848" spans="1:5" x14ac:dyDescent="0.25">
      <c r="A8848">
        <v>10</v>
      </c>
      <c r="B8848">
        <v>20</v>
      </c>
      <c r="C8848">
        <v>15</v>
      </c>
      <c r="D8848">
        <v>3</v>
      </c>
      <c r="E8848">
        <f t="shared" si="138"/>
        <v>1.7254001258848174E-9</v>
      </c>
    </row>
    <row r="8849" spans="1:5" x14ac:dyDescent="0.25">
      <c r="A8849">
        <v>10</v>
      </c>
      <c r="B8849">
        <v>20</v>
      </c>
      <c r="C8849">
        <v>16</v>
      </c>
      <c r="D8849">
        <v>2</v>
      </c>
      <c r="E8849">
        <f t="shared" si="138"/>
        <v>7.0328809479000712E-10</v>
      </c>
    </row>
    <row r="8850" spans="1:5" x14ac:dyDescent="0.25">
      <c r="A8850">
        <v>10</v>
      </c>
      <c r="B8850">
        <v>20</v>
      </c>
      <c r="C8850">
        <v>17</v>
      </c>
      <c r="D8850">
        <v>1</v>
      </c>
      <c r="E8850">
        <f t="shared" si="138"/>
        <v>1.6892704237603123E-10</v>
      </c>
    </row>
    <row r="8851" spans="1:5" x14ac:dyDescent="0.25">
      <c r="A8851">
        <v>10</v>
      </c>
      <c r="B8851">
        <v>20</v>
      </c>
      <c r="C8851">
        <v>18</v>
      </c>
      <c r="D8851">
        <v>0</v>
      </c>
      <c r="E8851">
        <f t="shared" si="138"/>
        <v>1.8018884520109984E-11</v>
      </c>
    </row>
    <row r="8852" spans="1:5" x14ac:dyDescent="0.25">
      <c r="A8852">
        <v>10</v>
      </c>
      <c r="B8852">
        <v>21</v>
      </c>
      <c r="C8852">
        <v>0</v>
      </c>
      <c r="D8852">
        <v>17</v>
      </c>
      <c r="E8852">
        <f t="shared" si="138"/>
        <v>5.0118243808800409E-20</v>
      </c>
    </row>
    <row r="8853" spans="1:5" x14ac:dyDescent="0.25">
      <c r="A8853">
        <v>10</v>
      </c>
      <c r="B8853">
        <v>21</v>
      </c>
      <c r="C8853">
        <v>1</v>
      </c>
      <c r="D8853">
        <v>16</v>
      </c>
      <c r="E8853">
        <f t="shared" si="138"/>
        <v>6.153406600969384E-18</v>
      </c>
    </row>
    <row r="8854" spans="1:5" x14ac:dyDescent="0.25">
      <c r="A8854">
        <v>10</v>
      </c>
      <c r="B8854">
        <v>21</v>
      </c>
      <c r="C8854">
        <v>2</v>
      </c>
      <c r="D8854">
        <v>15</v>
      </c>
      <c r="E8854">
        <f t="shared" si="138"/>
        <v>3.1505441796963242E-16</v>
      </c>
    </row>
    <row r="8855" spans="1:5" x14ac:dyDescent="0.25">
      <c r="A8855">
        <v>10</v>
      </c>
      <c r="B8855">
        <v>21</v>
      </c>
      <c r="C8855">
        <v>3</v>
      </c>
      <c r="D8855">
        <v>14</v>
      </c>
      <c r="E8855">
        <f t="shared" si="138"/>
        <v>9.0220128782212933E-15</v>
      </c>
    </row>
    <row r="8856" spans="1:5" x14ac:dyDescent="0.25">
      <c r="A8856">
        <v>10</v>
      </c>
      <c r="B8856">
        <v>21</v>
      </c>
      <c r="C8856">
        <v>4</v>
      </c>
      <c r="D8856">
        <v>13</v>
      </c>
      <c r="E8856">
        <f t="shared" si="138"/>
        <v>1.6314806621450173E-13</v>
      </c>
    </row>
    <row r="8857" spans="1:5" x14ac:dyDescent="0.25">
      <c r="A8857">
        <v>10</v>
      </c>
      <c r="B8857">
        <v>21</v>
      </c>
      <c r="C8857">
        <v>5</v>
      </c>
      <c r="D8857">
        <v>12</v>
      </c>
      <c r="E8857">
        <f t="shared" si="138"/>
        <v>1.9904064078169216E-12</v>
      </c>
    </row>
    <row r="8858" spans="1:5" x14ac:dyDescent="0.25">
      <c r="A8858">
        <v>10</v>
      </c>
      <c r="B8858">
        <v>21</v>
      </c>
      <c r="C8858">
        <v>6</v>
      </c>
      <c r="D8858">
        <v>11</v>
      </c>
      <c r="E8858">
        <f t="shared" si="138"/>
        <v>1.7060626352716466E-11</v>
      </c>
    </row>
    <row r="8859" spans="1:5" x14ac:dyDescent="0.25">
      <c r="A8859">
        <v>10</v>
      </c>
      <c r="B8859">
        <v>21</v>
      </c>
      <c r="C8859">
        <v>7</v>
      </c>
      <c r="D8859">
        <v>10</v>
      </c>
      <c r="E8859">
        <f t="shared" si="138"/>
        <v>1.0545091907536175E-10</v>
      </c>
    </row>
    <row r="8860" spans="1:5" x14ac:dyDescent="0.25">
      <c r="A8860">
        <v>10</v>
      </c>
      <c r="B8860">
        <v>21</v>
      </c>
      <c r="C8860">
        <v>8</v>
      </c>
      <c r="D8860">
        <v>9</v>
      </c>
      <c r="E8860">
        <f t="shared" si="138"/>
        <v>4.778244770602331E-10</v>
      </c>
    </row>
    <row r="8861" spans="1:5" x14ac:dyDescent="0.25">
      <c r="A8861">
        <v>10</v>
      </c>
      <c r="B8861">
        <v>21</v>
      </c>
      <c r="C8861">
        <v>9</v>
      </c>
      <c r="D8861">
        <v>8</v>
      </c>
      <c r="E8861">
        <f t="shared" si="138"/>
        <v>1.6021173642607814E-9</v>
      </c>
    </row>
    <row r="8862" spans="1:5" x14ac:dyDescent="0.25">
      <c r="A8862">
        <v>10</v>
      </c>
      <c r="B8862">
        <v>21</v>
      </c>
      <c r="C8862">
        <v>10</v>
      </c>
      <c r="D8862">
        <v>7</v>
      </c>
      <c r="E8862">
        <f t="shared" si="138"/>
        <v>3.9874921066046129E-9</v>
      </c>
    </row>
    <row r="8863" spans="1:5" x14ac:dyDescent="0.25">
      <c r="A8863">
        <v>10</v>
      </c>
      <c r="B8863">
        <v>21</v>
      </c>
      <c r="C8863">
        <v>11</v>
      </c>
      <c r="D8863">
        <v>6</v>
      </c>
      <c r="E8863">
        <f t="shared" si="138"/>
        <v>7.345380196376916E-9</v>
      </c>
    </row>
    <row r="8864" spans="1:5" x14ac:dyDescent="0.25">
      <c r="A8864">
        <v>10</v>
      </c>
      <c r="B8864">
        <v>21</v>
      </c>
      <c r="C8864">
        <v>12</v>
      </c>
      <c r="D8864">
        <v>5</v>
      </c>
      <c r="E8864">
        <f t="shared" si="138"/>
        <v>9.9162632651088307E-9</v>
      </c>
    </row>
    <row r="8865" spans="1:5" x14ac:dyDescent="0.25">
      <c r="A8865">
        <v>10</v>
      </c>
      <c r="B8865">
        <v>21</v>
      </c>
      <c r="C8865">
        <v>13</v>
      </c>
      <c r="D8865">
        <v>4</v>
      </c>
      <c r="E8865">
        <f t="shared" si="138"/>
        <v>9.6256767958016192E-9</v>
      </c>
    </row>
    <row r="8866" spans="1:5" x14ac:dyDescent="0.25">
      <c r="A8866">
        <v>10</v>
      </c>
      <c r="B8866">
        <v>21</v>
      </c>
      <c r="C8866">
        <v>14</v>
      </c>
      <c r="D8866">
        <v>3</v>
      </c>
      <c r="E8866">
        <f t="shared" si="138"/>
        <v>6.5004570569049898E-9</v>
      </c>
    </row>
    <row r="8867" spans="1:5" x14ac:dyDescent="0.25">
      <c r="A8867">
        <v>10</v>
      </c>
      <c r="B8867">
        <v>21</v>
      </c>
      <c r="C8867">
        <v>15</v>
      </c>
      <c r="D8867">
        <v>2</v>
      </c>
      <c r="E8867">
        <f t="shared" si="138"/>
        <v>2.8828113904535159E-9</v>
      </c>
    </row>
    <row r="8868" spans="1:5" x14ac:dyDescent="0.25">
      <c r="A8868">
        <v>10</v>
      </c>
      <c r="B8868">
        <v>21</v>
      </c>
      <c r="C8868">
        <v>16</v>
      </c>
      <c r="D8868">
        <v>1</v>
      </c>
      <c r="E8868">
        <f t="shared" si="138"/>
        <v>7.5073213293060323E-10</v>
      </c>
    </row>
    <row r="8869" spans="1:5" x14ac:dyDescent="0.25">
      <c r="A8869">
        <v>10</v>
      </c>
      <c r="B8869">
        <v>21</v>
      </c>
      <c r="C8869">
        <v>17</v>
      </c>
      <c r="D8869">
        <v>0</v>
      </c>
      <c r="E8869">
        <f t="shared" si="138"/>
        <v>8.6554998855528432E-11</v>
      </c>
    </row>
    <row r="8870" spans="1:5" x14ac:dyDescent="0.25">
      <c r="A8870">
        <v>10</v>
      </c>
      <c r="B8870">
        <v>22</v>
      </c>
      <c r="C8870">
        <v>0</v>
      </c>
      <c r="D8870">
        <v>16</v>
      </c>
      <c r="E8870">
        <f t="shared" si="138"/>
        <v>1.1532258524893672E-18</v>
      </c>
    </row>
    <row r="8871" spans="1:5" x14ac:dyDescent="0.25">
      <c r="A8871">
        <v>10</v>
      </c>
      <c r="B8871">
        <v>22</v>
      </c>
      <c r="C8871">
        <v>1</v>
      </c>
      <c r="D8871">
        <v>15</v>
      </c>
      <c r="E8871">
        <f t="shared" si="138"/>
        <v>1.1993548865889416E-16</v>
      </c>
    </row>
    <row r="8872" spans="1:5" x14ac:dyDescent="0.25">
      <c r="A8872">
        <v>10</v>
      </c>
      <c r="B8872">
        <v>22</v>
      </c>
      <c r="C8872">
        <v>2</v>
      </c>
      <c r="D8872">
        <v>14</v>
      </c>
      <c r="E8872">
        <f t="shared" si="138"/>
        <v>5.2335485960244726E-15</v>
      </c>
    </row>
    <row r="8873" spans="1:5" x14ac:dyDescent="0.25">
      <c r="A8873">
        <v>10</v>
      </c>
      <c r="B8873">
        <v>22</v>
      </c>
      <c r="C8873">
        <v>3</v>
      </c>
      <c r="D8873">
        <v>13</v>
      </c>
      <c r="E8873">
        <f t="shared" si="138"/>
        <v>1.2822194060259962E-13</v>
      </c>
    </row>
    <row r="8874" spans="1:5" x14ac:dyDescent="0.25">
      <c r="A8874">
        <v>10</v>
      </c>
      <c r="B8874">
        <v>22</v>
      </c>
      <c r="C8874">
        <v>4</v>
      </c>
      <c r="D8874">
        <v>12</v>
      </c>
      <c r="E8874">
        <f t="shared" si="138"/>
        <v>1.9874400793402941E-12</v>
      </c>
    </row>
    <row r="8875" spans="1:5" x14ac:dyDescent="0.25">
      <c r="A8875">
        <v>10</v>
      </c>
      <c r="B8875">
        <v>22</v>
      </c>
      <c r="C8875">
        <v>5</v>
      </c>
      <c r="D8875">
        <v>11</v>
      </c>
      <c r="E8875">
        <f t="shared" si="138"/>
        <v>2.078294482967279E-11</v>
      </c>
    </row>
    <row r="8876" spans="1:5" x14ac:dyDescent="0.25">
      <c r="A8876">
        <v>10</v>
      </c>
      <c r="B8876">
        <v>22</v>
      </c>
      <c r="C8876">
        <v>6</v>
      </c>
      <c r="D8876">
        <v>10</v>
      </c>
      <c r="E8876">
        <f t="shared" si="138"/>
        <v>1.5240826208426705E-10</v>
      </c>
    </row>
    <row r="8877" spans="1:5" x14ac:dyDescent="0.25">
      <c r="A8877">
        <v>10</v>
      </c>
      <c r="B8877">
        <v>22</v>
      </c>
      <c r="C8877">
        <v>7</v>
      </c>
      <c r="D8877">
        <v>9</v>
      </c>
      <c r="E8877">
        <f t="shared" si="138"/>
        <v>8.0286495205104984E-10</v>
      </c>
    </row>
    <row r="8878" spans="1:5" x14ac:dyDescent="0.25">
      <c r="A8878">
        <v>10</v>
      </c>
      <c r="B8878">
        <v>22</v>
      </c>
      <c r="C8878">
        <v>8</v>
      </c>
      <c r="D8878">
        <v>8</v>
      </c>
      <c r="E8878">
        <f t="shared" si="138"/>
        <v>3.0815845953724128E-9</v>
      </c>
    </row>
    <row r="8879" spans="1:5" x14ac:dyDescent="0.25">
      <c r="A8879">
        <v>10</v>
      </c>
      <c r="B8879">
        <v>22</v>
      </c>
      <c r="C8879">
        <v>9</v>
      </c>
      <c r="D8879">
        <v>7</v>
      </c>
      <c r="E8879">
        <f t="shared" si="138"/>
        <v>8.674089972159383E-9</v>
      </c>
    </row>
    <row r="8880" spans="1:5" x14ac:dyDescent="0.25">
      <c r="A8880">
        <v>10</v>
      </c>
      <c r="B8880">
        <v>22</v>
      </c>
      <c r="C8880">
        <v>10</v>
      </c>
      <c r="D8880">
        <v>6</v>
      </c>
      <c r="E8880">
        <f t="shared" si="138"/>
        <v>1.7896017205718305E-8</v>
      </c>
    </row>
    <row r="8881" spans="1:5" x14ac:dyDescent="0.25">
      <c r="A8881">
        <v>10</v>
      </c>
      <c r="B8881">
        <v>22</v>
      </c>
      <c r="C8881">
        <v>11</v>
      </c>
      <c r="D8881">
        <v>5</v>
      </c>
      <c r="E8881">
        <f t="shared" si="138"/>
        <v>2.684402580857746E-8</v>
      </c>
    </row>
    <row r="8882" spans="1:5" x14ac:dyDescent="0.25">
      <c r="A8882">
        <v>10</v>
      </c>
      <c r="B8882">
        <v>22</v>
      </c>
      <c r="C8882">
        <v>12</v>
      </c>
      <c r="D8882">
        <v>4</v>
      </c>
      <c r="E8882">
        <f t="shared" si="138"/>
        <v>2.8761456223475838E-8</v>
      </c>
    </row>
    <row r="8883" spans="1:5" x14ac:dyDescent="0.25">
      <c r="A8883">
        <v>10</v>
      </c>
      <c r="B8883">
        <v>22</v>
      </c>
      <c r="C8883">
        <v>13</v>
      </c>
      <c r="D8883">
        <v>3</v>
      </c>
      <c r="E8883">
        <f t="shared" si="138"/>
        <v>2.13196808369821E-8</v>
      </c>
    </row>
    <row r="8884" spans="1:5" x14ac:dyDescent="0.25">
      <c r="A8884">
        <v>10</v>
      </c>
      <c r="B8884">
        <v>22</v>
      </c>
      <c r="C8884">
        <v>14</v>
      </c>
      <c r="D8884">
        <v>2</v>
      </c>
      <c r="E8884">
        <f t="shared" si="138"/>
        <v>1.0328789473817416E-8</v>
      </c>
    </row>
    <row r="8885" spans="1:5" x14ac:dyDescent="0.25">
      <c r="A8885">
        <v>10</v>
      </c>
      <c r="B8885">
        <v>22</v>
      </c>
      <c r="C8885">
        <v>15</v>
      </c>
      <c r="D8885">
        <v>1</v>
      </c>
      <c r="E8885">
        <f t="shared" si="138"/>
        <v>2.9264903509149329E-9</v>
      </c>
    </row>
    <row r="8886" spans="1:5" x14ac:dyDescent="0.25">
      <c r="A8886">
        <v>10</v>
      </c>
      <c r="B8886">
        <v>22</v>
      </c>
      <c r="C8886">
        <v>16</v>
      </c>
      <c r="D8886">
        <v>0</v>
      </c>
      <c r="E8886">
        <f t="shared" si="138"/>
        <v>3.6581129386436666E-10</v>
      </c>
    </row>
    <row r="8887" spans="1:5" x14ac:dyDescent="0.25">
      <c r="A8887">
        <v>10</v>
      </c>
      <c r="B8887">
        <v>23</v>
      </c>
      <c r="C8887">
        <v>0</v>
      </c>
      <c r="D8887">
        <v>15</v>
      </c>
      <c r="E8887">
        <f t="shared" si="138"/>
        <v>2.1419916703628573E-17</v>
      </c>
    </row>
    <row r="8888" spans="1:5" x14ac:dyDescent="0.25">
      <c r="A8888">
        <v>10</v>
      </c>
      <c r="B8888">
        <v>23</v>
      </c>
      <c r="C8888">
        <v>1</v>
      </c>
      <c r="D8888">
        <v>14</v>
      </c>
      <c r="E8888">
        <f t="shared" si="138"/>
        <v>1.8985835260034421E-15</v>
      </c>
    </row>
    <row r="8889" spans="1:5" x14ac:dyDescent="0.25">
      <c r="A8889">
        <v>10</v>
      </c>
      <c r="B8889">
        <v>23</v>
      </c>
      <c r="C8889">
        <v>2</v>
      </c>
      <c r="D8889">
        <v>13</v>
      </c>
      <c r="E8889">
        <f t="shared" si="138"/>
        <v>7.0880451637461847E-14</v>
      </c>
    </row>
    <row r="8890" spans="1:5" x14ac:dyDescent="0.25">
      <c r="A8890">
        <v>10</v>
      </c>
      <c r="B8890">
        <v>23</v>
      </c>
      <c r="C8890">
        <v>3</v>
      </c>
      <c r="D8890">
        <v>12</v>
      </c>
      <c r="E8890">
        <f t="shared" si="138"/>
        <v>1.4884894843866989E-12</v>
      </c>
    </row>
    <row r="8891" spans="1:5" x14ac:dyDescent="0.25">
      <c r="A8891">
        <v>10</v>
      </c>
      <c r="B8891">
        <v>23</v>
      </c>
      <c r="C8891">
        <v>4</v>
      </c>
      <c r="D8891">
        <v>11</v>
      </c>
      <c r="E8891">
        <f t="shared" si="138"/>
        <v>1.9775646006851849E-11</v>
      </c>
    </row>
    <row r="8892" spans="1:5" x14ac:dyDescent="0.25">
      <c r="A8892">
        <v>10</v>
      </c>
      <c r="B8892">
        <v>23</v>
      </c>
      <c r="C8892">
        <v>5</v>
      </c>
      <c r="D8892">
        <v>10</v>
      </c>
      <c r="E8892">
        <f t="shared" si="138"/>
        <v>1.7692611294130122E-10</v>
      </c>
    </row>
    <row r="8893" spans="1:5" x14ac:dyDescent="0.25">
      <c r="A8893">
        <v>10</v>
      </c>
      <c r="B8893">
        <v>23</v>
      </c>
      <c r="C8893">
        <v>6</v>
      </c>
      <c r="D8893">
        <v>9</v>
      </c>
      <c r="E8893">
        <f t="shared" si="138"/>
        <v>1.1057882058831327E-9</v>
      </c>
    </row>
    <row r="8894" spans="1:5" x14ac:dyDescent="0.25">
      <c r="A8894">
        <v>10</v>
      </c>
      <c r="B8894">
        <v>23</v>
      </c>
      <c r="C8894">
        <v>7</v>
      </c>
      <c r="D8894">
        <v>8</v>
      </c>
      <c r="E8894">
        <f t="shared" si="138"/>
        <v>4.9342314060835584E-9</v>
      </c>
    </row>
    <row r="8895" spans="1:5" x14ac:dyDescent="0.25">
      <c r="A8895">
        <v>10</v>
      </c>
      <c r="B8895">
        <v>23</v>
      </c>
      <c r="C8895">
        <v>8</v>
      </c>
      <c r="D8895">
        <v>7</v>
      </c>
      <c r="E8895">
        <f t="shared" si="138"/>
        <v>1.589919008626925E-8</v>
      </c>
    </row>
    <row r="8896" spans="1:5" x14ac:dyDescent="0.25">
      <c r="A8896">
        <v>10</v>
      </c>
      <c r="B8896">
        <v>23</v>
      </c>
      <c r="C8896">
        <v>9</v>
      </c>
      <c r="D8896">
        <v>6</v>
      </c>
      <c r="E8896">
        <f t="shared" si="138"/>
        <v>3.7098110201294899E-8</v>
      </c>
    </row>
    <row r="8897" spans="1:5" x14ac:dyDescent="0.25">
      <c r="A8897">
        <v>10</v>
      </c>
      <c r="B8897">
        <v>23</v>
      </c>
      <c r="C8897">
        <v>10</v>
      </c>
      <c r="D8897">
        <v>5</v>
      </c>
      <c r="E8897">
        <f t="shared" si="138"/>
        <v>6.232482513817545E-8</v>
      </c>
    </row>
    <row r="8898" spans="1:5" x14ac:dyDescent="0.25">
      <c r="A8898">
        <v>10</v>
      </c>
      <c r="B8898">
        <v>23</v>
      </c>
      <c r="C8898">
        <v>11</v>
      </c>
      <c r="D8898">
        <v>4</v>
      </c>
      <c r="E8898">
        <f t="shared" si="138"/>
        <v>7.4196220402589852E-8</v>
      </c>
    </row>
    <row r="8899" spans="1:5" x14ac:dyDescent="0.25">
      <c r="A8899">
        <v>10</v>
      </c>
      <c r="B8899">
        <v>23</v>
      </c>
      <c r="C8899">
        <v>12</v>
      </c>
      <c r="D8899">
        <v>3</v>
      </c>
      <c r="E8899">
        <f t="shared" si="138"/>
        <v>6.0705998511209828E-8</v>
      </c>
    </row>
    <row r="8900" spans="1:5" x14ac:dyDescent="0.25">
      <c r="A8900">
        <v>10</v>
      </c>
      <c r="B8900">
        <v>23</v>
      </c>
      <c r="C8900">
        <v>13</v>
      </c>
      <c r="D8900">
        <v>2</v>
      </c>
      <c r="E8900">
        <f t="shared" si="138"/>
        <v>3.2281785161479491E-8</v>
      </c>
    </row>
    <row r="8901" spans="1:5" x14ac:dyDescent="0.25">
      <c r="A8901">
        <v>10</v>
      </c>
      <c r="B8901">
        <v>23</v>
      </c>
      <c r="C8901">
        <v>14</v>
      </c>
      <c r="D8901">
        <v>1</v>
      </c>
      <c r="E8901">
        <f t="shared" si="138"/>
        <v>9.9919811214103178E-9</v>
      </c>
    </row>
    <row r="8902" spans="1:5" x14ac:dyDescent="0.25">
      <c r="A8902">
        <v>10</v>
      </c>
      <c r="B8902">
        <v>23</v>
      </c>
      <c r="C8902">
        <v>15</v>
      </c>
      <c r="D8902">
        <v>0</v>
      </c>
      <c r="E8902">
        <f t="shared" si="138"/>
        <v>1.3589094325118028E-9</v>
      </c>
    </row>
    <row r="8903" spans="1:5" x14ac:dyDescent="0.25">
      <c r="A8903">
        <v>10</v>
      </c>
      <c r="B8903">
        <v>24</v>
      </c>
      <c r="C8903">
        <v>0</v>
      </c>
      <c r="D8903">
        <v>14</v>
      </c>
      <c r="E8903">
        <f t="shared" si="138"/>
        <v>3.2373283199802298E-16</v>
      </c>
    </row>
    <row r="8904" spans="1:5" x14ac:dyDescent="0.25">
      <c r="A8904">
        <v>10</v>
      </c>
      <c r="B8904">
        <v>24</v>
      </c>
      <c r="C8904">
        <v>1</v>
      </c>
      <c r="D8904">
        <v>13</v>
      </c>
      <c r="E8904">
        <f t="shared" si="138"/>
        <v>2.4549739759850081E-14</v>
      </c>
    </row>
    <row r="8905" spans="1:5" x14ac:dyDescent="0.25">
      <c r="A8905">
        <v>10</v>
      </c>
      <c r="B8905">
        <v>24</v>
      </c>
      <c r="C8905">
        <v>2</v>
      </c>
      <c r="D8905">
        <v>12</v>
      </c>
      <c r="E8905">
        <f t="shared" si="138"/>
        <v>7.855916723152026E-13</v>
      </c>
    </row>
    <row r="8906" spans="1:5" x14ac:dyDescent="0.25">
      <c r="A8906">
        <v>10</v>
      </c>
      <c r="B8906">
        <v>24</v>
      </c>
      <c r="C8906">
        <v>3</v>
      </c>
      <c r="D8906">
        <v>11</v>
      </c>
      <c r="E8906">
        <f t="shared" si="138"/>
        <v>1.4140650101673644E-11</v>
      </c>
    </row>
    <row r="8907" spans="1:5" x14ac:dyDescent="0.25">
      <c r="A8907">
        <v>10</v>
      </c>
      <c r="B8907">
        <v>24</v>
      </c>
      <c r="C8907">
        <v>4</v>
      </c>
      <c r="D8907">
        <v>10</v>
      </c>
      <c r="E8907">
        <f t="shared" si="138"/>
        <v>1.6073205615569038E-10</v>
      </c>
    </row>
    <row r="8908" spans="1:5" x14ac:dyDescent="0.25">
      <c r="A8908">
        <v>10</v>
      </c>
      <c r="B8908">
        <v>24</v>
      </c>
      <c r="C8908">
        <v>5</v>
      </c>
      <c r="D8908">
        <v>9</v>
      </c>
      <c r="E8908">
        <f t="shared" si="138"/>
        <v>1.2255819281871395E-9</v>
      </c>
    </row>
    <row r="8909" spans="1:5" x14ac:dyDescent="0.25">
      <c r="A8909">
        <v>10</v>
      </c>
      <c r="B8909">
        <v>24</v>
      </c>
      <c r="C8909">
        <v>6</v>
      </c>
      <c r="D8909">
        <v>8</v>
      </c>
      <c r="E8909">
        <f t="shared" si="138"/>
        <v>6.4883749139319155E-9</v>
      </c>
    </row>
    <row r="8910" spans="1:5" x14ac:dyDescent="0.25">
      <c r="A8910">
        <v>10</v>
      </c>
      <c r="B8910">
        <v>24</v>
      </c>
      <c r="C8910">
        <v>7</v>
      </c>
      <c r="D8910">
        <v>7</v>
      </c>
      <c r="E8910">
        <f t="shared" ref="E8910:E8973" si="139">COMBIN(A$4,A8910)*COMBIN(B$4,B8910)*COMBIN(C$4,C8910)*COMBIN(D$4,D8910)/COMBIN($G$4,$F$4)</f>
        <v>2.4305658407744958E-8</v>
      </c>
    </row>
    <row r="8911" spans="1:5" x14ac:dyDescent="0.25">
      <c r="A8911">
        <v>10</v>
      </c>
      <c r="B8911">
        <v>24</v>
      </c>
      <c r="C8911">
        <v>8</v>
      </c>
      <c r="D8911">
        <v>6</v>
      </c>
      <c r="E8911">
        <f t="shared" si="139"/>
        <v>6.4921692852266127E-8</v>
      </c>
    </row>
    <row r="8912" spans="1:5" x14ac:dyDescent="0.25">
      <c r="A8912">
        <v>10</v>
      </c>
      <c r="B8912">
        <v>24</v>
      </c>
      <c r="C8912">
        <v>9</v>
      </c>
      <c r="D8912">
        <v>5</v>
      </c>
      <c r="E8912">
        <f t="shared" si="139"/>
        <v>1.233512164193056E-7</v>
      </c>
    </row>
    <row r="8913" spans="1:5" x14ac:dyDescent="0.25">
      <c r="A8913">
        <v>10</v>
      </c>
      <c r="B8913">
        <v>24</v>
      </c>
      <c r="C8913">
        <v>10</v>
      </c>
      <c r="D8913">
        <v>4</v>
      </c>
      <c r="E8913">
        <f t="shared" si="139"/>
        <v>1.644682885590742E-7</v>
      </c>
    </row>
    <row r="8914" spans="1:5" x14ac:dyDescent="0.25">
      <c r="A8914">
        <v>10</v>
      </c>
      <c r="B8914">
        <v>24</v>
      </c>
      <c r="C8914">
        <v>11</v>
      </c>
      <c r="D8914">
        <v>3</v>
      </c>
      <c r="E8914">
        <f t="shared" si="139"/>
        <v>1.4951662596279473E-7</v>
      </c>
    </row>
    <row r="8915" spans="1:5" x14ac:dyDescent="0.25">
      <c r="A8915">
        <v>10</v>
      </c>
      <c r="B8915">
        <v>24</v>
      </c>
      <c r="C8915">
        <v>12</v>
      </c>
      <c r="D8915">
        <v>2</v>
      </c>
      <c r="E8915">
        <f t="shared" si="139"/>
        <v>8.7759758717292522E-8</v>
      </c>
    </row>
    <row r="8916" spans="1:5" x14ac:dyDescent="0.25">
      <c r="A8916">
        <v>10</v>
      </c>
      <c r="B8916">
        <v>24</v>
      </c>
      <c r="C8916">
        <v>13</v>
      </c>
      <c r="D8916">
        <v>1</v>
      </c>
      <c r="E8916">
        <f t="shared" si="139"/>
        <v>2.9815815461644263E-8</v>
      </c>
    </row>
    <row r="8917" spans="1:5" x14ac:dyDescent="0.25">
      <c r="A8917">
        <v>10</v>
      </c>
      <c r="B8917">
        <v>24</v>
      </c>
      <c r="C8917">
        <v>14</v>
      </c>
      <c r="D8917">
        <v>0</v>
      </c>
      <c r="E8917">
        <f t="shared" si="139"/>
        <v>4.429778297158577E-9</v>
      </c>
    </row>
    <row r="8918" spans="1:5" x14ac:dyDescent="0.25">
      <c r="A8918">
        <v>10</v>
      </c>
      <c r="B8918">
        <v>25</v>
      </c>
      <c r="C8918">
        <v>0</v>
      </c>
      <c r="D8918">
        <v>13</v>
      </c>
      <c r="E8918">
        <f t="shared" si="139"/>
        <v>4.0034960223755532E-15</v>
      </c>
    </row>
    <row r="8919" spans="1:5" x14ac:dyDescent="0.25">
      <c r="A8919">
        <v>10</v>
      </c>
      <c r="B8919">
        <v>25</v>
      </c>
      <c r="C8919">
        <v>1</v>
      </c>
      <c r="D8919">
        <v>12</v>
      </c>
      <c r="E8919">
        <f t="shared" si="139"/>
        <v>2.6022724145441095E-13</v>
      </c>
    </row>
    <row r="8920" spans="1:5" x14ac:dyDescent="0.25">
      <c r="A8920">
        <v>10</v>
      </c>
      <c r="B8920">
        <v>25</v>
      </c>
      <c r="C8920">
        <v>2</v>
      </c>
      <c r="D8920">
        <v>11</v>
      </c>
      <c r="E8920">
        <f t="shared" si="139"/>
        <v>7.1376614798924136E-12</v>
      </c>
    </row>
    <row r="8921" spans="1:5" x14ac:dyDescent="0.25">
      <c r="A8921">
        <v>10</v>
      </c>
      <c r="B8921">
        <v>25</v>
      </c>
      <c r="C8921">
        <v>3</v>
      </c>
      <c r="D8921">
        <v>10</v>
      </c>
      <c r="E8921">
        <f t="shared" si="139"/>
        <v>1.0991998679034316E-10</v>
      </c>
    </row>
    <row r="8922" spans="1:5" x14ac:dyDescent="0.25">
      <c r="A8922">
        <v>10</v>
      </c>
      <c r="B8922">
        <v>25</v>
      </c>
      <c r="C8922">
        <v>4</v>
      </c>
      <c r="D8922">
        <v>9</v>
      </c>
      <c r="E8922">
        <f t="shared" si="139"/>
        <v>1.0648498720314494E-9</v>
      </c>
    </row>
    <row r="8923" spans="1:5" x14ac:dyDescent="0.25">
      <c r="A8923">
        <v>10</v>
      </c>
      <c r="B8923">
        <v>25</v>
      </c>
      <c r="C8923">
        <v>5</v>
      </c>
      <c r="D8923">
        <v>8</v>
      </c>
      <c r="E8923">
        <f t="shared" si="139"/>
        <v>6.8776774087678334E-9</v>
      </c>
    </row>
    <row r="8924" spans="1:5" x14ac:dyDescent="0.25">
      <c r="A8924">
        <v>10</v>
      </c>
      <c r="B8924">
        <v>25</v>
      </c>
      <c r="C8924">
        <v>6</v>
      </c>
      <c r="D8924">
        <v>7</v>
      </c>
      <c r="E8924">
        <f t="shared" si="139"/>
        <v>3.0567455150079264E-8</v>
      </c>
    </row>
    <row r="8925" spans="1:5" x14ac:dyDescent="0.25">
      <c r="A8925">
        <v>10</v>
      </c>
      <c r="B8925">
        <v>25</v>
      </c>
      <c r="C8925">
        <v>7</v>
      </c>
      <c r="D8925">
        <v>6</v>
      </c>
      <c r="E8925">
        <f t="shared" si="139"/>
        <v>9.4919992308140835E-8</v>
      </c>
    </row>
    <row r="8926" spans="1:5" x14ac:dyDescent="0.25">
      <c r="A8926">
        <v>10</v>
      </c>
      <c r="B8926">
        <v>25</v>
      </c>
      <c r="C8926">
        <v>8</v>
      </c>
      <c r="D8926">
        <v>5</v>
      </c>
      <c r="E8926">
        <f t="shared" si="139"/>
        <v>2.0645098327020636E-7</v>
      </c>
    </row>
    <row r="8927" spans="1:5" x14ac:dyDescent="0.25">
      <c r="A8927">
        <v>10</v>
      </c>
      <c r="B8927">
        <v>25</v>
      </c>
      <c r="C8927">
        <v>9</v>
      </c>
      <c r="D8927">
        <v>4</v>
      </c>
      <c r="E8927">
        <f t="shared" si="139"/>
        <v>3.1131497477253343E-7</v>
      </c>
    </row>
    <row r="8928" spans="1:5" x14ac:dyDescent="0.25">
      <c r="A8928">
        <v>10</v>
      </c>
      <c r="B8928">
        <v>25</v>
      </c>
      <c r="C8928">
        <v>10</v>
      </c>
      <c r="D8928">
        <v>3</v>
      </c>
      <c r="E8928">
        <f t="shared" si="139"/>
        <v>3.1697524704112497E-7</v>
      </c>
    </row>
    <row r="8929" spans="1:5" x14ac:dyDescent="0.25">
      <c r="A8929">
        <v>10</v>
      </c>
      <c r="B8929">
        <v>25</v>
      </c>
      <c r="C8929">
        <v>11</v>
      </c>
      <c r="D8929">
        <v>2</v>
      </c>
      <c r="E8929">
        <f t="shared" si="139"/>
        <v>2.0672298720073365E-7</v>
      </c>
    </row>
    <row r="8930" spans="1:5" x14ac:dyDescent="0.25">
      <c r="A8930">
        <v>10</v>
      </c>
      <c r="B8930">
        <v>25</v>
      </c>
      <c r="C8930">
        <v>12</v>
      </c>
      <c r="D8930">
        <v>1</v>
      </c>
      <c r="E8930">
        <f t="shared" si="139"/>
        <v>7.7521120200275086E-8</v>
      </c>
    </row>
    <row r="8931" spans="1:5" x14ac:dyDescent="0.25">
      <c r="A8931">
        <v>10</v>
      </c>
      <c r="B8931">
        <v>25</v>
      </c>
      <c r="C8931">
        <v>13</v>
      </c>
      <c r="D8931">
        <v>0</v>
      </c>
      <c r="E8931">
        <f t="shared" si="139"/>
        <v>1.2641905755737173E-8</v>
      </c>
    </row>
    <row r="8932" spans="1:5" x14ac:dyDescent="0.25">
      <c r="A8932">
        <v>10</v>
      </c>
      <c r="B8932">
        <v>26</v>
      </c>
      <c r="C8932">
        <v>0</v>
      </c>
      <c r="D8932">
        <v>12</v>
      </c>
      <c r="E8932">
        <f t="shared" si="139"/>
        <v>4.0650882688736352E-14</v>
      </c>
    </row>
    <row r="8933" spans="1:5" x14ac:dyDescent="0.25">
      <c r="A8933">
        <v>10</v>
      </c>
      <c r="B8933">
        <v>26</v>
      </c>
      <c r="C8933">
        <v>1</v>
      </c>
      <c r="D8933">
        <v>11</v>
      </c>
      <c r="E8933">
        <f t="shared" si="139"/>
        <v>2.264834892658168E-12</v>
      </c>
    </row>
    <row r="8934" spans="1:5" x14ac:dyDescent="0.25">
      <c r="A8934">
        <v>10</v>
      </c>
      <c r="B8934">
        <v>26</v>
      </c>
      <c r="C8934">
        <v>2</v>
      </c>
      <c r="D8934">
        <v>10</v>
      </c>
      <c r="E8934">
        <f t="shared" si="139"/>
        <v>5.3148125481045E-11</v>
      </c>
    </row>
    <row r="8935" spans="1:5" x14ac:dyDescent="0.25">
      <c r="A8935">
        <v>10</v>
      </c>
      <c r="B8935">
        <v>26</v>
      </c>
      <c r="C8935">
        <v>3</v>
      </c>
      <c r="D8935">
        <v>9</v>
      </c>
      <c r="E8935">
        <f t="shared" si="139"/>
        <v>6.9756914693871564E-10</v>
      </c>
    </row>
    <row r="8936" spans="1:5" x14ac:dyDescent="0.25">
      <c r="A8936">
        <v>10</v>
      </c>
      <c r="B8936">
        <v>26</v>
      </c>
      <c r="C8936">
        <v>4</v>
      </c>
      <c r="D8936">
        <v>8</v>
      </c>
      <c r="E8936">
        <f t="shared" si="139"/>
        <v>5.7241703528206373E-9</v>
      </c>
    </row>
    <row r="8937" spans="1:5" x14ac:dyDescent="0.25">
      <c r="A8937">
        <v>10</v>
      </c>
      <c r="B8937">
        <v>26</v>
      </c>
      <c r="C8937">
        <v>5</v>
      </c>
      <c r="D8937">
        <v>7</v>
      </c>
      <c r="E8937">
        <f t="shared" si="139"/>
        <v>3.1037723690849691E-8</v>
      </c>
    </row>
    <row r="8938" spans="1:5" x14ac:dyDescent="0.25">
      <c r="A8938">
        <v>10</v>
      </c>
      <c r="B8938">
        <v>26</v>
      </c>
      <c r="C8938">
        <v>6</v>
      </c>
      <c r="D8938">
        <v>6</v>
      </c>
      <c r="E8938">
        <f t="shared" si="139"/>
        <v>1.1434950833470932E-7</v>
      </c>
    </row>
    <row r="8939" spans="1:5" x14ac:dyDescent="0.25">
      <c r="A8939">
        <v>10</v>
      </c>
      <c r="B8939">
        <v>26</v>
      </c>
      <c r="C8939">
        <v>7</v>
      </c>
      <c r="D8939">
        <v>5</v>
      </c>
      <c r="E8939">
        <f t="shared" si="139"/>
        <v>2.8914089964633642E-7</v>
      </c>
    </row>
    <row r="8940" spans="1:5" x14ac:dyDescent="0.25">
      <c r="A8940">
        <v>10</v>
      </c>
      <c r="B8940">
        <v>26</v>
      </c>
      <c r="C8940">
        <v>8</v>
      </c>
      <c r="D8940">
        <v>4</v>
      </c>
      <c r="E8940">
        <f t="shared" si="139"/>
        <v>4.9911226724665244E-7</v>
      </c>
    </row>
    <row r="8941" spans="1:5" x14ac:dyDescent="0.25">
      <c r="A8941">
        <v>10</v>
      </c>
      <c r="B8941">
        <v>26</v>
      </c>
      <c r="C8941">
        <v>9</v>
      </c>
      <c r="D8941">
        <v>3</v>
      </c>
      <c r="E8941">
        <f t="shared" si="139"/>
        <v>5.7473533804159964E-7</v>
      </c>
    </row>
    <row r="8942" spans="1:5" x14ac:dyDescent="0.25">
      <c r="A8942">
        <v>10</v>
      </c>
      <c r="B8942">
        <v>26</v>
      </c>
      <c r="C8942">
        <v>10</v>
      </c>
      <c r="D8942">
        <v>2</v>
      </c>
      <c r="E8942">
        <f t="shared" si="139"/>
        <v>4.198066816999511E-7</v>
      </c>
    </row>
    <row r="8943" spans="1:5" x14ac:dyDescent="0.25">
      <c r="A8943">
        <v>10</v>
      </c>
      <c r="B8943">
        <v>26</v>
      </c>
      <c r="C8943">
        <v>11</v>
      </c>
      <c r="D8943">
        <v>1</v>
      </c>
      <c r="E8943">
        <f t="shared" si="139"/>
        <v>1.7491945070831296E-7</v>
      </c>
    </row>
    <row r="8944" spans="1:5" x14ac:dyDescent="0.25">
      <c r="A8944">
        <v>10</v>
      </c>
      <c r="B8944">
        <v>26</v>
      </c>
      <c r="C8944">
        <v>12</v>
      </c>
      <c r="D8944">
        <v>0</v>
      </c>
      <c r="E8944">
        <f t="shared" si="139"/>
        <v>3.1485501127496317E-8</v>
      </c>
    </row>
    <row r="8945" spans="1:5" x14ac:dyDescent="0.25">
      <c r="A8945">
        <v>10</v>
      </c>
      <c r="B8945">
        <v>27</v>
      </c>
      <c r="C8945">
        <v>0</v>
      </c>
      <c r="D8945">
        <v>11</v>
      </c>
      <c r="E8945">
        <f t="shared" si="139"/>
        <v>3.3940260784563992E-13</v>
      </c>
    </row>
    <row r="8946" spans="1:5" x14ac:dyDescent="0.25">
      <c r="A8946">
        <v>10</v>
      </c>
      <c r="B8946">
        <v>27</v>
      </c>
      <c r="C8946">
        <v>1</v>
      </c>
      <c r="D8946">
        <v>10</v>
      </c>
      <c r="E8946">
        <f t="shared" si="139"/>
        <v>1.6178190973975501E-11</v>
      </c>
    </row>
    <row r="8947" spans="1:5" x14ac:dyDescent="0.25">
      <c r="A8947">
        <v>10</v>
      </c>
      <c r="B8947">
        <v>27</v>
      </c>
      <c r="C8947">
        <v>2</v>
      </c>
      <c r="D8947">
        <v>9</v>
      </c>
      <c r="E8947">
        <f t="shared" si="139"/>
        <v>3.2356381947951007E-10</v>
      </c>
    </row>
    <row r="8948" spans="1:5" x14ac:dyDescent="0.25">
      <c r="A8948">
        <v>10</v>
      </c>
      <c r="B8948">
        <v>27</v>
      </c>
      <c r="C8948">
        <v>3</v>
      </c>
      <c r="D8948">
        <v>8</v>
      </c>
      <c r="E8948">
        <f t="shared" si="139"/>
        <v>3.5972683459780822E-9</v>
      </c>
    </row>
    <row r="8949" spans="1:5" x14ac:dyDescent="0.25">
      <c r="A8949">
        <v>10</v>
      </c>
      <c r="B8949">
        <v>27</v>
      </c>
      <c r="C8949">
        <v>4</v>
      </c>
      <c r="D8949">
        <v>7</v>
      </c>
      <c r="E8949">
        <f t="shared" si="139"/>
        <v>2.478118193896013E-8</v>
      </c>
    </row>
    <row r="8950" spans="1:5" x14ac:dyDescent="0.25">
      <c r="A8950">
        <v>10</v>
      </c>
      <c r="B8950">
        <v>27</v>
      </c>
      <c r="C8950">
        <v>5</v>
      </c>
      <c r="D8950">
        <v>6</v>
      </c>
      <c r="E8950">
        <f t="shared" si="139"/>
        <v>1.1138489145195759E-7</v>
      </c>
    </row>
    <row r="8951" spans="1:5" x14ac:dyDescent="0.25">
      <c r="A8951">
        <v>10</v>
      </c>
      <c r="B8951">
        <v>27</v>
      </c>
      <c r="C8951">
        <v>6</v>
      </c>
      <c r="D8951">
        <v>5</v>
      </c>
      <c r="E8951">
        <f t="shared" si="139"/>
        <v>3.3415467435587277E-7</v>
      </c>
    </row>
    <row r="8952" spans="1:5" x14ac:dyDescent="0.25">
      <c r="A8952">
        <v>10</v>
      </c>
      <c r="B8952">
        <v>27</v>
      </c>
      <c r="C8952">
        <v>7</v>
      </c>
      <c r="D8952">
        <v>4</v>
      </c>
      <c r="E8952">
        <f t="shared" si="139"/>
        <v>6.7058250976178571E-7</v>
      </c>
    </row>
    <row r="8953" spans="1:5" x14ac:dyDescent="0.25">
      <c r="A8953">
        <v>10</v>
      </c>
      <c r="B8953">
        <v>27</v>
      </c>
      <c r="C8953">
        <v>8</v>
      </c>
      <c r="D8953">
        <v>3</v>
      </c>
      <c r="E8953">
        <f t="shared" si="139"/>
        <v>8.8394967195871752E-7</v>
      </c>
    </row>
    <row r="8954" spans="1:5" x14ac:dyDescent="0.25">
      <c r="A8954">
        <v>10</v>
      </c>
      <c r="B8954">
        <v>27</v>
      </c>
      <c r="C8954">
        <v>9</v>
      </c>
      <c r="D8954">
        <v>2</v>
      </c>
      <c r="E8954">
        <f t="shared" si="139"/>
        <v>7.3021929422676651E-7</v>
      </c>
    </row>
    <row r="8955" spans="1:5" x14ac:dyDescent="0.25">
      <c r="A8955">
        <v>10</v>
      </c>
      <c r="B8955">
        <v>27</v>
      </c>
      <c r="C8955">
        <v>10</v>
      </c>
      <c r="D8955">
        <v>1</v>
      </c>
      <c r="E8955">
        <f t="shared" si="139"/>
        <v>3.4076900397249111E-7</v>
      </c>
    </row>
    <row r="8956" spans="1:5" x14ac:dyDescent="0.25">
      <c r="A8956">
        <v>10</v>
      </c>
      <c r="B8956">
        <v>27</v>
      </c>
      <c r="C8956">
        <v>11</v>
      </c>
      <c r="D8956">
        <v>0</v>
      </c>
      <c r="E8956">
        <f t="shared" si="139"/>
        <v>6.8153800794498235E-8</v>
      </c>
    </row>
    <row r="8957" spans="1:5" x14ac:dyDescent="0.25">
      <c r="A8957">
        <v>10</v>
      </c>
      <c r="B8957">
        <v>28</v>
      </c>
      <c r="C8957">
        <v>0</v>
      </c>
      <c r="D8957">
        <v>10</v>
      </c>
      <c r="E8957">
        <f t="shared" si="139"/>
        <v>2.3289483709788937E-12</v>
      </c>
    </row>
    <row r="8958" spans="1:5" x14ac:dyDescent="0.25">
      <c r="A8958">
        <v>10</v>
      </c>
      <c r="B8958">
        <v>28</v>
      </c>
      <c r="C8958">
        <v>1</v>
      </c>
      <c r="D8958">
        <v>9</v>
      </c>
      <c r="E8958">
        <f t="shared" si="139"/>
        <v>9.4613527571017547E-11</v>
      </c>
    </row>
    <row r="8959" spans="1:5" x14ac:dyDescent="0.25">
      <c r="A8959">
        <v>10</v>
      </c>
      <c r="B8959">
        <v>28</v>
      </c>
      <c r="C8959">
        <v>2</v>
      </c>
      <c r="D8959">
        <v>8</v>
      </c>
      <c r="E8959">
        <f t="shared" si="139"/>
        <v>1.6028644670854738E-9</v>
      </c>
    </row>
    <row r="8960" spans="1:5" x14ac:dyDescent="0.25">
      <c r="A8960">
        <v>10</v>
      </c>
      <c r="B8960">
        <v>28</v>
      </c>
      <c r="C8960">
        <v>3</v>
      </c>
      <c r="D8960">
        <v>7</v>
      </c>
      <c r="E8960">
        <f t="shared" si="139"/>
        <v>1.4960068359464426E-8</v>
      </c>
    </row>
    <row r="8961" spans="1:5" x14ac:dyDescent="0.25">
      <c r="A8961">
        <v>10</v>
      </c>
      <c r="B8961">
        <v>28</v>
      </c>
      <c r="C8961">
        <v>4</v>
      </c>
      <c r="D8961">
        <v>6</v>
      </c>
      <c r="E8961">
        <f t="shared" si="139"/>
        <v>8.5429864052731031E-8</v>
      </c>
    </row>
    <row r="8962" spans="1:5" x14ac:dyDescent="0.25">
      <c r="A8962">
        <v>10</v>
      </c>
      <c r="B8962">
        <v>28</v>
      </c>
      <c r="C8962">
        <v>5</v>
      </c>
      <c r="D8962">
        <v>5</v>
      </c>
      <c r="E8962">
        <f t="shared" si="139"/>
        <v>3.1267330243299564E-7</v>
      </c>
    </row>
    <row r="8963" spans="1:5" x14ac:dyDescent="0.25">
      <c r="A8963">
        <v>10</v>
      </c>
      <c r="B8963">
        <v>28</v>
      </c>
      <c r="C8963">
        <v>6</v>
      </c>
      <c r="D8963">
        <v>4</v>
      </c>
      <c r="E8963">
        <f t="shared" si="139"/>
        <v>7.4446024388808495E-7</v>
      </c>
    </row>
    <row r="8964" spans="1:5" x14ac:dyDescent="0.25">
      <c r="A8964">
        <v>10</v>
      </c>
      <c r="B8964">
        <v>28</v>
      </c>
      <c r="C8964">
        <v>7</v>
      </c>
      <c r="D8964">
        <v>3</v>
      </c>
      <c r="E8964">
        <f t="shared" si="139"/>
        <v>1.1408611529713508E-6</v>
      </c>
    </row>
    <row r="8965" spans="1:5" x14ac:dyDescent="0.25">
      <c r="A8965">
        <v>10</v>
      </c>
      <c r="B8965">
        <v>28</v>
      </c>
      <c r="C8965">
        <v>8</v>
      </c>
      <c r="D8965">
        <v>2</v>
      </c>
      <c r="E8965">
        <f t="shared" si="139"/>
        <v>1.0788578294402993E-6</v>
      </c>
    </row>
    <row r="8966" spans="1:5" x14ac:dyDescent="0.25">
      <c r="A8966">
        <v>10</v>
      </c>
      <c r="B8966">
        <v>28</v>
      </c>
      <c r="C8966">
        <v>9</v>
      </c>
      <c r="D8966">
        <v>1</v>
      </c>
      <c r="E8966">
        <f t="shared" si="139"/>
        <v>5.6939718776015793E-7</v>
      </c>
    </row>
    <row r="8967" spans="1:5" x14ac:dyDescent="0.25">
      <c r="A8967">
        <v>10</v>
      </c>
      <c r="B8967">
        <v>28</v>
      </c>
      <c r="C8967">
        <v>10</v>
      </c>
      <c r="D8967">
        <v>0</v>
      </c>
      <c r="E8967">
        <f t="shared" si="139"/>
        <v>1.2754497005827538E-7</v>
      </c>
    </row>
    <row r="8968" spans="1:5" x14ac:dyDescent="0.25">
      <c r="A8968">
        <v>10</v>
      </c>
      <c r="B8968">
        <v>29</v>
      </c>
      <c r="C8968">
        <v>0</v>
      </c>
      <c r="D8968">
        <v>9</v>
      </c>
      <c r="E8968">
        <f t="shared" si="139"/>
        <v>1.3100334586756263E-11</v>
      </c>
    </row>
    <row r="8969" spans="1:5" x14ac:dyDescent="0.25">
      <c r="A8969">
        <v>10</v>
      </c>
      <c r="B8969">
        <v>29</v>
      </c>
      <c r="C8969">
        <v>1</v>
      </c>
      <c r="D8969">
        <v>8</v>
      </c>
      <c r="E8969">
        <f t="shared" si="139"/>
        <v>4.5080563136778909E-10</v>
      </c>
    </row>
    <row r="8970" spans="1:5" x14ac:dyDescent="0.25">
      <c r="A8970">
        <v>10</v>
      </c>
      <c r="B8970">
        <v>29</v>
      </c>
      <c r="C8970">
        <v>2</v>
      </c>
      <c r="D8970">
        <v>7</v>
      </c>
      <c r="E8970">
        <f t="shared" si="139"/>
        <v>6.4114578683418912E-9</v>
      </c>
    </row>
    <row r="8971" spans="1:5" x14ac:dyDescent="0.25">
      <c r="A8971">
        <v>10</v>
      </c>
      <c r="B8971">
        <v>29</v>
      </c>
      <c r="C8971">
        <v>3</v>
      </c>
      <c r="D8971">
        <v>6</v>
      </c>
      <c r="E8971">
        <f t="shared" si="139"/>
        <v>4.960443719190828E-8</v>
      </c>
    </row>
    <row r="8972" spans="1:5" x14ac:dyDescent="0.25">
      <c r="A8972">
        <v>10</v>
      </c>
      <c r="B8972">
        <v>29</v>
      </c>
      <c r="C8972">
        <v>4</v>
      </c>
      <c r="D8972">
        <v>5</v>
      </c>
      <c r="E8972">
        <f t="shared" si="139"/>
        <v>2.3066063294237356E-7</v>
      </c>
    </row>
    <row r="8973" spans="1:5" x14ac:dyDescent="0.25">
      <c r="A8973">
        <v>10</v>
      </c>
      <c r="B8973">
        <v>29</v>
      </c>
      <c r="C8973">
        <v>5</v>
      </c>
      <c r="D8973">
        <v>4</v>
      </c>
      <c r="E8973">
        <f t="shared" si="139"/>
        <v>6.700142194992759E-7</v>
      </c>
    </row>
    <row r="8974" spans="1:5" x14ac:dyDescent="0.25">
      <c r="A8974">
        <v>10</v>
      </c>
      <c r="B8974">
        <v>29</v>
      </c>
      <c r="C8974">
        <v>6</v>
      </c>
      <c r="D8974">
        <v>3</v>
      </c>
      <c r="E8974">
        <f t="shared" ref="E8974:E9037" si="140">COMBIN(A$4,A8974)*COMBIN(B$4,B8974)*COMBIN(C$4,C8974)*COMBIN(D$4,D8974)/COMBIN($G$4,$F$4)</f>
        <v>1.2182076718168646E-6</v>
      </c>
    </row>
    <row r="8975" spans="1:5" x14ac:dyDescent="0.25">
      <c r="A8975">
        <v>10</v>
      </c>
      <c r="B8975">
        <v>29</v>
      </c>
      <c r="C8975">
        <v>7</v>
      </c>
      <c r="D8975">
        <v>2</v>
      </c>
      <c r="E8975">
        <f t="shared" si="140"/>
        <v>1.3392717882707147E-6</v>
      </c>
    </row>
    <row r="8976" spans="1:5" x14ac:dyDescent="0.25">
      <c r="A8976">
        <v>10</v>
      </c>
      <c r="B8976">
        <v>29</v>
      </c>
      <c r="C8976">
        <v>8</v>
      </c>
      <c r="D8976">
        <v>1</v>
      </c>
      <c r="E8976">
        <f t="shared" si="140"/>
        <v>8.0914337208022366E-7</v>
      </c>
    </row>
    <row r="8977" spans="1:5" x14ac:dyDescent="0.25">
      <c r="A8977">
        <v>10</v>
      </c>
      <c r="B8977">
        <v>29</v>
      </c>
      <c r="C8977">
        <v>9</v>
      </c>
      <c r="D8977">
        <v>0</v>
      </c>
      <c r="E8977">
        <f t="shared" si="140"/>
        <v>2.0498298759365663E-7</v>
      </c>
    </row>
    <row r="8978" spans="1:5" x14ac:dyDescent="0.25">
      <c r="A8978">
        <v>10</v>
      </c>
      <c r="B8978">
        <v>30</v>
      </c>
      <c r="C8978">
        <v>0</v>
      </c>
      <c r="D8978">
        <v>8</v>
      </c>
      <c r="E8978">
        <f t="shared" si="140"/>
        <v>6.0107417515705199E-11</v>
      </c>
    </row>
    <row r="8979" spans="1:5" x14ac:dyDescent="0.25">
      <c r="A8979">
        <v>10</v>
      </c>
      <c r="B8979">
        <v>30</v>
      </c>
      <c r="C8979">
        <v>1</v>
      </c>
      <c r="D8979">
        <v>7</v>
      </c>
      <c r="E8979">
        <f t="shared" si="140"/>
        <v>1.7364365060092616E-9</v>
      </c>
    </row>
    <row r="8980" spans="1:5" x14ac:dyDescent="0.25">
      <c r="A8980">
        <v>10</v>
      </c>
      <c r="B8980">
        <v>30</v>
      </c>
      <c r="C8980">
        <v>2</v>
      </c>
      <c r="D8980">
        <v>6</v>
      </c>
      <c r="E8980">
        <f t="shared" si="140"/>
        <v>2.0471672491898655E-8</v>
      </c>
    </row>
    <row r="8981" spans="1:5" x14ac:dyDescent="0.25">
      <c r="A8981">
        <v>10</v>
      </c>
      <c r="B8981">
        <v>30</v>
      </c>
      <c r="C8981">
        <v>3</v>
      </c>
      <c r="D8981">
        <v>5</v>
      </c>
      <c r="E8981">
        <f t="shared" si="140"/>
        <v>1.2897153669896154E-7</v>
      </c>
    </row>
    <row r="8982" spans="1:5" x14ac:dyDescent="0.25">
      <c r="A8982">
        <v>10</v>
      </c>
      <c r="B8982">
        <v>30</v>
      </c>
      <c r="C8982">
        <v>4</v>
      </c>
      <c r="D8982">
        <v>4</v>
      </c>
      <c r="E8982">
        <f t="shared" si="140"/>
        <v>4.759663854366438E-7</v>
      </c>
    </row>
    <row r="8983" spans="1:5" x14ac:dyDescent="0.25">
      <c r="A8983">
        <v>10</v>
      </c>
      <c r="B8983">
        <v>30</v>
      </c>
      <c r="C8983">
        <v>5</v>
      </c>
      <c r="D8983">
        <v>3</v>
      </c>
      <c r="E8983">
        <f t="shared" si="140"/>
        <v>1.0557799822412828E-6</v>
      </c>
    </row>
    <row r="8984" spans="1:5" x14ac:dyDescent="0.25">
      <c r="A8984">
        <v>10</v>
      </c>
      <c r="B8984">
        <v>30</v>
      </c>
      <c r="C8984">
        <v>6</v>
      </c>
      <c r="D8984">
        <v>2</v>
      </c>
      <c r="E8984">
        <f t="shared" si="140"/>
        <v>1.3771043246625425E-6</v>
      </c>
    </row>
    <row r="8985" spans="1:5" x14ac:dyDescent="0.25">
      <c r="A8985">
        <v>10</v>
      </c>
      <c r="B8985">
        <v>30</v>
      </c>
      <c r="C8985">
        <v>7</v>
      </c>
      <c r="D8985">
        <v>1</v>
      </c>
      <c r="E8985">
        <f t="shared" si="140"/>
        <v>9.672518470844051E-7</v>
      </c>
    </row>
    <row r="8986" spans="1:5" x14ac:dyDescent="0.25">
      <c r="A8986">
        <v>10</v>
      </c>
      <c r="B8986">
        <v>30</v>
      </c>
      <c r="C8986">
        <v>8</v>
      </c>
      <c r="D8986">
        <v>0</v>
      </c>
      <c r="E8986">
        <f t="shared" si="140"/>
        <v>2.8050303565447748E-7</v>
      </c>
    </row>
    <row r="8987" spans="1:5" x14ac:dyDescent="0.25">
      <c r="A8987">
        <v>10</v>
      </c>
      <c r="B8987">
        <v>31</v>
      </c>
      <c r="C8987">
        <v>0</v>
      </c>
      <c r="D8987">
        <v>7</v>
      </c>
      <c r="E8987">
        <f t="shared" si="140"/>
        <v>2.2319456826620314E-10</v>
      </c>
    </row>
    <row r="8988" spans="1:5" x14ac:dyDescent="0.25">
      <c r="A8988">
        <v>10</v>
      </c>
      <c r="B8988">
        <v>31</v>
      </c>
      <c r="C8988">
        <v>1</v>
      </c>
      <c r="D8988">
        <v>6</v>
      </c>
      <c r="E8988">
        <f t="shared" si="140"/>
        <v>5.3449225558485468E-9</v>
      </c>
    </row>
    <row r="8989" spans="1:5" x14ac:dyDescent="0.25">
      <c r="A8989">
        <v>10</v>
      </c>
      <c r="B8989">
        <v>31</v>
      </c>
      <c r="C8989">
        <v>2</v>
      </c>
      <c r="D8989">
        <v>5</v>
      </c>
      <c r="E8989">
        <f t="shared" si="140"/>
        <v>5.1311256536146052E-8</v>
      </c>
    </row>
    <row r="8990" spans="1:5" x14ac:dyDescent="0.25">
      <c r="A8990">
        <v>10</v>
      </c>
      <c r="B8990">
        <v>31</v>
      </c>
      <c r="C8990">
        <v>3</v>
      </c>
      <c r="D8990">
        <v>4</v>
      </c>
      <c r="E8990">
        <f t="shared" si="140"/>
        <v>2.5655628268073034E-7</v>
      </c>
    </row>
    <row r="8991" spans="1:5" x14ac:dyDescent="0.25">
      <c r="A8991">
        <v>10</v>
      </c>
      <c r="B8991">
        <v>31</v>
      </c>
      <c r="C8991">
        <v>4</v>
      </c>
      <c r="D8991">
        <v>3</v>
      </c>
      <c r="E8991">
        <f t="shared" si="140"/>
        <v>7.2302225119114901E-7</v>
      </c>
    </row>
    <row r="8992" spans="1:5" x14ac:dyDescent="0.25">
      <c r="A8992">
        <v>10</v>
      </c>
      <c r="B8992">
        <v>31</v>
      </c>
      <c r="C8992">
        <v>5</v>
      </c>
      <c r="D8992">
        <v>2</v>
      </c>
      <c r="E8992">
        <f t="shared" si="140"/>
        <v>1.1505484518954806E-6</v>
      </c>
    </row>
    <row r="8993" spans="1:5" x14ac:dyDescent="0.25">
      <c r="A8993">
        <v>10</v>
      </c>
      <c r="B8993">
        <v>31</v>
      </c>
      <c r="C8993">
        <v>6</v>
      </c>
      <c r="D8993">
        <v>1</v>
      </c>
      <c r="E8993">
        <f t="shared" si="140"/>
        <v>9.5879037657956711E-7</v>
      </c>
    </row>
    <row r="8994" spans="1:5" x14ac:dyDescent="0.25">
      <c r="A8994">
        <v>10</v>
      </c>
      <c r="B8994">
        <v>31</v>
      </c>
      <c r="C8994">
        <v>7</v>
      </c>
      <c r="D8994">
        <v>0</v>
      </c>
      <c r="E8994">
        <f t="shared" si="140"/>
        <v>3.2324932696111116E-7</v>
      </c>
    </row>
    <row r="8995" spans="1:5" x14ac:dyDescent="0.25">
      <c r="A8995">
        <v>10</v>
      </c>
      <c r="B8995">
        <v>32</v>
      </c>
      <c r="C8995">
        <v>0</v>
      </c>
      <c r="D8995">
        <v>6</v>
      </c>
      <c r="E8995">
        <f t="shared" si="140"/>
        <v>6.629759708696747E-10</v>
      </c>
    </row>
    <row r="8996" spans="1:5" x14ac:dyDescent="0.25">
      <c r="A8996">
        <v>10</v>
      </c>
      <c r="B8996">
        <v>32</v>
      </c>
      <c r="C8996">
        <v>1</v>
      </c>
      <c r="D8996">
        <v>5</v>
      </c>
      <c r="E8996">
        <f t="shared" si="140"/>
        <v>1.2928031431958657E-8</v>
      </c>
    </row>
    <row r="8997" spans="1:5" x14ac:dyDescent="0.25">
      <c r="A8997">
        <v>10</v>
      </c>
      <c r="B8997">
        <v>32</v>
      </c>
      <c r="C8997">
        <v>2</v>
      </c>
      <c r="D8997">
        <v>4</v>
      </c>
      <c r="E8997">
        <f t="shared" si="140"/>
        <v>9.8499287100637437E-8</v>
      </c>
    </row>
    <row r="8998" spans="1:5" x14ac:dyDescent="0.25">
      <c r="A8998">
        <v>10</v>
      </c>
      <c r="B8998">
        <v>32</v>
      </c>
      <c r="C8998">
        <v>3</v>
      </c>
      <c r="D8998">
        <v>3</v>
      </c>
      <c r="E8998">
        <f t="shared" si="140"/>
        <v>3.7608818711152466E-7</v>
      </c>
    </row>
    <row r="8999" spans="1:5" x14ac:dyDescent="0.25">
      <c r="A8999">
        <v>10</v>
      </c>
      <c r="B8999">
        <v>32</v>
      </c>
      <c r="C8999">
        <v>4</v>
      </c>
      <c r="D8999">
        <v>2</v>
      </c>
      <c r="E8999">
        <f t="shared" si="140"/>
        <v>7.6035220437764774E-7</v>
      </c>
    </row>
    <row r="9000" spans="1:5" x14ac:dyDescent="0.25">
      <c r="A9000">
        <v>10</v>
      </c>
      <c r="B9000">
        <v>32</v>
      </c>
      <c r="C9000">
        <v>5</v>
      </c>
      <c r="D9000">
        <v>1</v>
      </c>
      <c r="E9000">
        <f t="shared" si="140"/>
        <v>7.7302474111727533E-7</v>
      </c>
    </row>
    <row r="9001" spans="1:5" x14ac:dyDescent="0.25">
      <c r="A9001">
        <v>10</v>
      </c>
      <c r="B9001">
        <v>32</v>
      </c>
      <c r="C9001">
        <v>6</v>
      </c>
      <c r="D9001">
        <v>0</v>
      </c>
      <c r="E9001">
        <f t="shared" si="140"/>
        <v>3.0920989644691004E-7</v>
      </c>
    </row>
    <row r="9002" spans="1:5" x14ac:dyDescent="0.25">
      <c r="A9002">
        <v>10</v>
      </c>
      <c r="B9002">
        <v>33</v>
      </c>
      <c r="C9002">
        <v>0</v>
      </c>
      <c r="D9002">
        <v>5</v>
      </c>
      <c r="E9002">
        <f t="shared" si="140"/>
        <v>1.5489529501227869E-9</v>
      </c>
    </row>
    <row r="9003" spans="1:5" x14ac:dyDescent="0.25">
      <c r="A9003">
        <v>10</v>
      </c>
      <c r="B9003">
        <v>33</v>
      </c>
      <c r="C9003">
        <v>1</v>
      </c>
      <c r="D9003">
        <v>4</v>
      </c>
      <c r="E9003">
        <f t="shared" si="140"/>
        <v>2.3971890894757423E-8</v>
      </c>
    </row>
    <row r="9004" spans="1:5" x14ac:dyDescent="0.25">
      <c r="A9004">
        <v>10</v>
      </c>
      <c r="B9004">
        <v>33</v>
      </c>
      <c r="C9004">
        <v>2</v>
      </c>
      <c r="D9004">
        <v>3</v>
      </c>
      <c r="E9004">
        <f t="shared" si="140"/>
        <v>1.3947281975131589E-7</v>
      </c>
    </row>
    <row r="9005" spans="1:5" x14ac:dyDescent="0.25">
      <c r="A9005">
        <v>10</v>
      </c>
      <c r="B9005">
        <v>33</v>
      </c>
      <c r="C9005">
        <v>3</v>
      </c>
      <c r="D9005">
        <v>2</v>
      </c>
      <c r="E9005">
        <f t="shared" si="140"/>
        <v>3.8203424540577831E-7</v>
      </c>
    </row>
    <row r="9006" spans="1:5" x14ac:dyDescent="0.25">
      <c r="A9006">
        <v>10</v>
      </c>
      <c r="B9006">
        <v>33</v>
      </c>
      <c r="C9006">
        <v>4</v>
      </c>
      <c r="D9006">
        <v>1</v>
      </c>
      <c r="E9006">
        <f t="shared" si="140"/>
        <v>4.9346090031579692E-7</v>
      </c>
    </row>
    <row r="9007" spans="1:5" x14ac:dyDescent="0.25">
      <c r="A9007">
        <v>10</v>
      </c>
      <c r="B9007">
        <v>33</v>
      </c>
      <c r="C9007">
        <v>5</v>
      </c>
      <c r="D9007">
        <v>0</v>
      </c>
      <c r="E9007">
        <f t="shared" si="140"/>
        <v>2.40808919354109E-7</v>
      </c>
    </row>
    <row r="9008" spans="1:5" x14ac:dyDescent="0.25">
      <c r="A9008">
        <v>10</v>
      </c>
      <c r="B9008">
        <v>34</v>
      </c>
      <c r="C9008">
        <v>0</v>
      </c>
      <c r="D9008">
        <v>4</v>
      </c>
      <c r="E9008">
        <f t="shared" si="140"/>
        <v>2.7768344203881889E-9</v>
      </c>
    </row>
    <row r="9009" spans="1:5" x14ac:dyDescent="0.25">
      <c r="A9009">
        <v>10</v>
      </c>
      <c r="B9009">
        <v>34</v>
      </c>
      <c r="C9009">
        <v>1</v>
      </c>
      <c r="D9009">
        <v>3</v>
      </c>
      <c r="E9009">
        <f t="shared" si="140"/>
        <v>3.2817134059133135E-8</v>
      </c>
    </row>
    <row r="9010" spans="1:5" x14ac:dyDescent="0.25">
      <c r="A9010">
        <v>10</v>
      </c>
      <c r="B9010">
        <v>34</v>
      </c>
      <c r="C9010">
        <v>2</v>
      </c>
      <c r="D9010">
        <v>2</v>
      </c>
      <c r="E9010">
        <f t="shared" si="140"/>
        <v>1.3697586389899048E-7</v>
      </c>
    </row>
    <row r="9011" spans="1:5" x14ac:dyDescent="0.25">
      <c r="A9011">
        <v>10</v>
      </c>
      <c r="B9011">
        <v>34</v>
      </c>
      <c r="C9011">
        <v>3</v>
      </c>
      <c r="D9011">
        <v>1</v>
      </c>
      <c r="E9011">
        <f t="shared" si="140"/>
        <v>2.3970776182323333E-7</v>
      </c>
    </row>
    <row r="9012" spans="1:5" x14ac:dyDescent="0.25">
      <c r="A9012">
        <v>10</v>
      </c>
      <c r="B9012">
        <v>34</v>
      </c>
      <c r="C9012">
        <v>4</v>
      </c>
      <c r="D9012">
        <v>0</v>
      </c>
      <c r="E9012">
        <f t="shared" si="140"/>
        <v>1.4861881233040468E-7</v>
      </c>
    </row>
    <row r="9013" spans="1:5" x14ac:dyDescent="0.25">
      <c r="A9013">
        <v>10</v>
      </c>
      <c r="B9013">
        <v>35</v>
      </c>
      <c r="C9013">
        <v>0</v>
      </c>
      <c r="D9013">
        <v>3</v>
      </c>
      <c r="E9013">
        <f t="shared" si="140"/>
        <v>3.6784040373973401E-9</v>
      </c>
    </row>
    <row r="9014" spans="1:5" x14ac:dyDescent="0.25">
      <c r="A9014">
        <v>10</v>
      </c>
      <c r="B9014">
        <v>35</v>
      </c>
      <c r="C9014">
        <v>1</v>
      </c>
      <c r="D9014">
        <v>2</v>
      </c>
      <c r="E9014">
        <f t="shared" si="140"/>
        <v>3.1186469012716578E-8</v>
      </c>
    </row>
    <row r="9015" spans="1:5" x14ac:dyDescent="0.25">
      <c r="A9015">
        <v>10</v>
      </c>
      <c r="B9015">
        <v>35</v>
      </c>
      <c r="C9015">
        <v>2</v>
      </c>
      <c r="D9015">
        <v>1</v>
      </c>
      <c r="E9015">
        <f t="shared" si="140"/>
        <v>8.3163917367244203E-8</v>
      </c>
    </row>
    <row r="9016" spans="1:5" x14ac:dyDescent="0.25">
      <c r="A9016">
        <v>10</v>
      </c>
      <c r="B9016">
        <v>35</v>
      </c>
      <c r="C9016">
        <v>3</v>
      </c>
      <c r="D9016">
        <v>0</v>
      </c>
      <c r="E9016">
        <f t="shared" si="140"/>
        <v>6.985769058848513E-8</v>
      </c>
    </row>
    <row r="9017" spans="1:5" x14ac:dyDescent="0.25">
      <c r="A9017">
        <v>10</v>
      </c>
      <c r="B9017">
        <v>36</v>
      </c>
      <c r="C9017">
        <v>0</v>
      </c>
      <c r="D9017">
        <v>2</v>
      </c>
      <c r="E9017">
        <f t="shared" si="140"/>
        <v>3.385197918474366E-9</v>
      </c>
    </row>
    <row r="9018" spans="1:5" x14ac:dyDescent="0.25">
      <c r="A9018">
        <v>10</v>
      </c>
      <c r="B9018">
        <v>36</v>
      </c>
      <c r="C9018">
        <v>1</v>
      </c>
      <c r="D9018">
        <v>1</v>
      </c>
      <c r="E9018">
        <f t="shared" si="140"/>
        <v>1.8336488725069483E-8</v>
      </c>
    </row>
    <row r="9019" spans="1:5" x14ac:dyDescent="0.25">
      <c r="A9019">
        <v>10</v>
      </c>
      <c r="B9019">
        <v>36</v>
      </c>
      <c r="C9019">
        <v>2</v>
      </c>
      <c r="D9019">
        <v>0</v>
      </c>
      <c r="E9019">
        <f t="shared" si="140"/>
        <v>2.3470705568088938E-8</v>
      </c>
    </row>
    <row r="9020" spans="1:5" x14ac:dyDescent="0.25">
      <c r="A9020">
        <v>10</v>
      </c>
      <c r="B9020">
        <v>37</v>
      </c>
      <c r="C9020">
        <v>0</v>
      </c>
      <c r="D9020">
        <v>1</v>
      </c>
      <c r="E9020">
        <f t="shared" si="140"/>
        <v>1.9289528679594904E-9</v>
      </c>
    </row>
    <row r="9021" spans="1:5" x14ac:dyDescent="0.25">
      <c r="A9021">
        <v>10</v>
      </c>
      <c r="B9021">
        <v>37</v>
      </c>
      <c r="C9021">
        <v>1</v>
      </c>
      <c r="D9021">
        <v>0</v>
      </c>
      <c r="E9021">
        <f t="shared" si="140"/>
        <v>5.0152774566946751E-9</v>
      </c>
    </row>
    <row r="9022" spans="1:5" x14ac:dyDescent="0.25">
      <c r="A9022">
        <v>10</v>
      </c>
      <c r="B9022">
        <v>38</v>
      </c>
      <c r="C9022">
        <v>0</v>
      </c>
      <c r="D9022">
        <v>0</v>
      </c>
      <c r="E9022">
        <f t="shared" si="140"/>
        <v>5.1168012918504418E-10</v>
      </c>
    </row>
    <row r="9023" spans="1:5" x14ac:dyDescent="0.25">
      <c r="A9023">
        <v>11</v>
      </c>
      <c r="B9023">
        <v>0</v>
      </c>
      <c r="C9023">
        <v>12</v>
      </c>
      <c r="D9023">
        <v>25</v>
      </c>
      <c r="E9023">
        <f t="shared" si="140"/>
        <v>4.205453113018105E-45</v>
      </c>
    </row>
    <row r="9024" spans="1:5" x14ac:dyDescent="0.25">
      <c r="A9024">
        <v>11</v>
      </c>
      <c r="B9024">
        <v>0</v>
      </c>
      <c r="C9024">
        <v>13</v>
      </c>
      <c r="D9024">
        <v>24</v>
      </c>
      <c r="E9024">
        <f t="shared" si="140"/>
        <v>4.2863272113453781E-43</v>
      </c>
    </row>
    <row r="9025" spans="1:5" x14ac:dyDescent="0.25">
      <c r="A9025">
        <v>11</v>
      </c>
      <c r="B9025">
        <v>0</v>
      </c>
      <c r="C9025">
        <v>14</v>
      </c>
      <c r="D9025">
        <v>23</v>
      </c>
      <c r="E9025">
        <f t="shared" si="140"/>
        <v>1.9104772713425115E-41</v>
      </c>
    </row>
    <row r="9026" spans="1:5" x14ac:dyDescent="0.25">
      <c r="A9026">
        <v>11</v>
      </c>
      <c r="B9026">
        <v>0</v>
      </c>
      <c r="C9026">
        <v>15</v>
      </c>
      <c r="D9026">
        <v>22</v>
      </c>
      <c r="E9026">
        <f t="shared" si="140"/>
        <v>4.9799774206328118E-40</v>
      </c>
    </row>
    <row r="9027" spans="1:5" x14ac:dyDescent="0.25">
      <c r="A9027">
        <v>11</v>
      </c>
      <c r="B9027">
        <v>0</v>
      </c>
      <c r="C9027">
        <v>16</v>
      </c>
      <c r="D9027">
        <v>21</v>
      </c>
      <c r="E9027">
        <f t="shared" si="140"/>
        <v>8.5593361917126481E-39</v>
      </c>
    </row>
    <row r="9028" spans="1:5" x14ac:dyDescent="0.25">
      <c r="A9028">
        <v>11</v>
      </c>
      <c r="B9028">
        <v>0</v>
      </c>
      <c r="C9028">
        <v>17</v>
      </c>
      <c r="D9028">
        <v>20</v>
      </c>
      <c r="E9028">
        <f t="shared" si="140"/>
        <v>1.036183169561449E-37</v>
      </c>
    </row>
    <row r="9029" spans="1:5" x14ac:dyDescent="0.25">
      <c r="A9029">
        <v>11</v>
      </c>
      <c r="B9029">
        <v>0</v>
      </c>
      <c r="C9029">
        <v>18</v>
      </c>
      <c r="D9029">
        <v>19</v>
      </c>
      <c r="E9029">
        <f t="shared" si="140"/>
        <v>9.2105170627684261E-37</v>
      </c>
    </row>
    <row r="9030" spans="1:5" x14ac:dyDescent="0.25">
      <c r="A9030">
        <v>11</v>
      </c>
      <c r="B9030">
        <v>0</v>
      </c>
      <c r="C9030">
        <v>19</v>
      </c>
      <c r="D9030">
        <v>18</v>
      </c>
      <c r="E9030">
        <f t="shared" si="140"/>
        <v>6.1842043135730918E-36</v>
      </c>
    </row>
    <row r="9031" spans="1:5" x14ac:dyDescent="0.25">
      <c r="A9031">
        <v>11</v>
      </c>
      <c r="B9031">
        <v>0</v>
      </c>
      <c r="C9031">
        <v>20</v>
      </c>
      <c r="D9031">
        <v>17</v>
      </c>
      <c r="E9031">
        <f t="shared" si="140"/>
        <v>3.2003257322740765E-35</v>
      </c>
    </row>
    <row r="9032" spans="1:5" x14ac:dyDescent="0.25">
      <c r="A9032">
        <v>11</v>
      </c>
      <c r="B9032">
        <v>0</v>
      </c>
      <c r="C9032">
        <v>21</v>
      </c>
      <c r="D9032">
        <v>16</v>
      </c>
      <c r="E9032">
        <f t="shared" si="140"/>
        <v>1.2953699392537914E-34</v>
      </c>
    </row>
    <row r="9033" spans="1:5" x14ac:dyDescent="0.25">
      <c r="A9033">
        <v>11</v>
      </c>
      <c r="B9033">
        <v>0</v>
      </c>
      <c r="C9033">
        <v>22</v>
      </c>
      <c r="D9033">
        <v>15</v>
      </c>
      <c r="E9033">
        <f t="shared" si="140"/>
        <v>4.1451838056121343E-34</v>
      </c>
    </row>
    <row r="9034" spans="1:5" x14ac:dyDescent="0.25">
      <c r="A9034">
        <v>11</v>
      </c>
      <c r="B9034">
        <v>0</v>
      </c>
      <c r="C9034">
        <v>23</v>
      </c>
      <c r="D9034">
        <v>14</v>
      </c>
      <c r="E9034">
        <f t="shared" si="140"/>
        <v>1.0567761085453859E-33</v>
      </c>
    </row>
    <row r="9035" spans="1:5" x14ac:dyDescent="0.25">
      <c r="A9035">
        <v>11</v>
      </c>
      <c r="B9035">
        <v>0</v>
      </c>
      <c r="C9035">
        <v>24</v>
      </c>
      <c r="D9035">
        <v>13</v>
      </c>
      <c r="E9035">
        <f t="shared" si="140"/>
        <v>2.15758455494683E-33</v>
      </c>
    </row>
    <row r="9036" spans="1:5" x14ac:dyDescent="0.25">
      <c r="A9036">
        <v>11</v>
      </c>
      <c r="B9036">
        <v>0</v>
      </c>
      <c r="C9036">
        <v>25</v>
      </c>
      <c r="D9036">
        <v>12</v>
      </c>
      <c r="E9036">
        <f t="shared" si="140"/>
        <v>3.5384386701128028E-33</v>
      </c>
    </row>
    <row r="9037" spans="1:5" x14ac:dyDescent="0.25">
      <c r="A9037">
        <v>11</v>
      </c>
      <c r="B9037">
        <v>0</v>
      </c>
      <c r="C9037">
        <v>26</v>
      </c>
      <c r="D9037">
        <v>11</v>
      </c>
      <c r="E9037">
        <f t="shared" si="140"/>
        <v>4.6660729715773181E-33</v>
      </c>
    </row>
    <row r="9038" spans="1:5" x14ac:dyDescent="0.25">
      <c r="A9038">
        <v>11</v>
      </c>
      <c r="B9038">
        <v>0</v>
      </c>
      <c r="C9038">
        <v>27</v>
      </c>
      <c r="D9038">
        <v>10</v>
      </c>
      <c r="E9038">
        <f t="shared" ref="E9038:E9101" si="141">COMBIN(A$4,A9038)*COMBIN(B$4,B9038)*COMBIN(C$4,C9038)*COMBIN(D$4,D9038)/COMBIN($G$4,$F$4)</f>
        <v>4.94258099952264E-33</v>
      </c>
    </row>
    <row r="9039" spans="1:5" x14ac:dyDescent="0.25">
      <c r="A9039">
        <v>11</v>
      </c>
      <c r="B9039">
        <v>0</v>
      </c>
      <c r="C9039">
        <v>28</v>
      </c>
      <c r="D9039">
        <v>9</v>
      </c>
      <c r="E9039">
        <f t="shared" si="141"/>
        <v>4.1923678120950974E-33</v>
      </c>
    </row>
    <row r="9040" spans="1:5" x14ac:dyDescent="0.25">
      <c r="A9040">
        <v>11</v>
      </c>
      <c r="B9040">
        <v>0</v>
      </c>
      <c r="C9040">
        <v>29</v>
      </c>
      <c r="D9040">
        <v>8</v>
      </c>
      <c r="E9040">
        <f t="shared" si="141"/>
        <v>2.8317616256139303E-33</v>
      </c>
    </row>
    <row r="9041" spans="1:5" x14ac:dyDescent="0.25">
      <c r="A9041">
        <v>11</v>
      </c>
      <c r="B9041">
        <v>0</v>
      </c>
      <c r="C9041">
        <v>30</v>
      </c>
      <c r="D9041">
        <v>7</v>
      </c>
      <c r="E9041">
        <f t="shared" si="141"/>
        <v>1.5102728669940963E-33</v>
      </c>
    </row>
    <row r="9042" spans="1:5" x14ac:dyDescent="0.25">
      <c r="A9042">
        <v>11</v>
      </c>
      <c r="B9042">
        <v>0</v>
      </c>
      <c r="C9042">
        <v>31</v>
      </c>
      <c r="D9042">
        <v>6</v>
      </c>
      <c r="E9042">
        <f t="shared" si="141"/>
        <v>6.2821197353744228E-34</v>
      </c>
    </row>
    <row r="9043" spans="1:5" x14ac:dyDescent="0.25">
      <c r="A9043">
        <v>11</v>
      </c>
      <c r="B9043">
        <v>0</v>
      </c>
      <c r="C9043">
        <v>32</v>
      </c>
      <c r="D9043">
        <v>5</v>
      </c>
      <c r="E9043">
        <f t="shared" si="141"/>
        <v>2.002425665650597E-34</v>
      </c>
    </row>
    <row r="9044" spans="1:5" x14ac:dyDescent="0.25">
      <c r="A9044">
        <v>11</v>
      </c>
      <c r="B9044">
        <v>0</v>
      </c>
      <c r="C9044">
        <v>33</v>
      </c>
      <c r="D9044">
        <v>4</v>
      </c>
      <c r="E9044">
        <f t="shared" si="141"/>
        <v>4.7676801563109463E-35</v>
      </c>
    </row>
    <row r="9045" spans="1:5" x14ac:dyDescent="0.25">
      <c r="A9045">
        <v>11</v>
      </c>
      <c r="B9045">
        <v>0</v>
      </c>
      <c r="C9045">
        <v>34</v>
      </c>
      <c r="D9045">
        <v>3</v>
      </c>
      <c r="E9045">
        <f t="shared" si="141"/>
        <v>8.1585970589278238E-36</v>
      </c>
    </row>
    <row r="9046" spans="1:5" x14ac:dyDescent="0.25">
      <c r="A9046">
        <v>11</v>
      </c>
      <c r="B9046">
        <v>0</v>
      </c>
      <c r="C9046">
        <v>35</v>
      </c>
      <c r="D9046">
        <v>2</v>
      </c>
      <c r="E9046">
        <f t="shared" si="141"/>
        <v>9.4254599562768628E-37</v>
      </c>
    </row>
    <row r="9047" spans="1:5" x14ac:dyDescent="0.25">
      <c r="A9047">
        <v>11</v>
      </c>
      <c r="B9047">
        <v>0</v>
      </c>
      <c r="C9047">
        <v>36</v>
      </c>
      <c r="D9047">
        <v>1</v>
      </c>
      <c r="E9047">
        <f t="shared" si="141"/>
        <v>6.5454583029700447E-38</v>
      </c>
    </row>
    <row r="9048" spans="1:5" x14ac:dyDescent="0.25">
      <c r="A9048">
        <v>11</v>
      </c>
      <c r="B9048">
        <v>0</v>
      </c>
      <c r="C9048">
        <v>37</v>
      </c>
      <c r="D9048">
        <v>0</v>
      </c>
      <c r="E9048">
        <f t="shared" si="141"/>
        <v>2.0520896301203379E-39</v>
      </c>
    </row>
    <row r="9049" spans="1:5" x14ac:dyDescent="0.25">
      <c r="A9049">
        <v>11</v>
      </c>
      <c r="B9049">
        <v>1</v>
      </c>
      <c r="C9049">
        <v>11</v>
      </c>
      <c r="D9049">
        <v>25</v>
      </c>
      <c r="E9049">
        <f t="shared" si="141"/>
        <v>2.7008354436938513E-43</v>
      </c>
    </row>
    <row r="9050" spans="1:5" x14ac:dyDescent="0.25">
      <c r="A9050">
        <v>11</v>
      </c>
      <c r="B9050">
        <v>1</v>
      </c>
      <c r="C9050">
        <v>12</v>
      </c>
      <c r="D9050">
        <v>24</v>
      </c>
      <c r="E9050">
        <f t="shared" si="141"/>
        <v>3.0384398741555806E-41</v>
      </c>
    </row>
    <row r="9051" spans="1:5" x14ac:dyDescent="0.25">
      <c r="A9051">
        <v>11</v>
      </c>
      <c r="B9051">
        <v>1</v>
      </c>
      <c r="C9051">
        <v>13</v>
      </c>
      <c r="D9051">
        <v>23</v>
      </c>
      <c r="E9051">
        <f t="shared" si="141"/>
        <v>1.4864982768945773E-39</v>
      </c>
    </row>
    <row r="9052" spans="1:5" x14ac:dyDescent="0.25">
      <c r="A9052">
        <v>11</v>
      </c>
      <c r="B9052">
        <v>1</v>
      </c>
      <c r="C9052">
        <v>14</v>
      </c>
      <c r="D9052">
        <v>22</v>
      </c>
      <c r="E9052">
        <f t="shared" si="141"/>
        <v>4.2329808075378915E-38</v>
      </c>
    </row>
    <row r="9053" spans="1:5" x14ac:dyDescent="0.25">
      <c r="A9053">
        <v>11</v>
      </c>
      <c r="B9053">
        <v>1</v>
      </c>
      <c r="C9053">
        <v>15</v>
      </c>
      <c r="D9053">
        <v>21</v>
      </c>
      <c r="E9053">
        <f t="shared" si="141"/>
        <v>7.9156741100958565E-37</v>
      </c>
    </row>
    <row r="9054" spans="1:5" x14ac:dyDescent="0.25">
      <c r="A9054">
        <v>11</v>
      </c>
      <c r="B9054">
        <v>1</v>
      </c>
      <c r="C9054">
        <v>16</v>
      </c>
      <c r="D9054">
        <v>20</v>
      </c>
      <c r="E9054">
        <f t="shared" si="141"/>
        <v>1.0389322269500808E-35</v>
      </c>
    </row>
    <row r="9055" spans="1:5" x14ac:dyDescent="0.25">
      <c r="A9055">
        <v>11</v>
      </c>
      <c r="B9055">
        <v>1</v>
      </c>
      <c r="C9055">
        <v>17</v>
      </c>
      <c r="D9055">
        <v>19</v>
      </c>
      <c r="E9055">
        <f t="shared" si="141"/>
        <v>9.9818978667752907E-35</v>
      </c>
    </row>
    <row r="9056" spans="1:5" x14ac:dyDescent="0.25">
      <c r="A9056">
        <v>11</v>
      </c>
      <c r="B9056">
        <v>1</v>
      </c>
      <c r="C9056">
        <v>18</v>
      </c>
      <c r="D9056">
        <v>18</v>
      </c>
      <c r="E9056">
        <f t="shared" si="141"/>
        <v>7.2249927416659208E-34</v>
      </c>
    </row>
    <row r="9057" spans="1:5" x14ac:dyDescent="0.25">
      <c r="A9057">
        <v>11</v>
      </c>
      <c r="B9057">
        <v>1</v>
      </c>
      <c r="C9057">
        <v>19</v>
      </c>
      <c r="D9057">
        <v>17</v>
      </c>
      <c r="E9057">
        <f t="shared" si="141"/>
        <v>4.0212788549009016E-33</v>
      </c>
    </row>
    <row r="9058" spans="1:5" x14ac:dyDescent="0.25">
      <c r="A9058">
        <v>11</v>
      </c>
      <c r="B9058">
        <v>1</v>
      </c>
      <c r="C9058">
        <v>20</v>
      </c>
      <c r="D9058">
        <v>16</v>
      </c>
      <c r="E9058">
        <f t="shared" si="141"/>
        <v>1.7470222580736156E-32</v>
      </c>
    </row>
    <row r="9059" spans="1:5" x14ac:dyDescent="0.25">
      <c r="A9059">
        <v>11</v>
      </c>
      <c r="B9059">
        <v>1</v>
      </c>
      <c r="C9059">
        <v>21</v>
      </c>
      <c r="D9059">
        <v>15</v>
      </c>
      <c r="E9059">
        <f t="shared" si="141"/>
        <v>5.9897905991095305E-32</v>
      </c>
    </row>
    <row r="9060" spans="1:5" x14ac:dyDescent="0.25">
      <c r="A9060">
        <v>11</v>
      </c>
      <c r="B9060">
        <v>1</v>
      </c>
      <c r="C9060">
        <v>22</v>
      </c>
      <c r="D9060">
        <v>14</v>
      </c>
      <c r="E9060">
        <f t="shared" si="141"/>
        <v>1.6335792543026005E-31</v>
      </c>
    </row>
    <row r="9061" spans="1:5" x14ac:dyDescent="0.25">
      <c r="A9061">
        <v>11</v>
      </c>
      <c r="B9061">
        <v>1</v>
      </c>
      <c r="C9061">
        <v>23</v>
      </c>
      <c r="D9061">
        <v>13</v>
      </c>
      <c r="E9061">
        <f t="shared" si="141"/>
        <v>3.5630967793121936E-31</v>
      </c>
    </row>
    <row r="9062" spans="1:5" x14ac:dyDescent="0.25">
      <c r="A9062">
        <v>11</v>
      </c>
      <c r="B9062">
        <v>1</v>
      </c>
      <c r="C9062">
        <v>24</v>
      </c>
      <c r="D9062">
        <v>12</v>
      </c>
      <c r="E9062">
        <f t="shared" si="141"/>
        <v>6.2354193637963396E-31</v>
      </c>
    </row>
    <row r="9063" spans="1:5" x14ac:dyDescent="0.25">
      <c r="A9063">
        <v>11</v>
      </c>
      <c r="B9063">
        <v>1</v>
      </c>
      <c r="C9063">
        <v>25</v>
      </c>
      <c r="D9063">
        <v>11</v>
      </c>
      <c r="E9063">
        <f t="shared" si="141"/>
        <v>8.7652180771079977E-31</v>
      </c>
    </row>
    <row r="9064" spans="1:5" x14ac:dyDescent="0.25">
      <c r="A9064">
        <v>11</v>
      </c>
      <c r="B9064">
        <v>1</v>
      </c>
      <c r="C9064">
        <v>26</v>
      </c>
      <c r="D9064">
        <v>10</v>
      </c>
      <c r="E9064">
        <f t="shared" si="141"/>
        <v>9.8889639844295283E-31</v>
      </c>
    </row>
    <row r="9065" spans="1:5" x14ac:dyDescent="0.25">
      <c r="A9065">
        <v>11</v>
      </c>
      <c r="B9065">
        <v>1</v>
      </c>
      <c r="C9065">
        <v>27</v>
      </c>
      <c r="D9065">
        <v>9</v>
      </c>
      <c r="E9065">
        <f t="shared" si="141"/>
        <v>8.9275369303877701E-31</v>
      </c>
    </row>
    <row r="9066" spans="1:5" x14ac:dyDescent="0.25">
      <c r="A9066">
        <v>11</v>
      </c>
      <c r="B9066">
        <v>1</v>
      </c>
      <c r="C9066">
        <v>28</v>
      </c>
      <c r="D9066">
        <v>8</v>
      </c>
      <c r="E9066">
        <f t="shared" si="141"/>
        <v>6.4143227525054997E-31</v>
      </c>
    </row>
    <row r="9067" spans="1:5" x14ac:dyDescent="0.25">
      <c r="A9067">
        <v>11</v>
      </c>
      <c r="B9067">
        <v>1</v>
      </c>
      <c r="C9067">
        <v>29</v>
      </c>
      <c r="D9067">
        <v>7</v>
      </c>
      <c r="E9067">
        <f t="shared" si="141"/>
        <v>3.6372404880107829E-31</v>
      </c>
    </row>
    <row r="9068" spans="1:5" x14ac:dyDescent="0.25">
      <c r="A9068">
        <v>11</v>
      </c>
      <c r="B9068">
        <v>1</v>
      </c>
      <c r="C9068">
        <v>30</v>
      </c>
      <c r="D9068">
        <v>6</v>
      </c>
      <c r="E9068">
        <f t="shared" si="141"/>
        <v>1.6080431631205559E-31</v>
      </c>
    </row>
    <row r="9069" spans="1:5" x14ac:dyDescent="0.25">
      <c r="A9069">
        <v>11</v>
      </c>
      <c r="B9069">
        <v>1</v>
      </c>
      <c r="C9069">
        <v>31</v>
      </c>
      <c r="D9069">
        <v>5</v>
      </c>
      <c r="E9069">
        <f t="shared" si="141"/>
        <v>5.4465978105696248E-32</v>
      </c>
    </row>
    <row r="9070" spans="1:5" x14ac:dyDescent="0.25">
      <c r="A9070">
        <v>11</v>
      </c>
      <c r="B9070">
        <v>1</v>
      </c>
      <c r="C9070">
        <v>32</v>
      </c>
      <c r="D9070">
        <v>4</v>
      </c>
      <c r="E9070">
        <f t="shared" si="141"/>
        <v>1.3778595651738636E-32</v>
      </c>
    </row>
    <row r="9071" spans="1:5" x14ac:dyDescent="0.25">
      <c r="A9071">
        <v>11</v>
      </c>
      <c r="B9071">
        <v>1</v>
      </c>
      <c r="C9071">
        <v>33</v>
      </c>
      <c r="D9071">
        <v>3</v>
      </c>
      <c r="E9071">
        <f t="shared" si="141"/>
        <v>2.5051992094070243E-33</v>
      </c>
    </row>
    <row r="9072" spans="1:5" x14ac:dyDescent="0.25">
      <c r="A9072">
        <v>11</v>
      </c>
      <c r="B9072">
        <v>1</v>
      </c>
      <c r="C9072">
        <v>34</v>
      </c>
      <c r="D9072">
        <v>2</v>
      </c>
      <c r="E9072">
        <f t="shared" si="141"/>
        <v>3.0754363696045314E-34</v>
      </c>
    </row>
    <row r="9073" spans="1:5" x14ac:dyDescent="0.25">
      <c r="A9073">
        <v>11</v>
      </c>
      <c r="B9073">
        <v>1</v>
      </c>
      <c r="C9073">
        <v>35</v>
      </c>
      <c r="D9073">
        <v>1</v>
      </c>
      <c r="E9073">
        <f t="shared" si="141"/>
        <v>2.2699649394700114E-35</v>
      </c>
    </row>
    <row r="9074" spans="1:5" x14ac:dyDescent="0.25">
      <c r="A9074">
        <v>11</v>
      </c>
      <c r="B9074">
        <v>1</v>
      </c>
      <c r="C9074">
        <v>36</v>
      </c>
      <c r="D9074">
        <v>0</v>
      </c>
      <c r="E9074">
        <f t="shared" si="141"/>
        <v>7.5665497982333723E-37</v>
      </c>
    </row>
    <row r="9075" spans="1:5" x14ac:dyDescent="0.25">
      <c r="A9075">
        <v>11</v>
      </c>
      <c r="B9075">
        <v>2</v>
      </c>
      <c r="C9075">
        <v>10</v>
      </c>
      <c r="D9075">
        <v>25</v>
      </c>
      <c r="E9075">
        <f t="shared" si="141"/>
        <v>7.7784060778382895E-42</v>
      </c>
    </row>
    <row r="9076" spans="1:5" x14ac:dyDescent="0.25">
      <c r="A9076">
        <v>11</v>
      </c>
      <c r="B9076">
        <v>2</v>
      </c>
      <c r="C9076">
        <v>11</v>
      </c>
      <c r="D9076">
        <v>24</v>
      </c>
      <c r="E9076">
        <f t="shared" si="141"/>
        <v>9.7230075972978646E-40</v>
      </c>
    </row>
    <row r="9077" spans="1:5" x14ac:dyDescent="0.25">
      <c r="A9077">
        <v>11</v>
      </c>
      <c r="B9077">
        <v>2</v>
      </c>
      <c r="C9077">
        <v>12</v>
      </c>
      <c r="D9077">
        <v>23</v>
      </c>
      <c r="E9077">
        <f t="shared" si="141"/>
        <v>5.2504241025408433E-38</v>
      </c>
    </row>
    <row r="9078" spans="1:5" x14ac:dyDescent="0.25">
      <c r="A9078">
        <v>11</v>
      </c>
      <c r="B9078">
        <v>2</v>
      </c>
      <c r="C9078">
        <v>13</v>
      </c>
      <c r="D9078">
        <v>22</v>
      </c>
      <c r="E9078">
        <f t="shared" si="141"/>
        <v>1.6410940976916129E-36</v>
      </c>
    </row>
    <row r="9079" spans="1:5" x14ac:dyDescent="0.25">
      <c r="A9079">
        <v>11</v>
      </c>
      <c r="B9079">
        <v>2</v>
      </c>
      <c r="C9079">
        <v>14</v>
      </c>
      <c r="D9079">
        <v>21</v>
      </c>
      <c r="E9079">
        <f t="shared" si="141"/>
        <v>3.3525207995700105E-35</v>
      </c>
    </row>
    <row r="9080" spans="1:5" x14ac:dyDescent="0.25">
      <c r="A9080">
        <v>11</v>
      </c>
      <c r="B9080">
        <v>2</v>
      </c>
      <c r="C9080">
        <v>15</v>
      </c>
      <c r="D9080">
        <v>20</v>
      </c>
      <c r="E9080">
        <f t="shared" si="141"/>
        <v>4.7873997017859715E-34</v>
      </c>
    </row>
    <row r="9081" spans="1:5" x14ac:dyDescent="0.25">
      <c r="A9081">
        <v>11</v>
      </c>
      <c r="B9081">
        <v>2</v>
      </c>
      <c r="C9081">
        <v>16</v>
      </c>
      <c r="D9081">
        <v>19</v>
      </c>
      <c r="E9081">
        <f t="shared" si="141"/>
        <v>4.986874689360388E-33</v>
      </c>
    </row>
    <row r="9082" spans="1:5" x14ac:dyDescent="0.25">
      <c r="A9082">
        <v>11</v>
      </c>
      <c r="B9082">
        <v>2</v>
      </c>
      <c r="C9082">
        <v>17</v>
      </c>
      <c r="D9082">
        <v>18</v>
      </c>
      <c r="E9082">
        <f t="shared" si="141"/>
        <v>3.9014960804996016E-32</v>
      </c>
    </row>
    <row r="9083" spans="1:5" x14ac:dyDescent="0.25">
      <c r="A9083">
        <v>11</v>
      </c>
      <c r="B9083">
        <v>2</v>
      </c>
      <c r="C9083">
        <v>18</v>
      </c>
      <c r="D9083">
        <v>17</v>
      </c>
      <c r="E9083">
        <f t="shared" si="141"/>
        <v>2.3408976482997582E-31</v>
      </c>
    </row>
    <row r="9084" spans="1:5" x14ac:dyDescent="0.25">
      <c r="A9084">
        <v>11</v>
      </c>
      <c r="B9084">
        <v>2</v>
      </c>
      <c r="C9084">
        <v>19</v>
      </c>
      <c r="D9084">
        <v>16</v>
      </c>
      <c r="E9084">
        <f t="shared" si="141"/>
        <v>1.0937878485330452E-30</v>
      </c>
    </row>
    <row r="9085" spans="1:5" x14ac:dyDescent="0.25">
      <c r="A9085">
        <v>11</v>
      </c>
      <c r="B9085">
        <v>2</v>
      </c>
      <c r="C9085">
        <v>20</v>
      </c>
      <c r="D9085">
        <v>15</v>
      </c>
      <c r="E9085">
        <f t="shared" si="141"/>
        <v>4.0251392826016097E-30</v>
      </c>
    </row>
    <row r="9086" spans="1:5" x14ac:dyDescent="0.25">
      <c r="A9086">
        <v>11</v>
      </c>
      <c r="B9086">
        <v>2</v>
      </c>
      <c r="C9086">
        <v>21</v>
      </c>
      <c r="D9086">
        <v>14</v>
      </c>
      <c r="E9086">
        <f t="shared" si="141"/>
        <v>1.1761770630978716E-29</v>
      </c>
    </row>
    <row r="9087" spans="1:5" x14ac:dyDescent="0.25">
      <c r="A9087">
        <v>11</v>
      </c>
      <c r="B9087">
        <v>2</v>
      </c>
      <c r="C9087">
        <v>22</v>
      </c>
      <c r="D9087">
        <v>13</v>
      </c>
      <c r="E9087">
        <f t="shared" si="141"/>
        <v>2.7444131472283694E-29</v>
      </c>
    </row>
    <row r="9088" spans="1:5" x14ac:dyDescent="0.25">
      <c r="A9088">
        <v>11</v>
      </c>
      <c r="B9088">
        <v>2</v>
      </c>
      <c r="C9088">
        <v>23</v>
      </c>
      <c r="D9088">
        <v>12</v>
      </c>
      <c r="E9088">
        <f t="shared" si="141"/>
        <v>5.1308593622095582E-29</v>
      </c>
    </row>
    <row r="9089" spans="1:5" x14ac:dyDescent="0.25">
      <c r="A9089">
        <v>11</v>
      </c>
      <c r="B9089">
        <v>2</v>
      </c>
      <c r="C9089">
        <v>24</v>
      </c>
      <c r="D9089">
        <v>11</v>
      </c>
      <c r="E9089">
        <f t="shared" si="141"/>
        <v>7.6962890433143373E-29</v>
      </c>
    </row>
    <row r="9090" spans="1:5" x14ac:dyDescent="0.25">
      <c r="A9090">
        <v>11</v>
      </c>
      <c r="B9090">
        <v>2</v>
      </c>
      <c r="C9090">
        <v>25</v>
      </c>
      <c r="D9090">
        <v>10</v>
      </c>
      <c r="E9090">
        <f t="shared" si="141"/>
        <v>9.2560702894260449E-29</v>
      </c>
    </row>
    <row r="9091" spans="1:5" x14ac:dyDescent="0.25">
      <c r="A9091">
        <v>11</v>
      </c>
      <c r="B9091">
        <v>2</v>
      </c>
      <c r="C9091">
        <v>26</v>
      </c>
      <c r="D9091">
        <v>9</v>
      </c>
      <c r="E9091">
        <f t="shared" si="141"/>
        <v>8.9000675859865763E-29</v>
      </c>
    </row>
    <row r="9092" spans="1:5" x14ac:dyDescent="0.25">
      <c r="A9092">
        <v>11</v>
      </c>
      <c r="B9092">
        <v>2</v>
      </c>
      <c r="C9092">
        <v>27</v>
      </c>
      <c r="D9092">
        <v>8</v>
      </c>
      <c r="E9092">
        <f t="shared" si="141"/>
        <v>6.8059340363426749E-29</v>
      </c>
    </row>
    <row r="9093" spans="1:5" x14ac:dyDescent="0.25">
      <c r="A9093">
        <v>11</v>
      </c>
      <c r="B9093">
        <v>2</v>
      </c>
      <c r="C9093">
        <v>28</v>
      </c>
      <c r="D9093">
        <v>7</v>
      </c>
      <c r="E9093">
        <f t="shared" si="141"/>
        <v>4.1051665616035204E-29</v>
      </c>
    </row>
    <row r="9094" spans="1:5" x14ac:dyDescent="0.25">
      <c r="A9094">
        <v>11</v>
      </c>
      <c r="B9094">
        <v>2</v>
      </c>
      <c r="C9094">
        <v>29</v>
      </c>
      <c r="D9094">
        <v>6</v>
      </c>
      <c r="E9094">
        <f t="shared" si="141"/>
        <v>1.9296517957446672E-29</v>
      </c>
    </row>
    <row r="9095" spans="1:5" x14ac:dyDescent="0.25">
      <c r="A9095">
        <v>11</v>
      </c>
      <c r="B9095">
        <v>2</v>
      </c>
      <c r="C9095">
        <v>30</v>
      </c>
      <c r="D9095">
        <v>5</v>
      </c>
      <c r="E9095">
        <f t="shared" si="141"/>
        <v>6.9467464646808003E-30</v>
      </c>
    </row>
    <row r="9096" spans="1:5" x14ac:dyDescent="0.25">
      <c r="A9096">
        <v>11</v>
      </c>
      <c r="B9096">
        <v>2</v>
      </c>
      <c r="C9096">
        <v>31</v>
      </c>
      <c r="D9096">
        <v>4</v>
      </c>
      <c r="E9096">
        <f t="shared" si="141"/>
        <v>1.8674049636238718E-30</v>
      </c>
    </row>
    <row r="9097" spans="1:5" x14ac:dyDescent="0.25">
      <c r="A9097">
        <v>11</v>
      </c>
      <c r="B9097">
        <v>2</v>
      </c>
      <c r="C9097">
        <v>32</v>
      </c>
      <c r="D9097">
        <v>3</v>
      </c>
      <c r="E9097">
        <f t="shared" si="141"/>
        <v>3.6074868615461148E-31</v>
      </c>
    </row>
    <row r="9098" spans="1:5" x14ac:dyDescent="0.25">
      <c r="A9098">
        <v>11</v>
      </c>
      <c r="B9098">
        <v>2</v>
      </c>
      <c r="C9098">
        <v>33</v>
      </c>
      <c r="D9098">
        <v>2</v>
      </c>
      <c r="E9098">
        <f t="shared" si="141"/>
        <v>4.7054176454949317E-32</v>
      </c>
    </row>
    <row r="9099" spans="1:5" x14ac:dyDescent="0.25">
      <c r="A9099">
        <v>11</v>
      </c>
      <c r="B9099">
        <v>2</v>
      </c>
      <c r="C9099">
        <v>34</v>
      </c>
      <c r="D9099">
        <v>1</v>
      </c>
      <c r="E9099">
        <f t="shared" si="141"/>
        <v>3.6905236435254379E-33</v>
      </c>
    </row>
    <row r="9100" spans="1:5" x14ac:dyDescent="0.25">
      <c r="A9100">
        <v>11</v>
      </c>
      <c r="B9100">
        <v>2</v>
      </c>
      <c r="C9100">
        <v>35</v>
      </c>
      <c r="D9100">
        <v>0</v>
      </c>
      <c r="E9100">
        <f t="shared" si="141"/>
        <v>1.3074998051347263E-34</v>
      </c>
    </row>
    <row r="9101" spans="1:5" x14ac:dyDescent="0.25">
      <c r="A9101">
        <v>11</v>
      </c>
      <c r="B9101">
        <v>3</v>
      </c>
      <c r="C9101">
        <v>9</v>
      </c>
      <c r="D9101">
        <v>25</v>
      </c>
      <c r="E9101">
        <f t="shared" si="141"/>
        <v>1.3288110382973744E-40</v>
      </c>
    </row>
    <row r="9102" spans="1:5" x14ac:dyDescent="0.25">
      <c r="A9102">
        <v>11</v>
      </c>
      <c r="B9102">
        <v>3</v>
      </c>
      <c r="C9102">
        <v>10</v>
      </c>
      <c r="D9102">
        <v>24</v>
      </c>
      <c r="E9102">
        <f t="shared" ref="E9102:E9165" si="142">COMBIN(A$4,A9102)*COMBIN(B$4,B9102)*COMBIN(C$4,C9102)*COMBIN(D$4,D9102)/COMBIN($G$4,$F$4)</f>
        <v>1.8603354536163246E-38</v>
      </c>
    </row>
    <row r="9103" spans="1:5" x14ac:dyDescent="0.25">
      <c r="A9103">
        <v>11</v>
      </c>
      <c r="B9103">
        <v>3</v>
      </c>
      <c r="C9103">
        <v>11</v>
      </c>
      <c r="D9103">
        <v>23</v>
      </c>
      <c r="E9103">
        <f t="shared" si="142"/>
        <v>1.1162012721697948E-36</v>
      </c>
    </row>
    <row r="9104" spans="1:5" x14ac:dyDescent="0.25">
      <c r="A9104">
        <v>11</v>
      </c>
      <c r="B9104">
        <v>3</v>
      </c>
      <c r="C9104">
        <v>12</v>
      </c>
      <c r="D9104">
        <v>22</v>
      </c>
      <c r="E9104">
        <f t="shared" si="142"/>
        <v>3.8508943889857898E-35</v>
      </c>
    </row>
    <row r="9105" spans="1:5" x14ac:dyDescent="0.25">
      <c r="A9105">
        <v>11</v>
      </c>
      <c r="B9105">
        <v>3</v>
      </c>
      <c r="C9105">
        <v>13</v>
      </c>
      <c r="D9105">
        <v>21</v>
      </c>
      <c r="E9105">
        <f t="shared" si="142"/>
        <v>8.6348901106873732E-34</v>
      </c>
    </row>
    <row r="9106" spans="1:5" x14ac:dyDescent="0.25">
      <c r="A9106">
        <v>11</v>
      </c>
      <c r="B9106">
        <v>3</v>
      </c>
      <c r="C9106">
        <v>14</v>
      </c>
      <c r="D9106">
        <v>20</v>
      </c>
      <c r="E9106">
        <f t="shared" si="142"/>
        <v>1.3470428572672297E-32</v>
      </c>
    </row>
    <row r="9107" spans="1:5" x14ac:dyDescent="0.25">
      <c r="A9107">
        <v>11</v>
      </c>
      <c r="B9107">
        <v>3</v>
      </c>
      <c r="C9107">
        <v>15</v>
      </c>
      <c r="D9107">
        <v>19</v>
      </c>
      <c r="E9107">
        <f t="shared" si="142"/>
        <v>1.5266485715695266E-31</v>
      </c>
    </row>
    <row r="9108" spans="1:5" x14ac:dyDescent="0.25">
      <c r="A9108">
        <v>11</v>
      </c>
      <c r="B9108">
        <v>3</v>
      </c>
      <c r="C9108">
        <v>16</v>
      </c>
      <c r="D9108">
        <v>18</v>
      </c>
      <c r="E9108">
        <f t="shared" si="142"/>
        <v>1.2949251276705812E-30</v>
      </c>
    </row>
    <row r="9109" spans="1:5" x14ac:dyDescent="0.25">
      <c r="A9109">
        <v>11</v>
      </c>
      <c r="B9109">
        <v>3</v>
      </c>
      <c r="C9109">
        <v>17</v>
      </c>
      <c r="D9109">
        <v>17</v>
      </c>
      <c r="E9109">
        <f t="shared" si="142"/>
        <v>8.3979703132753904E-30</v>
      </c>
    </row>
    <row r="9110" spans="1:5" x14ac:dyDescent="0.25">
      <c r="A9110">
        <v>11</v>
      </c>
      <c r="B9110">
        <v>3</v>
      </c>
      <c r="C9110">
        <v>18</v>
      </c>
      <c r="D9110">
        <v>16</v>
      </c>
      <c r="E9110">
        <f t="shared" si="142"/>
        <v>4.2300887503905624E-29</v>
      </c>
    </row>
    <row r="9111" spans="1:5" x14ac:dyDescent="0.25">
      <c r="A9111">
        <v>11</v>
      </c>
      <c r="B9111">
        <v>3</v>
      </c>
      <c r="C9111">
        <v>19</v>
      </c>
      <c r="D9111">
        <v>15</v>
      </c>
      <c r="E9111">
        <f t="shared" si="142"/>
        <v>1.6742246001545812E-28</v>
      </c>
    </row>
    <row r="9112" spans="1:5" x14ac:dyDescent="0.25">
      <c r="A9112">
        <v>11</v>
      </c>
      <c r="B9112">
        <v>3</v>
      </c>
      <c r="C9112">
        <v>20</v>
      </c>
      <c r="D9112">
        <v>14</v>
      </c>
      <c r="E9112">
        <f t="shared" si="142"/>
        <v>5.2509771550302814E-28</v>
      </c>
    </row>
    <row r="9113" spans="1:5" x14ac:dyDescent="0.25">
      <c r="A9113">
        <v>11</v>
      </c>
      <c r="B9113">
        <v>3</v>
      </c>
      <c r="C9113">
        <v>21</v>
      </c>
      <c r="D9113">
        <v>13</v>
      </c>
      <c r="E9113">
        <f t="shared" si="142"/>
        <v>1.3127442887575692E-27</v>
      </c>
    </row>
    <row r="9114" spans="1:5" x14ac:dyDescent="0.25">
      <c r="A9114">
        <v>11</v>
      </c>
      <c r="B9114">
        <v>3</v>
      </c>
      <c r="C9114">
        <v>22</v>
      </c>
      <c r="D9114">
        <v>12</v>
      </c>
      <c r="E9114">
        <f t="shared" si="142"/>
        <v>2.6254885775151395E-27</v>
      </c>
    </row>
    <row r="9115" spans="1:5" x14ac:dyDescent="0.25">
      <c r="A9115">
        <v>11</v>
      </c>
      <c r="B9115">
        <v>3</v>
      </c>
      <c r="C9115">
        <v>23</v>
      </c>
      <c r="D9115">
        <v>11</v>
      </c>
      <c r="E9115">
        <f t="shared" si="142"/>
        <v>4.2073046770118374E-27</v>
      </c>
    </row>
    <row r="9116" spans="1:5" x14ac:dyDescent="0.25">
      <c r="A9116">
        <v>11</v>
      </c>
      <c r="B9116">
        <v>3</v>
      </c>
      <c r="C9116">
        <v>24</v>
      </c>
      <c r="D9116">
        <v>10</v>
      </c>
      <c r="E9116">
        <f t="shared" si="142"/>
        <v>5.399374335498523E-27</v>
      </c>
    </row>
    <row r="9117" spans="1:5" x14ac:dyDescent="0.25">
      <c r="A9117">
        <v>11</v>
      </c>
      <c r="B9117">
        <v>3</v>
      </c>
      <c r="C9117">
        <v>25</v>
      </c>
      <c r="D9117">
        <v>9</v>
      </c>
      <c r="E9117">
        <f t="shared" si="142"/>
        <v>5.5343586938859895E-27</v>
      </c>
    </row>
    <row r="9118" spans="1:5" x14ac:dyDescent="0.25">
      <c r="A9118">
        <v>11</v>
      </c>
      <c r="B9118">
        <v>3</v>
      </c>
      <c r="C9118">
        <v>26</v>
      </c>
      <c r="D9118">
        <v>8</v>
      </c>
      <c r="E9118">
        <f t="shared" si="142"/>
        <v>4.5076224656084955E-27</v>
      </c>
    </row>
    <row r="9119" spans="1:5" x14ac:dyDescent="0.25">
      <c r="A9119">
        <v>11</v>
      </c>
      <c r="B9119">
        <v>3</v>
      </c>
      <c r="C9119">
        <v>27</v>
      </c>
      <c r="D9119">
        <v>7</v>
      </c>
      <c r="E9119">
        <f t="shared" si="142"/>
        <v>2.8937823236005161E-27</v>
      </c>
    </row>
    <row r="9120" spans="1:5" x14ac:dyDescent="0.25">
      <c r="A9120">
        <v>11</v>
      </c>
      <c r="B9120">
        <v>3</v>
      </c>
      <c r="C9120">
        <v>28</v>
      </c>
      <c r="D9120">
        <v>6</v>
      </c>
      <c r="E9120">
        <f t="shared" si="142"/>
        <v>1.4468911618002577E-27</v>
      </c>
    </row>
    <row r="9121" spans="1:5" x14ac:dyDescent="0.25">
      <c r="A9121">
        <v>11</v>
      </c>
      <c r="B9121">
        <v>3</v>
      </c>
      <c r="C9121">
        <v>29</v>
      </c>
      <c r="D9121">
        <v>5</v>
      </c>
      <c r="E9121">
        <f t="shared" si="142"/>
        <v>5.5381006537871953E-28</v>
      </c>
    </row>
    <row r="9122" spans="1:5" x14ac:dyDescent="0.25">
      <c r="A9122">
        <v>11</v>
      </c>
      <c r="B9122">
        <v>3</v>
      </c>
      <c r="C9122">
        <v>30</v>
      </c>
      <c r="D9122">
        <v>4</v>
      </c>
      <c r="E9122">
        <f t="shared" si="142"/>
        <v>1.5823144725106272E-28</v>
      </c>
    </row>
    <row r="9123" spans="1:5" x14ac:dyDescent="0.25">
      <c r="A9123">
        <v>11</v>
      </c>
      <c r="B9123">
        <v>3</v>
      </c>
      <c r="C9123">
        <v>31</v>
      </c>
      <c r="D9123">
        <v>3</v>
      </c>
      <c r="E9123">
        <f t="shared" si="142"/>
        <v>3.2481528761215219E-29</v>
      </c>
    </row>
    <row r="9124" spans="1:5" x14ac:dyDescent="0.25">
      <c r="A9124">
        <v>11</v>
      </c>
      <c r="B9124">
        <v>3</v>
      </c>
      <c r="C9124">
        <v>32</v>
      </c>
      <c r="D9124">
        <v>2</v>
      </c>
      <c r="E9124">
        <f t="shared" si="142"/>
        <v>4.501516214190152E-30</v>
      </c>
    </row>
    <row r="9125" spans="1:5" x14ac:dyDescent="0.25">
      <c r="A9125">
        <v>11</v>
      </c>
      <c r="B9125">
        <v>3</v>
      </c>
      <c r="C9125">
        <v>33</v>
      </c>
      <c r="D9125">
        <v>1</v>
      </c>
      <c r="E9125">
        <f t="shared" si="142"/>
        <v>3.7512635118251266E-31</v>
      </c>
    </row>
    <row r="9126" spans="1:5" x14ac:dyDescent="0.25">
      <c r="A9126">
        <v>11</v>
      </c>
      <c r="B9126">
        <v>3</v>
      </c>
      <c r="C9126">
        <v>34</v>
      </c>
      <c r="D9126">
        <v>0</v>
      </c>
      <c r="E9126">
        <f t="shared" si="142"/>
        <v>1.4122403809224008E-32</v>
      </c>
    </row>
    <row r="9127" spans="1:5" x14ac:dyDescent="0.25">
      <c r="A9127">
        <v>11</v>
      </c>
      <c r="B9127">
        <v>4</v>
      </c>
      <c r="C9127">
        <v>8</v>
      </c>
      <c r="D9127">
        <v>25</v>
      </c>
      <c r="E9127">
        <f t="shared" si="142"/>
        <v>1.5001577248146677E-39</v>
      </c>
    </row>
    <row r="9128" spans="1:5" x14ac:dyDescent="0.25">
      <c r="A9128">
        <v>11</v>
      </c>
      <c r="B9128">
        <v>4</v>
      </c>
      <c r="C9128">
        <v>9</v>
      </c>
      <c r="D9128">
        <v>24</v>
      </c>
      <c r="E9128">
        <f t="shared" si="142"/>
        <v>2.3752497309565571E-37</v>
      </c>
    </row>
    <row r="9129" spans="1:5" x14ac:dyDescent="0.25">
      <c r="A9129">
        <v>11</v>
      </c>
      <c r="B9129">
        <v>4</v>
      </c>
      <c r="C9129">
        <v>10</v>
      </c>
      <c r="D9129">
        <v>23</v>
      </c>
      <c r="E9129">
        <f t="shared" si="142"/>
        <v>1.5961678192028063E-35</v>
      </c>
    </row>
    <row r="9130" spans="1:5" x14ac:dyDescent="0.25">
      <c r="A9130">
        <v>11</v>
      </c>
      <c r="B9130">
        <v>4</v>
      </c>
      <c r="C9130">
        <v>11</v>
      </c>
      <c r="D9130">
        <v>22</v>
      </c>
      <c r="E9130">
        <f t="shared" si="142"/>
        <v>6.1186433069440923E-34</v>
      </c>
    </row>
    <row r="9131" spans="1:5" x14ac:dyDescent="0.25">
      <c r="A9131">
        <v>11</v>
      </c>
      <c r="B9131">
        <v>4</v>
      </c>
      <c r="C9131">
        <v>12</v>
      </c>
      <c r="D9131">
        <v>21</v>
      </c>
      <c r="E9131">
        <f t="shared" si="142"/>
        <v>1.5143642184686618E-32</v>
      </c>
    </row>
    <row r="9132" spans="1:5" x14ac:dyDescent="0.25">
      <c r="A9132">
        <v>11</v>
      </c>
      <c r="B9132">
        <v>4</v>
      </c>
      <c r="C9132">
        <v>13</v>
      </c>
      <c r="D9132">
        <v>20</v>
      </c>
      <c r="E9132">
        <f t="shared" si="142"/>
        <v>2.5930575002394174E-31</v>
      </c>
    </row>
    <row r="9133" spans="1:5" x14ac:dyDescent="0.25">
      <c r="A9133">
        <v>11</v>
      </c>
      <c r="B9133">
        <v>4</v>
      </c>
      <c r="C9133">
        <v>14</v>
      </c>
      <c r="D9133">
        <v>19</v>
      </c>
      <c r="E9133">
        <f t="shared" si="142"/>
        <v>3.2104521431535652E-30</v>
      </c>
    </row>
    <row r="9134" spans="1:5" x14ac:dyDescent="0.25">
      <c r="A9134">
        <v>11</v>
      </c>
      <c r="B9134">
        <v>4</v>
      </c>
      <c r="C9134">
        <v>15</v>
      </c>
      <c r="D9134">
        <v>18</v>
      </c>
      <c r="E9134">
        <f t="shared" si="142"/>
        <v>2.96278869211029E-29</v>
      </c>
    </row>
    <row r="9135" spans="1:5" x14ac:dyDescent="0.25">
      <c r="A9135">
        <v>11</v>
      </c>
      <c r="B9135">
        <v>4</v>
      </c>
      <c r="C9135">
        <v>16</v>
      </c>
      <c r="D9135">
        <v>17</v>
      </c>
      <c r="E9135">
        <f t="shared" si="142"/>
        <v>2.0832107991400472E-28</v>
      </c>
    </row>
    <row r="9136" spans="1:5" x14ac:dyDescent="0.25">
      <c r="A9136">
        <v>11</v>
      </c>
      <c r="B9136">
        <v>4</v>
      </c>
      <c r="C9136">
        <v>17</v>
      </c>
      <c r="D9136">
        <v>16</v>
      </c>
      <c r="E9136">
        <f t="shared" si="142"/>
        <v>1.1341925461984707E-27</v>
      </c>
    </row>
    <row r="9137" spans="1:5" x14ac:dyDescent="0.25">
      <c r="A9137">
        <v>11</v>
      </c>
      <c r="B9137">
        <v>4</v>
      </c>
      <c r="C9137">
        <v>18</v>
      </c>
      <c r="D9137">
        <v>15</v>
      </c>
      <c r="E9137">
        <f t="shared" si="142"/>
        <v>4.8392215304468028E-27</v>
      </c>
    </row>
    <row r="9138" spans="1:5" x14ac:dyDescent="0.25">
      <c r="A9138">
        <v>11</v>
      </c>
      <c r="B9138">
        <v>4</v>
      </c>
      <c r="C9138">
        <v>19</v>
      </c>
      <c r="D9138">
        <v>14</v>
      </c>
      <c r="E9138">
        <f t="shared" si="142"/>
        <v>1.6323689851507167E-26</v>
      </c>
    </row>
    <row r="9139" spans="1:5" x14ac:dyDescent="0.25">
      <c r="A9139">
        <v>11</v>
      </c>
      <c r="B9139">
        <v>4</v>
      </c>
      <c r="C9139">
        <v>20</v>
      </c>
      <c r="D9139">
        <v>13</v>
      </c>
      <c r="E9139">
        <f t="shared" si="142"/>
        <v>4.3801901101544281E-26</v>
      </c>
    </row>
    <row r="9140" spans="1:5" x14ac:dyDescent="0.25">
      <c r="A9140">
        <v>11</v>
      </c>
      <c r="B9140">
        <v>4</v>
      </c>
      <c r="C9140">
        <v>21</v>
      </c>
      <c r="D9140">
        <v>12</v>
      </c>
      <c r="E9140">
        <f t="shared" si="142"/>
        <v>9.3861216646166194E-26</v>
      </c>
    </row>
    <row r="9141" spans="1:5" x14ac:dyDescent="0.25">
      <c r="A9141">
        <v>11</v>
      </c>
      <c r="B9141">
        <v>4</v>
      </c>
      <c r="C9141">
        <v>22</v>
      </c>
      <c r="D9141">
        <v>11</v>
      </c>
      <c r="E9141">
        <f t="shared" si="142"/>
        <v>1.6090494282199925E-25</v>
      </c>
    </row>
    <row r="9142" spans="1:5" x14ac:dyDescent="0.25">
      <c r="A9142">
        <v>11</v>
      </c>
      <c r="B9142">
        <v>4</v>
      </c>
      <c r="C9142">
        <v>23</v>
      </c>
      <c r="D9142">
        <v>10</v>
      </c>
      <c r="E9142">
        <f t="shared" si="142"/>
        <v>2.2060300856465398E-25</v>
      </c>
    </row>
    <row r="9143" spans="1:5" x14ac:dyDescent="0.25">
      <c r="A9143">
        <v>11</v>
      </c>
      <c r="B9143">
        <v>4</v>
      </c>
      <c r="C9143">
        <v>24</v>
      </c>
      <c r="D9143">
        <v>9</v>
      </c>
      <c r="E9143">
        <f t="shared" si="142"/>
        <v>2.4128454061759033E-25</v>
      </c>
    </row>
    <row r="9144" spans="1:5" x14ac:dyDescent="0.25">
      <c r="A9144">
        <v>11</v>
      </c>
      <c r="B9144">
        <v>4</v>
      </c>
      <c r="C9144">
        <v>25</v>
      </c>
      <c r="D9144">
        <v>8</v>
      </c>
      <c r="E9144">
        <f t="shared" si="142"/>
        <v>2.0949175408915497E-25</v>
      </c>
    </row>
    <row r="9145" spans="1:5" x14ac:dyDescent="0.25">
      <c r="A9145">
        <v>11</v>
      </c>
      <c r="B9145">
        <v>4</v>
      </c>
      <c r="C9145">
        <v>26</v>
      </c>
      <c r="D9145">
        <v>7</v>
      </c>
      <c r="E9145">
        <f t="shared" si="142"/>
        <v>1.4324222501822558E-25</v>
      </c>
    </row>
    <row r="9146" spans="1:5" x14ac:dyDescent="0.25">
      <c r="A9146">
        <v>11</v>
      </c>
      <c r="B9146">
        <v>4</v>
      </c>
      <c r="C9146">
        <v>27</v>
      </c>
      <c r="D9146">
        <v>6</v>
      </c>
      <c r="E9146">
        <f t="shared" si="142"/>
        <v>7.6228318576950416E-26</v>
      </c>
    </row>
    <row r="9147" spans="1:5" x14ac:dyDescent="0.25">
      <c r="A9147">
        <v>11</v>
      </c>
      <c r="B9147">
        <v>4</v>
      </c>
      <c r="C9147">
        <v>28</v>
      </c>
      <c r="D9147">
        <v>5</v>
      </c>
      <c r="E9147">
        <f t="shared" si="142"/>
        <v>3.1035815420615531E-26</v>
      </c>
    </row>
    <row r="9148" spans="1:5" x14ac:dyDescent="0.25">
      <c r="A9148">
        <v>11</v>
      </c>
      <c r="B9148">
        <v>4</v>
      </c>
      <c r="C9148">
        <v>29</v>
      </c>
      <c r="D9148">
        <v>4</v>
      </c>
      <c r="E9148">
        <f t="shared" si="142"/>
        <v>9.4279570653758224E-27</v>
      </c>
    </row>
    <row r="9149" spans="1:5" x14ac:dyDescent="0.25">
      <c r="A9149">
        <v>11</v>
      </c>
      <c r="B9149">
        <v>4</v>
      </c>
      <c r="C9149">
        <v>30</v>
      </c>
      <c r="D9149">
        <v>3</v>
      </c>
      <c r="E9149">
        <f t="shared" si="142"/>
        <v>2.0570088142638147E-27</v>
      </c>
    </row>
    <row r="9150" spans="1:5" x14ac:dyDescent="0.25">
      <c r="A9150">
        <v>11</v>
      </c>
      <c r="B9150">
        <v>4</v>
      </c>
      <c r="C9150">
        <v>31</v>
      </c>
      <c r="D9150">
        <v>2</v>
      </c>
      <c r="E9150">
        <f t="shared" si="142"/>
        <v>3.0292556170785498E-28</v>
      </c>
    </row>
    <row r="9151" spans="1:5" x14ac:dyDescent="0.25">
      <c r="A9151">
        <v>11</v>
      </c>
      <c r="B9151">
        <v>4</v>
      </c>
      <c r="C9151">
        <v>32</v>
      </c>
      <c r="D9151">
        <v>1</v>
      </c>
      <c r="E9151">
        <f t="shared" si="142"/>
        <v>2.6821534109549658E-29</v>
      </c>
    </row>
    <row r="9152" spans="1:5" x14ac:dyDescent="0.25">
      <c r="A9152">
        <v>11</v>
      </c>
      <c r="B9152">
        <v>4</v>
      </c>
      <c r="C9152">
        <v>33</v>
      </c>
      <c r="D9152">
        <v>0</v>
      </c>
      <c r="E9152">
        <f t="shared" si="142"/>
        <v>1.0728613643819863E-30</v>
      </c>
    </row>
    <row r="9153" spans="1:5" x14ac:dyDescent="0.25">
      <c r="A9153">
        <v>11</v>
      </c>
      <c r="B9153">
        <v>5</v>
      </c>
      <c r="C9153">
        <v>7</v>
      </c>
      <c r="D9153">
        <v>25</v>
      </c>
      <c r="E9153">
        <f t="shared" si="142"/>
        <v>1.1794343491646349E-38</v>
      </c>
    </row>
    <row r="9154" spans="1:5" x14ac:dyDescent="0.25">
      <c r="A9154">
        <v>11</v>
      </c>
      <c r="B9154">
        <v>5</v>
      </c>
      <c r="C9154">
        <v>8</v>
      </c>
      <c r="D9154">
        <v>24</v>
      </c>
      <c r="E9154">
        <f t="shared" si="142"/>
        <v>2.1377247578609016E-36</v>
      </c>
    </row>
    <row r="9155" spans="1:5" x14ac:dyDescent="0.25">
      <c r="A9155">
        <v>11</v>
      </c>
      <c r="B9155">
        <v>5</v>
      </c>
      <c r="C9155">
        <v>9</v>
      </c>
      <c r="D9155">
        <v>23</v>
      </c>
      <c r="E9155">
        <f t="shared" si="142"/>
        <v>1.6246708159742848E-34</v>
      </c>
    </row>
    <row r="9156" spans="1:5" x14ac:dyDescent="0.25">
      <c r="A9156">
        <v>11</v>
      </c>
      <c r="B9156">
        <v>5</v>
      </c>
      <c r="C9156">
        <v>10</v>
      </c>
      <c r="D9156">
        <v>22</v>
      </c>
      <c r="E9156">
        <f t="shared" si="142"/>
        <v>6.9752533699162639E-33</v>
      </c>
    </row>
    <row r="9157" spans="1:5" x14ac:dyDescent="0.25">
      <c r="A9157">
        <v>11</v>
      </c>
      <c r="B9157">
        <v>5</v>
      </c>
      <c r="C9157">
        <v>11</v>
      </c>
      <c r="D9157">
        <v>21</v>
      </c>
      <c r="E9157">
        <f t="shared" si="142"/>
        <v>1.9181946767269728E-31</v>
      </c>
    </row>
    <row r="9158" spans="1:5" x14ac:dyDescent="0.25">
      <c r="A9158">
        <v>11</v>
      </c>
      <c r="B9158">
        <v>5</v>
      </c>
      <c r="C9158">
        <v>12</v>
      </c>
      <c r="D9158">
        <v>20</v>
      </c>
      <c r="E9158">
        <f t="shared" si="142"/>
        <v>3.625387939013975E-30</v>
      </c>
    </row>
    <row r="9159" spans="1:5" x14ac:dyDescent="0.25">
      <c r="A9159">
        <v>11</v>
      </c>
      <c r="B9159">
        <v>5</v>
      </c>
      <c r="C9159">
        <v>13</v>
      </c>
      <c r="D9159">
        <v>19</v>
      </c>
      <c r="E9159">
        <f t="shared" si="142"/>
        <v>4.926809250454893E-29</v>
      </c>
    </row>
    <row r="9160" spans="1:5" x14ac:dyDescent="0.25">
      <c r="A9160">
        <v>11</v>
      </c>
      <c r="B9160">
        <v>5</v>
      </c>
      <c r="C9160">
        <v>14</v>
      </c>
      <c r="D9160">
        <v>18</v>
      </c>
      <c r="E9160">
        <f t="shared" si="142"/>
        <v>4.9670281014790168E-28</v>
      </c>
    </row>
    <row r="9161" spans="1:5" x14ac:dyDescent="0.25">
      <c r="A9161">
        <v>11</v>
      </c>
      <c r="B9161">
        <v>5</v>
      </c>
      <c r="C9161">
        <v>15</v>
      </c>
      <c r="D9161">
        <v>17</v>
      </c>
      <c r="E9161">
        <f t="shared" si="142"/>
        <v>3.7997764976314456E-27</v>
      </c>
    </row>
    <row r="9162" spans="1:5" x14ac:dyDescent="0.25">
      <c r="A9162">
        <v>11</v>
      </c>
      <c r="B9162">
        <v>5</v>
      </c>
      <c r="C9162">
        <v>16</v>
      </c>
      <c r="D9162">
        <v>16</v>
      </c>
      <c r="E9162">
        <f t="shared" si="142"/>
        <v>2.2429236270741177E-26</v>
      </c>
    </row>
    <row r="9163" spans="1:5" x14ac:dyDescent="0.25">
      <c r="A9163">
        <v>11</v>
      </c>
      <c r="B9163">
        <v>5</v>
      </c>
      <c r="C9163">
        <v>17</v>
      </c>
      <c r="D9163">
        <v>15</v>
      </c>
      <c r="E9163">
        <f t="shared" si="142"/>
        <v>1.034383602133005E-25</v>
      </c>
    </row>
    <row r="9164" spans="1:5" x14ac:dyDescent="0.25">
      <c r="A9164">
        <v>11</v>
      </c>
      <c r="B9164">
        <v>5</v>
      </c>
      <c r="C9164">
        <v>18</v>
      </c>
      <c r="D9164">
        <v>14</v>
      </c>
      <c r="E9164">
        <f t="shared" si="142"/>
        <v>3.7613949168472881E-25</v>
      </c>
    </row>
    <row r="9165" spans="1:5" x14ac:dyDescent="0.25">
      <c r="A9165">
        <v>11</v>
      </c>
      <c r="B9165">
        <v>5</v>
      </c>
      <c r="C9165">
        <v>19</v>
      </c>
      <c r="D9165">
        <v>13</v>
      </c>
      <c r="E9165">
        <f t="shared" si="142"/>
        <v>1.0855253751252269E-24</v>
      </c>
    </row>
    <row r="9166" spans="1:5" x14ac:dyDescent="0.25">
      <c r="A9166">
        <v>11</v>
      </c>
      <c r="B9166">
        <v>5</v>
      </c>
      <c r="C9166">
        <v>20</v>
      </c>
      <c r="D9166">
        <v>12</v>
      </c>
      <c r="E9166">
        <f t="shared" ref="E9166:E9229" si="143">COMBIN(A$4,A9166)*COMBIN(B$4,B9166)*COMBIN(C$4,C9166)*COMBIN(D$4,D9166)/COMBIN($G$4,$F$4)</f>
        <v>2.4967083627880238E-24</v>
      </c>
    </row>
    <row r="9167" spans="1:5" x14ac:dyDescent="0.25">
      <c r="A9167">
        <v>11</v>
      </c>
      <c r="B9167">
        <v>5</v>
      </c>
      <c r="C9167">
        <v>21</v>
      </c>
      <c r="D9167">
        <v>11</v>
      </c>
      <c r="E9167">
        <f t="shared" si="143"/>
        <v>4.5857908704269752E-24</v>
      </c>
    </row>
    <row r="9168" spans="1:5" x14ac:dyDescent="0.25">
      <c r="A9168">
        <v>11</v>
      </c>
      <c r="B9168">
        <v>5</v>
      </c>
      <c r="C9168">
        <v>22</v>
      </c>
      <c r="D9168">
        <v>10</v>
      </c>
      <c r="E9168">
        <f t="shared" si="143"/>
        <v>6.7258266099595698E-24</v>
      </c>
    </row>
    <row r="9169" spans="1:5" x14ac:dyDescent="0.25">
      <c r="A9169">
        <v>11</v>
      </c>
      <c r="B9169">
        <v>5</v>
      </c>
      <c r="C9169">
        <v>23</v>
      </c>
      <c r="D9169">
        <v>9</v>
      </c>
      <c r="E9169">
        <f t="shared" si="143"/>
        <v>7.8589821801157998E-24</v>
      </c>
    </row>
    <row r="9170" spans="1:5" x14ac:dyDescent="0.25">
      <c r="A9170">
        <v>11</v>
      </c>
      <c r="B9170">
        <v>5</v>
      </c>
      <c r="C9170">
        <v>24</v>
      </c>
      <c r="D9170">
        <v>8</v>
      </c>
      <c r="E9170">
        <f t="shared" si="143"/>
        <v>7.2811158433425782E-24</v>
      </c>
    </row>
    <row r="9171" spans="1:5" x14ac:dyDescent="0.25">
      <c r="A9171">
        <v>11</v>
      </c>
      <c r="B9171">
        <v>5</v>
      </c>
      <c r="C9171">
        <v>25</v>
      </c>
      <c r="D9171">
        <v>7</v>
      </c>
      <c r="E9171">
        <f t="shared" si="143"/>
        <v>5.3071244369252607E-24</v>
      </c>
    </row>
    <row r="9172" spans="1:5" x14ac:dyDescent="0.25">
      <c r="A9172">
        <v>11</v>
      </c>
      <c r="B9172">
        <v>5</v>
      </c>
      <c r="C9172">
        <v>26</v>
      </c>
      <c r="D9172">
        <v>6</v>
      </c>
      <c r="E9172">
        <f t="shared" si="143"/>
        <v>3.0080867253827355E-24</v>
      </c>
    </row>
    <row r="9173" spans="1:5" x14ac:dyDescent="0.25">
      <c r="A9173">
        <v>11</v>
      </c>
      <c r="B9173">
        <v>5</v>
      </c>
      <c r="C9173">
        <v>27</v>
      </c>
      <c r="D9173">
        <v>5</v>
      </c>
      <c r="E9173">
        <f t="shared" si="143"/>
        <v>1.3035042476658521E-24</v>
      </c>
    </row>
    <row r="9174" spans="1:5" x14ac:dyDescent="0.25">
      <c r="A9174">
        <v>11</v>
      </c>
      <c r="B9174">
        <v>5</v>
      </c>
      <c r="C9174">
        <v>28</v>
      </c>
      <c r="D9174">
        <v>4</v>
      </c>
      <c r="E9174">
        <f t="shared" si="143"/>
        <v>4.2120035213692517E-25</v>
      </c>
    </row>
    <row r="9175" spans="1:5" x14ac:dyDescent="0.25">
      <c r="A9175">
        <v>11</v>
      </c>
      <c r="B9175">
        <v>5</v>
      </c>
      <c r="C9175">
        <v>29</v>
      </c>
      <c r="D9175">
        <v>3</v>
      </c>
      <c r="E9175">
        <f t="shared" si="143"/>
        <v>9.7707918677531218E-26</v>
      </c>
    </row>
    <row r="9176" spans="1:5" x14ac:dyDescent="0.25">
      <c r="A9176">
        <v>11</v>
      </c>
      <c r="B9176">
        <v>5</v>
      </c>
      <c r="C9176">
        <v>30</v>
      </c>
      <c r="D9176">
        <v>2</v>
      </c>
      <c r="E9176">
        <f t="shared" si="143"/>
        <v>1.5293413358222278E-26</v>
      </c>
    </row>
    <row r="9177" spans="1:5" x14ac:dyDescent="0.25">
      <c r="A9177">
        <v>11</v>
      </c>
      <c r="B9177">
        <v>5</v>
      </c>
      <c r="C9177">
        <v>31</v>
      </c>
      <c r="D9177">
        <v>1</v>
      </c>
      <c r="E9177">
        <f t="shared" si="143"/>
        <v>1.4388964181123114E-27</v>
      </c>
    </row>
    <row r="9178" spans="1:5" x14ac:dyDescent="0.25">
      <c r="A9178">
        <v>11</v>
      </c>
      <c r="B9178">
        <v>5</v>
      </c>
      <c r="C9178">
        <v>32</v>
      </c>
      <c r="D9178">
        <v>0</v>
      </c>
      <c r="E9178">
        <f t="shared" si="143"/>
        <v>6.1153097769773214E-29</v>
      </c>
    </row>
    <row r="9179" spans="1:5" x14ac:dyDescent="0.25">
      <c r="A9179">
        <v>11</v>
      </c>
      <c r="B9179">
        <v>6</v>
      </c>
      <c r="C9179">
        <v>6</v>
      </c>
      <c r="D9179">
        <v>25</v>
      </c>
      <c r="E9179">
        <f t="shared" si="143"/>
        <v>6.6234900738398151E-38</v>
      </c>
    </row>
    <row r="9180" spans="1:5" x14ac:dyDescent="0.25">
      <c r="A9180">
        <v>11</v>
      </c>
      <c r="B9180">
        <v>6</v>
      </c>
      <c r="C9180">
        <v>7</v>
      </c>
      <c r="D9180">
        <v>24</v>
      </c>
      <c r="E9180">
        <f t="shared" si="143"/>
        <v>1.3956639798448181E-35</v>
      </c>
    </row>
    <row r="9181" spans="1:5" x14ac:dyDescent="0.25">
      <c r="A9181">
        <v>11</v>
      </c>
      <c r="B9181">
        <v>6</v>
      </c>
      <c r="C9181">
        <v>8</v>
      </c>
      <c r="D9181">
        <v>23</v>
      </c>
      <c r="E9181">
        <f t="shared" si="143"/>
        <v>1.214227662464992E-33</v>
      </c>
    </row>
    <row r="9182" spans="1:5" x14ac:dyDescent="0.25">
      <c r="A9182">
        <v>11</v>
      </c>
      <c r="B9182">
        <v>6</v>
      </c>
      <c r="C9182">
        <v>9</v>
      </c>
      <c r="D9182">
        <v>22</v>
      </c>
      <c r="E9182">
        <f t="shared" si="143"/>
        <v>5.8957498721911269E-32</v>
      </c>
    </row>
    <row r="9183" spans="1:5" x14ac:dyDescent="0.25">
      <c r="A9183">
        <v>11</v>
      </c>
      <c r="B9183">
        <v>6</v>
      </c>
      <c r="C9183">
        <v>10</v>
      </c>
      <c r="D9183">
        <v>21</v>
      </c>
      <c r="E9183">
        <f t="shared" si="143"/>
        <v>1.8158909606348677E-30</v>
      </c>
    </row>
    <row r="9184" spans="1:5" x14ac:dyDescent="0.25">
      <c r="A9184">
        <v>11</v>
      </c>
      <c r="B9184">
        <v>6</v>
      </c>
      <c r="C9184">
        <v>11</v>
      </c>
      <c r="D9184">
        <v>20</v>
      </c>
      <c r="E9184">
        <f t="shared" si="143"/>
        <v>3.8133710173332208E-29</v>
      </c>
    </row>
    <row r="9185" spans="1:5" x14ac:dyDescent="0.25">
      <c r="A9185">
        <v>11</v>
      </c>
      <c r="B9185">
        <v>6</v>
      </c>
      <c r="C9185">
        <v>12</v>
      </c>
      <c r="D9185">
        <v>19</v>
      </c>
      <c r="E9185">
        <f t="shared" si="143"/>
        <v>5.7200565259998289E-28</v>
      </c>
    </row>
    <row r="9186" spans="1:5" x14ac:dyDescent="0.25">
      <c r="A9186">
        <v>11</v>
      </c>
      <c r="B9186">
        <v>6</v>
      </c>
      <c r="C9186">
        <v>13</v>
      </c>
      <c r="D9186">
        <v>18</v>
      </c>
      <c r="E9186">
        <f t="shared" si="143"/>
        <v>6.3297768370130022E-27</v>
      </c>
    </row>
    <row r="9187" spans="1:5" x14ac:dyDescent="0.25">
      <c r="A9187">
        <v>11</v>
      </c>
      <c r="B9187">
        <v>6</v>
      </c>
      <c r="C9187">
        <v>14</v>
      </c>
      <c r="D9187">
        <v>17</v>
      </c>
      <c r="E9187">
        <f t="shared" si="143"/>
        <v>5.2898849280751517E-26</v>
      </c>
    </row>
    <row r="9188" spans="1:5" x14ac:dyDescent="0.25">
      <c r="A9188">
        <v>11</v>
      </c>
      <c r="B9188">
        <v>6</v>
      </c>
      <c r="C9188">
        <v>15</v>
      </c>
      <c r="D9188">
        <v>16</v>
      </c>
      <c r="E9188">
        <f t="shared" si="143"/>
        <v>3.3972816538082624E-25</v>
      </c>
    </row>
    <row r="9189" spans="1:5" x14ac:dyDescent="0.25">
      <c r="A9189">
        <v>11</v>
      </c>
      <c r="B9189">
        <v>6</v>
      </c>
      <c r="C9189">
        <v>16</v>
      </c>
      <c r="D9189">
        <v>15</v>
      </c>
      <c r="E9189">
        <f t="shared" si="143"/>
        <v>1.6986408269041311E-24</v>
      </c>
    </row>
    <row r="9190" spans="1:5" x14ac:dyDescent="0.25">
      <c r="A9190">
        <v>11</v>
      </c>
      <c r="B9190">
        <v>6</v>
      </c>
      <c r="C9190">
        <v>17</v>
      </c>
      <c r="D9190">
        <v>14</v>
      </c>
      <c r="E9190">
        <f t="shared" si="143"/>
        <v>6.6764759774039436E-24</v>
      </c>
    </row>
    <row r="9191" spans="1:5" x14ac:dyDescent="0.25">
      <c r="A9191">
        <v>11</v>
      </c>
      <c r="B9191">
        <v>6</v>
      </c>
      <c r="C9191">
        <v>18</v>
      </c>
      <c r="D9191">
        <v>13</v>
      </c>
      <c r="E9191">
        <f t="shared" si="143"/>
        <v>2.0771258596367806E-23</v>
      </c>
    </row>
    <row r="9192" spans="1:5" x14ac:dyDescent="0.25">
      <c r="A9192">
        <v>11</v>
      </c>
      <c r="B9192">
        <v>6</v>
      </c>
      <c r="C9192">
        <v>19</v>
      </c>
      <c r="D9192">
        <v>12</v>
      </c>
      <c r="E9192">
        <f t="shared" si="143"/>
        <v>5.1381534422594066E-23</v>
      </c>
    </row>
    <row r="9193" spans="1:5" x14ac:dyDescent="0.25">
      <c r="A9193">
        <v>11</v>
      </c>
      <c r="B9193">
        <v>6</v>
      </c>
      <c r="C9193">
        <v>20</v>
      </c>
      <c r="D9193">
        <v>11</v>
      </c>
      <c r="E9193">
        <f t="shared" si="143"/>
        <v>1.0129502500454267E-22</v>
      </c>
    </row>
    <row r="9194" spans="1:5" x14ac:dyDescent="0.25">
      <c r="A9194">
        <v>11</v>
      </c>
      <c r="B9194">
        <v>6</v>
      </c>
      <c r="C9194">
        <v>21</v>
      </c>
      <c r="D9194">
        <v>10</v>
      </c>
      <c r="E9194">
        <f t="shared" si="143"/>
        <v>1.5917789643570968E-22</v>
      </c>
    </row>
    <row r="9195" spans="1:5" x14ac:dyDescent="0.25">
      <c r="A9195">
        <v>11</v>
      </c>
      <c r="B9195">
        <v>6</v>
      </c>
      <c r="C9195">
        <v>22</v>
      </c>
      <c r="D9195">
        <v>9</v>
      </c>
      <c r="E9195">
        <f t="shared" si="143"/>
        <v>1.9897237054463726E-22</v>
      </c>
    </row>
    <row r="9196" spans="1:5" x14ac:dyDescent="0.25">
      <c r="A9196">
        <v>11</v>
      </c>
      <c r="B9196">
        <v>6</v>
      </c>
      <c r="C9196">
        <v>23</v>
      </c>
      <c r="D9196">
        <v>8</v>
      </c>
      <c r="E9196">
        <f t="shared" si="143"/>
        <v>1.9693684757231355E-22</v>
      </c>
    </row>
    <row r="9197" spans="1:5" x14ac:dyDescent="0.25">
      <c r="A9197">
        <v>11</v>
      </c>
      <c r="B9197">
        <v>6</v>
      </c>
      <c r="C9197">
        <v>24</v>
      </c>
      <c r="D9197">
        <v>7</v>
      </c>
      <c r="E9197">
        <f t="shared" si="143"/>
        <v>1.5317310366735503E-22</v>
      </c>
    </row>
    <row r="9198" spans="1:5" x14ac:dyDescent="0.25">
      <c r="A9198">
        <v>11</v>
      </c>
      <c r="B9198">
        <v>6</v>
      </c>
      <c r="C9198">
        <v>25</v>
      </c>
      <c r="D9198">
        <v>6</v>
      </c>
      <c r="E9198">
        <f t="shared" si="143"/>
        <v>9.2548801584275551E-23</v>
      </c>
    </row>
    <row r="9199" spans="1:5" x14ac:dyDescent="0.25">
      <c r="A9199">
        <v>11</v>
      </c>
      <c r="B9199">
        <v>6</v>
      </c>
      <c r="C9199">
        <v>26</v>
      </c>
      <c r="D9199">
        <v>5</v>
      </c>
      <c r="E9199">
        <f t="shared" si="143"/>
        <v>4.271483150043485E-23</v>
      </c>
    </row>
    <row r="9200" spans="1:5" x14ac:dyDescent="0.25">
      <c r="A9200">
        <v>11</v>
      </c>
      <c r="B9200">
        <v>6</v>
      </c>
      <c r="C9200">
        <v>27</v>
      </c>
      <c r="D9200">
        <v>4</v>
      </c>
      <c r="E9200">
        <f t="shared" si="143"/>
        <v>1.4690285965758019E-23</v>
      </c>
    </row>
    <row r="9201" spans="1:5" x14ac:dyDescent="0.25">
      <c r="A9201">
        <v>11</v>
      </c>
      <c r="B9201">
        <v>6</v>
      </c>
      <c r="C9201">
        <v>28</v>
      </c>
      <c r="D9201">
        <v>3</v>
      </c>
      <c r="E9201">
        <f t="shared" si="143"/>
        <v>3.6248757577844461E-24</v>
      </c>
    </row>
    <row r="9202" spans="1:5" x14ac:dyDescent="0.25">
      <c r="A9202">
        <v>11</v>
      </c>
      <c r="B9202">
        <v>6</v>
      </c>
      <c r="C9202">
        <v>29</v>
      </c>
      <c r="D9202">
        <v>2</v>
      </c>
      <c r="E9202">
        <f t="shared" si="143"/>
        <v>6.0324019357432326E-25</v>
      </c>
    </row>
    <row r="9203" spans="1:5" x14ac:dyDescent="0.25">
      <c r="A9203">
        <v>11</v>
      </c>
      <c r="B9203">
        <v>6</v>
      </c>
      <c r="C9203">
        <v>30</v>
      </c>
      <c r="D9203">
        <v>1</v>
      </c>
      <c r="E9203">
        <f t="shared" si="143"/>
        <v>6.0324019357432317E-26</v>
      </c>
    </row>
    <row r="9204" spans="1:5" x14ac:dyDescent="0.25">
      <c r="A9204">
        <v>11</v>
      </c>
      <c r="B9204">
        <v>6</v>
      </c>
      <c r="C9204">
        <v>31</v>
      </c>
      <c r="D9204">
        <v>0</v>
      </c>
      <c r="E9204">
        <f t="shared" si="143"/>
        <v>2.7243105516259763E-27</v>
      </c>
    </row>
    <row r="9205" spans="1:5" x14ac:dyDescent="0.25">
      <c r="A9205">
        <v>11</v>
      </c>
      <c r="B9205">
        <v>7</v>
      </c>
      <c r="C9205">
        <v>5</v>
      </c>
      <c r="D9205">
        <v>25</v>
      </c>
      <c r="E9205">
        <f t="shared" si="143"/>
        <v>2.6777824155666685E-37</v>
      </c>
    </row>
    <row r="9206" spans="1:5" x14ac:dyDescent="0.25">
      <c r="A9206">
        <v>11</v>
      </c>
      <c r="B9206">
        <v>7</v>
      </c>
      <c r="C9206">
        <v>6</v>
      </c>
      <c r="D9206">
        <v>24</v>
      </c>
      <c r="E9206">
        <f t="shared" si="143"/>
        <v>6.6944560389166711E-35</v>
      </c>
    </row>
    <row r="9207" spans="1:5" x14ac:dyDescent="0.25">
      <c r="A9207">
        <v>11</v>
      </c>
      <c r="B9207">
        <v>7</v>
      </c>
      <c r="C9207">
        <v>7</v>
      </c>
      <c r="D9207">
        <v>23</v>
      </c>
      <c r="E9207">
        <f t="shared" si="143"/>
        <v>6.7709641079328618E-33</v>
      </c>
    </row>
    <row r="9208" spans="1:5" x14ac:dyDescent="0.25">
      <c r="A9208">
        <v>11</v>
      </c>
      <c r="B9208">
        <v>7</v>
      </c>
      <c r="C9208">
        <v>8</v>
      </c>
      <c r="D9208">
        <v>22</v>
      </c>
      <c r="E9208">
        <f t="shared" si="143"/>
        <v>3.7635275499926833E-31</v>
      </c>
    </row>
    <row r="9209" spans="1:5" x14ac:dyDescent="0.25">
      <c r="A9209">
        <v>11</v>
      </c>
      <c r="B9209">
        <v>7</v>
      </c>
      <c r="C9209">
        <v>9</v>
      </c>
      <c r="D9209">
        <v>21</v>
      </c>
      <c r="E9209">
        <f t="shared" si="143"/>
        <v>1.3109620965807845E-29</v>
      </c>
    </row>
    <row r="9210" spans="1:5" x14ac:dyDescent="0.25">
      <c r="A9210">
        <v>11</v>
      </c>
      <c r="B9210">
        <v>7</v>
      </c>
      <c r="C9210">
        <v>10</v>
      </c>
      <c r="D9210">
        <v>20</v>
      </c>
      <c r="E9210">
        <f t="shared" si="143"/>
        <v>3.0833828511580049E-28</v>
      </c>
    </row>
    <row r="9211" spans="1:5" x14ac:dyDescent="0.25">
      <c r="A9211">
        <v>11</v>
      </c>
      <c r="B9211">
        <v>7</v>
      </c>
      <c r="C9211">
        <v>11</v>
      </c>
      <c r="D9211">
        <v>19</v>
      </c>
      <c r="E9211">
        <f t="shared" si="143"/>
        <v>5.1389714185966757E-27</v>
      </c>
    </row>
    <row r="9212" spans="1:5" x14ac:dyDescent="0.25">
      <c r="A9212">
        <v>11</v>
      </c>
      <c r="B9212">
        <v>7</v>
      </c>
      <c r="C9212">
        <v>12</v>
      </c>
      <c r="D9212">
        <v>18</v>
      </c>
      <c r="E9212">
        <f t="shared" si="143"/>
        <v>6.2768865184287942E-26</v>
      </c>
    </row>
    <row r="9213" spans="1:5" x14ac:dyDescent="0.25">
      <c r="A9213">
        <v>11</v>
      </c>
      <c r="B9213">
        <v>7</v>
      </c>
      <c r="C9213">
        <v>13</v>
      </c>
      <c r="D9213">
        <v>17</v>
      </c>
      <c r="E9213">
        <f t="shared" si="143"/>
        <v>5.7578362870971836E-25</v>
      </c>
    </row>
    <row r="9214" spans="1:5" x14ac:dyDescent="0.25">
      <c r="A9214">
        <v>11</v>
      </c>
      <c r="B9214">
        <v>7</v>
      </c>
      <c r="C9214">
        <v>14</v>
      </c>
      <c r="D9214">
        <v>16</v>
      </c>
      <c r="E9214">
        <f t="shared" si="143"/>
        <v>4.0396248236459618E-24</v>
      </c>
    </row>
    <row r="9215" spans="1:5" x14ac:dyDescent="0.25">
      <c r="A9215">
        <v>11</v>
      </c>
      <c r="B9215">
        <v>7</v>
      </c>
      <c r="C9215">
        <v>15</v>
      </c>
      <c r="D9215">
        <v>15</v>
      </c>
      <c r="E9215">
        <f t="shared" si="143"/>
        <v>2.197555904063402E-23</v>
      </c>
    </row>
    <row r="9216" spans="1:5" x14ac:dyDescent="0.25">
      <c r="A9216">
        <v>11</v>
      </c>
      <c r="B9216">
        <v>7</v>
      </c>
      <c r="C9216">
        <v>16</v>
      </c>
      <c r="D9216">
        <v>14</v>
      </c>
      <c r="E9216">
        <f t="shared" si="143"/>
        <v>9.3645848184519995E-23</v>
      </c>
    </row>
    <row r="9217" spans="1:5" x14ac:dyDescent="0.25">
      <c r="A9217">
        <v>11</v>
      </c>
      <c r="B9217">
        <v>7</v>
      </c>
      <c r="C9217">
        <v>17</v>
      </c>
      <c r="D9217">
        <v>13</v>
      </c>
      <c r="E9217">
        <f t="shared" si="143"/>
        <v>3.1490711693421938E-22</v>
      </c>
    </row>
    <row r="9218" spans="1:5" x14ac:dyDescent="0.25">
      <c r="A9218">
        <v>11</v>
      </c>
      <c r="B9218">
        <v>7</v>
      </c>
      <c r="C9218">
        <v>18</v>
      </c>
      <c r="D9218">
        <v>12</v>
      </c>
      <c r="E9218">
        <f t="shared" si="143"/>
        <v>8.3975231182458428E-22</v>
      </c>
    </row>
    <row r="9219" spans="1:5" x14ac:dyDescent="0.25">
      <c r="A9219">
        <v>11</v>
      </c>
      <c r="B9219">
        <v>7</v>
      </c>
      <c r="C9219">
        <v>19</v>
      </c>
      <c r="D9219">
        <v>11</v>
      </c>
      <c r="E9219">
        <f t="shared" si="143"/>
        <v>1.7805274581543821E-21</v>
      </c>
    </row>
    <row r="9220" spans="1:5" x14ac:dyDescent="0.25">
      <c r="A9220">
        <v>11</v>
      </c>
      <c r="B9220">
        <v>7</v>
      </c>
      <c r="C9220">
        <v>20</v>
      </c>
      <c r="D9220">
        <v>10</v>
      </c>
      <c r="E9220">
        <f t="shared" si="143"/>
        <v>3.0031563127537266E-21</v>
      </c>
    </row>
    <row r="9221" spans="1:5" x14ac:dyDescent="0.25">
      <c r="A9221">
        <v>11</v>
      </c>
      <c r="B9221">
        <v>7</v>
      </c>
      <c r="C9221">
        <v>21</v>
      </c>
      <c r="D9221">
        <v>9</v>
      </c>
      <c r="E9221">
        <f t="shared" si="143"/>
        <v>4.0220843474380218E-21</v>
      </c>
    </row>
    <row r="9222" spans="1:5" x14ac:dyDescent="0.25">
      <c r="A9222">
        <v>11</v>
      </c>
      <c r="B9222">
        <v>7</v>
      </c>
      <c r="C9222">
        <v>22</v>
      </c>
      <c r="D9222">
        <v>8</v>
      </c>
      <c r="E9222">
        <f t="shared" si="143"/>
        <v>4.2586775443461439E-21</v>
      </c>
    </row>
    <row r="9223" spans="1:5" x14ac:dyDescent="0.25">
      <c r="A9223">
        <v>11</v>
      </c>
      <c r="B9223">
        <v>7</v>
      </c>
      <c r="C9223">
        <v>23</v>
      </c>
      <c r="D9223">
        <v>7</v>
      </c>
      <c r="E9223">
        <f t="shared" si="143"/>
        <v>3.5386112928866517E-21</v>
      </c>
    </row>
    <row r="9224" spans="1:5" x14ac:dyDescent="0.25">
      <c r="A9224">
        <v>11</v>
      </c>
      <c r="B9224">
        <v>7</v>
      </c>
      <c r="C9224">
        <v>24</v>
      </c>
      <c r="D9224">
        <v>6</v>
      </c>
      <c r="E9224">
        <f t="shared" si="143"/>
        <v>2.2814730704137608E-21</v>
      </c>
    </row>
    <row r="9225" spans="1:5" x14ac:dyDescent="0.25">
      <c r="A9225">
        <v>11</v>
      </c>
      <c r="B9225">
        <v>7</v>
      </c>
      <c r="C9225">
        <v>25</v>
      </c>
      <c r="D9225">
        <v>5</v>
      </c>
      <c r="E9225">
        <f t="shared" si="143"/>
        <v>1.122484750643571E-21</v>
      </c>
    </row>
    <row r="9226" spans="1:5" x14ac:dyDescent="0.25">
      <c r="A9226">
        <v>11</v>
      </c>
      <c r="B9226">
        <v>7</v>
      </c>
      <c r="C9226">
        <v>26</v>
      </c>
      <c r="D9226">
        <v>4</v>
      </c>
      <c r="E9226">
        <f t="shared" si="143"/>
        <v>4.1116657532731519E-22</v>
      </c>
    </row>
    <row r="9227" spans="1:5" x14ac:dyDescent="0.25">
      <c r="A9227">
        <v>11</v>
      </c>
      <c r="B9227">
        <v>7</v>
      </c>
      <c r="C9227">
        <v>27</v>
      </c>
      <c r="D9227">
        <v>3</v>
      </c>
      <c r="E9227">
        <f t="shared" si="143"/>
        <v>1.0798314099505246E-22</v>
      </c>
    </row>
    <row r="9228" spans="1:5" x14ac:dyDescent="0.25">
      <c r="A9228">
        <v>11</v>
      </c>
      <c r="B9228">
        <v>7</v>
      </c>
      <c r="C9228">
        <v>28</v>
      </c>
      <c r="D9228">
        <v>2</v>
      </c>
      <c r="E9228">
        <f t="shared" si="143"/>
        <v>1.9115028064341587E-23</v>
      </c>
    </row>
    <row r="9229" spans="1:5" x14ac:dyDescent="0.25">
      <c r="A9229">
        <v>11</v>
      </c>
      <c r="B9229">
        <v>7</v>
      </c>
      <c r="C9229">
        <v>29</v>
      </c>
      <c r="D9229">
        <v>1</v>
      </c>
      <c r="E9229">
        <f t="shared" si="143"/>
        <v>2.0323449378753993E-24</v>
      </c>
    </row>
    <row r="9230" spans="1:5" x14ac:dyDescent="0.25">
      <c r="A9230">
        <v>11</v>
      </c>
      <c r="B9230">
        <v>7</v>
      </c>
      <c r="C9230">
        <v>30</v>
      </c>
      <c r="D9230">
        <v>0</v>
      </c>
      <c r="E9230">
        <f t="shared" ref="E9230:E9293" si="144">COMBIN(A$4,A9230)*COMBIN(B$4,B9230)*COMBIN(C$4,C9230)*COMBIN(D$4,D9230)/COMBIN($G$4,$F$4)</f>
        <v>9.7552557018019139E-26</v>
      </c>
    </row>
    <row r="9231" spans="1:5" x14ac:dyDescent="0.25">
      <c r="A9231">
        <v>11</v>
      </c>
      <c r="B9231">
        <v>8</v>
      </c>
      <c r="C9231">
        <v>4</v>
      </c>
      <c r="D9231">
        <v>25</v>
      </c>
      <c r="E9231">
        <f t="shared" si="144"/>
        <v>7.7370352580922177E-37</v>
      </c>
    </row>
    <row r="9232" spans="1:5" x14ac:dyDescent="0.25">
      <c r="A9232">
        <v>11</v>
      </c>
      <c r="B9232">
        <v>8</v>
      </c>
      <c r="C9232">
        <v>5</v>
      </c>
      <c r="D9232">
        <v>24</v>
      </c>
      <c r="E9232">
        <f t="shared" si="144"/>
        <v>2.3597957537181263E-34</v>
      </c>
    </row>
    <row r="9233" spans="1:5" x14ac:dyDescent="0.25">
      <c r="A9233">
        <v>11</v>
      </c>
      <c r="B9233">
        <v>8</v>
      </c>
      <c r="C9233">
        <v>6</v>
      </c>
      <c r="D9233">
        <v>23</v>
      </c>
      <c r="E9233">
        <f t="shared" si="144"/>
        <v>2.8317549044617518E-32</v>
      </c>
    </row>
    <row r="9234" spans="1:5" x14ac:dyDescent="0.25">
      <c r="A9234">
        <v>11</v>
      </c>
      <c r="B9234">
        <v>8</v>
      </c>
      <c r="C9234">
        <v>7</v>
      </c>
      <c r="D9234">
        <v>22</v>
      </c>
      <c r="E9234">
        <f t="shared" si="144"/>
        <v>1.8298530501688555E-30</v>
      </c>
    </row>
    <row r="9235" spans="1:5" x14ac:dyDescent="0.25">
      <c r="A9235">
        <v>11</v>
      </c>
      <c r="B9235">
        <v>8</v>
      </c>
      <c r="C9235">
        <v>8</v>
      </c>
      <c r="D9235">
        <v>21</v>
      </c>
      <c r="E9235">
        <f t="shared" si="144"/>
        <v>7.2965390375483132E-29</v>
      </c>
    </row>
    <row r="9236" spans="1:5" x14ac:dyDescent="0.25">
      <c r="A9236">
        <v>11</v>
      </c>
      <c r="B9236">
        <v>8</v>
      </c>
      <c r="C9236">
        <v>9</v>
      </c>
      <c r="D9236">
        <v>20</v>
      </c>
      <c r="E9236">
        <f t="shared" si="144"/>
        <v>1.9408793839878507E-27</v>
      </c>
    </row>
    <row r="9237" spans="1:5" x14ac:dyDescent="0.25">
      <c r="A9237">
        <v>11</v>
      </c>
      <c r="B9237">
        <v>8</v>
      </c>
      <c r="C9237">
        <v>10</v>
      </c>
      <c r="D9237">
        <v>19</v>
      </c>
      <c r="E9237">
        <f t="shared" si="144"/>
        <v>3.622974850110655E-26</v>
      </c>
    </row>
    <row r="9238" spans="1:5" x14ac:dyDescent="0.25">
      <c r="A9238">
        <v>11</v>
      </c>
      <c r="B9238">
        <v>8</v>
      </c>
      <c r="C9238">
        <v>11</v>
      </c>
      <c r="D9238">
        <v>18</v>
      </c>
      <c r="E9238">
        <f t="shared" si="144"/>
        <v>4.9168944394358911E-25</v>
      </c>
    </row>
    <row r="9239" spans="1:5" x14ac:dyDescent="0.25">
      <c r="A9239">
        <v>11</v>
      </c>
      <c r="B9239">
        <v>8</v>
      </c>
      <c r="C9239">
        <v>12</v>
      </c>
      <c r="D9239">
        <v>17</v>
      </c>
      <c r="E9239">
        <f t="shared" si="144"/>
        <v>4.9783556199288368E-24</v>
      </c>
    </row>
    <row r="9240" spans="1:5" x14ac:dyDescent="0.25">
      <c r="A9240">
        <v>11</v>
      </c>
      <c r="B9240">
        <v>8</v>
      </c>
      <c r="C9240">
        <v>13</v>
      </c>
      <c r="D9240">
        <v>16</v>
      </c>
      <c r="E9240">
        <f t="shared" si="144"/>
        <v>3.8337593278255417E-23</v>
      </c>
    </row>
    <row r="9241" spans="1:5" x14ac:dyDescent="0.25">
      <c r="A9241">
        <v>11</v>
      </c>
      <c r="B9241">
        <v>8</v>
      </c>
      <c r="C9241">
        <v>14</v>
      </c>
      <c r="D9241">
        <v>15</v>
      </c>
      <c r="E9241">
        <f t="shared" si="144"/>
        <v>2.2783484005363218E-22</v>
      </c>
    </row>
    <row r="9242" spans="1:5" x14ac:dyDescent="0.25">
      <c r="A9242">
        <v>11</v>
      </c>
      <c r="B9242">
        <v>8</v>
      </c>
      <c r="C9242">
        <v>15</v>
      </c>
      <c r="D9242">
        <v>14</v>
      </c>
      <c r="E9242">
        <f t="shared" si="144"/>
        <v>1.0563251675213853E-21</v>
      </c>
    </row>
    <row r="9243" spans="1:5" x14ac:dyDescent="0.25">
      <c r="A9243">
        <v>11</v>
      </c>
      <c r="B9243">
        <v>8</v>
      </c>
      <c r="C9243">
        <v>16</v>
      </c>
      <c r="D9243">
        <v>13</v>
      </c>
      <c r="E9243">
        <f t="shared" si="144"/>
        <v>3.8511855065883851E-21</v>
      </c>
    </row>
    <row r="9244" spans="1:5" x14ac:dyDescent="0.25">
      <c r="A9244">
        <v>11</v>
      </c>
      <c r="B9244">
        <v>8</v>
      </c>
      <c r="C9244">
        <v>17</v>
      </c>
      <c r="D9244">
        <v>12</v>
      </c>
      <c r="E9244">
        <f t="shared" si="144"/>
        <v>1.1100475871931234E-20</v>
      </c>
    </row>
    <row r="9245" spans="1:5" x14ac:dyDescent="0.25">
      <c r="A9245">
        <v>11</v>
      </c>
      <c r="B9245">
        <v>8</v>
      </c>
      <c r="C9245">
        <v>18</v>
      </c>
      <c r="D9245">
        <v>11</v>
      </c>
      <c r="E9245">
        <f t="shared" si="144"/>
        <v>2.537251627869993E-20</v>
      </c>
    </row>
    <row r="9246" spans="1:5" x14ac:dyDescent="0.25">
      <c r="A9246">
        <v>11</v>
      </c>
      <c r="B9246">
        <v>8</v>
      </c>
      <c r="C9246">
        <v>19</v>
      </c>
      <c r="D9246">
        <v>10</v>
      </c>
      <c r="E9246">
        <f t="shared" si="144"/>
        <v>4.6026634793290766E-20</v>
      </c>
    </row>
    <row r="9247" spans="1:5" x14ac:dyDescent="0.25">
      <c r="A9247">
        <v>11</v>
      </c>
      <c r="B9247">
        <v>8</v>
      </c>
      <c r="C9247">
        <v>20</v>
      </c>
      <c r="D9247">
        <v>9</v>
      </c>
      <c r="E9247">
        <f t="shared" si="144"/>
        <v>6.6163287515355547E-20</v>
      </c>
    </row>
    <row r="9248" spans="1:5" x14ac:dyDescent="0.25">
      <c r="A9248">
        <v>11</v>
      </c>
      <c r="B9248">
        <v>8</v>
      </c>
      <c r="C9248">
        <v>21</v>
      </c>
      <c r="D9248">
        <v>8</v>
      </c>
      <c r="E9248">
        <f t="shared" si="144"/>
        <v>7.5059191719100729E-20</v>
      </c>
    </row>
    <row r="9249" spans="1:5" x14ac:dyDescent="0.25">
      <c r="A9249">
        <v>11</v>
      </c>
      <c r="B9249">
        <v>8</v>
      </c>
      <c r="C9249">
        <v>22</v>
      </c>
      <c r="D9249">
        <v>7</v>
      </c>
      <c r="E9249">
        <f t="shared" si="144"/>
        <v>6.6719281528089598E-20</v>
      </c>
    </row>
    <row r="9250" spans="1:5" x14ac:dyDescent="0.25">
      <c r="A9250">
        <v>11</v>
      </c>
      <c r="B9250">
        <v>8</v>
      </c>
      <c r="C9250">
        <v>23</v>
      </c>
      <c r="D9250">
        <v>6</v>
      </c>
      <c r="E9250">
        <f t="shared" si="144"/>
        <v>4.5955386132620037E-20</v>
      </c>
    </row>
    <row r="9251" spans="1:5" x14ac:dyDescent="0.25">
      <c r="A9251">
        <v>11</v>
      </c>
      <c r="B9251">
        <v>8</v>
      </c>
      <c r="C9251">
        <v>24</v>
      </c>
      <c r="D9251">
        <v>5</v>
      </c>
      <c r="E9251">
        <f t="shared" si="144"/>
        <v>2.412657771962552E-20</v>
      </c>
    </row>
    <row r="9252" spans="1:5" x14ac:dyDescent="0.25">
      <c r="A9252">
        <v>11</v>
      </c>
      <c r="B9252">
        <v>8</v>
      </c>
      <c r="C9252">
        <v>25</v>
      </c>
      <c r="D9252">
        <v>4</v>
      </c>
      <c r="E9252">
        <f t="shared" si="144"/>
        <v>9.4208541571871152E-21</v>
      </c>
    </row>
    <row r="9253" spans="1:5" x14ac:dyDescent="0.25">
      <c r="A9253">
        <v>11</v>
      </c>
      <c r="B9253">
        <v>8</v>
      </c>
      <c r="C9253">
        <v>26</v>
      </c>
      <c r="D9253">
        <v>3</v>
      </c>
      <c r="E9253">
        <f t="shared" si="144"/>
        <v>2.6352039600523374E-21</v>
      </c>
    </row>
    <row r="9254" spans="1:5" x14ac:dyDescent="0.25">
      <c r="A9254">
        <v>11</v>
      </c>
      <c r="B9254">
        <v>8</v>
      </c>
      <c r="C9254">
        <v>27</v>
      </c>
      <c r="D9254">
        <v>2</v>
      </c>
      <c r="E9254">
        <f t="shared" si="144"/>
        <v>4.9648770261855636E-22</v>
      </c>
    </row>
    <row r="9255" spans="1:5" x14ac:dyDescent="0.25">
      <c r="A9255">
        <v>11</v>
      </c>
      <c r="B9255">
        <v>8</v>
      </c>
      <c r="C9255">
        <v>28</v>
      </c>
      <c r="D9255">
        <v>1</v>
      </c>
      <c r="E9255">
        <f t="shared" si="144"/>
        <v>5.6150394939003397E-23</v>
      </c>
    </row>
    <row r="9256" spans="1:5" x14ac:dyDescent="0.25">
      <c r="A9256">
        <v>11</v>
      </c>
      <c r="B9256">
        <v>8</v>
      </c>
      <c r="C9256">
        <v>29</v>
      </c>
      <c r="D9256">
        <v>0</v>
      </c>
      <c r="E9256">
        <f t="shared" si="144"/>
        <v>2.8656063624043121E-24</v>
      </c>
    </row>
    <row r="9257" spans="1:5" x14ac:dyDescent="0.25">
      <c r="A9257">
        <v>11</v>
      </c>
      <c r="B9257">
        <v>9</v>
      </c>
      <c r="C9257">
        <v>3</v>
      </c>
      <c r="D9257">
        <v>25</v>
      </c>
      <c r="E9257">
        <f t="shared" si="144"/>
        <v>1.5584995752859593E-36</v>
      </c>
    </row>
    <row r="9258" spans="1:5" x14ac:dyDescent="0.25">
      <c r="A9258">
        <v>11</v>
      </c>
      <c r="B9258">
        <v>9</v>
      </c>
      <c r="C9258">
        <v>4</v>
      </c>
      <c r="D9258">
        <v>24</v>
      </c>
      <c r="E9258">
        <f t="shared" si="144"/>
        <v>6.0391858542330918E-34</v>
      </c>
    </row>
    <row r="9259" spans="1:5" x14ac:dyDescent="0.25">
      <c r="A9259">
        <v>11</v>
      </c>
      <c r="B9259">
        <v>9</v>
      </c>
      <c r="C9259">
        <v>5</v>
      </c>
      <c r="D9259">
        <v>23</v>
      </c>
      <c r="E9259">
        <f t="shared" si="144"/>
        <v>8.8413680905972469E-32</v>
      </c>
    </row>
    <row r="9260" spans="1:5" x14ac:dyDescent="0.25">
      <c r="A9260">
        <v>11</v>
      </c>
      <c r="B9260">
        <v>9</v>
      </c>
      <c r="C9260">
        <v>6</v>
      </c>
      <c r="D9260">
        <v>22</v>
      </c>
      <c r="E9260">
        <f t="shared" si="144"/>
        <v>6.7783822027912224E-30</v>
      </c>
    </row>
    <row r="9261" spans="1:5" x14ac:dyDescent="0.25">
      <c r="A9261">
        <v>11</v>
      </c>
      <c r="B9261">
        <v>9</v>
      </c>
      <c r="C9261">
        <v>7</v>
      </c>
      <c r="D9261">
        <v>21</v>
      </c>
      <c r="E9261">
        <f t="shared" si="144"/>
        <v>3.1422643211510739E-28</v>
      </c>
    </row>
    <row r="9262" spans="1:5" x14ac:dyDescent="0.25">
      <c r="A9262">
        <v>11</v>
      </c>
      <c r="B9262">
        <v>9</v>
      </c>
      <c r="C9262">
        <v>8</v>
      </c>
      <c r="D9262">
        <v>20</v>
      </c>
      <c r="E9262">
        <f t="shared" si="144"/>
        <v>9.5681948579050205E-27</v>
      </c>
    </row>
    <row r="9263" spans="1:5" x14ac:dyDescent="0.25">
      <c r="A9263">
        <v>11</v>
      </c>
      <c r="B9263">
        <v>9</v>
      </c>
      <c r="C9263">
        <v>9</v>
      </c>
      <c r="D9263">
        <v>19</v>
      </c>
      <c r="E9263">
        <f t="shared" si="144"/>
        <v>2.0199522477799483E-25</v>
      </c>
    </row>
    <row r="9264" spans="1:5" x14ac:dyDescent="0.25">
      <c r="A9264">
        <v>11</v>
      </c>
      <c r="B9264">
        <v>9</v>
      </c>
      <c r="C9264">
        <v>10</v>
      </c>
      <c r="D9264">
        <v>18</v>
      </c>
      <c r="E9264">
        <f t="shared" si="144"/>
        <v>3.0703274166255232E-24</v>
      </c>
    </row>
    <row r="9265" spans="1:5" x14ac:dyDescent="0.25">
      <c r="A9265">
        <v>11</v>
      </c>
      <c r="B9265">
        <v>9</v>
      </c>
      <c r="C9265">
        <v>11</v>
      </c>
      <c r="D9265">
        <v>17</v>
      </c>
      <c r="E9265">
        <f t="shared" si="144"/>
        <v>3.4541183437037133E-23</v>
      </c>
    </row>
    <row r="9266" spans="1:5" x14ac:dyDescent="0.25">
      <c r="A9266">
        <v>11</v>
      </c>
      <c r="B9266">
        <v>9</v>
      </c>
      <c r="C9266">
        <v>12</v>
      </c>
      <c r="D9266">
        <v>16</v>
      </c>
      <c r="E9266">
        <f t="shared" si="144"/>
        <v>2.9360005921481539E-22</v>
      </c>
    </row>
    <row r="9267" spans="1:5" x14ac:dyDescent="0.25">
      <c r="A9267">
        <v>11</v>
      </c>
      <c r="B9267">
        <v>9</v>
      </c>
      <c r="C9267">
        <v>13</v>
      </c>
      <c r="D9267">
        <v>15</v>
      </c>
      <c r="E9267">
        <f t="shared" si="144"/>
        <v>1.9151757708781812E-21</v>
      </c>
    </row>
    <row r="9268" spans="1:5" x14ac:dyDescent="0.25">
      <c r="A9268">
        <v>11</v>
      </c>
      <c r="B9268">
        <v>9</v>
      </c>
      <c r="C9268">
        <v>14</v>
      </c>
      <c r="D9268">
        <v>14</v>
      </c>
      <c r="E9268">
        <f t="shared" si="144"/>
        <v>9.7002409174349468E-21</v>
      </c>
    </row>
    <row r="9269" spans="1:5" x14ac:dyDescent="0.25">
      <c r="A9269">
        <v>11</v>
      </c>
      <c r="B9269">
        <v>9</v>
      </c>
      <c r="C9269">
        <v>15</v>
      </c>
      <c r="D9269">
        <v>13</v>
      </c>
      <c r="E9269">
        <f t="shared" si="144"/>
        <v>3.8477622305825281E-20</v>
      </c>
    </row>
    <row r="9270" spans="1:5" x14ac:dyDescent="0.25">
      <c r="A9270">
        <v>11</v>
      </c>
      <c r="B9270">
        <v>9</v>
      </c>
      <c r="C9270">
        <v>16</v>
      </c>
      <c r="D9270">
        <v>12</v>
      </c>
      <c r="E9270">
        <f t="shared" si="144"/>
        <v>1.2024256970570402E-19</v>
      </c>
    </row>
    <row r="9271" spans="1:5" x14ac:dyDescent="0.25">
      <c r="A9271">
        <v>11</v>
      </c>
      <c r="B9271">
        <v>9</v>
      </c>
      <c r="C9271">
        <v>17</v>
      </c>
      <c r="D9271">
        <v>11</v>
      </c>
      <c r="E9271">
        <f t="shared" si="144"/>
        <v>2.9706987809644532E-19</v>
      </c>
    </row>
    <row r="9272" spans="1:5" x14ac:dyDescent="0.25">
      <c r="A9272">
        <v>11</v>
      </c>
      <c r="B9272">
        <v>9</v>
      </c>
      <c r="C9272">
        <v>18</v>
      </c>
      <c r="D9272">
        <v>10</v>
      </c>
      <c r="E9272">
        <f t="shared" si="144"/>
        <v>5.8093665049971475E-19</v>
      </c>
    </row>
    <row r="9273" spans="1:5" x14ac:dyDescent="0.25">
      <c r="A9273">
        <v>11</v>
      </c>
      <c r="B9273">
        <v>9</v>
      </c>
      <c r="C9273">
        <v>19</v>
      </c>
      <c r="D9273">
        <v>9</v>
      </c>
      <c r="E9273">
        <f t="shared" si="144"/>
        <v>8.9815863728574356E-19</v>
      </c>
    </row>
    <row r="9274" spans="1:5" x14ac:dyDescent="0.25">
      <c r="A9274">
        <v>11</v>
      </c>
      <c r="B9274">
        <v>9</v>
      </c>
      <c r="C9274">
        <v>20</v>
      </c>
      <c r="D9274">
        <v>8</v>
      </c>
      <c r="E9274">
        <f t="shared" si="144"/>
        <v>1.0936402230479358E-18</v>
      </c>
    </row>
    <row r="9275" spans="1:5" x14ac:dyDescent="0.25">
      <c r="A9275">
        <v>11</v>
      </c>
      <c r="B9275">
        <v>9</v>
      </c>
      <c r="C9275">
        <v>21</v>
      </c>
      <c r="D9275">
        <v>7</v>
      </c>
      <c r="E9275">
        <f t="shared" si="144"/>
        <v>1.0415621171885091E-18</v>
      </c>
    </row>
    <row r="9276" spans="1:5" x14ac:dyDescent="0.25">
      <c r="A9276">
        <v>11</v>
      </c>
      <c r="B9276">
        <v>9</v>
      </c>
      <c r="C9276">
        <v>22</v>
      </c>
      <c r="D9276">
        <v>6</v>
      </c>
      <c r="E9276">
        <f t="shared" si="144"/>
        <v>7.6746682319153323E-19</v>
      </c>
    </row>
    <row r="9277" spans="1:5" x14ac:dyDescent="0.25">
      <c r="A9277">
        <v>11</v>
      </c>
      <c r="B9277">
        <v>9</v>
      </c>
      <c r="C9277">
        <v>23</v>
      </c>
      <c r="D9277">
        <v>5</v>
      </c>
      <c r="E9277">
        <f t="shared" si="144"/>
        <v>4.3044878344220763E-19</v>
      </c>
    </row>
    <row r="9278" spans="1:5" x14ac:dyDescent="0.25">
      <c r="A9278">
        <v>11</v>
      </c>
      <c r="B9278">
        <v>9</v>
      </c>
      <c r="C9278">
        <v>24</v>
      </c>
      <c r="D9278">
        <v>4</v>
      </c>
      <c r="E9278">
        <f t="shared" si="144"/>
        <v>1.7935365976758658E-19</v>
      </c>
    </row>
    <row r="9279" spans="1:5" x14ac:dyDescent="0.25">
      <c r="A9279">
        <v>11</v>
      </c>
      <c r="B9279">
        <v>9</v>
      </c>
      <c r="C9279">
        <v>25</v>
      </c>
      <c r="D9279">
        <v>3</v>
      </c>
      <c r="E9279">
        <f t="shared" si="144"/>
        <v>5.3480000367062202E-20</v>
      </c>
    </row>
    <row r="9280" spans="1:5" x14ac:dyDescent="0.25">
      <c r="A9280">
        <v>11</v>
      </c>
      <c r="B9280">
        <v>9</v>
      </c>
      <c r="C9280">
        <v>26</v>
      </c>
      <c r="D9280">
        <v>2</v>
      </c>
      <c r="E9280">
        <f t="shared" si="144"/>
        <v>1.0731772648908794E-20</v>
      </c>
    </row>
    <row r="9281" spans="1:5" x14ac:dyDescent="0.25">
      <c r="A9281">
        <v>11</v>
      </c>
      <c r="B9281">
        <v>9</v>
      </c>
      <c r="C9281">
        <v>27</v>
      </c>
      <c r="D9281">
        <v>1</v>
      </c>
      <c r="E9281">
        <f t="shared" si="144"/>
        <v>1.2917874484797623E-21</v>
      </c>
    </row>
    <row r="9282" spans="1:5" x14ac:dyDescent="0.25">
      <c r="A9282">
        <v>11</v>
      </c>
      <c r="B9282">
        <v>9</v>
      </c>
      <c r="C9282">
        <v>28</v>
      </c>
      <c r="D9282">
        <v>0</v>
      </c>
      <c r="E9282">
        <f t="shared" si="144"/>
        <v>7.0125604346044243E-23</v>
      </c>
    </row>
    <row r="9283" spans="1:5" x14ac:dyDescent="0.25">
      <c r="A9283">
        <v>11</v>
      </c>
      <c r="B9283">
        <v>10</v>
      </c>
      <c r="C9283">
        <v>2</v>
      </c>
      <c r="D9283">
        <v>25</v>
      </c>
      <c r="E9283">
        <f t="shared" si="144"/>
        <v>2.0779994337146122E-36</v>
      </c>
    </row>
    <row r="9284" spans="1:5" x14ac:dyDescent="0.25">
      <c r="A9284">
        <v>11</v>
      </c>
      <c r="B9284">
        <v>10</v>
      </c>
      <c r="C9284">
        <v>3</v>
      </c>
      <c r="D9284">
        <v>24</v>
      </c>
      <c r="E9284">
        <f t="shared" si="144"/>
        <v>1.0909497027001716E-33</v>
      </c>
    </row>
    <row r="9285" spans="1:5" x14ac:dyDescent="0.25">
      <c r="A9285">
        <v>11</v>
      </c>
      <c r="B9285">
        <v>10</v>
      </c>
      <c r="C9285">
        <v>4</v>
      </c>
      <c r="D9285">
        <v>23</v>
      </c>
      <c r="E9285">
        <f t="shared" si="144"/>
        <v>2.0291664470223189E-31</v>
      </c>
    </row>
    <row r="9286" spans="1:5" x14ac:dyDescent="0.25">
      <c r="A9286">
        <v>11</v>
      </c>
      <c r="B9286">
        <v>10</v>
      </c>
      <c r="C9286">
        <v>5</v>
      </c>
      <c r="D9286">
        <v>22</v>
      </c>
      <c r="E9286">
        <f t="shared" si="144"/>
        <v>1.8979470167815426E-29</v>
      </c>
    </row>
    <row r="9287" spans="1:5" x14ac:dyDescent="0.25">
      <c r="A9287">
        <v>11</v>
      </c>
      <c r="B9287">
        <v>10</v>
      </c>
      <c r="C9287">
        <v>6</v>
      </c>
      <c r="D9287">
        <v>21</v>
      </c>
      <c r="E9287">
        <f t="shared" si="144"/>
        <v>1.0438708592298483E-27</v>
      </c>
    </row>
    <row r="9288" spans="1:5" x14ac:dyDescent="0.25">
      <c r="A9288">
        <v>11</v>
      </c>
      <c r="B9288">
        <v>10</v>
      </c>
      <c r="C9288">
        <v>7</v>
      </c>
      <c r="D9288">
        <v>20</v>
      </c>
      <c r="E9288">
        <f t="shared" si="144"/>
        <v>3.6953028416736625E-26</v>
      </c>
    </row>
    <row r="9289" spans="1:5" x14ac:dyDescent="0.25">
      <c r="A9289">
        <v>11</v>
      </c>
      <c r="B9289">
        <v>10</v>
      </c>
      <c r="C9289">
        <v>8</v>
      </c>
      <c r="D9289">
        <v>19</v>
      </c>
      <c r="E9289">
        <f t="shared" si="144"/>
        <v>8.9303152007113535E-25</v>
      </c>
    </row>
    <row r="9290" spans="1:5" x14ac:dyDescent="0.25">
      <c r="A9290">
        <v>11</v>
      </c>
      <c r="B9290">
        <v>10</v>
      </c>
      <c r="C9290">
        <v>9</v>
      </c>
      <c r="D9290">
        <v>18</v>
      </c>
      <c r="E9290">
        <f t="shared" si="144"/>
        <v>1.5351637083127613E-23</v>
      </c>
    </row>
    <row r="9291" spans="1:5" x14ac:dyDescent="0.25">
      <c r="A9291">
        <v>11</v>
      </c>
      <c r="B9291">
        <v>10</v>
      </c>
      <c r="C9291">
        <v>10</v>
      </c>
      <c r="D9291">
        <v>17</v>
      </c>
      <c r="E9291">
        <f t="shared" si="144"/>
        <v>1.9343062724740793E-22</v>
      </c>
    </row>
    <row r="9292" spans="1:5" x14ac:dyDescent="0.25">
      <c r="A9292">
        <v>11</v>
      </c>
      <c r="B9292">
        <v>10</v>
      </c>
      <c r="C9292">
        <v>11</v>
      </c>
      <c r="D9292">
        <v>16</v>
      </c>
      <c r="E9292">
        <f t="shared" si="144"/>
        <v>1.826844812892186E-21</v>
      </c>
    </row>
    <row r="9293" spans="1:5" x14ac:dyDescent="0.25">
      <c r="A9293">
        <v>11</v>
      </c>
      <c r="B9293">
        <v>10</v>
      </c>
      <c r="C9293">
        <v>12</v>
      </c>
      <c r="D9293">
        <v>15</v>
      </c>
      <c r="E9293">
        <f t="shared" si="144"/>
        <v>1.3153282652823731E-20</v>
      </c>
    </row>
    <row r="9294" spans="1:5" x14ac:dyDescent="0.25">
      <c r="A9294">
        <v>11</v>
      </c>
      <c r="B9294">
        <v>10</v>
      </c>
      <c r="C9294">
        <v>13</v>
      </c>
      <c r="D9294">
        <v>14</v>
      </c>
      <c r="E9294">
        <f t="shared" ref="E9294:E9357" si="145">COMBIN(A$4,A9294)*COMBIN(B$4,B9294)*COMBIN(C$4,C9294)*COMBIN(D$4,D9294)/COMBIN($G$4,$F$4)</f>
        <v>7.3124893069894206E-20</v>
      </c>
    </row>
    <row r="9295" spans="1:5" x14ac:dyDescent="0.25">
      <c r="A9295">
        <v>11</v>
      </c>
      <c r="B9295">
        <v>10</v>
      </c>
      <c r="C9295">
        <v>14</v>
      </c>
      <c r="D9295">
        <v>13</v>
      </c>
      <c r="E9295">
        <f t="shared" si="145"/>
        <v>3.1687453663620835E-19</v>
      </c>
    </row>
    <row r="9296" spans="1:5" x14ac:dyDescent="0.25">
      <c r="A9296">
        <v>11</v>
      </c>
      <c r="B9296">
        <v>10</v>
      </c>
      <c r="C9296">
        <v>15</v>
      </c>
      <c r="D9296">
        <v>12</v>
      </c>
      <c r="E9296">
        <f t="shared" si="145"/>
        <v>1.077373424563108E-18</v>
      </c>
    </row>
    <row r="9297" spans="1:5" x14ac:dyDescent="0.25">
      <c r="A9297">
        <v>11</v>
      </c>
      <c r="B9297">
        <v>10</v>
      </c>
      <c r="C9297">
        <v>16</v>
      </c>
      <c r="D9297">
        <v>11</v>
      </c>
      <c r="E9297">
        <f t="shared" si="145"/>
        <v>2.8858216729368964E-18</v>
      </c>
    </row>
    <row r="9298" spans="1:5" x14ac:dyDescent="0.25">
      <c r="A9298">
        <v>11</v>
      </c>
      <c r="B9298">
        <v>10</v>
      </c>
      <c r="C9298">
        <v>17</v>
      </c>
      <c r="D9298">
        <v>10</v>
      </c>
      <c r="E9298">
        <f t="shared" si="145"/>
        <v>6.0998348302470105E-18</v>
      </c>
    </row>
    <row r="9299" spans="1:5" x14ac:dyDescent="0.25">
      <c r="A9299">
        <v>11</v>
      </c>
      <c r="B9299">
        <v>10</v>
      </c>
      <c r="C9299">
        <v>18</v>
      </c>
      <c r="D9299">
        <v>9</v>
      </c>
      <c r="E9299">
        <f t="shared" si="145"/>
        <v>1.0166391383745009E-17</v>
      </c>
    </row>
    <row r="9300" spans="1:5" x14ac:dyDescent="0.25">
      <c r="A9300">
        <v>11</v>
      </c>
      <c r="B9300">
        <v>10</v>
      </c>
      <c r="C9300">
        <v>19</v>
      </c>
      <c r="D9300">
        <v>8</v>
      </c>
      <c r="E9300">
        <f t="shared" si="145"/>
        <v>1.331388097623573E-17</v>
      </c>
    </row>
    <row r="9301" spans="1:5" x14ac:dyDescent="0.25">
      <c r="A9301">
        <v>11</v>
      </c>
      <c r="B9301">
        <v>10</v>
      </c>
      <c r="C9301">
        <v>20</v>
      </c>
      <c r="D9301">
        <v>7</v>
      </c>
      <c r="E9301">
        <f t="shared" si="145"/>
        <v>1.3609744997929872E-17</v>
      </c>
    </row>
    <row r="9302" spans="1:5" x14ac:dyDescent="0.25">
      <c r="A9302">
        <v>11</v>
      </c>
      <c r="B9302">
        <v>10</v>
      </c>
      <c r="C9302">
        <v>21</v>
      </c>
      <c r="D9302">
        <v>6</v>
      </c>
      <c r="E9302">
        <f t="shared" si="145"/>
        <v>1.074453552468146E-17</v>
      </c>
    </row>
    <row r="9303" spans="1:5" x14ac:dyDescent="0.25">
      <c r="A9303">
        <v>11</v>
      </c>
      <c r="B9303">
        <v>10</v>
      </c>
      <c r="C9303">
        <v>22</v>
      </c>
      <c r="D9303">
        <v>5</v>
      </c>
      <c r="E9303">
        <f t="shared" si="145"/>
        <v>6.4467213148088805E-18</v>
      </c>
    </row>
    <row r="9304" spans="1:5" x14ac:dyDescent="0.25">
      <c r="A9304">
        <v>11</v>
      </c>
      <c r="B9304">
        <v>10</v>
      </c>
      <c r="C9304">
        <v>23</v>
      </c>
      <c r="D9304">
        <v>4</v>
      </c>
      <c r="E9304">
        <f t="shared" si="145"/>
        <v>2.8696585562813857E-18</v>
      </c>
    </row>
    <row r="9305" spans="1:5" x14ac:dyDescent="0.25">
      <c r="A9305">
        <v>11</v>
      </c>
      <c r="B9305">
        <v>10</v>
      </c>
      <c r="C9305">
        <v>24</v>
      </c>
      <c r="D9305">
        <v>3</v>
      </c>
      <c r="E9305">
        <f t="shared" si="145"/>
        <v>9.1307317699862245E-19</v>
      </c>
    </row>
    <row r="9306" spans="1:5" x14ac:dyDescent="0.25">
      <c r="A9306">
        <v>11</v>
      </c>
      <c r="B9306">
        <v>10</v>
      </c>
      <c r="C9306">
        <v>25</v>
      </c>
      <c r="D9306">
        <v>2</v>
      </c>
      <c r="E9306">
        <f t="shared" si="145"/>
        <v>1.9531826221014021E-19</v>
      </c>
    </row>
    <row r="9307" spans="1:5" x14ac:dyDescent="0.25">
      <c r="A9307">
        <v>11</v>
      </c>
      <c r="B9307">
        <v>10</v>
      </c>
      <c r="C9307">
        <v>26</v>
      </c>
      <c r="D9307">
        <v>1</v>
      </c>
      <c r="E9307">
        <f t="shared" si="145"/>
        <v>2.5040802847453859E-20</v>
      </c>
    </row>
    <row r="9308" spans="1:5" x14ac:dyDescent="0.25">
      <c r="A9308">
        <v>11</v>
      </c>
      <c r="B9308">
        <v>10</v>
      </c>
      <c r="C9308">
        <v>27</v>
      </c>
      <c r="D9308">
        <v>0</v>
      </c>
      <c r="E9308">
        <f t="shared" si="145"/>
        <v>1.446801942297334E-21</v>
      </c>
    </row>
    <row r="9309" spans="1:5" x14ac:dyDescent="0.25">
      <c r="A9309">
        <v>11</v>
      </c>
      <c r="B9309">
        <v>11</v>
      </c>
      <c r="C9309">
        <v>1</v>
      </c>
      <c r="D9309">
        <v>25</v>
      </c>
      <c r="E9309">
        <f t="shared" si="145"/>
        <v>1.647050687518116E-36</v>
      </c>
    </row>
    <row r="9310" spans="1:5" x14ac:dyDescent="0.25">
      <c r="A9310">
        <v>11</v>
      </c>
      <c r="B9310">
        <v>11</v>
      </c>
      <c r="C9310">
        <v>2</v>
      </c>
      <c r="D9310">
        <v>24</v>
      </c>
      <c r="E9310">
        <f t="shared" si="145"/>
        <v>1.3176405500144928E-33</v>
      </c>
    </row>
    <row r="9311" spans="1:5" x14ac:dyDescent="0.25">
      <c r="A9311">
        <v>11</v>
      </c>
      <c r="B9311">
        <v>11</v>
      </c>
      <c r="C9311">
        <v>3</v>
      </c>
      <c r="D9311">
        <v>23</v>
      </c>
      <c r="E9311">
        <f t="shared" si="145"/>
        <v>3.3204541860365214E-31</v>
      </c>
    </row>
    <row r="9312" spans="1:5" x14ac:dyDescent="0.25">
      <c r="A9312">
        <v>11</v>
      </c>
      <c r="B9312">
        <v>11</v>
      </c>
      <c r="C9312">
        <v>4</v>
      </c>
      <c r="D9312">
        <v>22</v>
      </c>
      <c r="E9312">
        <f t="shared" si="145"/>
        <v>3.9458063910734002E-29</v>
      </c>
    </row>
    <row r="9313" spans="1:5" x14ac:dyDescent="0.25">
      <c r="A9313">
        <v>11</v>
      </c>
      <c r="B9313">
        <v>11</v>
      </c>
      <c r="C9313">
        <v>5</v>
      </c>
      <c r="D9313">
        <v>21</v>
      </c>
      <c r="E9313">
        <f t="shared" si="145"/>
        <v>2.647636088410252E-27</v>
      </c>
    </row>
    <row r="9314" spans="1:5" x14ac:dyDescent="0.25">
      <c r="A9314">
        <v>11</v>
      </c>
      <c r="B9314">
        <v>11</v>
      </c>
      <c r="C9314">
        <v>6</v>
      </c>
      <c r="D9314">
        <v>20</v>
      </c>
      <c r="E9314">
        <f t="shared" si="145"/>
        <v>1.1120071571323055E-25</v>
      </c>
    </row>
    <row r="9315" spans="1:5" x14ac:dyDescent="0.25">
      <c r="A9315">
        <v>11</v>
      </c>
      <c r="B9315">
        <v>11</v>
      </c>
      <c r="C9315">
        <v>7</v>
      </c>
      <c r="D9315">
        <v>19</v>
      </c>
      <c r="E9315">
        <f t="shared" si="145"/>
        <v>3.1242105843240961E-24</v>
      </c>
    </row>
    <row r="9316" spans="1:5" x14ac:dyDescent="0.25">
      <c r="A9316">
        <v>11</v>
      </c>
      <c r="B9316">
        <v>11</v>
      </c>
      <c r="C9316">
        <v>8</v>
      </c>
      <c r="D9316">
        <v>18</v>
      </c>
      <c r="E9316">
        <f t="shared" si="145"/>
        <v>6.1480001141520634E-23</v>
      </c>
    </row>
    <row r="9317" spans="1:5" x14ac:dyDescent="0.25">
      <c r="A9317">
        <v>11</v>
      </c>
      <c r="B9317">
        <v>11</v>
      </c>
      <c r="C9317">
        <v>9</v>
      </c>
      <c r="D9317">
        <v>17</v>
      </c>
      <c r="E9317">
        <f t="shared" si="145"/>
        <v>8.7609001626666879E-22</v>
      </c>
    </row>
    <row r="9318" spans="1:5" x14ac:dyDescent="0.25">
      <c r="A9318">
        <v>11</v>
      </c>
      <c r="B9318">
        <v>11</v>
      </c>
      <c r="C9318">
        <v>10</v>
      </c>
      <c r="D9318">
        <v>16</v>
      </c>
      <c r="E9318">
        <f t="shared" si="145"/>
        <v>9.2670855053985434E-21</v>
      </c>
    </row>
    <row r="9319" spans="1:5" x14ac:dyDescent="0.25">
      <c r="A9319">
        <v>11</v>
      </c>
      <c r="B9319">
        <v>11</v>
      </c>
      <c r="C9319">
        <v>11</v>
      </c>
      <c r="D9319">
        <v>15</v>
      </c>
      <c r="E9319">
        <f t="shared" si="145"/>
        <v>7.4136684043188347E-20</v>
      </c>
    </row>
    <row r="9320" spans="1:5" x14ac:dyDescent="0.25">
      <c r="A9320">
        <v>11</v>
      </c>
      <c r="B9320">
        <v>11</v>
      </c>
      <c r="C9320">
        <v>12</v>
      </c>
      <c r="D9320">
        <v>14</v>
      </c>
      <c r="E9320">
        <f t="shared" si="145"/>
        <v>4.5492965208320087E-19</v>
      </c>
    </row>
    <row r="9321" spans="1:5" x14ac:dyDescent="0.25">
      <c r="A9321">
        <v>11</v>
      </c>
      <c r="B9321">
        <v>11</v>
      </c>
      <c r="C9321">
        <v>13</v>
      </c>
      <c r="D9321">
        <v>13</v>
      </c>
      <c r="E9321">
        <f t="shared" si="145"/>
        <v>2.1638320631136878E-18</v>
      </c>
    </row>
    <row r="9322" spans="1:5" x14ac:dyDescent="0.25">
      <c r="A9322">
        <v>11</v>
      </c>
      <c r="B9322">
        <v>11</v>
      </c>
      <c r="C9322">
        <v>14</v>
      </c>
      <c r="D9322">
        <v>12</v>
      </c>
      <c r="E9322">
        <f t="shared" si="145"/>
        <v>8.0370905201365553E-18</v>
      </c>
    </row>
    <row r="9323" spans="1:5" x14ac:dyDescent="0.25">
      <c r="A9323">
        <v>11</v>
      </c>
      <c r="B9323">
        <v>11</v>
      </c>
      <c r="C9323">
        <v>15</v>
      </c>
      <c r="D9323">
        <v>11</v>
      </c>
      <c r="E9323">
        <f t="shared" si="145"/>
        <v>2.3422378087255092E-17</v>
      </c>
    </row>
    <row r="9324" spans="1:5" x14ac:dyDescent="0.25">
      <c r="A9324">
        <v>11</v>
      </c>
      <c r="B9324">
        <v>11</v>
      </c>
      <c r="C9324">
        <v>16</v>
      </c>
      <c r="D9324">
        <v>10</v>
      </c>
      <c r="E9324">
        <f t="shared" si="145"/>
        <v>5.3676283116626255E-17</v>
      </c>
    </row>
    <row r="9325" spans="1:5" x14ac:dyDescent="0.25">
      <c r="A9325">
        <v>11</v>
      </c>
      <c r="B9325">
        <v>11</v>
      </c>
      <c r="C9325">
        <v>17</v>
      </c>
      <c r="D9325">
        <v>9</v>
      </c>
      <c r="E9325">
        <f t="shared" si="145"/>
        <v>9.6696245320392944E-17</v>
      </c>
    </row>
    <row r="9326" spans="1:5" x14ac:dyDescent="0.25">
      <c r="A9326">
        <v>11</v>
      </c>
      <c r="B9326">
        <v>11</v>
      </c>
      <c r="C9326">
        <v>18</v>
      </c>
      <c r="D9326">
        <v>8</v>
      </c>
      <c r="E9326">
        <f t="shared" si="145"/>
        <v>1.3651234633467228E-16</v>
      </c>
    </row>
    <row r="9327" spans="1:5" x14ac:dyDescent="0.25">
      <c r="A9327">
        <v>11</v>
      </c>
      <c r="B9327">
        <v>11</v>
      </c>
      <c r="C9327">
        <v>19</v>
      </c>
      <c r="D9327">
        <v>7</v>
      </c>
      <c r="E9327">
        <f t="shared" si="145"/>
        <v>1.5008374918665734E-16</v>
      </c>
    </row>
    <row r="9328" spans="1:5" x14ac:dyDescent="0.25">
      <c r="A9328">
        <v>11</v>
      </c>
      <c r="B9328">
        <v>11</v>
      </c>
      <c r="C9328">
        <v>20</v>
      </c>
      <c r="D9328">
        <v>6</v>
      </c>
      <c r="E9328">
        <f t="shared" si="145"/>
        <v>1.2717622957395705E-16</v>
      </c>
    </row>
    <row r="9329" spans="1:5" x14ac:dyDescent="0.25">
      <c r="A9329">
        <v>11</v>
      </c>
      <c r="B9329">
        <v>11</v>
      </c>
      <c r="C9329">
        <v>21</v>
      </c>
      <c r="D9329">
        <v>5</v>
      </c>
      <c r="E9329">
        <f t="shared" si="145"/>
        <v>8.1756147583258007E-17</v>
      </c>
    </row>
    <row r="9330" spans="1:5" x14ac:dyDescent="0.25">
      <c r="A9330">
        <v>11</v>
      </c>
      <c r="B9330">
        <v>11</v>
      </c>
      <c r="C9330">
        <v>22</v>
      </c>
      <c r="D9330">
        <v>4</v>
      </c>
      <c r="E9330">
        <f t="shared" si="145"/>
        <v>3.8931498849170521E-17</v>
      </c>
    </row>
    <row r="9331" spans="1:5" x14ac:dyDescent="0.25">
      <c r="A9331">
        <v>11</v>
      </c>
      <c r="B9331">
        <v>11</v>
      </c>
      <c r="C9331">
        <v>23</v>
      </c>
      <c r="D9331">
        <v>3</v>
      </c>
      <c r="E9331">
        <f t="shared" si="145"/>
        <v>1.3233632019876139E-17</v>
      </c>
    </row>
    <row r="9332" spans="1:5" x14ac:dyDescent="0.25">
      <c r="A9332">
        <v>11</v>
      </c>
      <c r="B9332">
        <v>11</v>
      </c>
      <c r="C9332">
        <v>24</v>
      </c>
      <c r="D9332">
        <v>2</v>
      </c>
      <c r="E9332">
        <f t="shared" si="145"/>
        <v>3.0207203523630315E-18</v>
      </c>
    </row>
    <row r="9333" spans="1:5" x14ac:dyDescent="0.25">
      <c r="A9333">
        <v>11</v>
      </c>
      <c r="B9333">
        <v>11</v>
      </c>
      <c r="C9333">
        <v>25</v>
      </c>
      <c r="D9333">
        <v>1</v>
      </c>
      <c r="E9333">
        <f t="shared" si="145"/>
        <v>4.128317814896145E-19</v>
      </c>
    </row>
    <row r="9334" spans="1:5" x14ac:dyDescent="0.25">
      <c r="A9334">
        <v>11</v>
      </c>
      <c r="B9334">
        <v>11</v>
      </c>
      <c r="C9334">
        <v>26</v>
      </c>
      <c r="D9334">
        <v>0</v>
      </c>
      <c r="E9334">
        <f t="shared" si="145"/>
        <v>2.5405032707053184E-20</v>
      </c>
    </row>
    <row r="9335" spans="1:5" x14ac:dyDescent="0.25">
      <c r="A9335">
        <v>11</v>
      </c>
      <c r="B9335">
        <v>12</v>
      </c>
      <c r="C9335">
        <v>0</v>
      </c>
      <c r="D9335">
        <v>25</v>
      </c>
      <c r="E9335">
        <f t="shared" si="145"/>
        <v>5.8702575785902071E-37</v>
      </c>
    </row>
    <row r="9336" spans="1:5" x14ac:dyDescent="0.25">
      <c r="A9336">
        <v>11</v>
      </c>
      <c r="B9336">
        <v>12</v>
      </c>
      <c r="C9336">
        <v>1</v>
      </c>
      <c r="D9336">
        <v>24</v>
      </c>
      <c r="E9336">
        <f t="shared" si="145"/>
        <v>9.5391685652090866E-34</v>
      </c>
    </row>
    <row r="9337" spans="1:5" x14ac:dyDescent="0.25">
      <c r="A9337">
        <v>11</v>
      </c>
      <c r="B9337">
        <v>12</v>
      </c>
      <c r="C9337">
        <v>2</v>
      </c>
      <c r="D9337">
        <v>23</v>
      </c>
      <c r="E9337">
        <f t="shared" si="145"/>
        <v>3.6630407290402897E-31</v>
      </c>
    </row>
    <row r="9338" spans="1:5" x14ac:dyDescent="0.25">
      <c r="A9338">
        <v>11</v>
      </c>
      <c r="B9338">
        <v>12</v>
      </c>
      <c r="C9338">
        <v>3</v>
      </c>
      <c r="D9338">
        <v>22</v>
      </c>
      <c r="E9338">
        <f t="shared" si="145"/>
        <v>5.8974955737548658E-29</v>
      </c>
    </row>
    <row r="9339" spans="1:5" x14ac:dyDescent="0.25">
      <c r="A9339">
        <v>11</v>
      </c>
      <c r="B9339">
        <v>12</v>
      </c>
      <c r="C9339">
        <v>4</v>
      </c>
      <c r="D9339">
        <v>21</v>
      </c>
      <c r="E9339">
        <f t="shared" si="145"/>
        <v>5.027614976626024E-27</v>
      </c>
    </row>
    <row r="9340" spans="1:5" x14ac:dyDescent="0.25">
      <c r="A9340">
        <v>11</v>
      </c>
      <c r="B9340">
        <v>12</v>
      </c>
      <c r="C9340">
        <v>5</v>
      </c>
      <c r="D9340">
        <v>20</v>
      </c>
      <c r="E9340">
        <f t="shared" si="145"/>
        <v>2.5761499140231741E-25</v>
      </c>
    </row>
    <row r="9341" spans="1:5" x14ac:dyDescent="0.25">
      <c r="A9341">
        <v>11</v>
      </c>
      <c r="B9341">
        <v>12</v>
      </c>
      <c r="C9341">
        <v>6</v>
      </c>
      <c r="D9341">
        <v>19</v>
      </c>
      <c r="E9341">
        <f t="shared" si="145"/>
        <v>8.587166380077245E-24</v>
      </c>
    </row>
    <row r="9342" spans="1:5" x14ac:dyDescent="0.25">
      <c r="A9342">
        <v>11</v>
      </c>
      <c r="B9342">
        <v>12</v>
      </c>
      <c r="C9342">
        <v>7</v>
      </c>
      <c r="D9342">
        <v>18</v>
      </c>
      <c r="E9342">
        <f t="shared" si="145"/>
        <v>1.9645333698095095E-22</v>
      </c>
    </row>
    <row r="9343" spans="1:5" x14ac:dyDescent="0.25">
      <c r="A9343">
        <v>11</v>
      </c>
      <c r="B9343">
        <v>12</v>
      </c>
      <c r="C9343">
        <v>8</v>
      </c>
      <c r="D9343">
        <v>17</v>
      </c>
      <c r="E9343">
        <f t="shared" si="145"/>
        <v>3.2046450595017619E-21</v>
      </c>
    </row>
    <row r="9344" spans="1:5" x14ac:dyDescent="0.25">
      <c r="A9344">
        <v>11</v>
      </c>
      <c r="B9344">
        <v>12</v>
      </c>
      <c r="C9344">
        <v>9</v>
      </c>
      <c r="D9344">
        <v>16</v>
      </c>
      <c r="E9344">
        <f t="shared" si="145"/>
        <v>3.8337050156261815E-20</v>
      </c>
    </row>
    <row r="9345" spans="1:5" x14ac:dyDescent="0.25">
      <c r="A9345">
        <v>11</v>
      </c>
      <c r="B9345">
        <v>12</v>
      </c>
      <c r="C9345">
        <v>10</v>
      </c>
      <c r="D9345">
        <v>15</v>
      </c>
      <c r="E9345">
        <f t="shared" si="145"/>
        <v>3.4349996940010585E-19</v>
      </c>
    </row>
    <row r="9346" spans="1:5" x14ac:dyDescent="0.25">
      <c r="A9346">
        <v>11</v>
      </c>
      <c r="B9346">
        <v>12</v>
      </c>
      <c r="C9346">
        <v>11</v>
      </c>
      <c r="D9346">
        <v>14</v>
      </c>
      <c r="E9346">
        <f t="shared" si="145"/>
        <v>2.3420452459098134E-18</v>
      </c>
    </row>
    <row r="9347" spans="1:5" x14ac:dyDescent="0.25">
      <c r="A9347">
        <v>11</v>
      </c>
      <c r="B9347">
        <v>12</v>
      </c>
      <c r="C9347">
        <v>12</v>
      </c>
      <c r="D9347">
        <v>13</v>
      </c>
      <c r="E9347">
        <f t="shared" si="145"/>
        <v>1.2295737541026513E-17</v>
      </c>
    </row>
    <row r="9348" spans="1:5" x14ac:dyDescent="0.25">
      <c r="A9348">
        <v>11</v>
      </c>
      <c r="B9348">
        <v>12</v>
      </c>
      <c r="C9348">
        <v>13</v>
      </c>
      <c r="D9348">
        <v>12</v>
      </c>
      <c r="E9348">
        <f t="shared" si="145"/>
        <v>5.0128776128800426E-17</v>
      </c>
    </row>
    <row r="9349" spans="1:5" x14ac:dyDescent="0.25">
      <c r="A9349">
        <v>11</v>
      </c>
      <c r="B9349">
        <v>12</v>
      </c>
      <c r="C9349">
        <v>14</v>
      </c>
      <c r="D9349">
        <v>11</v>
      </c>
      <c r="E9349">
        <f t="shared" si="145"/>
        <v>1.5959365461414013E-16</v>
      </c>
    </row>
    <row r="9350" spans="1:5" x14ac:dyDescent="0.25">
      <c r="A9350">
        <v>11</v>
      </c>
      <c r="B9350">
        <v>12</v>
      </c>
      <c r="C9350">
        <v>15</v>
      </c>
      <c r="D9350">
        <v>10</v>
      </c>
      <c r="E9350">
        <f t="shared" si="145"/>
        <v>3.9792017883792252E-16</v>
      </c>
    </row>
    <row r="9351" spans="1:5" x14ac:dyDescent="0.25">
      <c r="A9351">
        <v>11</v>
      </c>
      <c r="B9351">
        <v>12</v>
      </c>
      <c r="C9351">
        <v>16</v>
      </c>
      <c r="D9351">
        <v>9</v>
      </c>
      <c r="E9351">
        <f t="shared" si="145"/>
        <v>7.7718784929281756E-16</v>
      </c>
    </row>
    <row r="9352" spans="1:5" x14ac:dyDescent="0.25">
      <c r="A9352">
        <v>11</v>
      </c>
      <c r="B9352">
        <v>12</v>
      </c>
      <c r="C9352">
        <v>17</v>
      </c>
      <c r="D9352">
        <v>8</v>
      </c>
      <c r="E9352">
        <f t="shared" si="145"/>
        <v>1.1859510087824661E-15</v>
      </c>
    </row>
    <row r="9353" spans="1:5" x14ac:dyDescent="0.25">
      <c r="A9353">
        <v>11</v>
      </c>
      <c r="B9353">
        <v>12</v>
      </c>
      <c r="C9353">
        <v>18</v>
      </c>
      <c r="D9353">
        <v>7</v>
      </c>
      <c r="E9353">
        <f t="shared" si="145"/>
        <v>1.4055715659644034E-15</v>
      </c>
    </row>
    <row r="9354" spans="1:5" x14ac:dyDescent="0.25">
      <c r="A9354">
        <v>11</v>
      </c>
      <c r="B9354">
        <v>12</v>
      </c>
      <c r="C9354">
        <v>19</v>
      </c>
      <c r="D9354">
        <v>6</v>
      </c>
      <c r="E9354">
        <f t="shared" si="145"/>
        <v>1.2809779645492764E-15</v>
      </c>
    </row>
    <row r="9355" spans="1:5" x14ac:dyDescent="0.25">
      <c r="A9355">
        <v>11</v>
      </c>
      <c r="B9355">
        <v>12</v>
      </c>
      <c r="C9355">
        <v>20</v>
      </c>
      <c r="D9355">
        <v>5</v>
      </c>
      <c r="E9355">
        <f t="shared" si="145"/>
        <v>8.8387479553900157E-16</v>
      </c>
    </row>
    <row r="9356" spans="1:5" x14ac:dyDescent="0.25">
      <c r="A9356">
        <v>11</v>
      </c>
      <c r="B9356">
        <v>12</v>
      </c>
      <c r="C9356">
        <v>21</v>
      </c>
      <c r="D9356">
        <v>4</v>
      </c>
      <c r="E9356">
        <f t="shared" si="145"/>
        <v>4.5095652833622477E-16</v>
      </c>
    </row>
    <row r="9357" spans="1:5" x14ac:dyDescent="0.25">
      <c r="A9357">
        <v>11</v>
      </c>
      <c r="B9357">
        <v>12</v>
      </c>
      <c r="C9357">
        <v>22</v>
      </c>
      <c r="D9357">
        <v>3</v>
      </c>
      <c r="E9357">
        <f t="shared" si="145"/>
        <v>1.6398419212226363E-16</v>
      </c>
    </row>
    <row r="9358" spans="1:5" x14ac:dyDescent="0.25">
      <c r="A9358">
        <v>11</v>
      </c>
      <c r="B9358">
        <v>12</v>
      </c>
      <c r="C9358">
        <v>23</v>
      </c>
      <c r="D9358">
        <v>2</v>
      </c>
      <c r="E9358">
        <f t="shared" ref="E9358:E9421" si="146">COMBIN(A$4,A9358)*COMBIN(B$4,B9358)*COMBIN(C$4,C9358)*COMBIN(D$4,D9358)/COMBIN($G$4,$F$4)</f>
        <v>3.9988583712234412E-17</v>
      </c>
    </row>
    <row r="9359" spans="1:5" x14ac:dyDescent="0.25">
      <c r="A9359">
        <v>11</v>
      </c>
      <c r="B9359">
        <v>12</v>
      </c>
      <c r="C9359">
        <v>24</v>
      </c>
      <c r="D9359">
        <v>1</v>
      </c>
      <c r="E9359">
        <f t="shared" si="146"/>
        <v>5.8316684580341848E-18</v>
      </c>
    </row>
    <row r="9360" spans="1:5" x14ac:dyDescent="0.25">
      <c r="A9360">
        <v>11</v>
      </c>
      <c r="B9360">
        <v>12</v>
      </c>
      <c r="C9360">
        <v>25</v>
      </c>
      <c r="D9360">
        <v>0</v>
      </c>
      <c r="E9360">
        <f t="shared" si="146"/>
        <v>3.8255745084704269E-19</v>
      </c>
    </row>
    <row r="9361" spans="1:5" x14ac:dyDescent="0.25">
      <c r="A9361">
        <v>11</v>
      </c>
      <c r="B9361">
        <v>13</v>
      </c>
      <c r="C9361">
        <v>0</v>
      </c>
      <c r="D9361">
        <v>24</v>
      </c>
      <c r="E9361">
        <f t="shared" si="146"/>
        <v>3.1270410562874761E-34</v>
      </c>
    </row>
    <row r="9362" spans="1:5" x14ac:dyDescent="0.25">
      <c r="A9362">
        <v>11</v>
      </c>
      <c r="B9362">
        <v>13</v>
      </c>
      <c r="C9362">
        <v>1</v>
      </c>
      <c r="D9362">
        <v>23</v>
      </c>
      <c r="E9362">
        <f t="shared" si="146"/>
        <v>2.4390920239042315E-31</v>
      </c>
    </row>
    <row r="9363" spans="1:5" x14ac:dyDescent="0.25">
      <c r="A9363">
        <v>11</v>
      </c>
      <c r="B9363">
        <v>13</v>
      </c>
      <c r="C9363">
        <v>2</v>
      </c>
      <c r="D9363">
        <v>22</v>
      </c>
      <c r="E9363">
        <f t="shared" si="146"/>
        <v>5.9839057653117142E-29</v>
      </c>
    </row>
    <row r="9364" spans="1:5" x14ac:dyDescent="0.25">
      <c r="A9364">
        <v>11</v>
      </c>
      <c r="B9364">
        <v>13</v>
      </c>
      <c r="C9364">
        <v>3</v>
      </c>
      <c r="D9364">
        <v>21</v>
      </c>
      <c r="E9364">
        <f t="shared" si="146"/>
        <v>6.9114111589350323E-27</v>
      </c>
    </row>
    <row r="9365" spans="1:5" x14ac:dyDescent="0.25">
      <c r="A9365">
        <v>11</v>
      </c>
      <c r="B9365">
        <v>13</v>
      </c>
      <c r="C9365">
        <v>4</v>
      </c>
      <c r="D9365">
        <v>20</v>
      </c>
      <c r="E9365">
        <f t="shared" si="146"/>
        <v>4.499328664466704E-25</v>
      </c>
    </row>
    <row r="9366" spans="1:5" x14ac:dyDescent="0.25">
      <c r="A9366">
        <v>11</v>
      </c>
      <c r="B9366">
        <v>13</v>
      </c>
      <c r="C9366">
        <v>5</v>
      </c>
      <c r="D9366">
        <v>19</v>
      </c>
      <c r="E9366">
        <f t="shared" si="146"/>
        <v>1.8297269902164599E-23</v>
      </c>
    </row>
    <row r="9367" spans="1:5" x14ac:dyDescent="0.25">
      <c r="A9367">
        <v>11</v>
      </c>
      <c r="B9367">
        <v>13</v>
      </c>
      <c r="C9367">
        <v>6</v>
      </c>
      <c r="D9367">
        <v>18</v>
      </c>
      <c r="E9367">
        <f t="shared" si="146"/>
        <v>4.9664018305875358E-22</v>
      </c>
    </row>
    <row r="9368" spans="1:5" x14ac:dyDescent="0.25">
      <c r="A9368">
        <v>11</v>
      </c>
      <c r="B9368">
        <v>13</v>
      </c>
      <c r="C9368">
        <v>7</v>
      </c>
      <c r="D9368">
        <v>17</v>
      </c>
      <c r="E9368">
        <f t="shared" si="146"/>
        <v>9.4184263287213611E-21</v>
      </c>
    </row>
    <row r="9369" spans="1:5" x14ac:dyDescent="0.25">
      <c r="A9369">
        <v>11</v>
      </c>
      <c r="B9369">
        <v>13</v>
      </c>
      <c r="C9369">
        <v>8</v>
      </c>
      <c r="D9369">
        <v>16</v>
      </c>
      <c r="E9369">
        <f t="shared" si="146"/>
        <v>1.2898011611276755E-19</v>
      </c>
    </row>
    <row r="9370" spans="1:5" x14ac:dyDescent="0.25">
      <c r="A9370">
        <v>11</v>
      </c>
      <c r="B9370">
        <v>13</v>
      </c>
      <c r="C9370">
        <v>9</v>
      </c>
      <c r="D9370">
        <v>15</v>
      </c>
      <c r="E9370">
        <f t="shared" si="146"/>
        <v>1.3069985099427104E-18</v>
      </c>
    </row>
    <row r="9371" spans="1:5" x14ac:dyDescent="0.25">
      <c r="A9371">
        <v>11</v>
      </c>
      <c r="B9371">
        <v>13</v>
      </c>
      <c r="C9371">
        <v>10</v>
      </c>
      <c r="D9371">
        <v>14</v>
      </c>
      <c r="E9371">
        <f t="shared" si="146"/>
        <v>9.9807158941079754E-18</v>
      </c>
    </row>
    <row r="9372" spans="1:5" x14ac:dyDescent="0.25">
      <c r="A9372">
        <v>11</v>
      </c>
      <c r="B9372">
        <v>13</v>
      </c>
      <c r="C9372">
        <v>11</v>
      </c>
      <c r="D9372">
        <v>13</v>
      </c>
      <c r="E9372">
        <f t="shared" si="146"/>
        <v>5.8220842715629874E-17</v>
      </c>
    </row>
    <row r="9373" spans="1:5" x14ac:dyDescent="0.25">
      <c r="A9373">
        <v>11</v>
      </c>
      <c r="B9373">
        <v>13</v>
      </c>
      <c r="C9373">
        <v>12</v>
      </c>
      <c r="D9373">
        <v>12</v>
      </c>
      <c r="E9373">
        <f t="shared" si="146"/>
        <v>2.6199379222033427E-16</v>
      </c>
    </row>
    <row r="9374" spans="1:5" x14ac:dyDescent="0.25">
      <c r="A9374">
        <v>11</v>
      </c>
      <c r="B9374">
        <v>13</v>
      </c>
      <c r="C9374">
        <v>13</v>
      </c>
      <c r="D9374">
        <v>11</v>
      </c>
      <c r="E9374">
        <f t="shared" si="146"/>
        <v>9.1553874644028914E-16</v>
      </c>
    </row>
    <row r="9375" spans="1:5" x14ac:dyDescent="0.25">
      <c r="A9375">
        <v>11</v>
      </c>
      <c r="B9375">
        <v>13</v>
      </c>
      <c r="C9375">
        <v>14</v>
      </c>
      <c r="D9375">
        <v>10</v>
      </c>
      <c r="E9375">
        <f t="shared" si="146"/>
        <v>2.4937531569706926E-15</v>
      </c>
    </row>
    <row r="9376" spans="1:5" x14ac:dyDescent="0.25">
      <c r="A9376">
        <v>11</v>
      </c>
      <c r="B9376">
        <v>13</v>
      </c>
      <c r="C9376">
        <v>15</v>
      </c>
      <c r="D9376">
        <v>9</v>
      </c>
      <c r="E9376">
        <f t="shared" si="146"/>
        <v>5.2992254585627206E-15</v>
      </c>
    </row>
    <row r="9377" spans="1:5" x14ac:dyDescent="0.25">
      <c r="A9377">
        <v>11</v>
      </c>
      <c r="B9377">
        <v>13</v>
      </c>
      <c r="C9377">
        <v>16</v>
      </c>
      <c r="D9377">
        <v>8</v>
      </c>
      <c r="E9377">
        <f t="shared" si="146"/>
        <v>8.7671009424750904E-15</v>
      </c>
    </row>
    <row r="9378" spans="1:5" x14ac:dyDescent="0.25">
      <c r="A9378">
        <v>11</v>
      </c>
      <c r="B9378">
        <v>13</v>
      </c>
      <c r="C9378">
        <v>17</v>
      </c>
      <c r="D9378">
        <v>7</v>
      </c>
      <c r="E9378">
        <f t="shared" si="146"/>
        <v>1.1231057416504045E-14</v>
      </c>
    </row>
    <row r="9379" spans="1:5" x14ac:dyDescent="0.25">
      <c r="A9379">
        <v>11</v>
      </c>
      <c r="B9379">
        <v>13</v>
      </c>
      <c r="C9379">
        <v>18</v>
      </c>
      <c r="D9379">
        <v>6</v>
      </c>
      <c r="E9379">
        <f t="shared" si="146"/>
        <v>1.1034021321477644E-14</v>
      </c>
    </row>
    <row r="9380" spans="1:5" x14ac:dyDescent="0.25">
      <c r="A9380">
        <v>11</v>
      </c>
      <c r="B9380">
        <v>13</v>
      </c>
      <c r="C9380">
        <v>19</v>
      </c>
      <c r="D9380">
        <v>5</v>
      </c>
      <c r="E9380">
        <f t="shared" si="146"/>
        <v>8.1884052964649906E-15</v>
      </c>
    </row>
    <row r="9381" spans="1:5" x14ac:dyDescent="0.25">
      <c r="A9381">
        <v>11</v>
      </c>
      <c r="B9381">
        <v>13</v>
      </c>
      <c r="C9381">
        <v>20</v>
      </c>
      <c r="D9381">
        <v>4</v>
      </c>
      <c r="E9381">
        <f t="shared" si="146"/>
        <v>4.4841267099689287E-15</v>
      </c>
    </row>
    <row r="9382" spans="1:5" x14ac:dyDescent="0.25">
      <c r="A9382">
        <v>11</v>
      </c>
      <c r="B9382">
        <v>13</v>
      </c>
      <c r="C9382">
        <v>21</v>
      </c>
      <c r="D9382">
        <v>3</v>
      </c>
      <c r="E9382">
        <f t="shared" si="146"/>
        <v>1.7470623545333464E-15</v>
      </c>
    </row>
    <row r="9383" spans="1:5" x14ac:dyDescent="0.25">
      <c r="A9383">
        <v>11</v>
      </c>
      <c r="B9383">
        <v>13</v>
      </c>
      <c r="C9383">
        <v>22</v>
      </c>
      <c r="D9383">
        <v>2</v>
      </c>
      <c r="E9383">
        <f t="shared" si="146"/>
        <v>4.5575539683478641E-16</v>
      </c>
    </row>
    <row r="9384" spans="1:5" x14ac:dyDescent="0.25">
      <c r="A9384">
        <v>11</v>
      </c>
      <c r="B9384">
        <v>13</v>
      </c>
      <c r="C9384">
        <v>23</v>
      </c>
      <c r="D9384">
        <v>1</v>
      </c>
      <c r="E9384">
        <f t="shared" si="146"/>
        <v>7.1005369796723945E-17</v>
      </c>
    </row>
    <row r="9385" spans="1:5" x14ac:dyDescent="0.25">
      <c r="A9385">
        <v>11</v>
      </c>
      <c r="B9385">
        <v>13</v>
      </c>
      <c r="C9385">
        <v>24</v>
      </c>
      <c r="D9385">
        <v>0</v>
      </c>
      <c r="E9385">
        <f t="shared" si="146"/>
        <v>4.9703758857706756E-18</v>
      </c>
    </row>
    <row r="9386" spans="1:5" x14ac:dyDescent="0.25">
      <c r="A9386">
        <v>11</v>
      </c>
      <c r="B9386">
        <v>14</v>
      </c>
      <c r="C9386">
        <v>0</v>
      </c>
      <c r="D9386">
        <v>23</v>
      </c>
      <c r="E9386">
        <f t="shared" si="146"/>
        <v>7.3976856988743729E-32</v>
      </c>
    </row>
    <row r="9387" spans="1:5" x14ac:dyDescent="0.25">
      <c r="A9387">
        <v>11</v>
      </c>
      <c r="B9387">
        <v>14</v>
      </c>
      <c r="C9387">
        <v>1</v>
      </c>
      <c r="D9387">
        <v>22</v>
      </c>
      <c r="E9387">
        <f t="shared" si="146"/>
        <v>3.6865133732723953E-29</v>
      </c>
    </row>
    <row r="9388" spans="1:5" x14ac:dyDescent="0.25">
      <c r="A9388">
        <v>11</v>
      </c>
      <c r="B9388">
        <v>14</v>
      </c>
      <c r="C9388">
        <v>2</v>
      </c>
      <c r="D9388">
        <v>21</v>
      </c>
      <c r="E9388">
        <f t="shared" si="146"/>
        <v>6.4882635369594164E-27</v>
      </c>
    </row>
    <row r="9389" spans="1:5" x14ac:dyDescent="0.25">
      <c r="A9389">
        <v>11</v>
      </c>
      <c r="B9389">
        <v>14</v>
      </c>
      <c r="C9389">
        <v>3</v>
      </c>
      <c r="D9389">
        <v>20</v>
      </c>
      <c r="E9389">
        <f t="shared" si="146"/>
        <v>5.7226484395982027E-25</v>
      </c>
    </row>
    <row r="9390" spans="1:5" x14ac:dyDescent="0.25">
      <c r="A9390">
        <v>11</v>
      </c>
      <c r="B9390">
        <v>14</v>
      </c>
      <c r="C9390">
        <v>4</v>
      </c>
      <c r="D9390">
        <v>19</v>
      </c>
      <c r="E9390">
        <f t="shared" si="146"/>
        <v>2.9567016937924056E-23</v>
      </c>
    </row>
    <row r="9391" spans="1:5" x14ac:dyDescent="0.25">
      <c r="A9391">
        <v>11</v>
      </c>
      <c r="B9391">
        <v>14</v>
      </c>
      <c r="C9391">
        <v>5</v>
      </c>
      <c r="D9391">
        <v>18</v>
      </c>
      <c r="E9391">
        <f t="shared" si="146"/>
        <v>9.7909064660154273E-22</v>
      </c>
    </row>
    <row r="9392" spans="1:5" x14ac:dyDescent="0.25">
      <c r="A9392">
        <v>11</v>
      </c>
      <c r="B9392">
        <v>14</v>
      </c>
      <c r="C9392">
        <v>6</v>
      </c>
      <c r="D9392">
        <v>17</v>
      </c>
      <c r="E9392">
        <f t="shared" si="146"/>
        <v>2.2029539548534703E-20</v>
      </c>
    </row>
    <row r="9393" spans="1:5" x14ac:dyDescent="0.25">
      <c r="A9393">
        <v>11</v>
      </c>
      <c r="B9393">
        <v>14</v>
      </c>
      <c r="C9393">
        <v>7</v>
      </c>
      <c r="D9393">
        <v>16</v>
      </c>
      <c r="E9393">
        <f t="shared" si="146"/>
        <v>3.5072425662190961E-19</v>
      </c>
    </row>
    <row r="9394" spans="1:5" x14ac:dyDescent="0.25">
      <c r="A9394">
        <v>11</v>
      </c>
      <c r="B9394">
        <v>14</v>
      </c>
      <c r="C9394">
        <v>8</v>
      </c>
      <c r="D9394">
        <v>15</v>
      </c>
      <c r="E9394">
        <f t="shared" si="146"/>
        <v>4.0684013768141518E-18</v>
      </c>
    </row>
    <row r="9395" spans="1:5" x14ac:dyDescent="0.25">
      <c r="A9395">
        <v>11</v>
      </c>
      <c r="B9395">
        <v>14</v>
      </c>
      <c r="C9395">
        <v>9</v>
      </c>
      <c r="D9395">
        <v>14</v>
      </c>
      <c r="E9395">
        <f t="shared" si="146"/>
        <v>3.51361937088495E-17</v>
      </c>
    </row>
    <row r="9396" spans="1:5" x14ac:dyDescent="0.25">
      <c r="A9396">
        <v>11</v>
      </c>
      <c r="B9396">
        <v>14</v>
      </c>
      <c r="C9396">
        <v>10</v>
      </c>
      <c r="D9396">
        <v>13</v>
      </c>
      <c r="E9396">
        <f t="shared" si="146"/>
        <v>2.2955646556448345E-16</v>
      </c>
    </row>
    <row r="9397" spans="1:5" x14ac:dyDescent="0.25">
      <c r="A9397">
        <v>11</v>
      </c>
      <c r="B9397">
        <v>14</v>
      </c>
      <c r="C9397">
        <v>11</v>
      </c>
      <c r="D9397">
        <v>12</v>
      </c>
      <c r="E9397">
        <f t="shared" si="146"/>
        <v>1.1477823278224174E-15</v>
      </c>
    </row>
    <row r="9398" spans="1:5" x14ac:dyDescent="0.25">
      <c r="A9398">
        <v>11</v>
      </c>
      <c r="B9398">
        <v>14</v>
      </c>
      <c r="C9398">
        <v>12</v>
      </c>
      <c r="D9398">
        <v>11</v>
      </c>
      <c r="E9398">
        <f t="shared" si="146"/>
        <v>4.4271604073150345E-15</v>
      </c>
    </row>
    <row r="9399" spans="1:5" x14ac:dyDescent="0.25">
      <c r="A9399">
        <v>11</v>
      </c>
      <c r="B9399">
        <v>14</v>
      </c>
      <c r="C9399">
        <v>13</v>
      </c>
      <c r="D9399">
        <v>10</v>
      </c>
      <c r="E9399">
        <f t="shared" si="146"/>
        <v>1.3236074448536747E-14</v>
      </c>
    </row>
    <row r="9400" spans="1:5" x14ac:dyDescent="0.25">
      <c r="A9400">
        <v>11</v>
      </c>
      <c r="B9400">
        <v>14</v>
      </c>
      <c r="C9400">
        <v>14</v>
      </c>
      <c r="D9400">
        <v>9</v>
      </c>
      <c r="E9400">
        <f t="shared" si="146"/>
        <v>3.0726601398388892E-14</v>
      </c>
    </row>
    <row r="9401" spans="1:5" x14ac:dyDescent="0.25">
      <c r="A9401">
        <v>11</v>
      </c>
      <c r="B9401">
        <v>14</v>
      </c>
      <c r="C9401">
        <v>15</v>
      </c>
      <c r="D9401">
        <v>8</v>
      </c>
      <c r="E9401">
        <f t="shared" si="146"/>
        <v>5.5307882517099979E-14</v>
      </c>
    </row>
    <row r="9402" spans="1:5" x14ac:dyDescent="0.25">
      <c r="A9402">
        <v>11</v>
      </c>
      <c r="B9402">
        <v>14</v>
      </c>
      <c r="C9402">
        <v>16</v>
      </c>
      <c r="D9402">
        <v>7</v>
      </c>
      <c r="E9402">
        <f t="shared" si="146"/>
        <v>7.6816503495972211E-14</v>
      </c>
    </row>
    <row r="9403" spans="1:5" x14ac:dyDescent="0.25">
      <c r="A9403">
        <v>11</v>
      </c>
      <c r="B9403">
        <v>14</v>
      </c>
      <c r="C9403">
        <v>17</v>
      </c>
      <c r="D9403">
        <v>6</v>
      </c>
      <c r="E9403">
        <f t="shared" si="146"/>
        <v>8.1572943340924081E-14</v>
      </c>
    </row>
    <row r="9404" spans="1:5" x14ac:dyDescent="0.25">
      <c r="A9404">
        <v>11</v>
      </c>
      <c r="B9404">
        <v>14</v>
      </c>
      <c r="C9404">
        <v>18</v>
      </c>
      <c r="D9404">
        <v>5</v>
      </c>
      <c r="E9404">
        <f t="shared" si="146"/>
        <v>6.5258354672739202E-14</v>
      </c>
    </row>
    <row r="9405" spans="1:5" x14ac:dyDescent="0.25">
      <c r="A9405">
        <v>11</v>
      </c>
      <c r="B9405">
        <v>14</v>
      </c>
      <c r="C9405">
        <v>19</v>
      </c>
      <c r="D9405">
        <v>4</v>
      </c>
      <c r="E9405">
        <f t="shared" si="146"/>
        <v>3.8435371799733641E-14</v>
      </c>
    </row>
    <row r="9406" spans="1:5" x14ac:dyDescent="0.25">
      <c r="A9406">
        <v>11</v>
      </c>
      <c r="B9406">
        <v>14</v>
      </c>
      <c r="C9406">
        <v>20</v>
      </c>
      <c r="D9406">
        <v>3</v>
      </c>
      <c r="E9406">
        <f t="shared" si="146"/>
        <v>1.6072973661706807E-14</v>
      </c>
    </row>
    <row r="9407" spans="1:5" x14ac:dyDescent="0.25">
      <c r="A9407">
        <v>11</v>
      </c>
      <c r="B9407">
        <v>14</v>
      </c>
      <c r="C9407">
        <v>21</v>
      </c>
      <c r="D9407">
        <v>2</v>
      </c>
      <c r="E9407">
        <f t="shared" si="146"/>
        <v>4.4924460545143194E-15</v>
      </c>
    </row>
    <row r="9408" spans="1:5" x14ac:dyDescent="0.25">
      <c r="A9408">
        <v>11</v>
      </c>
      <c r="B9408">
        <v>14</v>
      </c>
      <c r="C9408">
        <v>22</v>
      </c>
      <c r="D9408">
        <v>1</v>
      </c>
      <c r="E9408">
        <f t="shared" si="146"/>
        <v>7.487410090857203E-16</v>
      </c>
    </row>
    <row r="9409" spans="1:5" x14ac:dyDescent="0.25">
      <c r="A9409">
        <v>11</v>
      </c>
      <c r="B9409">
        <v>14</v>
      </c>
      <c r="C9409">
        <v>23</v>
      </c>
      <c r="D9409">
        <v>0</v>
      </c>
      <c r="E9409">
        <f t="shared" si="146"/>
        <v>5.5992805896845165E-17</v>
      </c>
    </row>
    <row r="9410" spans="1:5" x14ac:dyDescent="0.25">
      <c r="A9410">
        <v>11</v>
      </c>
      <c r="B9410">
        <v>15</v>
      </c>
      <c r="C9410">
        <v>0</v>
      </c>
      <c r="D9410">
        <v>22</v>
      </c>
      <c r="E9410">
        <f t="shared" si="146"/>
        <v>1.0397858232306756E-29</v>
      </c>
    </row>
    <row r="9411" spans="1:5" x14ac:dyDescent="0.25">
      <c r="A9411">
        <v>11</v>
      </c>
      <c r="B9411">
        <v>15</v>
      </c>
      <c r="C9411">
        <v>1</v>
      </c>
      <c r="D9411">
        <v>21</v>
      </c>
      <c r="E9411">
        <f t="shared" si="146"/>
        <v>3.7172343180496653E-27</v>
      </c>
    </row>
    <row r="9412" spans="1:5" x14ac:dyDescent="0.25">
      <c r="A9412">
        <v>11</v>
      </c>
      <c r="B9412">
        <v>15</v>
      </c>
      <c r="C9412">
        <v>2</v>
      </c>
      <c r="D9412">
        <v>20</v>
      </c>
      <c r="E9412">
        <f t="shared" si="146"/>
        <v>4.9959629234587488E-25</v>
      </c>
    </row>
    <row r="9413" spans="1:5" x14ac:dyDescent="0.25">
      <c r="A9413">
        <v>11</v>
      </c>
      <c r="B9413">
        <v>15</v>
      </c>
      <c r="C9413">
        <v>3</v>
      </c>
      <c r="D9413">
        <v>19</v>
      </c>
      <c r="E9413">
        <f t="shared" si="146"/>
        <v>3.4971740464211246E-23</v>
      </c>
    </row>
    <row r="9414" spans="1:5" x14ac:dyDescent="0.25">
      <c r="A9414">
        <v>11</v>
      </c>
      <c r="B9414">
        <v>15</v>
      </c>
      <c r="C9414">
        <v>4</v>
      </c>
      <c r="D9414">
        <v>18</v>
      </c>
      <c r="E9414">
        <f t="shared" si="146"/>
        <v>1.4713110809586023E-21</v>
      </c>
    </row>
    <row r="9415" spans="1:5" x14ac:dyDescent="0.25">
      <c r="A9415">
        <v>11</v>
      </c>
      <c r="B9415">
        <v>15</v>
      </c>
      <c r="C9415">
        <v>5</v>
      </c>
      <c r="D9415">
        <v>17</v>
      </c>
      <c r="E9415">
        <f t="shared" si="146"/>
        <v>4.0387489172313626E-20</v>
      </c>
    </row>
    <row r="9416" spans="1:5" x14ac:dyDescent="0.25">
      <c r="A9416">
        <v>11</v>
      </c>
      <c r="B9416">
        <v>15</v>
      </c>
      <c r="C9416">
        <v>6</v>
      </c>
      <c r="D9416">
        <v>16</v>
      </c>
      <c r="E9416">
        <f t="shared" si="146"/>
        <v>7.628747954770351E-19</v>
      </c>
    </row>
    <row r="9417" spans="1:5" x14ac:dyDescent="0.25">
      <c r="A9417">
        <v>11</v>
      </c>
      <c r="B9417">
        <v>15</v>
      </c>
      <c r="C9417">
        <v>7</v>
      </c>
      <c r="D9417">
        <v>15</v>
      </c>
      <c r="E9417">
        <f t="shared" si="146"/>
        <v>1.0287911527576015E-17</v>
      </c>
    </row>
    <row r="9418" spans="1:5" x14ac:dyDescent="0.25">
      <c r="A9418">
        <v>11</v>
      </c>
      <c r="B9418">
        <v>15</v>
      </c>
      <c r="C9418">
        <v>8</v>
      </c>
      <c r="D9418">
        <v>14</v>
      </c>
      <c r="E9418">
        <f t="shared" si="146"/>
        <v>1.0171003442035382E-16</v>
      </c>
    </row>
    <row r="9419" spans="1:5" x14ac:dyDescent="0.25">
      <c r="A9419">
        <v>11</v>
      </c>
      <c r="B9419">
        <v>15</v>
      </c>
      <c r="C9419">
        <v>9</v>
      </c>
      <c r="D9419">
        <v>13</v>
      </c>
      <c r="E9419">
        <f t="shared" si="146"/>
        <v>7.5152414321705876E-16</v>
      </c>
    </row>
    <row r="9420" spans="1:5" x14ac:dyDescent="0.25">
      <c r="A9420">
        <v>11</v>
      </c>
      <c r="B9420">
        <v>15</v>
      </c>
      <c r="C9420">
        <v>10</v>
      </c>
      <c r="D9420">
        <v>12</v>
      </c>
      <c r="E9420">
        <f t="shared" si="146"/>
        <v>4.2085352020155298E-15</v>
      </c>
    </row>
    <row r="9421" spans="1:5" x14ac:dyDescent="0.25">
      <c r="A9421">
        <v>11</v>
      </c>
      <c r="B9421">
        <v>15</v>
      </c>
      <c r="C9421">
        <v>11</v>
      </c>
      <c r="D9421">
        <v>11</v>
      </c>
      <c r="E9421">
        <f t="shared" si="146"/>
        <v>1.8036579437209409E-14</v>
      </c>
    </row>
    <row r="9422" spans="1:5" x14ac:dyDescent="0.25">
      <c r="A9422">
        <v>11</v>
      </c>
      <c r="B9422">
        <v>15</v>
      </c>
      <c r="C9422">
        <v>12</v>
      </c>
      <c r="D9422">
        <v>10</v>
      </c>
      <c r="E9422">
        <f t="shared" ref="E9422:E9485" si="147">COMBIN(A$4,A9422)*COMBIN(B$4,B9422)*COMBIN(C$4,C9422)*COMBIN(D$4,D9422)/COMBIN($G$4,$F$4)</f>
        <v>5.9520712142791012E-14</v>
      </c>
    </row>
    <row r="9423" spans="1:5" x14ac:dyDescent="0.25">
      <c r="A9423">
        <v>11</v>
      </c>
      <c r="B9423">
        <v>15</v>
      </c>
      <c r="C9423">
        <v>13</v>
      </c>
      <c r="D9423">
        <v>9</v>
      </c>
      <c r="E9423">
        <f t="shared" si="147"/>
        <v>1.5166335305615026E-13</v>
      </c>
    </row>
    <row r="9424" spans="1:5" x14ac:dyDescent="0.25">
      <c r="A9424">
        <v>11</v>
      </c>
      <c r="B9424">
        <v>15</v>
      </c>
      <c r="C9424">
        <v>14</v>
      </c>
      <c r="D9424">
        <v>8</v>
      </c>
      <c r="E9424">
        <f t="shared" si="147"/>
        <v>2.9822877827848036E-13</v>
      </c>
    </row>
    <row r="9425" spans="1:5" x14ac:dyDescent="0.25">
      <c r="A9425">
        <v>11</v>
      </c>
      <c r="B9425">
        <v>15</v>
      </c>
      <c r="C9425">
        <v>15</v>
      </c>
      <c r="D9425">
        <v>7</v>
      </c>
      <c r="E9425">
        <f t="shared" si="147"/>
        <v>4.5065682050970362E-13</v>
      </c>
    </row>
    <row r="9426" spans="1:5" x14ac:dyDescent="0.25">
      <c r="A9426">
        <v>11</v>
      </c>
      <c r="B9426">
        <v>15</v>
      </c>
      <c r="C9426">
        <v>16</v>
      </c>
      <c r="D9426">
        <v>6</v>
      </c>
      <c r="E9426">
        <f t="shared" si="147"/>
        <v>5.188483130868296E-13</v>
      </c>
    </row>
    <row r="9427" spans="1:5" x14ac:dyDescent="0.25">
      <c r="A9427">
        <v>11</v>
      </c>
      <c r="B9427">
        <v>15</v>
      </c>
      <c r="C9427">
        <v>17</v>
      </c>
      <c r="D9427">
        <v>5</v>
      </c>
      <c r="E9427">
        <f t="shared" si="147"/>
        <v>4.4865118837508241E-13</v>
      </c>
    </row>
    <row r="9428" spans="1:5" x14ac:dyDescent="0.25">
      <c r="A9428">
        <v>11</v>
      </c>
      <c r="B9428">
        <v>15</v>
      </c>
      <c r="C9428">
        <v>18</v>
      </c>
      <c r="D9428">
        <v>4</v>
      </c>
      <c r="E9428">
        <f t="shared" si="147"/>
        <v>2.8485789738100452E-13</v>
      </c>
    </row>
    <row r="9429" spans="1:5" x14ac:dyDescent="0.25">
      <c r="A9429">
        <v>11</v>
      </c>
      <c r="B9429">
        <v>15</v>
      </c>
      <c r="C9429">
        <v>19</v>
      </c>
      <c r="D9429">
        <v>3</v>
      </c>
      <c r="E9429">
        <f t="shared" si="147"/>
        <v>1.2811790599911211E-13</v>
      </c>
    </row>
    <row r="9430" spans="1:5" x14ac:dyDescent="0.25">
      <c r="A9430">
        <v>11</v>
      </c>
      <c r="B9430">
        <v>15</v>
      </c>
      <c r="C9430">
        <v>20</v>
      </c>
      <c r="D9430">
        <v>2</v>
      </c>
      <c r="E9430">
        <f t="shared" si="147"/>
        <v>3.843537179973366E-14</v>
      </c>
    </row>
    <row r="9431" spans="1:5" x14ac:dyDescent="0.25">
      <c r="A9431">
        <v>11</v>
      </c>
      <c r="B9431">
        <v>15</v>
      </c>
      <c r="C9431">
        <v>21</v>
      </c>
      <c r="D9431">
        <v>1</v>
      </c>
      <c r="E9431">
        <f t="shared" si="147"/>
        <v>6.8634592499524323E-15</v>
      </c>
    </row>
    <row r="9432" spans="1:5" x14ac:dyDescent="0.25">
      <c r="A9432">
        <v>11</v>
      </c>
      <c r="B9432">
        <v>15</v>
      </c>
      <c r="C9432">
        <v>22</v>
      </c>
      <c r="D9432">
        <v>0</v>
      </c>
      <c r="E9432">
        <f t="shared" si="147"/>
        <v>5.4907673999619496E-16</v>
      </c>
    </row>
    <row r="9433" spans="1:5" x14ac:dyDescent="0.25">
      <c r="A9433">
        <v>11</v>
      </c>
      <c r="B9433">
        <v>16</v>
      </c>
      <c r="C9433">
        <v>0</v>
      </c>
      <c r="D9433">
        <v>21</v>
      </c>
      <c r="E9433">
        <f t="shared" si="147"/>
        <v>9.7934827225539242E-28</v>
      </c>
    </row>
    <row r="9434" spans="1:5" x14ac:dyDescent="0.25">
      <c r="A9434">
        <v>11</v>
      </c>
      <c r="B9434">
        <v>16</v>
      </c>
      <c r="C9434">
        <v>1</v>
      </c>
      <c r="D9434">
        <v>20</v>
      </c>
      <c r="E9434">
        <f t="shared" si="147"/>
        <v>2.6736207832572207E-25</v>
      </c>
    </row>
    <row r="9435" spans="1:5" x14ac:dyDescent="0.25">
      <c r="A9435">
        <v>11</v>
      </c>
      <c r="B9435">
        <v>16</v>
      </c>
      <c r="C9435">
        <v>2</v>
      </c>
      <c r="D9435">
        <v>19</v>
      </c>
      <c r="E9435">
        <f t="shared" si="147"/>
        <v>2.851862168807702E-23</v>
      </c>
    </row>
    <row r="9436" spans="1:5" x14ac:dyDescent="0.25">
      <c r="A9436">
        <v>11</v>
      </c>
      <c r="B9436">
        <v>16</v>
      </c>
      <c r="C9436">
        <v>3</v>
      </c>
      <c r="D9436">
        <v>18</v>
      </c>
      <c r="E9436">
        <f t="shared" si="147"/>
        <v>1.6255614362203911E-21</v>
      </c>
    </row>
    <row r="9437" spans="1:5" x14ac:dyDescent="0.25">
      <c r="A9437">
        <v>11</v>
      </c>
      <c r="B9437">
        <v>16</v>
      </c>
      <c r="C9437">
        <v>4</v>
      </c>
      <c r="D9437">
        <v>17</v>
      </c>
      <c r="E9437">
        <f t="shared" si="147"/>
        <v>5.669145508818612E-20</v>
      </c>
    </row>
    <row r="9438" spans="1:5" x14ac:dyDescent="0.25">
      <c r="A9438">
        <v>11</v>
      </c>
      <c r="B9438">
        <v>16</v>
      </c>
      <c r="C9438">
        <v>5</v>
      </c>
      <c r="D9438">
        <v>16</v>
      </c>
      <c r="E9438">
        <f t="shared" si="147"/>
        <v>1.3064230872544225E-18</v>
      </c>
    </row>
    <row r="9439" spans="1:5" x14ac:dyDescent="0.25">
      <c r="A9439">
        <v>11</v>
      </c>
      <c r="B9439">
        <v>16</v>
      </c>
      <c r="C9439">
        <v>6</v>
      </c>
      <c r="D9439">
        <v>15</v>
      </c>
      <c r="E9439">
        <f t="shared" si="147"/>
        <v>2.0902769396070754E-17</v>
      </c>
    </row>
    <row r="9440" spans="1:5" x14ac:dyDescent="0.25">
      <c r="A9440">
        <v>11</v>
      </c>
      <c r="B9440">
        <v>16</v>
      </c>
      <c r="C9440">
        <v>7</v>
      </c>
      <c r="D9440">
        <v>14</v>
      </c>
      <c r="E9440">
        <f t="shared" si="147"/>
        <v>2.4024611578600806E-16</v>
      </c>
    </row>
    <row r="9441" spans="1:5" x14ac:dyDescent="0.25">
      <c r="A9441">
        <v>11</v>
      </c>
      <c r="B9441">
        <v>16</v>
      </c>
      <c r="C9441">
        <v>8</v>
      </c>
      <c r="D9441">
        <v>13</v>
      </c>
      <c r="E9441">
        <f t="shared" si="147"/>
        <v>2.0320817293566525E-15</v>
      </c>
    </row>
    <row r="9442" spans="1:5" x14ac:dyDescent="0.25">
      <c r="A9442">
        <v>11</v>
      </c>
      <c r="B9442">
        <v>16</v>
      </c>
      <c r="C9442">
        <v>9</v>
      </c>
      <c r="D9442">
        <v>12</v>
      </c>
      <c r="E9442">
        <f t="shared" si="147"/>
        <v>1.2869850952592127E-14</v>
      </c>
    </row>
    <row r="9443" spans="1:5" x14ac:dyDescent="0.25">
      <c r="A9443">
        <v>11</v>
      </c>
      <c r="B9443">
        <v>16</v>
      </c>
      <c r="C9443">
        <v>10</v>
      </c>
      <c r="D9443">
        <v>11</v>
      </c>
      <c r="E9443">
        <f t="shared" si="147"/>
        <v>6.1775284572442211E-14</v>
      </c>
    </row>
    <row r="9444" spans="1:5" x14ac:dyDescent="0.25">
      <c r="A9444">
        <v>11</v>
      </c>
      <c r="B9444">
        <v>16</v>
      </c>
      <c r="C9444">
        <v>11</v>
      </c>
      <c r="D9444">
        <v>10</v>
      </c>
      <c r="E9444">
        <f t="shared" si="147"/>
        <v>2.2650937676562144E-13</v>
      </c>
    </row>
    <row r="9445" spans="1:5" x14ac:dyDescent="0.25">
      <c r="A9445">
        <v>11</v>
      </c>
      <c r="B9445">
        <v>16</v>
      </c>
      <c r="C9445">
        <v>12</v>
      </c>
      <c r="D9445">
        <v>9</v>
      </c>
      <c r="E9445">
        <f t="shared" si="147"/>
        <v>6.3705762215331008E-13</v>
      </c>
    </row>
    <row r="9446" spans="1:5" x14ac:dyDescent="0.25">
      <c r="A9446">
        <v>11</v>
      </c>
      <c r="B9446">
        <v>16</v>
      </c>
      <c r="C9446">
        <v>13</v>
      </c>
      <c r="D9446">
        <v>8</v>
      </c>
      <c r="E9446">
        <f t="shared" si="147"/>
        <v>1.3750067229281857E-12</v>
      </c>
    </row>
    <row r="9447" spans="1:5" x14ac:dyDescent="0.25">
      <c r="A9447">
        <v>11</v>
      </c>
      <c r="B9447">
        <v>16</v>
      </c>
      <c r="C9447">
        <v>14</v>
      </c>
      <c r="D9447">
        <v>7</v>
      </c>
      <c r="E9447">
        <f t="shared" si="147"/>
        <v>2.2698523680084346E-12</v>
      </c>
    </row>
    <row r="9448" spans="1:5" x14ac:dyDescent="0.25">
      <c r="A9448">
        <v>11</v>
      </c>
      <c r="B9448">
        <v>16</v>
      </c>
      <c r="C9448">
        <v>15</v>
      </c>
      <c r="D9448">
        <v>6</v>
      </c>
      <c r="E9448">
        <f t="shared" si="147"/>
        <v>2.8432887557158259E-12</v>
      </c>
    </row>
    <row r="9449" spans="1:5" x14ac:dyDescent="0.25">
      <c r="A9449">
        <v>11</v>
      </c>
      <c r="B9449">
        <v>16</v>
      </c>
      <c r="C9449">
        <v>16</v>
      </c>
      <c r="D9449">
        <v>5</v>
      </c>
      <c r="E9449">
        <f t="shared" si="147"/>
        <v>2.6655832084835873E-12</v>
      </c>
    </row>
    <row r="9450" spans="1:5" x14ac:dyDescent="0.25">
      <c r="A9450">
        <v>11</v>
      </c>
      <c r="B9450">
        <v>16</v>
      </c>
      <c r="C9450">
        <v>17</v>
      </c>
      <c r="D9450">
        <v>4</v>
      </c>
      <c r="E9450">
        <f t="shared" si="147"/>
        <v>1.8293218097436399E-12</v>
      </c>
    </row>
    <row r="9451" spans="1:5" x14ac:dyDescent="0.25">
      <c r="A9451">
        <v>11</v>
      </c>
      <c r="B9451">
        <v>16</v>
      </c>
      <c r="C9451">
        <v>18</v>
      </c>
      <c r="D9451">
        <v>3</v>
      </c>
      <c r="E9451">
        <f t="shared" si="147"/>
        <v>8.8694390775449107E-13</v>
      </c>
    </row>
    <row r="9452" spans="1:5" x14ac:dyDescent="0.25">
      <c r="A9452">
        <v>11</v>
      </c>
      <c r="B9452">
        <v>16</v>
      </c>
      <c r="C9452">
        <v>19</v>
      </c>
      <c r="D9452">
        <v>2</v>
      </c>
      <c r="E9452">
        <f t="shared" si="147"/>
        <v>2.8617640959584278E-13</v>
      </c>
    </row>
    <row r="9453" spans="1:5" x14ac:dyDescent="0.25">
      <c r="A9453">
        <v>11</v>
      </c>
      <c r="B9453">
        <v>16</v>
      </c>
      <c r="C9453">
        <v>20</v>
      </c>
      <c r="D9453">
        <v>1</v>
      </c>
      <c r="E9453">
        <f t="shared" si="147"/>
        <v>5.4850478505869914E-14</v>
      </c>
    </row>
    <row r="9454" spans="1:5" x14ac:dyDescent="0.25">
      <c r="A9454">
        <v>11</v>
      </c>
      <c r="B9454">
        <v>16</v>
      </c>
      <c r="C9454">
        <v>21</v>
      </c>
      <c r="D9454">
        <v>0</v>
      </c>
      <c r="E9454">
        <f t="shared" si="147"/>
        <v>4.7014695862174146E-15</v>
      </c>
    </row>
    <row r="9455" spans="1:5" x14ac:dyDescent="0.25">
      <c r="A9455">
        <v>11</v>
      </c>
      <c r="B9455">
        <v>17</v>
      </c>
      <c r="C9455">
        <v>0</v>
      </c>
      <c r="D9455">
        <v>20</v>
      </c>
      <c r="E9455">
        <f t="shared" si="147"/>
        <v>6.6054160527531371E-26</v>
      </c>
    </row>
    <row r="9456" spans="1:5" x14ac:dyDescent="0.25">
      <c r="A9456">
        <v>11</v>
      </c>
      <c r="B9456">
        <v>17</v>
      </c>
      <c r="C9456">
        <v>1</v>
      </c>
      <c r="D9456">
        <v>19</v>
      </c>
      <c r="E9456">
        <f t="shared" si="147"/>
        <v>1.4311734780965129E-23</v>
      </c>
    </row>
    <row r="9457" spans="1:5" x14ac:dyDescent="0.25">
      <c r="A9457">
        <v>11</v>
      </c>
      <c r="B9457">
        <v>17</v>
      </c>
      <c r="C9457">
        <v>2</v>
      </c>
      <c r="D9457">
        <v>18</v>
      </c>
      <c r="E9457">
        <f t="shared" si="147"/>
        <v>1.2430763924038288E-21</v>
      </c>
    </row>
    <row r="9458" spans="1:5" x14ac:dyDescent="0.25">
      <c r="A9458">
        <v>11</v>
      </c>
      <c r="B9458">
        <v>17</v>
      </c>
      <c r="C9458">
        <v>3</v>
      </c>
      <c r="D9458">
        <v>17</v>
      </c>
      <c r="E9458">
        <f t="shared" si="147"/>
        <v>5.8735359541080905E-20</v>
      </c>
    </row>
    <row r="9459" spans="1:5" x14ac:dyDescent="0.25">
      <c r="A9459">
        <v>11</v>
      </c>
      <c r="B9459">
        <v>17</v>
      </c>
      <c r="C9459">
        <v>4</v>
      </c>
      <c r="D9459">
        <v>16</v>
      </c>
      <c r="E9459">
        <f t="shared" si="147"/>
        <v>1.7196408043416466E-18</v>
      </c>
    </row>
    <row r="9460" spans="1:5" x14ac:dyDescent="0.25">
      <c r="A9460">
        <v>11</v>
      </c>
      <c r="B9460">
        <v>17</v>
      </c>
      <c r="C9460">
        <v>5</v>
      </c>
      <c r="D9460">
        <v>15</v>
      </c>
      <c r="E9460">
        <f t="shared" si="147"/>
        <v>3.3567388500748936E-17</v>
      </c>
    </row>
    <row r="9461" spans="1:5" x14ac:dyDescent="0.25">
      <c r="A9461">
        <v>11</v>
      </c>
      <c r="B9461">
        <v>17</v>
      </c>
      <c r="C9461">
        <v>6</v>
      </c>
      <c r="D9461">
        <v>14</v>
      </c>
      <c r="E9461">
        <f t="shared" si="147"/>
        <v>4.5773711591930374E-16</v>
      </c>
    </row>
    <row r="9462" spans="1:5" x14ac:dyDescent="0.25">
      <c r="A9462">
        <v>11</v>
      </c>
      <c r="B9462">
        <v>17</v>
      </c>
      <c r="C9462">
        <v>7</v>
      </c>
      <c r="D9462">
        <v>13</v>
      </c>
      <c r="E9462">
        <f t="shared" si="147"/>
        <v>4.5010816398731534E-15</v>
      </c>
    </row>
    <row r="9463" spans="1:5" x14ac:dyDescent="0.25">
      <c r="A9463">
        <v>11</v>
      </c>
      <c r="B9463">
        <v>17</v>
      </c>
      <c r="C9463">
        <v>8</v>
      </c>
      <c r="D9463">
        <v>12</v>
      </c>
      <c r="E9463">
        <f t="shared" si="147"/>
        <v>3.2632841889080371E-14</v>
      </c>
    </row>
    <row r="9464" spans="1:5" x14ac:dyDescent="0.25">
      <c r="A9464">
        <v>11</v>
      </c>
      <c r="B9464">
        <v>17</v>
      </c>
      <c r="C9464">
        <v>9</v>
      </c>
      <c r="D9464">
        <v>11</v>
      </c>
      <c r="E9464">
        <f t="shared" si="147"/>
        <v>1.7714971311215053E-13</v>
      </c>
    </row>
    <row r="9465" spans="1:5" x14ac:dyDescent="0.25">
      <c r="A9465">
        <v>11</v>
      </c>
      <c r="B9465">
        <v>17</v>
      </c>
      <c r="C9465">
        <v>10</v>
      </c>
      <c r="D9465">
        <v>10</v>
      </c>
      <c r="E9465">
        <f t="shared" si="147"/>
        <v>7.2749482184723151E-13</v>
      </c>
    </row>
    <row r="9466" spans="1:5" x14ac:dyDescent="0.25">
      <c r="A9466">
        <v>11</v>
      </c>
      <c r="B9466">
        <v>17</v>
      </c>
      <c r="C9466">
        <v>11</v>
      </c>
      <c r="D9466">
        <v>9</v>
      </c>
      <c r="E9466">
        <f t="shared" si="147"/>
        <v>2.2734213182725988E-12</v>
      </c>
    </row>
    <row r="9467" spans="1:5" x14ac:dyDescent="0.25">
      <c r="A9467">
        <v>11</v>
      </c>
      <c r="B9467">
        <v>17</v>
      </c>
      <c r="C9467">
        <v>12</v>
      </c>
      <c r="D9467">
        <v>8</v>
      </c>
      <c r="E9467">
        <f t="shared" si="147"/>
        <v>5.4160919641200111E-12</v>
      </c>
    </row>
    <row r="9468" spans="1:5" x14ac:dyDescent="0.25">
      <c r="A9468">
        <v>11</v>
      </c>
      <c r="B9468">
        <v>17</v>
      </c>
      <c r="C9468">
        <v>13</v>
      </c>
      <c r="D9468">
        <v>7</v>
      </c>
      <c r="E9468">
        <f t="shared" si="147"/>
        <v>9.8137734734482359E-12</v>
      </c>
    </row>
    <row r="9469" spans="1:5" x14ac:dyDescent="0.25">
      <c r="A9469">
        <v>11</v>
      </c>
      <c r="B9469">
        <v>17</v>
      </c>
      <c r="C9469">
        <v>14</v>
      </c>
      <c r="D9469">
        <v>6</v>
      </c>
      <c r="E9469">
        <f t="shared" si="147"/>
        <v>1.3429374226823897E-11</v>
      </c>
    </row>
    <row r="9470" spans="1:5" x14ac:dyDescent="0.25">
      <c r="A9470">
        <v>11</v>
      </c>
      <c r="B9470">
        <v>17</v>
      </c>
      <c r="C9470">
        <v>15</v>
      </c>
      <c r="D9470">
        <v>5</v>
      </c>
      <c r="E9470">
        <f t="shared" si="147"/>
        <v>1.3697961711360367E-11</v>
      </c>
    </row>
    <row r="9471" spans="1:5" x14ac:dyDescent="0.25">
      <c r="A9471">
        <v>11</v>
      </c>
      <c r="B9471">
        <v>17</v>
      </c>
      <c r="C9471">
        <v>16</v>
      </c>
      <c r="D9471">
        <v>4</v>
      </c>
      <c r="E9471">
        <f t="shared" si="147"/>
        <v>1.0191935797143135E-11</v>
      </c>
    </row>
    <row r="9472" spans="1:5" x14ac:dyDescent="0.25">
      <c r="A9472">
        <v>11</v>
      </c>
      <c r="B9472">
        <v>17</v>
      </c>
      <c r="C9472">
        <v>17</v>
      </c>
      <c r="D9472">
        <v>3</v>
      </c>
      <c r="E9472">
        <f t="shared" si="147"/>
        <v>5.3412283856685968E-12</v>
      </c>
    </row>
    <row r="9473" spans="1:5" x14ac:dyDescent="0.25">
      <c r="A9473">
        <v>11</v>
      </c>
      <c r="B9473">
        <v>17</v>
      </c>
      <c r="C9473">
        <v>18</v>
      </c>
      <c r="D9473">
        <v>2</v>
      </c>
      <c r="E9473">
        <f t="shared" si="147"/>
        <v>1.8578185689282058E-12</v>
      </c>
    </row>
    <row r="9474" spans="1:5" x14ac:dyDescent="0.25">
      <c r="A9474">
        <v>11</v>
      </c>
      <c r="B9474">
        <v>17</v>
      </c>
      <c r="C9474">
        <v>19</v>
      </c>
      <c r="D9474">
        <v>1</v>
      </c>
      <c r="E9474">
        <f t="shared" si="147"/>
        <v>3.8297137166502509E-13</v>
      </c>
    </row>
    <row r="9475" spans="1:5" x14ac:dyDescent="0.25">
      <c r="A9475">
        <v>11</v>
      </c>
      <c r="B9475">
        <v>17</v>
      </c>
      <c r="C9475">
        <v>20</v>
      </c>
      <c r="D9475">
        <v>0</v>
      </c>
      <c r="E9475">
        <f t="shared" si="147"/>
        <v>3.5233366193182334E-14</v>
      </c>
    </row>
    <row r="9476" spans="1:5" x14ac:dyDescent="0.25">
      <c r="A9476">
        <v>11</v>
      </c>
      <c r="B9476">
        <v>18</v>
      </c>
      <c r="C9476">
        <v>0</v>
      </c>
      <c r="D9476">
        <v>19</v>
      </c>
      <c r="E9476">
        <f t="shared" si="147"/>
        <v>3.3271725302756538E-24</v>
      </c>
    </row>
    <row r="9477" spans="1:5" x14ac:dyDescent="0.25">
      <c r="A9477">
        <v>11</v>
      </c>
      <c r="B9477">
        <v>18</v>
      </c>
      <c r="C9477">
        <v>1</v>
      </c>
      <c r="D9477">
        <v>18</v>
      </c>
      <c r="E9477">
        <f t="shared" si="147"/>
        <v>5.8700829641291908E-22</v>
      </c>
    </row>
    <row r="9478" spans="1:5" x14ac:dyDescent="0.25">
      <c r="A9478">
        <v>11</v>
      </c>
      <c r="B9478">
        <v>18</v>
      </c>
      <c r="C9478">
        <v>2</v>
      </c>
      <c r="D9478">
        <v>17</v>
      </c>
      <c r="E9478">
        <f t="shared" si="147"/>
        <v>4.2264597341730166E-20</v>
      </c>
    </row>
    <row r="9479" spans="1:5" x14ac:dyDescent="0.25">
      <c r="A9479">
        <v>11</v>
      </c>
      <c r="B9479">
        <v>18</v>
      </c>
      <c r="C9479">
        <v>3</v>
      </c>
      <c r="D9479">
        <v>16</v>
      </c>
      <c r="E9479">
        <f t="shared" si="147"/>
        <v>1.6764956945552965E-18</v>
      </c>
    </row>
    <row r="9480" spans="1:5" x14ac:dyDescent="0.25">
      <c r="A9480">
        <v>11</v>
      </c>
      <c r="B9480">
        <v>18</v>
      </c>
      <c r="C9480">
        <v>4</v>
      </c>
      <c r="D9480">
        <v>15</v>
      </c>
      <c r="E9480">
        <f t="shared" si="147"/>
        <v>4.1577093224971352E-17</v>
      </c>
    </row>
    <row r="9481" spans="1:5" x14ac:dyDescent="0.25">
      <c r="A9481">
        <v>11</v>
      </c>
      <c r="B9481">
        <v>18</v>
      </c>
      <c r="C9481">
        <v>5</v>
      </c>
      <c r="D9481">
        <v>14</v>
      </c>
      <c r="E9481">
        <f t="shared" si="147"/>
        <v>6.9169164183361449E-16</v>
      </c>
    </row>
    <row r="9482" spans="1:5" x14ac:dyDescent="0.25">
      <c r="A9482">
        <v>11</v>
      </c>
      <c r="B9482">
        <v>18</v>
      </c>
      <c r="C9482">
        <v>6</v>
      </c>
      <c r="D9482">
        <v>13</v>
      </c>
      <c r="E9482">
        <f t="shared" si="147"/>
        <v>8.0697358213921699E-15</v>
      </c>
    </row>
    <row r="9483" spans="1:5" x14ac:dyDescent="0.25">
      <c r="A9483">
        <v>11</v>
      </c>
      <c r="B9483">
        <v>18</v>
      </c>
      <c r="C9483">
        <v>7</v>
      </c>
      <c r="D9483">
        <v>12</v>
      </c>
      <c r="E9483">
        <f t="shared" si="147"/>
        <v>6.8016344780305424E-14</v>
      </c>
    </row>
    <row r="9484" spans="1:5" x14ac:dyDescent="0.25">
      <c r="A9484">
        <v>11</v>
      </c>
      <c r="B9484">
        <v>18</v>
      </c>
      <c r="C9484">
        <v>8</v>
      </c>
      <c r="D9484">
        <v>11</v>
      </c>
      <c r="E9484">
        <f t="shared" si="147"/>
        <v>4.2267299970618374E-13</v>
      </c>
    </row>
    <row r="9485" spans="1:5" x14ac:dyDescent="0.25">
      <c r="A9485">
        <v>11</v>
      </c>
      <c r="B9485">
        <v>18</v>
      </c>
      <c r="C9485">
        <v>9</v>
      </c>
      <c r="D9485">
        <v>10</v>
      </c>
      <c r="E9485">
        <f t="shared" si="147"/>
        <v>1.9630812653020526E-12</v>
      </c>
    </row>
    <row r="9486" spans="1:5" x14ac:dyDescent="0.25">
      <c r="A9486">
        <v>11</v>
      </c>
      <c r="B9486">
        <v>18</v>
      </c>
      <c r="C9486">
        <v>10</v>
      </c>
      <c r="D9486">
        <v>9</v>
      </c>
      <c r="E9486">
        <f t="shared" ref="E9486:E9549" si="148">COMBIN(A$4,A9486)*COMBIN(B$4,B9486)*COMBIN(C$4,C9486)*COMBIN(D$4,D9486)/COMBIN($G$4,$F$4)</f>
        <v>6.8707844285571861E-12</v>
      </c>
    </row>
    <row r="9487" spans="1:5" x14ac:dyDescent="0.25">
      <c r="A9487">
        <v>11</v>
      </c>
      <c r="B9487">
        <v>18</v>
      </c>
      <c r="C9487">
        <v>11</v>
      </c>
      <c r="D9487">
        <v>8</v>
      </c>
      <c r="E9487">
        <f t="shared" si="148"/>
        <v>1.8187370546180787E-11</v>
      </c>
    </row>
    <row r="9488" spans="1:5" x14ac:dyDescent="0.25">
      <c r="A9488">
        <v>11</v>
      </c>
      <c r="B9488">
        <v>18</v>
      </c>
      <c r="C9488">
        <v>12</v>
      </c>
      <c r="D9488">
        <v>7</v>
      </c>
      <c r="E9488">
        <f t="shared" si="148"/>
        <v>3.6374741092361562E-11</v>
      </c>
    </row>
    <row r="9489" spans="1:5" x14ac:dyDescent="0.25">
      <c r="A9489">
        <v>11</v>
      </c>
      <c r="B9489">
        <v>18</v>
      </c>
      <c r="C9489">
        <v>13</v>
      </c>
      <c r="D9489">
        <v>6</v>
      </c>
      <c r="E9489">
        <f t="shared" si="148"/>
        <v>5.4635744717676689E-11</v>
      </c>
    </row>
    <row r="9490" spans="1:5" x14ac:dyDescent="0.25">
      <c r="A9490">
        <v>11</v>
      </c>
      <c r="B9490">
        <v>18</v>
      </c>
      <c r="C9490">
        <v>14</v>
      </c>
      <c r="D9490">
        <v>5</v>
      </c>
      <c r="E9490">
        <f t="shared" si="148"/>
        <v>6.0879829828268315E-11</v>
      </c>
    </row>
    <row r="9491" spans="1:5" x14ac:dyDescent="0.25">
      <c r="A9491">
        <v>11</v>
      </c>
      <c r="B9491">
        <v>18</v>
      </c>
      <c r="C9491">
        <v>15</v>
      </c>
      <c r="D9491">
        <v>4</v>
      </c>
      <c r="E9491">
        <f t="shared" si="148"/>
        <v>4.9283671765741013E-11</v>
      </c>
    </row>
    <row r="9492" spans="1:5" x14ac:dyDescent="0.25">
      <c r="A9492">
        <v>11</v>
      </c>
      <c r="B9492">
        <v>18</v>
      </c>
      <c r="C9492">
        <v>16</v>
      </c>
      <c r="D9492">
        <v>3</v>
      </c>
      <c r="E9492">
        <f t="shared" si="148"/>
        <v>2.8002086230534667E-11</v>
      </c>
    </row>
    <row r="9493" spans="1:5" x14ac:dyDescent="0.25">
      <c r="A9493">
        <v>11</v>
      </c>
      <c r="B9493">
        <v>18</v>
      </c>
      <c r="C9493">
        <v>17</v>
      </c>
      <c r="D9493">
        <v>2</v>
      </c>
      <c r="E9493">
        <f t="shared" si="148"/>
        <v>1.0527638557259843E-11</v>
      </c>
    </row>
    <row r="9494" spans="1:5" x14ac:dyDescent="0.25">
      <c r="A9494">
        <v>11</v>
      </c>
      <c r="B9494">
        <v>18</v>
      </c>
      <c r="C9494">
        <v>18</v>
      </c>
      <c r="D9494">
        <v>1</v>
      </c>
      <c r="E9494">
        <f t="shared" si="148"/>
        <v>2.3394752349466293E-12</v>
      </c>
    </row>
    <row r="9495" spans="1:5" x14ac:dyDescent="0.25">
      <c r="A9495">
        <v>11</v>
      </c>
      <c r="B9495">
        <v>18</v>
      </c>
      <c r="C9495">
        <v>19</v>
      </c>
      <c r="D9495">
        <v>0</v>
      </c>
      <c r="E9495">
        <f t="shared" si="148"/>
        <v>2.3148491798419292E-13</v>
      </c>
    </row>
    <row r="9496" spans="1:5" x14ac:dyDescent="0.25">
      <c r="A9496">
        <v>11</v>
      </c>
      <c r="B9496">
        <v>19</v>
      </c>
      <c r="C9496">
        <v>0</v>
      </c>
      <c r="D9496">
        <v>18</v>
      </c>
      <c r="E9496">
        <f t="shared" si="148"/>
        <v>1.2880910795781462E-22</v>
      </c>
    </row>
    <row r="9497" spans="1:5" x14ac:dyDescent="0.25">
      <c r="A9497">
        <v>11</v>
      </c>
      <c r="B9497">
        <v>19</v>
      </c>
      <c r="C9497">
        <v>1</v>
      </c>
      <c r="D9497">
        <v>17</v>
      </c>
      <c r="E9497">
        <f t="shared" si="148"/>
        <v>1.8838332038830385E-20</v>
      </c>
    </row>
    <row r="9498" spans="1:5" x14ac:dyDescent="0.25">
      <c r="A9498">
        <v>11</v>
      </c>
      <c r="B9498">
        <v>19</v>
      </c>
      <c r="C9498">
        <v>2</v>
      </c>
      <c r="D9498">
        <v>16</v>
      </c>
      <c r="E9498">
        <f t="shared" si="148"/>
        <v>1.138672514347081E-18</v>
      </c>
    </row>
    <row r="9499" spans="1:5" x14ac:dyDescent="0.25">
      <c r="A9499">
        <v>11</v>
      </c>
      <c r="B9499">
        <v>19</v>
      </c>
      <c r="C9499">
        <v>3</v>
      </c>
      <c r="D9499">
        <v>15</v>
      </c>
      <c r="E9499">
        <f t="shared" si="148"/>
        <v>3.8259396482061908E-17</v>
      </c>
    </row>
    <row r="9500" spans="1:5" x14ac:dyDescent="0.25">
      <c r="A9500">
        <v>11</v>
      </c>
      <c r="B9500">
        <v>19</v>
      </c>
      <c r="C9500">
        <v>4</v>
      </c>
      <c r="D9500">
        <v>14</v>
      </c>
      <c r="E9500">
        <f t="shared" si="148"/>
        <v>8.0866451655267241E-16</v>
      </c>
    </row>
    <row r="9501" spans="1:5" x14ac:dyDescent="0.25">
      <c r="A9501">
        <v>11</v>
      </c>
      <c r="B9501">
        <v>19</v>
      </c>
      <c r="C9501">
        <v>5</v>
      </c>
      <c r="D9501">
        <v>13</v>
      </c>
      <c r="E9501">
        <f t="shared" si="148"/>
        <v>1.150999161893304E-14</v>
      </c>
    </row>
    <row r="9502" spans="1:5" x14ac:dyDescent="0.25">
      <c r="A9502">
        <v>11</v>
      </c>
      <c r="B9502">
        <v>19</v>
      </c>
      <c r="C9502">
        <v>6</v>
      </c>
      <c r="D9502">
        <v>12</v>
      </c>
      <c r="E9502">
        <f t="shared" si="148"/>
        <v>1.1509991618933038E-13</v>
      </c>
    </row>
    <row r="9503" spans="1:5" x14ac:dyDescent="0.25">
      <c r="A9503">
        <v>11</v>
      </c>
      <c r="B9503">
        <v>19</v>
      </c>
      <c r="C9503">
        <v>7</v>
      </c>
      <c r="D9503">
        <v>11</v>
      </c>
      <c r="E9503">
        <f t="shared" si="148"/>
        <v>8.3153817002087664E-13</v>
      </c>
    </row>
    <row r="9504" spans="1:5" x14ac:dyDescent="0.25">
      <c r="A9504">
        <v>11</v>
      </c>
      <c r="B9504">
        <v>19</v>
      </c>
      <c r="C9504">
        <v>8</v>
      </c>
      <c r="D9504">
        <v>10</v>
      </c>
      <c r="E9504">
        <f t="shared" si="148"/>
        <v>4.4210112706109933E-12</v>
      </c>
    </row>
    <row r="9505" spans="1:5" x14ac:dyDescent="0.25">
      <c r="A9505">
        <v>11</v>
      </c>
      <c r="B9505">
        <v>19</v>
      </c>
      <c r="C9505">
        <v>9</v>
      </c>
      <c r="D9505">
        <v>9</v>
      </c>
      <c r="E9505">
        <f t="shared" si="148"/>
        <v>1.7499836279501847E-11</v>
      </c>
    </row>
    <row r="9506" spans="1:5" x14ac:dyDescent="0.25">
      <c r="A9506">
        <v>11</v>
      </c>
      <c r="B9506">
        <v>19</v>
      </c>
      <c r="C9506">
        <v>10</v>
      </c>
      <c r="D9506">
        <v>8</v>
      </c>
      <c r="E9506">
        <f t="shared" si="148"/>
        <v>5.1881867558052558E-11</v>
      </c>
    </row>
    <row r="9507" spans="1:5" x14ac:dyDescent="0.25">
      <c r="A9507">
        <v>11</v>
      </c>
      <c r="B9507">
        <v>19</v>
      </c>
      <c r="C9507">
        <v>11</v>
      </c>
      <c r="D9507">
        <v>7</v>
      </c>
      <c r="E9507">
        <f t="shared" si="148"/>
        <v>1.152930390178946E-10</v>
      </c>
    </row>
    <row r="9508" spans="1:5" x14ac:dyDescent="0.25">
      <c r="A9508">
        <v>11</v>
      </c>
      <c r="B9508">
        <v>19</v>
      </c>
      <c r="C9508">
        <v>12</v>
      </c>
      <c r="D9508">
        <v>6</v>
      </c>
      <c r="E9508">
        <f t="shared" si="148"/>
        <v>1.9114372258229872E-10</v>
      </c>
    </row>
    <row r="9509" spans="1:5" x14ac:dyDescent="0.25">
      <c r="A9509">
        <v>11</v>
      </c>
      <c r="B9509">
        <v>19</v>
      </c>
      <c r="C9509">
        <v>13</v>
      </c>
      <c r="D9509">
        <v>5</v>
      </c>
      <c r="E9509">
        <f t="shared" si="148"/>
        <v>2.33783476081427E-10</v>
      </c>
    </row>
    <row r="9510" spans="1:5" x14ac:dyDescent="0.25">
      <c r="A9510">
        <v>11</v>
      </c>
      <c r="B9510">
        <v>19</v>
      </c>
      <c r="C9510">
        <v>14</v>
      </c>
      <c r="D9510">
        <v>4</v>
      </c>
      <c r="E9510">
        <f t="shared" si="148"/>
        <v>2.0674729177269066E-10</v>
      </c>
    </row>
    <row r="9511" spans="1:5" x14ac:dyDescent="0.25">
      <c r="A9511">
        <v>11</v>
      </c>
      <c r="B9511">
        <v>19</v>
      </c>
      <c r="C9511">
        <v>15</v>
      </c>
      <c r="D9511">
        <v>3</v>
      </c>
      <c r="E9511">
        <f t="shared" si="148"/>
        <v>1.278074167322087E-10</v>
      </c>
    </row>
    <row r="9512" spans="1:5" x14ac:dyDescent="0.25">
      <c r="A9512">
        <v>11</v>
      </c>
      <c r="B9512">
        <v>19</v>
      </c>
      <c r="C9512">
        <v>16</v>
      </c>
      <c r="D9512">
        <v>2</v>
      </c>
      <c r="E9512">
        <f t="shared" si="148"/>
        <v>5.2095414428889427E-11</v>
      </c>
    </row>
    <row r="9513" spans="1:5" x14ac:dyDescent="0.25">
      <c r="A9513">
        <v>11</v>
      </c>
      <c r="B9513">
        <v>19</v>
      </c>
      <c r="C9513">
        <v>17</v>
      </c>
      <c r="D9513">
        <v>1</v>
      </c>
      <c r="E9513">
        <f t="shared" si="148"/>
        <v>1.2513114250076387E-11</v>
      </c>
    </row>
    <row r="9514" spans="1:5" x14ac:dyDescent="0.25">
      <c r="A9514">
        <v>11</v>
      </c>
      <c r="B9514">
        <v>19</v>
      </c>
      <c r="C9514">
        <v>18</v>
      </c>
      <c r="D9514">
        <v>0</v>
      </c>
      <c r="E9514">
        <f t="shared" si="148"/>
        <v>1.3347321866748136E-12</v>
      </c>
    </row>
    <row r="9515" spans="1:5" x14ac:dyDescent="0.25">
      <c r="A9515">
        <v>11</v>
      </c>
      <c r="B9515">
        <v>20</v>
      </c>
      <c r="C9515">
        <v>0</v>
      </c>
      <c r="D9515">
        <v>17</v>
      </c>
      <c r="E9515">
        <f t="shared" si="148"/>
        <v>3.9125766542186184E-21</v>
      </c>
    </row>
    <row r="9516" spans="1:5" x14ac:dyDescent="0.25">
      <c r="A9516">
        <v>11</v>
      </c>
      <c r="B9516">
        <v>20</v>
      </c>
      <c r="C9516">
        <v>1</v>
      </c>
      <c r="D9516">
        <v>16</v>
      </c>
      <c r="E9516">
        <f t="shared" si="148"/>
        <v>4.8037746699017481E-19</v>
      </c>
    </row>
    <row r="9517" spans="1:5" x14ac:dyDescent="0.25">
      <c r="A9517">
        <v>11</v>
      </c>
      <c r="B9517">
        <v>20</v>
      </c>
      <c r="C9517">
        <v>2</v>
      </c>
      <c r="D9517">
        <v>15</v>
      </c>
      <c r="E9517">
        <f t="shared" si="148"/>
        <v>2.4595326309896947E-17</v>
      </c>
    </row>
    <row r="9518" spans="1:5" x14ac:dyDescent="0.25">
      <c r="A9518">
        <v>11</v>
      </c>
      <c r="B9518">
        <v>20</v>
      </c>
      <c r="C9518">
        <v>3</v>
      </c>
      <c r="D9518">
        <v>14</v>
      </c>
      <c r="E9518">
        <f t="shared" si="148"/>
        <v>7.0432070796523086E-16</v>
      </c>
    </row>
    <row r="9519" spans="1:5" x14ac:dyDescent="0.25">
      <c r="A9519">
        <v>11</v>
      </c>
      <c r="B9519">
        <v>20</v>
      </c>
      <c r="C9519">
        <v>4</v>
      </c>
      <c r="D9519">
        <v>13</v>
      </c>
      <c r="E9519">
        <f t="shared" si="148"/>
        <v>1.2736466135704592E-14</v>
      </c>
    </row>
    <row r="9520" spans="1:5" x14ac:dyDescent="0.25">
      <c r="A9520">
        <v>11</v>
      </c>
      <c r="B9520">
        <v>20</v>
      </c>
      <c r="C9520">
        <v>5</v>
      </c>
      <c r="D9520">
        <v>12</v>
      </c>
      <c r="E9520">
        <f t="shared" si="148"/>
        <v>1.5538488685559602E-13</v>
      </c>
    </row>
    <row r="9521" spans="1:5" x14ac:dyDescent="0.25">
      <c r="A9521">
        <v>11</v>
      </c>
      <c r="B9521">
        <v>20</v>
      </c>
      <c r="C9521">
        <v>6</v>
      </c>
      <c r="D9521">
        <v>11</v>
      </c>
      <c r="E9521">
        <f t="shared" si="148"/>
        <v>1.3318704587622516E-12</v>
      </c>
    </row>
    <row r="9522" spans="1:5" x14ac:dyDescent="0.25">
      <c r="A9522">
        <v>11</v>
      </c>
      <c r="B9522">
        <v>20</v>
      </c>
      <c r="C9522">
        <v>7</v>
      </c>
      <c r="D9522">
        <v>10</v>
      </c>
      <c r="E9522">
        <f t="shared" si="148"/>
        <v>8.2322278832066765E-12</v>
      </c>
    </row>
    <row r="9523" spans="1:5" x14ac:dyDescent="0.25">
      <c r="A9523">
        <v>11</v>
      </c>
      <c r="B9523">
        <v>20</v>
      </c>
      <c r="C9523">
        <v>8</v>
      </c>
      <c r="D9523">
        <v>9</v>
      </c>
      <c r="E9523">
        <f t="shared" si="148"/>
        <v>3.730228259578027E-11</v>
      </c>
    </row>
    <row r="9524" spans="1:5" x14ac:dyDescent="0.25">
      <c r="A9524">
        <v>11</v>
      </c>
      <c r="B9524">
        <v>20</v>
      </c>
      <c r="C9524">
        <v>9</v>
      </c>
      <c r="D9524">
        <v>8</v>
      </c>
      <c r="E9524">
        <f t="shared" si="148"/>
        <v>1.2507235929173382E-10</v>
      </c>
    </row>
    <row r="9525" spans="1:5" x14ac:dyDescent="0.25">
      <c r="A9525">
        <v>11</v>
      </c>
      <c r="B9525">
        <v>20</v>
      </c>
      <c r="C9525">
        <v>10</v>
      </c>
      <c r="D9525">
        <v>7</v>
      </c>
      <c r="E9525">
        <f t="shared" si="148"/>
        <v>3.1129120534831543E-10</v>
      </c>
    </row>
    <row r="9526" spans="1:5" x14ac:dyDescent="0.25">
      <c r="A9526">
        <v>11</v>
      </c>
      <c r="B9526">
        <v>20</v>
      </c>
      <c r="C9526">
        <v>11</v>
      </c>
      <c r="D9526">
        <v>6</v>
      </c>
      <c r="E9526">
        <f t="shared" si="148"/>
        <v>5.734311677468967E-10</v>
      </c>
    </row>
    <row r="9527" spans="1:5" x14ac:dyDescent="0.25">
      <c r="A9527">
        <v>11</v>
      </c>
      <c r="B9527">
        <v>20</v>
      </c>
      <c r="C9527">
        <v>12</v>
      </c>
      <c r="D9527">
        <v>5</v>
      </c>
      <c r="E9527">
        <f t="shared" si="148"/>
        <v>7.7413207645831005E-10</v>
      </c>
    </row>
    <row r="9528" spans="1:5" x14ac:dyDescent="0.25">
      <c r="A9528">
        <v>11</v>
      </c>
      <c r="B9528">
        <v>20</v>
      </c>
      <c r="C9528">
        <v>13</v>
      </c>
      <c r="D9528">
        <v>4</v>
      </c>
      <c r="E9528">
        <f t="shared" si="148"/>
        <v>7.5144688740458716E-10</v>
      </c>
    </row>
    <row r="9529" spans="1:5" x14ac:dyDescent="0.25">
      <c r="A9529">
        <v>11</v>
      </c>
      <c r="B9529">
        <v>20</v>
      </c>
      <c r="C9529">
        <v>14</v>
      </c>
      <c r="D9529">
        <v>3</v>
      </c>
      <c r="E9529">
        <f t="shared" si="148"/>
        <v>5.0747062526024074E-10</v>
      </c>
    </row>
    <row r="9530" spans="1:5" x14ac:dyDescent="0.25">
      <c r="A9530">
        <v>11</v>
      </c>
      <c r="B9530">
        <v>20</v>
      </c>
      <c r="C9530">
        <v>15</v>
      </c>
      <c r="D9530">
        <v>2</v>
      </c>
      <c r="E9530">
        <f t="shared" si="148"/>
        <v>2.2505219033280226E-10</v>
      </c>
    </row>
    <row r="9531" spans="1:5" x14ac:dyDescent="0.25">
      <c r="A9531">
        <v>11</v>
      </c>
      <c r="B9531">
        <v>20</v>
      </c>
      <c r="C9531">
        <v>16</v>
      </c>
      <c r="D9531">
        <v>1</v>
      </c>
      <c r="E9531">
        <f t="shared" si="148"/>
        <v>5.8607341232500594E-11</v>
      </c>
    </row>
    <row r="9532" spans="1:5" x14ac:dyDescent="0.25">
      <c r="A9532">
        <v>11</v>
      </c>
      <c r="B9532">
        <v>20</v>
      </c>
      <c r="C9532">
        <v>17</v>
      </c>
      <c r="D9532">
        <v>0</v>
      </c>
      <c r="E9532">
        <f t="shared" si="148"/>
        <v>6.75708169504125E-12</v>
      </c>
    </row>
    <row r="9533" spans="1:5" x14ac:dyDescent="0.25">
      <c r="A9533">
        <v>11</v>
      </c>
      <c r="B9533">
        <v>21</v>
      </c>
      <c r="C9533">
        <v>0</v>
      </c>
      <c r="D9533">
        <v>16</v>
      </c>
      <c r="E9533">
        <f t="shared" si="148"/>
        <v>9.4667793861067443E-20</v>
      </c>
    </row>
    <row r="9534" spans="1:5" x14ac:dyDescent="0.25">
      <c r="A9534">
        <v>11</v>
      </c>
      <c r="B9534">
        <v>21</v>
      </c>
      <c r="C9534">
        <v>1</v>
      </c>
      <c r="D9534">
        <v>15</v>
      </c>
      <c r="E9534">
        <f t="shared" si="148"/>
        <v>9.8454505615510131E-18</v>
      </c>
    </row>
    <row r="9535" spans="1:5" x14ac:dyDescent="0.25">
      <c r="A9535">
        <v>11</v>
      </c>
      <c r="B9535">
        <v>21</v>
      </c>
      <c r="C9535">
        <v>2</v>
      </c>
      <c r="D9535">
        <v>14</v>
      </c>
      <c r="E9535">
        <f t="shared" si="148"/>
        <v>4.2961966086768061E-16</v>
      </c>
    </row>
    <row r="9536" spans="1:5" x14ac:dyDescent="0.25">
      <c r="A9536">
        <v>11</v>
      </c>
      <c r="B9536">
        <v>21</v>
      </c>
      <c r="C9536">
        <v>3</v>
      </c>
      <c r="D9536">
        <v>13</v>
      </c>
      <c r="E9536">
        <f t="shared" si="148"/>
        <v>1.0525681691258178E-14</v>
      </c>
    </row>
    <row r="9537" spans="1:5" x14ac:dyDescent="0.25">
      <c r="A9537">
        <v>11</v>
      </c>
      <c r="B9537">
        <v>21</v>
      </c>
      <c r="C9537">
        <v>4</v>
      </c>
      <c r="D9537">
        <v>12</v>
      </c>
      <c r="E9537">
        <f t="shared" si="148"/>
        <v>1.6314806621450173E-13</v>
      </c>
    </row>
    <row r="9538" spans="1:5" x14ac:dyDescent="0.25">
      <c r="A9538">
        <v>11</v>
      </c>
      <c r="B9538">
        <v>21</v>
      </c>
      <c r="C9538">
        <v>5</v>
      </c>
      <c r="D9538">
        <v>11</v>
      </c>
      <c r="E9538">
        <f t="shared" si="148"/>
        <v>1.7060626352716467E-12</v>
      </c>
    </row>
    <row r="9539" spans="1:5" x14ac:dyDescent="0.25">
      <c r="A9539">
        <v>11</v>
      </c>
      <c r="B9539">
        <v>21</v>
      </c>
      <c r="C9539">
        <v>6</v>
      </c>
      <c r="D9539">
        <v>10</v>
      </c>
      <c r="E9539">
        <f t="shared" si="148"/>
        <v>1.2511125991992072E-11</v>
      </c>
    </row>
    <row r="9540" spans="1:5" x14ac:dyDescent="0.25">
      <c r="A9540">
        <v>11</v>
      </c>
      <c r="B9540">
        <v>21</v>
      </c>
      <c r="C9540">
        <v>7</v>
      </c>
      <c r="D9540">
        <v>9</v>
      </c>
      <c r="E9540">
        <f t="shared" si="148"/>
        <v>6.59068244221011E-11</v>
      </c>
    </row>
    <row r="9541" spans="1:5" x14ac:dyDescent="0.25">
      <c r="A9541">
        <v>11</v>
      </c>
      <c r="B9541">
        <v>21</v>
      </c>
      <c r="C9541">
        <v>8</v>
      </c>
      <c r="D9541">
        <v>8</v>
      </c>
      <c r="E9541">
        <f t="shared" si="148"/>
        <v>2.529658996201234E-10</v>
      </c>
    </row>
    <row r="9542" spans="1:5" x14ac:dyDescent="0.25">
      <c r="A9542">
        <v>11</v>
      </c>
      <c r="B9542">
        <v>21</v>
      </c>
      <c r="C9542">
        <v>9</v>
      </c>
      <c r="D9542">
        <v>7</v>
      </c>
      <c r="E9542">
        <f t="shared" si="148"/>
        <v>7.1205216189368085E-10</v>
      </c>
    </row>
    <row r="9543" spans="1:5" x14ac:dyDescent="0.25">
      <c r="A9543">
        <v>11</v>
      </c>
      <c r="B9543">
        <v>21</v>
      </c>
      <c r="C9543">
        <v>10</v>
      </c>
      <c r="D9543">
        <v>6</v>
      </c>
      <c r="E9543">
        <f t="shared" si="148"/>
        <v>1.4690760392753832E-9</v>
      </c>
    </row>
    <row r="9544" spans="1:5" x14ac:dyDescent="0.25">
      <c r="A9544">
        <v>11</v>
      </c>
      <c r="B9544">
        <v>21</v>
      </c>
      <c r="C9544">
        <v>11</v>
      </c>
      <c r="D9544">
        <v>5</v>
      </c>
      <c r="E9544">
        <f t="shared" si="148"/>
        <v>2.2036140589130751E-9</v>
      </c>
    </row>
    <row r="9545" spans="1:5" x14ac:dyDescent="0.25">
      <c r="A9545">
        <v>11</v>
      </c>
      <c r="B9545">
        <v>21</v>
      </c>
      <c r="C9545">
        <v>12</v>
      </c>
      <c r="D9545">
        <v>4</v>
      </c>
      <c r="E9545">
        <f t="shared" si="148"/>
        <v>2.3610150631211507E-9</v>
      </c>
    </row>
    <row r="9546" spans="1:5" x14ac:dyDescent="0.25">
      <c r="A9546">
        <v>11</v>
      </c>
      <c r="B9546">
        <v>21</v>
      </c>
      <c r="C9546">
        <v>13</v>
      </c>
      <c r="D9546">
        <v>3</v>
      </c>
      <c r="E9546">
        <f t="shared" si="148"/>
        <v>1.7501230537821122E-9</v>
      </c>
    </row>
    <row r="9547" spans="1:5" x14ac:dyDescent="0.25">
      <c r="A9547">
        <v>11</v>
      </c>
      <c r="B9547">
        <v>21</v>
      </c>
      <c r="C9547">
        <v>14</v>
      </c>
      <c r="D9547">
        <v>2</v>
      </c>
      <c r="E9547">
        <f t="shared" si="148"/>
        <v>8.4788570307456388E-10</v>
      </c>
    </row>
    <row r="9548" spans="1:5" x14ac:dyDescent="0.25">
      <c r="A9548">
        <v>11</v>
      </c>
      <c r="B9548">
        <v>21</v>
      </c>
      <c r="C9548">
        <v>15</v>
      </c>
      <c r="D9548">
        <v>1</v>
      </c>
      <c r="E9548">
        <f t="shared" si="148"/>
        <v>2.4023428253779301E-10</v>
      </c>
    </row>
    <row r="9549" spans="1:5" x14ac:dyDescent="0.25">
      <c r="A9549">
        <v>11</v>
      </c>
      <c r="B9549">
        <v>21</v>
      </c>
      <c r="C9549">
        <v>16</v>
      </c>
      <c r="D9549">
        <v>0</v>
      </c>
      <c r="E9549">
        <f t="shared" si="148"/>
        <v>3.0029285317224133E-11</v>
      </c>
    </row>
    <row r="9550" spans="1:5" x14ac:dyDescent="0.25">
      <c r="A9550">
        <v>11</v>
      </c>
      <c r="B9550">
        <v>22</v>
      </c>
      <c r="C9550">
        <v>0</v>
      </c>
      <c r="D9550">
        <v>15</v>
      </c>
      <c r="E9550">
        <f t="shared" ref="E9550:E9613" si="149">COMBIN(A$4,A9550)*COMBIN(B$4,B9550)*COMBIN(C$4,C9550)*COMBIN(D$4,D9550)/COMBIN($G$4,$F$4)</f>
        <v>1.8451613639829872E-18</v>
      </c>
    </row>
    <row r="9551" spans="1:5" x14ac:dyDescent="0.25">
      <c r="A9551">
        <v>11</v>
      </c>
      <c r="B9551">
        <v>22</v>
      </c>
      <c r="C9551">
        <v>1</v>
      </c>
      <c r="D9551">
        <v>14</v>
      </c>
      <c r="E9551">
        <f t="shared" si="149"/>
        <v>1.6354839362576477E-16</v>
      </c>
    </row>
    <row r="9552" spans="1:5" x14ac:dyDescent="0.25">
      <c r="A9552">
        <v>11</v>
      </c>
      <c r="B9552">
        <v>22</v>
      </c>
      <c r="C9552">
        <v>2</v>
      </c>
      <c r="D9552">
        <v>13</v>
      </c>
      <c r="E9552">
        <f t="shared" si="149"/>
        <v>6.1058066953618863E-15</v>
      </c>
    </row>
    <row r="9553" spans="1:5" x14ac:dyDescent="0.25">
      <c r="A9553">
        <v>11</v>
      </c>
      <c r="B9553">
        <v>22</v>
      </c>
      <c r="C9553">
        <v>3</v>
      </c>
      <c r="D9553">
        <v>12</v>
      </c>
      <c r="E9553">
        <f t="shared" si="149"/>
        <v>1.2822194060259962E-13</v>
      </c>
    </row>
    <row r="9554" spans="1:5" x14ac:dyDescent="0.25">
      <c r="A9554">
        <v>11</v>
      </c>
      <c r="B9554">
        <v>22</v>
      </c>
      <c r="C9554">
        <v>4</v>
      </c>
      <c r="D9554">
        <v>11</v>
      </c>
      <c r="E9554">
        <f t="shared" si="149"/>
        <v>1.703520068005966E-12</v>
      </c>
    </row>
    <row r="9555" spans="1:5" x14ac:dyDescent="0.25">
      <c r="A9555">
        <v>11</v>
      </c>
      <c r="B9555">
        <v>22</v>
      </c>
      <c r="C9555">
        <v>5</v>
      </c>
      <c r="D9555">
        <v>10</v>
      </c>
      <c r="E9555">
        <f t="shared" si="149"/>
        <v>1.5240826208426711E-11</v>
      </c>
    </row>
    <row r="9556" spans="1:5" x14ac:dyDescent="0.25">
      <c r="A9556">
        <v>11</v>
      </c>
      <c r="B9556">
        <v>22</v>
      </c>
      <c r="C9556">
        <v>6</v>
      </c>
      <c r="D9556">
        <v>9</v>
      </c>
      <c r="E9556">
        <f t="shared" si="149"/>
        <v>9.5255163802666943E-11</v>
      </c>
    </row>
    <row r="9557" spans="1:5" x14ac:dyDescent="0.25">
      <c r="A9557">
        <v>11</v>
      </c>
      <c r="B9557">
        <v>22</v>
      </c>
      <c r="C9557">
        <v>7</v>
      </c>
      <c r="D9557">
        <v>8</v>
      </c>
      <c r="E9557">
        <f t="shared" si="149"/>
        <v>4.2504615108584993E-10</v>
      </c>
    </row>
    <row r="9558" spans="1:5" x14ac:dyDescent="0.25">
      <c r="A9558">
        <v>11</v>
      </c>
      <c r="B9558">
        <v>22</v>
      </c>
      <c r="C9558">
        <v>8</v>
      </c>
      <c r="D9558">
        <v>7</v>
      </c>
      <c r="E9558">
        <f t="shared" si="149"/>
        <v>1.3695931534988505E-9</v>
      </c>
    </row>
    <row r="9559" spans="1:5" x14ac:dyDescent="0.25">
      <c r="A9559">
        <v>11</v>
      </c>
      <c r="B9559">
        <v>22</v>
      </c>
      <c r="C9559">
        <v>9</v>
      </c>
      <c r="D9559">
        <v>6</v>
      </c>
      <c r="E9559">
        <f t="shared" si="149"/>
        <v>3.1957173581639821E-9</v>
      </c>
    </row>
    <row r="9560" spans="1:5" x14ac:dyDescent="0.25">
      <c r="A9560">
        <v>11</v>
      </c>
      <c r="B9560">
        <v>22</v>
      </c>
      <c r="C9560">
        <v>10</v>
      </c>
      <c r="D9560">
        <v>5</v>
      </c>
      <c r="E9560">
        <f t="shared" si="149"/>
        <v>5.3688051617154913E-9</v>
      </c>
    </row>
    <row r="9561" spans="1:5" x14ac:dyDescent="0.25">
      <c r="A9561">
        <v>11</v>
      </c>
      <c r="B9561">
        <v>22</v>
      </c>
      <c r="C9561">
        <v>11</v>
      </c>
      <c r="D9561">
        <v>4</v>
      </c>
      <c r="E9561">
        <f t="shared" si="149"/>
        <v>6.3914347163279691E-9</v>
      </c>
    </row>
    <row r="9562" spans="1:5" x14ac:dyDescent="0.25">
      <c r="A9562">
        <v>11</v>
      </c>
      <c r="B9562">
        <v>22</v>
      </c>
      <c r="C9562">
        <v>12</v>
      </c>
      <c r="D9562">
        <v>3</v>
      </c>
      <c r="E9562">
        <f t="shared" si="149"/>
        <v>5.2293556769956052E-9</v>
      </c>
    </row>
    <row r="9563" spans="1:5" x14ac:dyDescent="0.25">
      <c r="A9563">
        <v>11</v>
      </c>
      <c r="B9563">
        <v>22</v>
      </c>
      <c r="C9563">
        <v>13</v>
      </c>
      <c r="D9563">
        <v>2</v>
      </c>
      <c r="E9563">
        <f t="shared" si="149"/>
        <v>2.7808279352585347E-9</v>
      </c>
    </row>
    <row r="9564" spans="1:5" x14ac:dyDescent="0.25">
      <c r="A9564">
        <v>11</v>
      </c>
      <c r="B9564">
        <v>22</v>
      </c>
      <c r="C9564">
        <v>14</v>
      </c>
      <c r="D9564">
        <v>1</v>
      </c>
      <c r="E9564">
        <f t="shared" si="149"/>
        <v>8.607324561514513E-10</v>
      </c>
    </row>
    <row r="9565" spans="1:5" x14ac:dyDescent="0.25">
      <c r="A9565">
        <v>11</v>
      </c>
      <c r="B9565">
        <v>22</v>
      </c>
      <c r="C9565">
        <v>15</v>
      </c>
      <c r="D9565">
        <v>0</v>
      </c>
      <c r="E9565">
        <f t="shared" si="149"/>
        <v>1.1705961403659732E-10</v>
      </c>
    </row>
    <row r="9566" spans="1:5" x14ac:dyDescent="0.25">
      <c r="A9566">
        <v>11</v>
      </c>
      <c r="B9566">
        <v>23</v>
      </c>
      <c r="C9566">
        <v>0</v>
      </c>
      <c r="D9566">
        <v>14</v>
      </c>
      <c r="E9566">
        <f t="shared" si="149"/>
        <v>2.9208977323129876E-17</v>
      </c>
    </row>
    <row r="9567" spans="1:5" x14ac:dyDescent="0.25">
      <c r="A9567">
        <v>11</v>
      </c>
      <c r="B9567">
        <v>23</v>
      </c>
      <c r="C9567">
        <v>1</v>
      </c>
      <c r="D9567">
        <v>13</v>
      </c>
      <c r="E9567">
        <f t="shared" si="149"/>
        <v>2.2150141136706827E-15</v>
      </c>
    </row>
    <row r="9568" spans="1:5" x14ac:dyDescent="0.25">
      <c r="A9568">
        <v>11</v>
      </c>
      <c r="B9568">
        <v>23</v>
      </c>
      <c r="C9568">
        <v>2</v>
      </c>
      <c r="D9568">
        <v>12</v>
      </c>
      <c r="E9568">
        <f t="shared" si="149"/>
        <v>7.0880451637461847E-14</v>
      </c>
    </row>
    <row r="9569" spans="1:5" x14ac:dyDescent="0.25">
      <c r="A9569">
        <v>11</v>
      </c>
      <c r="B9569">
        <v>23</v>
      </c>
      <c r="C9569">
        <v>3</v>
      </c>
      <c r="D9569">
        <v>11</v>
      </c>
      <c r="E9569">
        <f t="shared" si="149"/>
        <v>1.275848129474313E-12</v>
      </c>
    </row>
    <row r="9570" spans="1:5" x14ac:dyDescent="0.25">
      <c r="A9570">
        <v>11</v>
      </c>
      <c r="B9570">
        <v>23</v>
      </c>
      <c r="C9570">
        <v>4</v>
      </c>
      <c r="D9570">
        <v>10</v>
      </c>
      <c r="E9570">
        <f t="shared" si="149"/>
        <v>1.4502140405024689E-11</v>
      </c>
    </row>
    <row r="9571" spans="1:5" x14ac:dyDescent="0.25">
      <c r="A9571">
        <v>11</v>
      </c>
      <c r="B9571">
        <v>23</v>
      </c>
      <c r="C9571">
        <v>5</v>
      </c>
      <c r="D9571">
        <v>9</v>
      </c>
      <c r="E9571">
        <f t="shared" si="149"/>
        <v>1.1057882058831329E-10</v>
      </c>
    </row>
    <row r="9572" spans="1:5" x14ac:dyDescent="0.25">
      <c r="A9572">
        <v>11</v>
      </c>
      <c r="B9572">
        <v>23</v>
      </c>
      <c r="C9572">
        <v>6</v>
      </c>
      <c r="D9572">
        <v>8</v>
      </c>
      <c r="E9572">
        <f t="shared" si="149"/>
        <v>5.8541728546754082E-10</v>
      </c>
    </row>
    <row r="9573" spans="1:5" x14ac:dyDescent="0.25">
      <c r="A9573">
        <v>11</v>
      </c>
      <c r="B9573">
        <v>23</v>
      </c>
      <c r="C9573">
        <v>7</v>
      </c>
      <c r="D9573">
        <v>7</v>
      </c>
      <c r="E9573">
        <f t="shared" si="149"/>
        <v>2.1929917360371379E-9</v>
      </c>
    </row>
    <row r="9574" spans="1:5" x14ac:dyDescent="0.25">
      <c r="A9574">
        <v>11</v>
      </c>
      <c r="B9574">
        <v>23</v>
      </c>
      <c r="C9574">
        <v>8</v>
      </c>
      <c r="D9574">
        <v>6</v>
      </c>
      <c r="E9574">
        <f t="shared" si="149"/>
        <v>5.857596347572879E-9</v>
      </c>
    </row>
    <row r="9575" spans="1:5" x14ac:dyDescent="0.25">
      <c r="A9575">
        <v>11</v>
      </c>
      <c r="B9575">
        <v>23</v>
      </c>
      <c r="C9575">
        <v>9</v>
      </c>
      <c r="D9575">
        <v>5</v>
      </c>
      <c r="E9575">
        <f t="shared" si="149"/>
        <v>1.112943306038847E-8</v>
      </c>
    </row>
    <row r="9576" spans="1:5" x14ac:dyDescent="0.25">
      <c r="A9576">
        <v>11</v>
      </c>
      <c r="B9576">
        <v>23</v>
      </c>
      <c r="C9576">
        <v>10</v>
      </c>
      <c r="D9576">
        <v>4</v>
      </c>
      <c r="E9576">
        <f t="shared" si="149"/>
        <v>1.4839244080517967E-8</v>
      </c>
    </row>
    <row r="9577" spans="1:5" x14ac:dyDescent="0.25">
      <c r="A9577">
        <v>11</v>
      </c>
      <c r="B9577">
        <v>23</v>
      </c>
      <c r="C9577">
        <v>11</v>
      </c>
      <c r="D9577">
        <v>3</v>
      </c>
      <c r="E9577">
        <f t="shared" si="149"/>
        <v>1.3490221891379969E-8</v>
      </c>
    </row>
    <row r="9578" spans="1:5" x14ac:dyDescent="0.25">
      <c r="A9578">
        <v>11</v>
      </c>
      <c r="B9578">
        <v>23</v>
      </c>
      <c r="C9578">
        <v>12</v>
      </c>
      <c r="D9578">
        <v>2</v>
      </c>
      <c r="E9578">
        <f t="shared" si="149"/>
        <v>7.9181737188534555E-9</v>
      </c>
    </row>
    <row r="9579" spans="1:5" x14ac:dyDescent="0.25">
      <c r="A9579">
        <v>11</v>
      </c>
      <c r="B9579">
        <v>23</v>
      </c>
      <c r="C9579">
        <v>13</v>
      </c>
      <c r="D9579">
        <v>1</v>
      </c>
      <c r="E9579">
        <f t="shared" si="149"/>
        <v>2.6901487634566237E-9</v>
      </c>
    </row>
    <row r="9580" spans="1:5" x14ac:dyDescent="0.25">
      <c r="A9580">
        <v>11</v>
      </c>
      <c r="B9580">
        <v>23</v>
      </c>
      <c r="C9580">
        <v>14</v>
      </c>
      <c r="D9580">
        <v>0</v>
      </c>
      <c r="E9580">
        <f t="shared" si="149"/>
        <v>3.9967924485641272E-10</v>
      </c>
    </row>
    <row r="9581" spans="1:5" x14ac:dyDescent="0.25">
      <c r="A9581">
        <v>11</v>
      </c>
      <c r="B9581">
        <v>24</v>
      </c>
      <c r="C9581">
        <v>0</v>
      </c>
      <c r="D9581">
        <v>13</v>
      </c>
      <c r="E9581">
        <f t="shared" si="149"/>
        <v>3.7768830399769359E-16</v>
      </c>
    </row>
    <row r="9582" spans="1:5" x14ac:dyDescent="0.25">
      <c r="A9582">
        <v>11</v>
      </c>
      <c r="B9582">
        <v>24</v>
      </c>
      <c r="C9582">
        <v>1</v>
      </c>
      <c r="D9582">
        <v>12</v>
      </c>
      <c r="E9582">
        <f t="shared" si="149"/>
        <v>2.4549739759850081E-14</v>
      </c>
    </row>
    <row r="9583" spans="1:5" x14ac:dyDescent="0.25">
      <c r="A9583">
        <v>11</v>
      </c>
      <c r="B9583">
        <v>24</v>
      </c>
      <c r="C9583">
        <v>2</v>
      </c>
      <c r="D9583">
        <v>11</v>
      </c>
      <c r="E9583">
        <f t="shared" si="149"/>
        <v>6.7336429055588793E-13</v>
      </c>
    </row>
    <row r="9584" spans="1:5" x14ac:dyDescent="0.25">
      <c r="A9584">
        <v>11</v>
      </c>
      <c r="B9584">
        <v>24</v>
      </c>
      <c r="C9584">
        <v>3</v>
      </c>
      <c r="D9584">
        <v>10</v>
      </c>
      <c r="E9584">
        <f t="shared" si="149"/>
        <v>1.0369810074560672E-11</v>
      </c>
    </row>
    <row r="9585" spans="1:5" x14ac:dyDescent="0.25">
      <c r="A9585">
        <v>11</v>
      </c>
      <c r="B9585">
        <v>24</v>
      </c>
      <c r="C9585">
        <v>4</v>
      </c>
      <c r="D9585">
        <v>9</v>
      </c>
      <c r="E9585">
        <f t="shared" si="149"/>
        <v>1.0045753509730652E-10</v>
      </c>
    </row>
    <row r="9586" spans="1:5" x14ac:dyDescent="0.25">
      <c r="A9586">
        <v>11</v>
      </c>
      <c r="B9586">
        <v>24</v>
      </c>
      <c r="C9586">
        <v>5</v>
      </c>
      <c r="D9586">
        <v>8</v>
      </c>
      <c r="E9586">
        <f t="shared" si="149"/>
        <v>6.4883749139319155E-10</v>
      </c>
    </row>
    <row r="9587" spans="1:5" x14ac:dyDescent="0.25">
      <c r="A9587">
        <v>11</v>
      </c>
      <c r="B9587">
        <v>24</v>
      </c>
      <c r="C9587">
        <v>6</v>
      </c>
      <c r="D9587">
        <v>7</v>
      </c>
      <c r="E9587">
        <f t="shared" si="149"/>
        <v>2.8837221839697405E-9</v>
      </c>
    </row>
    <row r="9588" spans="1:5" x14ac:dyDescent="0.25">
      <c r="A9588">
        <v>11</v>
      </c>
      <c r="B9588">
        <v>24</v>
      </c>
      <c r="C9588">
        <v>7</v>
      </c>
      <c r="D9588">
        <v>6</v>
      </c>
      <c r="E9588">
        <f t="shared" si="149"/>
        <v>8.9547162554849812E-9</v>
      </c>
    </row>
    <row r="9589" spans="1:5" x14ac:dyDescent="0.25">
      <c r="A9589">
        <v>11</v>
      </c>
      <c r="B9589">
        <v>24</v>
      </c>
      <c r="C9589">
        <v>8</v>
      </c>
      <c r="D9589">
        <v>5</v>
      </c>
      <c r="E9589">
        <f t="shared" si="149"/>
        <v>1.9476507855679838E-8</v>
      </c>
    </row>
    <row r="9590" spans="1:5" x14ac:dyDescent="0.25">
      <c r="A9590">
        <v>11</v>
      </c>
      <c r="B9590">
        <v>24</v>
      </c>
      <c r="C9590">
        <v>9</v>
      </c>
      <c r="D9590">
        <v>4</v>
      </c>
      <c r="E9590">
        <f t="shared" si="149"/>
        <v>2.9369337242691819E-8</v>
      </c>
    </row>
    <row r="9591" spans="1:5" x14ac:dyDescent="0.25">
      <c r="A9591">
        <v>11</v>
      </c>
      <c r="B9591">
        <v>24</v>
      </c>
      <c r="C9591">
        <v>10</v>
      </c>
      <c r="D9591">
        <v>3</v>
      </c>
      <c r="E9591">
        <f t="shared" si="149"/>
        <v>2.9903325192558946E-8</v>
      </c>
    </row>
    <row r="9592" spans="1:5" x14ac:dyDescent="0.25">
      <c r="A9592">
        <v>11</v>
      </c>
      <c r="B9592">
        <v>24</v>
      </c>
      <c r="C9592">
        <v>11</v>
      </c>
      <c r="D9592">
        <v>2</v>
      </c>
      <c r="E9592">
        <f t="shared" si="149"/>
        <v>1.9502168603842792E-8</v>
      </c>
    </row>
    <row r="9593" spans="1:5" x14ac:dyDescent="0.25">
      <c r="A9593">
        <v>11</v>
      </c>
      <c r="B9593">
        <v>24</v>
      </c>
      <c r="C9593">
        <v>12</v>
      </c>
      <c r="D9593">
        <v>1</v>
      </c>
      <c r="E9593">
        <f t="shared" si="149"/>
        <v>7.313313226441043E-9</v>
      </c>
    </row>
    <row r="9594" spans="1:5" x14ac:dyDescent="0.25">
      <c r="A9594">
        <v>11</v>
      </c>
      <c r="B9594">
        <v>24</v>
      </c>
      <c r="C9594">
        <v>13</v>
      </c>
      <c r="D9594">
        <v>0</v>
      </c>
      <c r="E9594">
        <f t="shared" si="149"/>
        <v>1.1926326184657706E-9</v>
      </c>
    </row>
    <row r="9595" spans="1:5" x14ac:dyDescent="0.25">
      <c r="A9595">
        <v>11</v>
      </c>
      <c r="B9595">
        <v>25</v>
      </c>
      <c r="C9595">
        <v>0</v>
      </c>
      <c r="D9595">
        <v>12</v>
      </c>
      <c r="E9595">
        <f t="shared" si="149"/>
        <v>4.0034960223755532E-15</v>
      </c>
    </row>
    <row r="9596" spans="1:5" x14ac:dyDescent="0.25">
      <c r="A9596">
        <v>11</v>
      </c>
      <c r="B9596">
        <v>25</v>
      </c>
      <c r="C9596">
        <v>1</v>
      </c>
      <c r="D9596">
        <v>11</v>
      </c>
      <c r="E9596">
        <f t="shared" si="149"/>
        <v>2.2305192124663792E-13</v>
      </c>
    </row>
    <row r="9597" spans="1:5" x14ac:dyDescent="0.25">
      <c r="A9597">
        <v>11</v>
      </c>
      <c r="B9597">
        <v>25</v>
      </c>
      <c r="C9597">
        <v>2</v>
      </c>
      <c r="D9597">
        <v>10</v>
      </c>
      <c r="E9597">
        <f t="shared" si="149"/>
        <v>5.2342850852544356E-12</v>
      </c>
    </row>
    <row r="9598" spans="1:5" x14ac:dyDescent="0.25">
      <c r="A9598">
        <v>11</v>
      </c>
      <c r="B9598">
        <v>25</v>
      </c>
      <c r="C9598">
        <v>3</v>
      </c>
      <c r="D9598">
        <v>9</v>
      </c>
      <c r="E9598">
        <f t="shared" si="149"/>
        <v>6.8699991743964492E-11</v>
      </c>
    </row>
    <row r="9599" spans="1:5" x14ac:dyDescent="0.25">
      <c r="A9599">
        <v>11</v>
      </c>
      <c r="B9599">
        <v>25</v>
      </c>
      <c r="C9599">
        <v>4</v>
      </c>
      <c r="D9599">
        <v>8</v>
      </c>
      <c r="E9599">
        <f t="shared" si="149"/>
        <v>5.637440498990026E-10</v>
      </c>
    </row>
    <row r="9600" spans="1:5" x14ac:dyDescent="0.25">
      <c r="A9600">
        <v>11</v>
      </c>
      <c r="B9600">
        <v>25</v>
      </c>
      <c r="C9600">
        <v>5</v>
      </c>
      <c r="D9600">
        <v>7</v>
      </c>
      <c r="E9600">
        <f t="shared" si="149"/>
        <v>3.0567455150079267E-9</v>
      </c>
    </row>
    <row r="9601" spans="1:5" x14ac:dyDescent="0.25">
      <c r="A9601">
        <v>11</v>
      </c>
      <c r="B9601">
        <v>25</v>
      </c>
      <c r="C9601">
        <v>6</v>
      </c>
      <c r="D9601">
        <v>6</v>
      </c>
      <c r="E9601">
        <f t="shared" si="149"/>
        <v>1.1261694002660776E-8</v>
      </c>
    </row>
    <row r="9602" spans="1:5" x14ac:dyDescent="0.25">
      <c r="A9602">
        <v>11</v>
      </c>
      <c r="B9602">
        <v>25</v>
      </c>
      <c r="C9602">
        <v>7</v>
      </c>
      <c r="D9602">
        <v>5</v>
      </c>
      <c r="E9602">
        <f t="shared" si="149"/>
        <v>2.8475997692442253E-8</v>
      </c>
    </row>
    <row r="9603" spans="1:5" x14ac:dyDescent="0.25">
      <c r="A9603">
        <v>11</v>
      </c>
      <c r="B9603">
        <v>25</v>
      </c>
      <c r="C9603">
        <v>8</v>
      </c>
      <c r="D9603">
        <v>4</v>
      </c>
      <c r="E9603">
        <f t="shared" si="149"/>
        <v>4.9154996016715809E-8</v>
      </c>
    </row>
    <row r="9604" spans="1:5" x14ac:dyDescent="0.25">
      <c r="A9604">
        <v>11</v>
      </c>
      <c r="B9604">
        <v>25</v>
      </c>
      <c r="C9604">
        <v>9</v>
      </c>
      <c r="D9604">
        <v>3</v>
      </c>
      <c r="E9604">
        <f t="shared" si="149"/>
        <v>5.6602722685915156E-8</v>
      </c>
    </row>
    <row r="9605" spans="1:5" x14ac:dyDescent="0.25">
      <c r="A9605">
        <v>11</v>
      </c>
      <c r="B9605">
        <v>25</v>
      </c>
      <c r="C9605">
        <v>10</v>
      </c>
      <c r="D9605">
        <v>2</v>
      </c>
      <c r="E9605">
        <f t="shared" si="149"/>
        <v>4.1344597440146733E-8</v>
      </c>
    </row>
    <row r="9606" spans="1:5" x14ac:dyDescent="0.25">
      <c r="A9606">
        <v>11</v>
      </c>
      <c r="B9606">
        <v>25</v>
      </c>
      <c r="C9606">
        <v>11</v>
      </c>
      <c r="D9606">
        <v>1</v>
      </c>
      <c r="E9606">
        <f t="shared" si="149"/>
        <v>1.7226915600061137E-8</v>
      </c>
    </row>
    <row r="9607" spans="1:5" x14ac:dyDescent="0.25">
      <c r="A9607">
        <v>11</v>
      </c>
      <c r="B9607">
        <v>25</v>
      </c>
      <c r="C9607">
        <v>12</v>
      </c>
      <c r="D9607">
        <v>0</v>
      </c>
      <c r="E9607">
        <f t="shared" si="149"/>
        <v>3.1008448080110032E-9</v>
      </c>
    </row>
    <row r="9608" spans="1:5" x14ac:dyDescent="0.25">
      <c r="A9608">
        <v>11</v>
      </c>
      <c r="B9608">
        <v>26</v>
      </c>
      <c r="C9608">
        <v>0</v>
      </c>
      <c r="D9608">
        <v>11</v>
      </c>
      <c r="E9608">
        <f t="shared" si="149"/>
        <v>3.4843613733202583E-14</v>
      </c>
    </row>
    <row r="9609" spans="1:5" x14ac:dyDescent="0.25">
      <c r="A9609">
        <v>11</v>
      </c>
      <c r="B9609">
        <v>26</v>
      </c>
      <c r="C9609">
        <v>1</v>
      </c>
      <c r="D9609">
        <v>10</v>
      </c>
      <c r="E9609">
        <f t="shared" si="149"/>
        <v>1.6608789212826563E-12</v>
      </c>
    </row>
    <row r="9610" spans="1:5" x14ac:dyDescent="0.25">
      <c r="A9610">
        <v>11</v>
      </c>
      <c r="B9610">
        <v>26</v>
      </c>
      <c r="C9610">
        <v>2</v>
      </c>
      <c r="D9610">
        <v>9</v>
      </c>
      <c r="E9610">
        <f t="shared" si="149"/>
        <v>3.3217578425653127E-11</v>
      </c>
    </row>
    <row r="9611" spans="1:5" x14ac:dyDescent="0.25">
      <c r="A9611">
        <v>11</v>
      </c>
      <c r="B9611">
        <v>26</v>
      </c>
      <c r="C9611">
        <v>3</v>
      </c>
      <c r="D9611">
        <v>8</v>
      </c>
      <c r="E9611">
        <f t="shared" si="149"/>
        <v>3.6930131308520243E-10</v>
      </c>
    </row>
    <row r="9612" spans="1:5" x14ac:dyDescent="0.25">
      <c r="A9612">
        <v>11</v>
      </c>
      <c r="B9612">
        <v>26</v>
      </c>
      <c r="C9612">
        <v>4</v>
      </c>
      <c r="D9612">
        <v>7</v>
      </c>
      <c r="E9612">
        <f t="shared" si="149"/>
        <v>2.5440757123647281E-9</v>
      </c>
    </row>
    <row r="9613" spans="1:5" x14ac:dyDescent="0.25">
      <c r="A9613">
        <v>11</v>
      </c>
      <c r="B9613">
        <v>26</v>
      </c>
      <c r="C9613">
        <v>5</v>
      </c>
      <c r="D9613">
        <v>6</v>
      </c>
      <c r="E9613">
        <f t="shared" si="149"/>
        <v>1.1434950833470936E-8</v>
      </c>
    </row>
    <row r="9614" spans="1:5" x14ac:dyDescent="0.25">
      <c r="A9614">
        <v>11</v>
      </c>
      <c r="B9614">
        <v>26</v>
      </c>
      <c r="C9614">
        <v>6</v>
      </c>
      <c r="D9614">
        <v>5</v>
      </c>
      <c r="E9614">
        <f t="shared" ref="E9614:E9677" si="150">COMBIN(A$4,A9614)*COMBIN(B$4,B9614)*COMBIN(C$4,C9614)*COMBIN(D$4,D9614)/COMBIN($G$4,$F$4)</f>
        <v>3.4304852500412799E-8</v>
      </c>
    </row>
    <row r="9615" spans="1:5" x14ac:dyDescent="0.25">
      <c r="A9615">
        <v>11</v>
      </c>
      <c r="B9615">
        <v>26</v>
      </c>
      <c r="C9615">
        <v>7</v>
      </c>
      <c r="D9615">
        <v>4</v>
      </c>
      <c r="E9615">
        <f t="shared" si="150"/>
        <v>6.8843071344365833E-8</v>
      </c>
    </row>
    <row r="9616" spans="1:5" x14ac:dyDescent="0.25">
      <c r="A9616">
        <v>11</v>
      </c>
      <c r="B9616">
        <v>26</v>
      </c>
      <c r="C9616">
        <v>8</v>
      </c>
      <c r="D9616">
        <v>3</v>
      </c>
      <c r="E9616">
        <f t="shared" si="150"/>
        <v>9.0747684953936808E-8</v>
      </c>
    </row>
    <row r="9617" spans="1:5" x14ac:dyDescent="0.25">
      <c r="A9617">
        <v>11</v>
      </c>
      <c r="B9617">
        <v>26</v>
      </c>
      <c r="C9617">
        <v>9</v>
      </c>
      <c r="D9617">
        <v>2</v>
      </c>
      <c r="E9617">
        <f t="shared" si="150"/>
        <v>7.4965478874991252E-8</v>
      </c>
    </row>
    <row r="9618" spans="1:5" x14ac:dyDescent="0.25">
      <c r="A9618">
        <v>11</v>
      </c>
      <c r="B9618">
        <v>26</v>
      </c>
      <c r="C9618">
        <v>10</v>
      </c>
      <c r="D9618">
        <v>1</v>
      </c>
      <c r="E9618">
        <f t="shared" si="150"/>
        <v>3.498389014166259E-8</v>
      </c>
    </row>
    <row r="9619" spans="1:5" x14ac:dyDescent="0.25">
      <c r="A9619">
        <v>11</v>
      </c>
      <c r="B9619">
        <v>26</v>
      </c>
      <c r="C9619">
        <v>11</v>
      </c>
      <c r="D9619">
        <v>0</v>
      </c>
      <c r="E9619">
        <f t="shared" si="150"/>
        <v>6.9967780283325193E-9</v>
      </c>
    </row>
    <row r="9620" spans="1:5" x14ac:dyDescent="0.25">
      <c r="A9620">
        <v>11</v>
      </c>
      <c r="B9620">
        <v>27</v>
      </c>
      <c r="C9620">
        <v>0</v>
      </c>
      <c r="D9620">
        <v>10</v>
      </c>
      <c r="E9620">
        <f t="shared" si="150"/>
        <v>2.4889524575346922E-13</v>
      </c>
    </row>
    <row r="9621" spans="1:5" x14ac:dyDescent="0.25">
      <c r="A9621">
        <v>11</v>
      </c>
      <c r="B9621">
        <v>27</v>
      </c>
      <c r="C9621">
        <v>1</v>
      </c>
      <c r="D9621">
        <v>9</v>
      </c>
      <c r="E9621">
        <f t="shared" si="150"/>
        <v>1.011136935873469E-11</v>
      </c>
    </row>
    <row r="9622" spans="1:5" x14ac:dyDescent="0.25">
      <c r="A9622">
        <v>11</v>
      </c>
      <c r="B9622">
        <v>27</v>
      </c>
      <c r="C9622">
        <v>2</v>
      </c>
      <c r="D9622">
        <v>8</v>
      </c>
      <c r="E9622">
        <f t="shared" si="150"/>
        <v>1.7129849266562299E-10</v>
      </c>
    </row>
    <row r="9623" spans="1:5" x14ac:dyDescent="0.25">
      <c r="A9623">
        <v>11</v>
      </c>
      <c r="B9623">
        <v>27</v>
      </c>
      <c r="C9623">
        <v>3</v>
      </c>
      <c r="D9623">
        <v>7</v>
      </c>
      <c r="E9623">
        <f t="shared" si="150"/>
        <v>1.5987859315458147E-9</v>
      </c>
    </row>
    <row r="9624" spans="1:5" x14ac:dyDescent="0.25">
      <c r="A9624">
        <v>11</v>
      </c>
      <c r="B9624">
        <v>27</v>
      </c>
      <c r="C9624">
        <v>4</v>
      </c>
      <c r="D9624">
        <v>6</v>
      </c>
      <c r="E9624">
        <f t="shared" si="150"/>
        <v>9.1299091354063599E-9</v>
      </c>
    </row>
    <row r="9625" spans="1:5" x14ac:dyDescent="0.25">
      <c r="A9625">
        <v>11</v>
      </c>
      <c r="B9625">
        <v>27</v>
      </c>
      <c r="C9625">
        <v>5</v>
      </c>
      <c r="D9625">
        <v>5</v>
      </c>
      <c r="E9625">
        <f t="shared" si="150"/>
        <v>3.3415467435587281E-8</v>
      </c>
    </row>
    <row r="9626" spans="1:5" x14ac:dyDescent="0.25">
      <c r="A9626">
        <v>11</v>
      </c>
      <c r="B9626">
        <v>27</v>
      </c>
      <c r="C9626">
        <v>6</v>
      </c>
      <c r="D9626">
        <v>4</v>
      </c>
      <c r="E9626">
        <f t="shared" si="150"/>
        <v>7.9560636751398305E-8</v>
      </c>
    </row>
    <row r="9627" spans="1:5" x14ac:dyDescent="0.25">
      <c r="A9627">
        <v>11</v>
      </c>
      <c r="B9627">
        <v>27</v>
      </c>
      <c r="C9627">
        <v>7</v>
      </c>
      <c r="D9627">
        <v>3</v>
      </c>
      <c r="E9627">
        <f t="shared" si="150"/>
        <v>1.2192409268396102E-7</v>
      </c>
    </row>
    <row r="9628" spans="1:5" x14ac:dyDescent="0.25">
      <c r="A9628">
        <v>11</v>
      </c>
      <c r="B9628">
        <v>27</v>
      </c>
      <c r="C9628">
        <v>8</v>
      </c>
      <c r="D9628">
        <v>2</v>
      </c>
      <c r="E9628">
        <f t="shared" si="150"/>
        <v>1.1529778329896316E-7</v>
      </c>
    </row>
    <row r="9629" spans="1:5" x14ac:dyDescent="0.25">
      <c r="A9629">
        <v>11</v>
      </c>
      <c r="B9629">
        <v>27</v>
      </c>
      <c r="C9629">
        <v>9</v>
      </c>
      <c r="D9629">
        <v>1</v>
      </c>
      <c r="E9629">
        <f t="shared" si="150"/>
        <v>6.0851607852230538E-8</v>
      </c>
    </row>
    <row r="9630" spans="1:5" x14ac:dyDescent="0.25">
      <c r="A9630">
        <v>11</v>
      </c>
      <c r="B9630">
        <v>27</v>
      </c>
      <c r="C9630">
        <v>10</v>
      </c>
      <c r="D9630">
        <v>0</v>
      </c>
      <c r="E9630">
        <f t="shared" si="150"/>
        <v>1.3630760158899645E-8</v>
      </c>
    </row>
    <row r="9631" spans="1:5" x14ac:dyDescent="0.25">
      <c r="A9631">
        <v>11</v>
      </c>
      <c r="B9631">
        <v>28</v>
      </c>
      <c r="C9631">
        <v>0</v>
      </c>
      <c r="D9631">
        <v>9</v>
      </c>
      <c r="E9631">
        <f t="shared" si="150"/>
        <v>1.4555927318618085E-12</v>
      </c>
    </row>
    <row r="9632" spans="1:5" x14ac:dyDescent="0.25">
      <c r="A9632">
        <v>11</v>
      </c>
      <c r="B9632">
        <v>28</v>
      </c>
      <c r="C9632">
        <v>1</v>
      </c>
      <c r="D9632">
        <v>8</v>
      </c>
      <c r="E9632">
        <f t="shared" si="150"/>
        <v>5.0089514596421057E-11</v>
      </c>
    </row>
    <row r="9633" spans="1:5" x14ac:dyDescent="0.25">
      <c r="A9633">
        <v>11</v>
      </c>
      <c r="B9633">
        <v>28</v>
      </c>
      <c r="C9633">
        <v>2</v>
      </c>
      <c r="D9633">
        <v>7</v>
      </c>
      <c r="E9633">
        <f t="shared" si="150"/>
        <v>7.1238420759354415E-10</v>
      </c>
    </row>
    <row r="9634" spans="1:5" x14ac:dyDescent="0.25">
      <c r="A9634">
        <v>11</v>
      </c>
      <c r="B9634">
        <v>28</v>
      </c>
      <c r="C9634">
        <v>3</v>
      </c>
      <c r="D9634">
        <v>6</v>
      </c>
      <c r="E9634">
        <f t="shared" si="150"/>
        <v>5.5116041324342601E-9</v>
      </c>
    </row>
    <row r="9635" spans="1:5" x14ac:dyDescent="0.25">
      <c r="A9635">
        <v>11</v>
      </c>
      <c r="B9635">
        <v>28</v>
      </c>
      <c r="C9635">
        <v>4</v>
      </c>
      <c r="D9635">
        <v>5</v>
      </c>
      <c r="E9635">
        <f t="shared" si="150"/>
        <v>2.5628959215819311E-8</v>
      </c>
    </row>
    <row r="9636" spans="1:5" x14ac:dyDescent="0.25">
      <c r="A9636">
        <v>11</v>
      </c>
      <c r="B9636">
        <v>28</v>
      </c>
      <c r="C9636">
        <v>5</v>
      </c>
      <c r="D9636">
        <v>4</v>
      </c>
      <c r="E9636">
        <f t="shared" si="150"/>
        <v>7.4446024388808489E-8</v>
      </c>
    </row>
    <row r="9637" spans="1:5" x14ac:dyDescent="0.25">
      <c r="A9637">
        <v>11</v>
      </c>
      <c r="B9637">
        <v>28</v>
      </c>
      <c r="C9637">
        <v>6</v>
      </c>
      <c r="D9637">
        <v>3</v>
      </c>
      <c r="E9637">
        <f t="shared" si="150"/>
        <v>1.3535640797965179E-7</v>
      </c>
    </row>
    <row r="9638" spans="1:5" x14ac:dyDescent="0.25">
      <c r="A9638">
        <v>11</v>
      </c>
      <c r="B9638">
        <v>28</v>
      </c>
      <c r="C9638">
        <v>7</v>
      </c>
      <c r="D9638">
        <v>2</v>
      </c>
      <c r="E9638">
        <f t="shared" si="150"/>
        <v>1.4880797647452399E-7</v>
      </c>
    </row>
    <row r="9639" spans="1:5" x14ac:dyDescent="0.25">
      <c r="A9639">
        <v>11</v>
      </c>
      <c r="B9639">
        <v>28</v>
      </c>
      <c r="C9639">
        <v>8</v>
      </c>
      <c r="D9639">
        <v>1</v>
      </c>
      <c r="E9639">
        <f t="shared" si="150"/>
        <v>8.9904819120024941E-8</v>
      </c>
    </row>
    <row r="9640" spans="1:5" x14ac:dyDescent="0.25">
      <c r="A9640">
        <v>11</v>
      </c>
      <c r="B9640">
        <v>28</v>
      </c>
      <c r="C9640">
        <v>9</v>
      </c>
      <c r="D9640">
        <v>0</v>
      </c>
      <c r="E9640">
        <f t="shared" si="150"/>
        <v>2.2775887510406313E-8</v>
      </c>
    </row>
    <row r="9641" spans="1:5" x14ac:dyDescent="0.25">
      <c r="A9641">
        <v>11</v>
      </c>
      <c r="B9641">
        <v>29</v>
      </c>
      <c r="C9641">
        <v>0</v>
      </c>
      <c r="D9641">
        <v>8</v>
      </c>
      <c r="E9641">
        <f t="shared" si="150"/>
        <v>6.9354712518121391E-12</v>
      </c>
    </row>
    <row r="9642" spans="1:5" x14ac:dyDescent="0.25">
      <c r="A9642">
        <v>11</v>
      </c>
      <c r="B9642">
        <v>29</v>
      </c>
      <c r="C9642">
        <v>1</v>
      </c>
      <c r="D9642">
        <v>7</v>
      </c>
      <c r="E9642">
        <f t="shared" si="150"/>
        <v>2.003580583856841E-10</v>
      </c>
    </row>
    <row r="9643" spans="1:5" x14ac:dyDescent="0.25">
      <c r="A9643">
        <v>11</v>
      </c>
      <c r="B9643">
        <v>29</v>
      </c>
      <c r="C9643">
        <v>2</v>
      </c>
      <c r="D9643">
        <v>6</v>
      </c>
      <c r="E9643">
        <f t="shared" si="150"/>
        <v>2.362116056757538E-9</v>
      </c>
    </row>
    <row r="9644" spans="1:5" x14ac:dyDescent="0.25">
      <c r="A9644">
        <v>11</v>
      </c>
      <c r="B9644">
        <v>29</v>
      </c>
      <c r="C9644">
        <v>3</v>
      </c>
      <c r="D9644">
        <v>5</v>
      </c>
      <c r="E9644">
        <f t="shared" si="150"/>
        <v>1.4881331157572486E-8</v>
      </c>
    </row>
    <row r="9645" spans="1:5" x14ac:dyDescent="0.25">
      <c r="A9645">
        <v>11</v>
      </c>
      <c r="B9645">
        <v>29</v>
      </c>
      <c r="C9645">
        <v>4</v>
      </c>
      <c r="D9645">
        <v>4</v>
      </c>
      <c r="E9645">
        <f t="shared" si="150"/>
        <v>5.4919198319612769E-8</v>
      </c>
    </row>
    <row r="9646" spans="1:5" x14ac:dyDescent="0.25">
      <c r="A9646">
        <v>11</v>
      </c>
      <c r="B9646">
        <v>29</v>
      </c>
      <c r="C9646">
        <v>5</v>
      </c>
      <c r="D9646">
        <v>3</v>
      </c>
      <c r="E9646">
        <f t="shared" si="150"/>
        <v>1.2182076718168649E-7</v>
      </c>
    </row>
    <row r="9647" spans="1:5" x14ac:dyDescent="0.25">
      <c r="A9647">
        <v>11</v>
      </c>
      <c r="B9647">
        <v>29</v>
      </c>
      <c r="C9647">
        <v>6</v>
      </c>
      <c r="D9647">
        <v>2</v>
      </c>
      <c r="E9647">
        <f t="shared" si="150"/>
        <v>1.5889665284567802E-7</v>
      </c>
    </row>
    <row r="9648" spans="1:5" x14ac:dyDescent="0.25">
      <c r="A9648">
        <v>11</v>
      </c>
      <c r="B9648">
        <v>29</v>
      </c>
      <c r="C9648">
        <v>7</v>
      </c>
      <c r="D9648">
        <v>1</v>
      </c>
      <c r="E9648">
        <f t="shared" si="150"/>
        <v>1.116059823558929E-7</v>
      </c>
    </row>
    <row r="9649" spans="1:5" x14ac:dyDescent="0.25">
      <c r="A9649">
        <v>11</v>
      </c>
      <c r="B9649">
        <v>29</v>
      </c>
      <c r="C9649">
        <v>8</v>
      </c>
      <c r="D9649">
        <v>0</v>
      </c>
      <c r="E9649">
        <f t="shared" si="150"/>
        <v>3.2365734883208945E-8</v>
      </c>
    </row>
    <row r="9650" spans="1:5" x14ac:dyDescent="0.25">
      <c r="A9650">
        <v>11</v>
      </c>
      <c r="B9650">
        <v>30</v>
      </c>
      <c r="C9650">
        <v>0</v>
      </c>
      <c r="D9650">
        <v>7</v>
      </c>
      <c r="E9650">
        <f t="shared" si="150"/>
        <v>2.6714407784757875E-11</v>
      </c>
    </row>
    <row r="9651" spans="1:5" x14ac:dyDescent="0.25">
      <c r="A9651">
        <v>11</v>
      </c>
      <c r="B9651">
        <v>30</v>
      </c>
      <c r="C9651">
        <v>1</v>
      </c>
      <c r="D9651">
        <v>6</v>
      </c>
      <c r="E9651">
        <f t="shared" si="150"/>
        <v>6.3973976537183298E-10</v>
      </c>
    </row>
    <row r="9652" spans="1:5" x14ac:dyDescent="0.25">
      <c r="A9652">
        <v>11</v>
      </c>
      <c r="B9652">
        <v>30</v>
      </c>
      <c r="C9652">
        <v>2</v>
      </c>
      <c r="D9652">
        <v>5</v>
      </c>
      <c r="E9652">
        <f t="shared" si="150"/>
        <v>6.1415017475695966E-9</v>
      </c>
    </row>
    <row r="9653" spans="1:5" x14ac:dyDescent="0.25">
      <c r="A9653">
        <v>11</v>
      </c>
      <c r="B9653">
        <v>30</v>
      </c>
      <c r="C9653">
        <v>3</v>
      </c>
      <c r="D9653">
        <v>4</v>
      </c>
      <c r="E9653">
        <f t="shared" si="150"/>
        <v>3.0707508737847993E-8</v>
      </c>
    </row>
    <row r="9654" spans="1:5" x14ac:dyDescent="0.25">
      <c r="A9654">
        <v>11</v>
      </c>
      <c r="B9654">
        <v>30</v>
      </c>
      <c r="C9654">
        <v>4</v>
      </c>
      <c r="D9654">
        <v>3</v>
      </c>
      <c r="E9654">
        <f t="shared" si="150"/>
        <v>8.6539342806662498E-8</v>
      </c>
    </row>
    <row r="9655" spans="1:5" x14ac:dyDescent="0.25">
      <c r="A9655">
        <v>11</v>
      </c>
      <c r="B9655">
        <v>30</v>
      </c>
      <c r="C9655">
        <v>5</v>
      </c>
      <c r="D9655">
        <v>2</v>
      </c>
      <c r="E9655">
        <f t="shared" si="150"/>
        <v>1.3771043246625427E-7</v>
      </c>
    </row>
    <row r="9656" spans="1:5" x14ac:dyDescent="0.25">
      <c r="A9656">
        <v>11</v>
      </c>
      <c r="B9656">
        <v>30</v>
      </c>
      <c r="C9656">
        <v>6</v>
      </c>
      <c r="D9656">
        <v>1</v>
      </c>
      <c r="E9656">
        <f t="shared" si="150"/>
        <v>1.1475869372187856E-7</v>
      </c>
    </row>
    <row r="9657" spans="1:5" x14ac:dyDescent="0.25">
      <c r="A9657">
        <v>11</v>
      </c>
      <c r="B9657">
        <v>30</v>
      </c>
      <c r="C9657">
        <v>7</v>
      </c>
      <c r="D9657">
        <v>0</v>
      </c>
      <c r="E9657">
        <f t="shared" si="150"/>
        <v>3.8690073883376197E-8</v>
      </c>
    </row>
    <row r="9658" spans="1:5" x14ac:dyDescent="0.25">
      <c r="A9658">
        <v>11</v>
      </c>
      <c r="B9658">
        <v>31</v>
      </c>
      <c r="C9658">
        <v>0</v>
      </c>
      <c r="D9658">
        <v>6</v>
      </c>
      <c r="E9658">
        <f t="shared" si="150"/>
        <v>8.2229577782285325E-11</v>
      </c>
    </row>
    <row r="9659" spans="1:5" x14ac:dyDescent="0.25">
      <c r="A9659">
        <v>11</v>
      </c>
      <c r="B9659">
        <v>31</v>
      </c>
      <c r="C9659">
        <v>1</v>
      </c>
      <c r="D9659">
        <v>5</v>
      </c>
      <c r="E9659">
        <f t="shared" si="150"/>
        <v>1.6034767667545641E-9</v>
      </c>
    </row>
    <row r="9660" spans="1:5" x14ac:dyDescent="0.25">
      <c r="A9660">
        <v>11</v>
      </c>
      <c r="B9660">
        <v>31</v>
      </c>
      <c r="C9660">
        <v>2</v>
      </c>
      <c r="D9660">
        <v>4</v>
      </c>
      <c r="E9660">
        <f t="shared" si="150"/>
        <v>1.2216965841939538E-8</v>
      </c>
    </row>
    <row r="9661" spans="1:5" x14ac:dyDescent="0.25">
      <c r="A9661">
        <v>11</v>
      </c>
      <c r="B9661">
        <v>31</v>
      </c>
      <c r="C9661">
        <v>3</v>
      </c>
      <c r="D9661">
        <v>3</v>
      </c>
      <c r="E9661">
        <f t="shared" si="150"/>
        <v>4.6646596851041872E-8</v>
      </c>
    </row>
    <row r="9662" spans="1:5" x14ac:dyDescent="0.25">
      <c r="A9662">
        <v>11</v>
      </c>
      <c r="B9662">
        <v>31</v>
      </c>
      <c r="C9662">
        <v>4</v>
      </c>
      <c r="D9662">
        <v>2</v>
      </c>
      <c r="E9662">
        <f t="shared" si="150"/>
        <v>9.4307250155367262E-8</v>
      </c>
    </row>
    <row r="9663" spans="1:5" x14ac:dyDescent="0.25">
      <c r="A9663">
        <v>11</v>
      </c>
      <c r="B9663">
        <v>31</v>
      </c>
      <c r="C9663">
        <v>5</v>
      </c>
      <c r="D9663">
        <v>1</v>
      </c>
      <c r="E9663">
        <f t="shared" si="150"/>
        <v>9.5879037657956727E-8</v>
      </c>
    </row>
    <row r="9664" spans="1:5" x14ac:dyDescent="0.25">
      <c r="A9664">
        <v>11</v>
      </c>
      <c r="B9664">
        <v>31</v>
      </c>
      <c r="C9664">
        <v>6</v>
      </c>
      <c r="D9664">
        <v>0</v>
      </c>
      <c r="E9664">
        <f t="shared" si="150"/>
        <v>3.835161506318268E-8</v>
      </c>
    </row>
    <row r="9665" spans="1:5" x14ac:dyDescent="0.25">
      <c r="A9665">
        <v>11</v>
      </c>
      <c r="B9665">
        <v>32</v>
      </c>
      <c r="C9665">
        <v>0</v>
      </c>
      <c r="D9665">
        <v>5</v>
      </c>
      <c r="E9665">
        <f t="shared" si="150"/>
        <v>1.9889279126090242E-10</v>
      </c>
    </row>
    <row r="9666" spans="1:5" x14ac:dyDescent="0.25">
      <c r="A9666">
        <v>11</v>
      </c>
      <c r="B9666">
        <v>32</v>
      </c>
      <c r="C9666">
        <v>1</v>
      </c>
      <c r="D9666">
        <v>4</v>
      </c>
      <c r="E9666">
        <f t="shared" si="150"/>
        <v>3.0781027218949199E-9</v>
      </c>
    </row>
    <row r="9667" spans="1:5" x14ac:dyDescent="0.25">
      <c r="A9667">
        <v>11</v>
      </c>
      <c r="B9667">
        <v>32</v>
      </c>
      <c r="C9667">
        <v>2</v>
      </c>
      <c r="D9667">
        <v>3</v>
      </c>
      <c r="E9667">
        <f t="shared" si="150"/>
        <v>1.7908961291024982E-8</v>
      </c>
    </row>
    <row r="9668" spans="1:5" x14ac:dyDescent="0.25">
      <c r="A9668">
        <v>11</v>
      </c>
      <c r="B9668">
        <v>32</v>
      </c>
      <c r="C9668">
        <v>3</v>
      </c>
      <c r="D9668">
        <v>2</v>
      </c>
      <c r="E9668">
        <f t="shared" si="150"/>
        <v>4.9054980927590173E-8</v>
      </c>
    </row>
    <row r="9669" spans="1:5" x14ac:dyDescent="0.25">
      <c r="A9669">
        <v>11</v>
      </c>
      <c r="B9669">
        <v>32</v>
      </c>
      <c r="C9669">
        <v>4</v>
      </c>
      <c r="D9669">
        <v>1</v>
      </c>
      <c r="E9669">
        <f t="shared" si="150"/>
        <v>6.3362683698137311E-8</v>
      </c>
    </row>
    <row r="9670" spans="1:5" x14ac:dyDescent="0.25">
      <c r="A9670">
        <v>11</v>
      </c>
      <c r="B9670">
        <v>32</v>
      </c>
      <c r="C9670">
        <v>5</v>
      </c>
      <c r="D9670">
        <v>0</v>
      </c>
      <c r="E9670">
        <f t="shared" si="150"/>
        <v>3.0920989644691013E-8</v>
      </c>
    </row>
    <row r="9671" spans="1:5" x14ac:dyDescent="0.25">
      <c r="A9671">
        <v>11</v>
      </c>
      <c r="B9671">
        <v>33</v>
      </c>
      <c r="C9671">
        <v>0</v>
      </c>
      <c r="D9671">
        <v>4</v>
      </c>
      <c r="E9671">
        <f t="shared" si="150"/>
        <v>3.6879832145780649E-10</v>
      </c>
    </row>
    <row r="9672" spans="1:5" x14ac:dyDescent="0.25">
      <c r="A9672">
        <v>11</v>
      </c>
      <c r="B9672">
        <v>33</v>
      </c>
      <c r="C9672">
        <v>1</v>
      </c>
      <c r="D9672">
        <v>3</v>
      </c>
      <c r="E9672">
        <f t="shared" si="150"/>
        <v>4.3585256172286217E-9</v>
      </c>
    </row>
    <row r="9673" spans="1:5" x14ac:dyDescent="0.25">
      <c r="A9673">
        <v>11</v>
      </c>
      <c r="B9673">
        <v>33</v>
      </c>
      <c r="C9673">
        <v>2</v>
      </c>
      <c r="D9673">
        <v>2</v>
      </c>
      <c r="E9673">
        <f t="shared" si="150"/>
        <v>1.8192106924084681E-8</v>
      </c>
    </row>
    <row r="9674" spans="1:5" x14ac:dyDescent="0.25">
      <c r="A9674">
        <v>11</v>
      </c>
      <c r="B9674">
        <v>33</v>
      </c>
      <c r="C9674">
        <v>3</v>
      </c>
      <c r="D9674">
        <v>1</v>
      </c>
      <c r="E9674">
        <f t="shared" si="150"/>
        <v>3.1836187117148195E-8</v>
      </c>
    </row>
    <row r="9675" spans="1:5" x14ac:dyDescent="0.25">
      <c r="A9675">
        <v>11</v>
      </c>
      <c r="B9675">
        <v>33</v>
      </c>
      <c r="C9675">
        <v>4</v>
      </c>
      <c r="D9675">
        <v>0</v>
      </c>
      <c r="E9675">
        <f t="shared" si="150"/>
        <v>1.973843601263188E-8</v>
      </c>
    </row>
    <row r="9676" spans="1:5" x14ac:dyDescent="0.25">
      <c r="A9676">
        <v>11</v>
      </c>
      <c r="B9676">
        <v>34</v>
      </c>
      <c r="C9676">
        <v>0</v>
      </c>
      <c r="D9676">
        <v>3</v>
      </c>
      <c r="E9676">
        <f t="shared" si="150"/>
        <v>5.0487898552512522E-10</v>
      </c>
    </row>
    <row r="9677" spans="1:5" x14ac:dyDescent="0.25">
      <c r="A9677">
        <v>11</v>
      </c>
      <c r="B9677">
        <v>34</v>
      </c>
      <c r="C9677">
        <v>1</v>
      </c>
      <c r="D9677">
        <v>2</v>
      </c>
      <c r="E9677">
        <f t="shared" si="150"/>
        <v>4.2804957468434525E-9</v>
      </c>
    </row>
    <row r="9678" spans="1:5" x14ac:dyDescent="0.25">
      <c r="A9678">
        <v>11</v>
      </c>
      <c r="B9678">
        <v>34</v>
      </c>
      <c r="C9678">
        <v>2</v>
      </c>
      <c r="D9678">
        <v>1</v>
      </c>
      <c r="E9678">
        <f t="shared" ref="E9678:E9741" si="151">COMBIN(A$4,A9678)*COMBIN(B$4,B9678)*COMBIN(C$4,C9678)*COMBIN(D$4,D9678)/COMBIN($G$4,$F$4)</f>
        <v>1.1414655324915874E-8</v>
      </c>
    </row>
    <row r="9679" spans="1:5" x14ac:dyDescent="0.25">
      <c r="A9679">
        <v>11</v>
      </c>
      <c r="B9679">
        <v>34</v>
      </c>
      <c r="C9679">
        <v>3</v>
      </c>
      <c r="D9679">
        <v>0</v>
      </c>
      <c r="E9679">
        <f t="shared" si="151"/>
        <v>9.5883104729293325E-9</v>
      </c>
    </row>
    <row r="9680" spans="1:5" x14ac:dyDescent="0.25">
      <c r="A9680">
        <v>11</v>
      </c>
      <c r="B9680">
        <v>35</v>
      </c>
      <c r="C9680">
        <v>0</v>
      </c>
      <c r="D9680">
        <v>2</v>
      </c>
      <c r="E9680">
        <f t="shared" si="151"/>
        <v>4.7979183096487045E-10</v>
      </c>
    </row>
    <row r="9681" spans="1:5" x14ac:dyDescent="0.25">
      <c r="A9681">
        <v>11</v>
      </c>
      <c r="B9681">
        <v>35</v>
      </c>
      <c r="C9681">
        <v>1</v>
      </c>
      <c r="D9681">
        <v>1</v>
      </c>
      <c r="E9681">
        <f t="shared" si="151"/>
        <v>2.5988724177263813E-9</v>
      </c>
    </row>
    <row r="9682" spans="1:5" x14ac:dyDescent="0.25">
      <c r="A9682">
        <v>11</v>
      </c>
      <c r="B9682">
        <v>35</v>
      </c>
      <c r="C9682">
        <v>2</v>
      </c>
      <c r="D9682">
        <v>0</v>
      </c>
      <c r="E9682">
        <f t="shared" si="151"/>
        <v>3.3265566946897684E-9</v>
      </c>
    </row>
    <row r="9683" spans="1:5" x14ac:dyDescent="0.25">
      <c r="A9683">
        <v>11</v>
      </c>
      <c r="B9683">
        <v>36</v>
      </c>
      <c r="C9683">
        <v>0</v>
      </c>
      <c r="D9683">
        <v>1</v>
      </c>
      <c r="E9683">
        <f t="shared" si="151"/>
        <v>2.820998265395305E-10</v>
      </c>
    </row>
    <row r="9684" spans="1:5" x14ac:dyDescent="0.25">
      <c r="A9684">
        <v>11</v>
      </c>
      <c r="B9684">
        <v>36</v>
      </c>
      <c r="C9684">
        <v>1</v>
      </c>
      <c r="D9684">
        <v>0</v>
      </c>
      <c r="E9684">
        <f t="shared" si="151"/>
        <v>7.3345954900277931E-10</v>
      </c>
    </row>
    <row r="9685" spans="1:5" x14ac:dyDescent="0.25">
      <c r="A9685">
        <v>11</v>
      </c>
      <c r="B9685">
        <v>37</v>
      </c>
      <c r="C9685">
        <v>0</v>
      </c>
      <c r="D9685">
        <v>0</v>
      </c>
      <c r="E9685">
        <f t="shared" si="151"/>
        <v>7.7158114718379613E-11</v>
      </c>
    </row>
    <row r="9686" spans="1:5" x14ac:dyDescent="0.25">
      <c r="A9686">
        <v>12</v>
      </c>
      <c r="B9686">
        <v>0</v>
      </c>
      <c r="C9686">
        <v>11</v>
      </c>
      <c r="D9686">
        <v>25</v>
      </c>
      <c r="E9686">
        <f t="shared" si="151"/>
        <v>7.7878761352187193E-46</v>
      </c>
    </row>
    <row r="9687" spans="1:5" x14ac:dyDescent="0.25">
      <c r="A9687">
        <v>12</v>
      </c>
      <c r="B9687">
        <v>0</v>
      </c>
      <c r="C9687">
        <v>12</v>
      </c>
      <c r="D9687">
        <v>24</v>
      </c>
      <c r="E9687">
        <f t="shared" si="151"/>
        <v>8.7613606521210531E-44</v>
      </c>
    </row>
    <row r="9688" spans="1:5" x14ac:dyDescent="0.25">
      <c r="A9688">
        <v>12</v>
      </c>
      <c r="B9688">
        <v>0</v>
      </c>
      <c r="C9688">
        <v>13</v>
      </c>
      <c r="D9688">
        <v>23</v>
      </c>
      <c r="E9688">
        <f t="shared" si="151"/>
        <v>4.2863272113453792E-42</v>
      </c>
    </row>
    <row r="9689" spans="1:5" x14ac:dyDescent="0.25">
      <c r="A9689">
        <v>12</v>
      </c>
      <c r="B9689">
        <v>0</v>
      </c>
      <c r="C9689">
        <v>14</v>
      </c>
      <c r="D9689">
        <v>22</v>
      </c>
      <c r="E9689">
        <f t="shared" si="151"/>
        <v>1.2205827011354939E-40</v>
      </c>
    </row>
    <row r="9690" spans="1:5" x14ac:dyDescent="0.25">
      <c r="A9690">
        <v>12</v>
      </c>
      <c r="B9690">
        <v>0</v>
      </c>
      <c r="C9690">
        <v>15</v>
      </c>
      <c r="D9690">
        <v>21</v>
      </c>
      <c r="E9690">
        <f t="shared" si="151"/>
        <v>2.2824896511233727E-39</v>
      </c>
    </row>
    <row r="9691" spans="1:5" x14ac:dyDescent="0.25">
      <c r="A9691">
        <v>12</v>
      </c>
      <c r="B9691">
        <v>0</v>
      </c>
      <c r="C9691">
        <v>16</v>
      </c>
      <c r="D9691">
        <v>20</v>
      </c>
      <c r="E9691">
        <f t="shared" si="151"/>
        <v>2.9957676670994264E-38</v>
      </c>
    </row>
    <row r="9692" spans="1:5" x14ac:dyDescent="0.25">
      <c r="A9692">
        <v>12</v>
      </c>
      <c r="B9692">
        <v>0</v>
      </c>
      <c r="C9692">
        <v>17</v>
      </c>
      <c r="D9692">
        <v>19</v>
      </c>
      <c r="E9692">
        <f t="shared" si="151"/>
        <v>2.8782865821151365E-37</v>
      </c>
    </row>
    <row r="9693" spans="1:5" x14ac:dyDescent="0.25">
      <c r="A9693">
        <v>12</v>
      </c>
      <c r="B9693">
        <v>0</v>
      </c>
      <c r="C9693">
        <v>18</v>
      </c>
      <c r="D9693">
        <v>18</v>
      </c>
      <c r="E9693">
        <f t="shared" si="151"/>
        <v>2.0833312403880977E-36</v>
      </c>
    </row>
    <row r="9694" spans="1:5" x14ac:dyDescent="0.25">
      <c r="A9694">
        <v>12</v>
      </c>
      <c r="B9694">
        <v>0</v>
      </c>
      <c r="C9694">
        <v>19</v>
      </c>
      <c r="D9694">
        <v>17</v>
      </c>
      <c r="E9694">
        <f t="shared" si="151"/>
        <v>1.1595383087949546E-35</v>
      </c>
    </row>
    <row r="9695" spans="1:5" x14ac:dyDescent="0.25">
      <c r="A9695">
        <v>12</v>
      </c>
      <c r="B9695">
        <v>0</v>
      </c>
      <c r="C9695">
        <v>20</v>
      </c>
      <c r="D9695">
        <v>16</v>
      </c>
      <c r="E9695">
        <f t="shared" si="151"/>
        <v>5.0375497637647515E-35</v>
      </c>
    </row>
    <row r="9696" spans="1:5" x14ac:dyDescent="0.25">
      <c r="A9696">
        <v>12</v>
      </c>
      <c r="B9696">
        <v>0</v>
      </c>
      <c r="C9696">
        <v>21</v>
      </c>
      <c r="D9696">
        <v>15</v>
      </c>
      <c r="E9696">
        <f t="shared" si="151"/>
        <v>1.7271599190050554E-34</v>
      </c>
    </row>
    <row r="9697" spans="1:5" x14ac:dyDescent="0.25">
      <c r="A9697">
        <v>12</v>
      </c>
      <c r="B9697">
        <v>0</v>
      </c>
      <c r="C9697">
        <v>22</v>
      </c>
      <c r="D9697">
        <v>14</v>
      </c>
      <c r="E9697">
        <f t="shared" si="151"/>
        <v>4.7104361427410638E-34</v>
      </c>
    </row>
    <row r="9698" spans="1:5" x14ac:dyDescent="0.25">
      <c r="A9698">
        <v>12</v>
      </c>
      <c r="B9698">
        <v>0</v>
      </c>
      <c r="C9698">
        <v>23</v>
      </c>
      <c r="D9698">
        <v>13</v>
      </c>
      <c r="E9698">
        <f t="shared" si="151"/>
        <v>1.0274212166413479E-33</v>
      </c>
    </row>
    <row r="9699" spans="1:5" x14ac:dyDescent="0.25">
      <c r="A9699">
        <v>12</v>
      </c>
      <c r="B9699">
        <v>0</v>
      </c>
      <c r="C9699">
        <v>24</v>
      </c>
      <c r="D9699">
        <v>12</v>
      </c>
      <c r="E9699">
        <f t="shared" si="151"/>
        <v>1.7979871291223585E-33</v>
      </c>
    </row>
    <row r="9700" spans="1:5" x14ac:dyDescent="0.25">
      <c r="A9700">
        <v>12</v>
      </c>
      <c r="B9700">
        <v>0</v>
      </c>
      <c r="C9700">
        <v>25</v>
      </c>
      <c r="D9700">
        <v>11</v>
      </c>
      <c r="E9700">
        <f t="shared" si="151"/>
        <v>2.5274561929377164E-33</v>
      </c>
    </row>
    <row r="9701" spans="1:5" x14ac:dyDescent="0.25">
      <c r="A9701">
        <v>12</v>
      </c>
      <c r="B9701">
        <v>0</v>
      </c>
      <c r="C9701">
        <v>26</v>
      </c>
      <c r="D9701">
        <v>10</v>
      </c>
      <c r="E9701">
        <f t="shared" si="151"/>
        <v>2.8514890381861389E-33</v>
      </c>
    </row>
    <row r="9702" spans="1:5" x14ac:dyDescent="0.25">
      <c r="A9702">
        <v>12</v>
      </c>
      <c r="B9702">
        <v>0</v>
      </c>
      <c r="C9702">
        <v>27</v>
      </c>
      <c r="D9702">
        <v>9</v>
      </c>
      <c r="E9702">
        <f t="shared" si="151"/>
        <v>2.5742609372513755E-33</v>
      </c>
    </row>
    <row r="9703" spans="1:5" x14ac:dyDescent="0.25">
      <c r="A9703">
        <v>12</v>
      </c>
      <c r="B9703">
        <v>0</v>
      </c>
      <c r="C9703">
        <v>28</v>
      </c>
      <c r="D9703">
        <v>8</v>
      </c>
      <c r="E9703">
        <f t="shared" si="151"/>
        <v>1.8495740347478376E-33</v>
      </c>
    </row>
    <row r="9704" spans="1:5" x14ac:dyDescent="0.25">
      <c r="A9704">
        <v>12</v>
      </c>
      <c r="B9704">
        <v>0</v>
      </c>
      <c r="C9704">
        <v>29</v>
      </c>
      <c r="D9704">
        <v>7</v>
      </c>
      <c r="E9704">
        <f t="shared" si="151"/>
        <v>1.048800602079234E-33</v>
      </c>
    </row>
    <row r="9705" spans="1:5" x14ac:dyDescent="0.25">
      <c r="A9705">
        <v>12</v>
      </c>
      <c r="B9705">
        <v>0</v>
      </c>
      <c r="C9705">
        <v>30</v>
      </c>
      <c r="D9705">
        <v>6</v>
      </c>
      <c r="E9705">
        <f t="shared" si="151"/>
        <v>4.6368026618239787E-34</v>
      </c>
    </row>
    <row r="9706" spans="1:5" x14ac:dyDescent="0.25">
      <c r="A9706">
        <v>12</v>
      </c>
      <c r="B9706">
        <v>0</v>
      </c>
      <c r="C9706">
        <v>31</v>
      </c>
      <c r="D9706">
        <v>5</v>
      </c>
      <c r="E9706">
        <f t="shared" si="151"/>
        <v>1.5705299338436059E-34</v>
      </c>
    </row>
    <row r="9707" spans="1:5" x14ac:dyDescent="0.25">
      <c r="A9707">
        <v>12</v>
      </c>
      <c r="B9707">
        <v>0</v>
      </c>
      <c r="C9707">
        <v>32</v>
      </c>
      <c r="D9707">
        <v>4</v>
      </c>
      <c r="E9707">
        <f t="shared" si="151"/>
        <v>3.9730667969257896E-35</v>
      </c>
    </row>
    <row r="9708" spans="1:5" x14ac:dyDescent="0.25">
      <c r="A9708">
        <v>12</v>
      </c>
      <c r="B9708">
        <v>0</v>
      </c>
      <c r="C9708">
        <v>33</v>
      </c>
      <c r="D9708">
        <v>3</v>
      </c>
      <c r="E9708">
        <f t="shared" si="151"/>
        <v>7.2237578125923432E-36</v>
      </c>
    </row>
    <row r="9709" spans="1:5" x14ac:dyDescent="0.25">
      <c r="A9709">
        <v>12</v>
      </c>
      <c r="B9709">
        <v>0</v>
      </c>
      <c r="C9709">
        <v>34</v>
      </c>
      <c r="D9709">
        <v>2</v>
      </c>
      <c r="E9709">
        <f t="shared" si="151"/>
        <v>8.868040281443288E-37</v>
      </c>
    </row>
    <row r="9710" spans="1:5" x14ac:dyDescent="0.25">
      <c r="A9710">
        <v>12</v>
      </c>
      <c r="B9710">
        <v>0</v>
      </c>
      <c r="C9710">
        <v>35</v>
      </c>
      <c r="D9710">
        <v>1</v>
      </c>
      <c r="E9710">
        <f t="shared" si="151"/>
        <v>6.5454583029700447E-38</v>
      </c>
    </row>
    <row r="9711" spans="1:5" x14ac:dyDescent="0.25">
      <c r="A9711">
        <v>12</v>
      </c>
      <c r="B9711">
        <v>0</v>
      </c>
      <c r="C9711">
        <v>36</v>
      </c>
      <c r="D9711">
        <v>0</v>
      </c>
      <c r="E9711">
        <f t="shared" si="151"/>
        <v>2.1818194343233487E-39</v>
      </c>
    </row>
    <row r="9712" spans="1:5" x14ac:dyDescent="0.25">
      <c r="A9712">
        <v>12</v>
      </c>
      <c r="B9712">
        <v>1</v>
      </c>
      <c r="C9712">
        <v>10</v>
      </c>
      <c r="D9712">
        <v>25</v>
      </c>
      <c r="E9712">
        <f t="shared" si="151"/>
        <v>4.5013924061564185E-44</v>
      </c>
    </row>
    <row r="9713" spans="1:5" x14ac:dyDescent="0.25">
      <c r="A9713">
        <v>12</v>
      </c>
      <c r="B9713">
        <v>1</v>
      </c>
      <c r="C9713">
        <v>11</v>
      </c>
      <c r="D9713">
        <v>24</v>
      </c>
      <c r="E9713">
        <f t="shared" si="151"/>
        <v>5.6267405076955235E-42</v>
      </c>
    </row>
    <row r="9714" spans="1:5" x14ac:dyDescent="0.25">
      <c r="A9714">
        <v>12</v>
      </c>
      <c r="B9714">
        <v>1</v>
      </c>
      <c r="C9714">
        <v>12</v>
      </c>
      <c r="D9714">
        <v>23</v>
      </c>
      <c r="E9714">
        <f t="shared" si="151"/>
        <v>3.0384398741555812E-40</v>
      </c>
    </row>
    <row r="9715" spans="1:5" x14ac:dyDescent="0.25">
      <c r="A9715">
        <v>12</v>
      </c>
      <c r="B9715">
        <v>1</v>
      </c>
      <c r="C9715">
        <v>13</v>
      </c>
      <c r="D9715">
        <v>22</v>
      </c>
      <c r="E9715">
        <f t="shared" si="151"/>
        <v>9.4970723246042445E-39</v>
      </c>
    </row>
    <row r="9716" spans="1:5" x14ac:dyDescent="0.25">
      <c r="A9716">
        <v>12</v>
      </c>
      <c r="B9716">
        <v>1</v>
      </c>
      <c r="C9716">
        <v>14</v>
      </c>
      <c r="D9716">
        <v>21</v>
      </c>
      <c r="E9716">
        <f t="shared" si="151"/>
        <v>1.9401162034548678E-37</v>
      </c>
    </row>
    <row r="9717" spans="1:5" x14ac:dyDescent="0.25">
      <c r="A9717">
        <v>12</v>
      </c>
      <c r="B9717">
        <v>1</v>
      </c>
      <c r="C9717">
        <v>15</v>
      </c>
      <c r="D9717">
        <v>20</v>
      </c>
      <c r="E9717">
        <f t="shared" si="151"/>
        <v>2.7704859385335488E-36</v>
      </c>
    </row>
    <row r="9718" spans="1:5" x14ac:dyDescent="0.25">
      <c r="A9718">
        <v>12</v>
      </c>
      <c r="B9718">
        <v>1</v>
      </c>
      <c r="C9718">
        <v>16</v>
      </c>
      <c r="D9718">
        <v>19</v>
      </c>
      <c r="E9718">
        <f t="shared" si="151"/>
        <v>2.885922852639114E-35</v>
      </c>
    </row>
    <row r="9719" spans="1:5" x14ac:dyDescent="0.25">
      <c r="A9719">
        <v>12</v>
      </c>
      <c r="B9719">
        <v>1</v>
      </c>
      <c r="C9719">
        <v>17</v>
      </c>
      <c r="D9719">
        <v>18</v>
      </c>
      <c r="E9719">
        <f t="shared" si="151"/>
        <v>2.2578102317706031E-34</v>
      </c>
    </row>
    <row r="9720" spans="1:5" x14ac:dyDescent="0.25">
      <c r="A9720">
        <v>12</v>
      </c>
      <c r="B9720">
        <v>1</v>
      </c>
      <c r="C9720">
        <v>18</v>
      </c>
      <c r="D9720">
        <v>17</v>
      </c>
      <c r="E9720">
        <f t="shared" si="151"/>
        <v>1.3546861390623603E-33</v>
      </c>
    </row>
    <row r="9721" spans="1:5" x14ac:dyDescent="0.25">
      <c r="A9721">
        <v>12</v>
      </c>
      <c r="B9721">
        <v>1</v>
      </c>
      <c r="C9721">
        <v>19</v>
      </c>
      <c r="D9721">
        <v>16</v>
      </c>
      <c r="E9721">
        <f t="shared" si="151"/>
        <v>6.3297907901217902E-33</v>
      </c>
    </row>
    <row r="9722" spans="1:5" x14ac:dyDescent="0.25">
      <c r="A9722">
        <v>12</v>
      </c>
      <c r="B9722">
        <v>1</v>
      </c>
      <c r="C9722">
        <v>20</v>
      </c>
      <c r="D9722">
        <v>15</v>
      </c>
      <c r="E9722">
        <f t="shared" si="151"/>
        <v>2.3293630107648205E-32</v>
      </c>
    </row>
    <row r="9723" spans="1:5" x14ac:dyDescent="0.25">
      <c r="A9723">
        <v>12</v>
      </c>
      <c r="B9723">
        <v>1</v>
      </c>
      <c r="C9723">
        <v>21</v>
      </c>
      <c r="D9723">
        <v>14</v>
      </c>
      <c r="E9723">
        <f t="shared" si="151"/>
        <v>6.806580226260832E-32</v>
      </c>
    </row>
    <row r="9724" spans="1:5" x14ac:dyDescent="0.25">
      <c r="A9724">
        <v>12</v>
      </c>
      <c r="B9724">
        <v>1</v>
      </c>
      <c r="C9724">
        <v>22</v>
      </c>
      <c r="D9724">
        <v>13</v>
      </c>
      <c r="E9724">
        <f t="shared" si="151"/>
        <v>1.5882020527941956E-31</v>
      </c>
    </row>
    <row r="9725" spans="1:5" x14ac:dyDescent="0.25">
      <c r="A9725">
        <v>12</v>
      </c>
      <c r="B9725">
        <v>1</v>
      </c>
      <c r="C9725">
        <v>23</v>
      </c>
      <c r="D9725">
        <v>12</v>
      </c>
      <c r="E9725">
        <f t="shared" si="151"/>
        <v>2.9692473160934952E-31</v>
      </c>
    </row>
    <row r="9726" spans="1:5" x14ac:dyDescent="0.25">
      <c r="A9726">
        <v>12</v>
      </c>
      <c r="B9726">
        <v>1</v>
      </c>
      <c r="C9726">
        <v>24</v>
      </c>
      <c r="D9726">
        <v>11</v>
      </c>
      <c r="E9726">
        <f t="shared" si="151"/>
        <v>4.453870974140242E-31</v>
      </c>
    </row>
    <row r="9727" spans="1:5" x14ac:dyDescent="0.25">
      <c r="A9727">
        <v>12</v>
      </c>
      <c r="B9727">
        <v>1</v>
      </c>
      <c r="C9727">
        <v>25</v>
      </c>
      <c r="D9727">
        <v>10</v>
      </c>
      <c r="E9727">
        <f t="shared" si="151"/>
        <v>5.3565221582326652E-31</v>
      </c>
    </row>
    <row r="9728" spans="1:5" x14ac:dyDescent="0.25">
      <c r="A9728">
        <v>12</v>
      </c>
      <c r="B9728">
        <v>1</v>
      </c>
      <c r="C9728">
        <v>26</v>
      </c>
      <c r="D9728">
        <v>9</v>
      </c>
      <c r="E9728">
        <f t="shared" si="151"/>
        <v>5.1505020752237138E-31</v>
      </c>
    </row>
    <row r="9729" spans="1:5" x14ac:dyDescent="0.25">
      <c r="A9729">
        <v>12</v>
      </c>
      <c r="B9729">
        <v>1</v>
      </c>
      <c r="C9729">
        <v>27</v>
      </c>
      <c r="D9729">
        <v>8</v>
      </c>
      <c r="E9729">
        <f t="shared" si="151"/>
        <v>3.9386192339946045E-31</v>
      </c>
    </row>
    <row r="9730" spans="1:5" x14ac:dyDescent="0.25">
      <c r="A9730">
        <v>12</v>
      </c>
      <c r="B9730">
        <v>1</v>
      </c>
      <c r="C9730">
        <v>28</v>
      </c>
      <c r="D9730">
        <v>7</v>
      </c>
      <c r="E9730">
        <f t="shared" si="151"/>
        <v>2.3756750935205563E-31</v>
      </c>
    </row>
    <row r="9731" spans="1:5" x14ac:dyDescent="0.25">
      <c r="A9731">
        <v>12</v>
      </c>
      <c r="B9731">
        <v>1</v>
      </c>
      <c r="C9731">
        <v>29</v>
      </c>
      <c r="D9731">
        <v>6</v>
      </c>
      <c r="E9731">
        <f t="shared" si="151"/>
        <v>1.1166966410559418E-31</v>
      </c>
    </row>
    <row r="9732" spans="1:5" x14ac:dyDescent="0.25">
      <c r="A9732">
        <v>12</v>
      </c>
      <c r="B9732">
        <v>1</v>
      </c>
      <c r="C9732">
        <v>30</v>
      </c>
      <c r="D9732">
        <v>5</v>
      </c>
      <c r="E9732">
        <f t="shared" si="151"/>
        <v>4.0201079078013903E-32</v>
      </c>
    </row>
    <row r="9733" spans="1:5" x14ac:dyDescent="0.25">
      <c r="A9733">
        <v>12</v>
      </c>
      <c r="B9733">
        <v>1</v>
      </c>
      <c r="C9733">
        <v>31</v>
      </c>
      <c r="D9733">
        <v>4</v>
      </c>
      <c r="E9733">
        <f t="shared" si="151"/>
        <v>1.0806741687638149E-32</v>
      </c>
    </row>
    <row r="9734" spans="1:5" x14ac:dyDescent="0.25">
      <c r="A9734">
        <v>12</v>
      </c>
      <c r="B9734">
        <v>1</v>
      </c>
      <c r="C9734">
        <v>32</v>
      </c>
      <c r="D9734">
        <v>3</v>
      </c>
      <c r="E9734">
        <f t="shared" si="151"/>
        <v>2.0876660078391874E-33</v>
      </c>
    </row>
    <row r="9735" spans="1:5" x14ac:dyDescent="0.25">
      <c r="A9735">
        <v>12</v>
      </c>
      <c r="B9735">
        <v>1</v>
      </c>
      <c r="C9735">
        <v>33</v>
      </c>
      <c r="D9735">
        <v>2</v>
      </c>
      <c r="E9735">
        <f t="shared" si="151"/>
        <v>2.7230426189206787E-34</v>
      </c>
    </row>
    <row r="9736" spans="1:5" x14ac:dyDescent="0.25">
      <c r="A9736">
        <v>12</v>
      </c>
      <c r="B9736">
        <v>1</v>
      </c>
      <c r="C9736">
        <v>34</v>
      </c>
      <c r="D9736">
        <v>1</v>
      </c>
      <c r="E9736">
        <f t="shared" si="151"/>
        <v>2.1357197011142583E-35</v>
      </c>
    </row>
    <row r="9737" spans="1:5" x14ac:dyDescent="0.25">
      <c r="A9737">
        <v>12</v>
      </c>
      <c r="B9737">
        <v>1</v>
      </c>
      <c r="C9737">
        <v>35</v>
      </c>
      <c r="D9737">
        <v>0</v>
      </c>
      <c r="E9737">
        <f t="shared" si="151"/>
        <v>7.5665497982333723E-37</v>
      </c>
    </row>
    <row r="9738" spans="1:5" x14ac:dyDescent="0.25">
      <c r="A9738">
        <v>12</v>
      </c>
      <c r="B9738">
        <v>2</v>
      </c>
      <c r="C9738">
        <v>9</v>
      </c>
      <c r="D9738">
        <v>25</v>
      </c>
      <c r="E9738">
        <f t="shared" si="151"/>
        <v>1.1575009044402218E-42</v>
      </c>
    </row>
    <row r="9739" spans="1:5" x14ac:dyDescent="0.25">
      <c r="A9739">
        <v>12</v>
      </c>
      <c r="B9739">
        <v>2</v>
      </c>
      <c r="C9739">
        <v>10</v>
      </c>
      <c r="D9739">
        <v>24</v>
      </c>
      <c r="E9739">
        <f t="shared" si="151"/>
        <v>1.6205012662163107E-40</v>
      </c>
    </row>
    <row r="9740" spans="1:5" x14ac:dyDescent="0.25">
      <c r="A9740">
        <v>12</v>
      </c>
      <c r="B9740">
        <v>2</v>
      </c>
      <c r="C9740">
        <v>11</v>
      </c>
      <c r="D9740">
        <v>23</v>
      </c>
      <c r="E9740">
        <f t="shared" si="151"/>
        <v>9.7230075972978662E-39</v>
      </c>
    </row>
    <row r="9741" spans="1:5" x14ac:dyDescent="0.25">
      <c r="A9741">
        <v>12</v>
      </c>
      <c r="B9741">
        <v>2</v>
      </c>
      <c r="C9741">
        <v>12</v>
      </c>
      <c r="D9741">
        <v>22</v>
      </c>
      <c r="E9741">
        <f t="shared" si="151"/>
        <v>3.3544376210677618E-37</v>
      </c>
    </row>
    <row r="9742" spans="1:5" x14ac:dyDescent="0.25">
      <c r="A9742">
        <v>12</v>
      </c>
      <c r="B9742">
        <v>2</v>
      </c>
      <c r="C9742">
        <v>13</v>
      </c>
      <c r="D9742">
        <v>21</v>
      </c>
      <c r="E9742">
        <f t="shared" ref="E9742:E9805" si="152">COMBIN(A$4,A9742)*COMBIN(B$4,B9742)*COMBIN(C$4,C9742)*COMBIN(D$4,D9742)/COMBIN($G$4,$F$4)</f>
        <v>7.5216812810865614E-36</v>
      </c>
    </row>
    <row r="9743" spans="1:5" x14ac:dyDescent="0.25">
      <c r="A9743">
        <v>12</v>
      </c>
      <c r="B9743">
        <v>2</v>
      </c>
      <c r="C9743">
        <v>14</v>
      </c>
      <c r="D9743">
        <v>20</v>
      </c>
      <c r="E9743">
        <f t="shared" si="152"/>
        <v>1.1733822798495036E-34</v>
      </c>
    </row>
    <row r="9744" spans="1:5" x14ac:dyDescent="0.25">
      <c r="A9744">
        <v>12</v>
      </c>
      <c r="B9744">
        <v>2</v>
      </c>
      <c r="C9744">
        <v>15</v>
      </c>
      <c r="D9744">
        <v>19</v>
      </c>
      <c r="E9744">
        <f t="shared" si="152"/>
        <v>1.3298332504961033E-33</v>
      </c>
    </row>
    <row r="9745" spans="1:5" x14ac:dyDescent="0.25">
      <c r="A9745">
        <v>12</v>
      </c>
      <c r="B9745">
        <v>2</v>
      </c>
      <c r="C9745">
        <v>16</v>
      </c>
      <c r="D9745">
        <v>18</v>
      </c>
      <c r="E9745">
        <f t="shared" si="152"/>
        <v>1.1279835606886598E-32</v>
      </c>
    </row>
    <row r="9746" spans="1:5" x14ac:dyDescent="0.25">
      <c r="A9746">
        <v>12</v>
      </c>
      <c r="B9746">
        <v>2</v>
      </c>
      <c r="C9746">
        <v>17</v>
      </c>
      <c r="D9746">
        <v>17</v>
      </c>
      <c r="E9746">
        <f t="shared" si="152"/>
        <v>7.3153051509367522E-32</v>
      </c>
    </row>
    <row r="9747" spans="1:5" x14ac:dyDescent="0.25">
      <c r="A9747">
        <v>12</v>
      </c>
      <c r="B9747">
        <v>2</v>
      </c>
      <c r="C9747">
        <v>18</v>
      </c>
      <c r="D9747">
        <v>16</v>
      </c>
      <c r="E9747">
        <f t="shared" si="152"/>
        <v>3.6847462982496196E-31</v>
      </c>
    </row>
    <row r="9748" spans="1:5" x14ac:dyDescent="0.25">
      <c r="A9748">
        <v>12</v>
      </c>
      <c r="B9748">
        <v>2</v>
      </c>
      <c r="C9748">
        <v>19</v>
      </c>
      <c r="D9748">
        <v>15</v>
      </c>
      <c r="E9748">
        <f t="shared" si="152"/>
        <v>1.4583837980440604E-30</v>
      </c>
    </row>
    <row r="9749" spans="1:5" x14ac:dyDescent="0.25">
      <c r="A9749">
        <v>12</v>
      </c>
      <c r="B9749">
        <v>2</v>
      </c>
      <c r="C9749">
        <v>20</v>
      </c>
      <c r="D9749">
        <v>14</v>
      </c>
      <c r="E9749">
        <f t="shared" si="152"/>
        <v>4.5740219120472847E-30</v>
      </c>
    </row>
    <row r="9750" spans="1:5" x14ac:dyDescent="0.25">
      <c r="A9750">
        <v>12</v>
      </c>
      <c r="B9750">
        <v>2</v>
      </c>
      <c r="C9750">
        <v>21</v>
      </c>
      <c r="D9750">
        <v>13</v>
      </c>
      <c r="E9750">
        <f t="shared" si="152"/>
        <v>1.14350547801182E-29</v>
      </c>
    </row>
    <row r="9751" spans="1:5" x14ac:dyDescent="0.25">
      <c r="A9751">
        <v>12</v>
      </c>
      <c r="B9751">
        <v>2</v>
      </c>
      <c r="C9751">
        <v>22</v>
      </c>
      <c r="D9751">
        <v>12</v>
      </c>
      <c r="E9751">
        <f t="shared" si="152"/>
        <v>2.2870109560236414E-29</v>
      </c>
    </row>
    <row r="9752" spans="1:5" x14ac:dyDescent="0.25">
      <c r="A9752">
        <v>12</v>
      </c>
      <c r="B9752">
        <v>2</v>
      </c>
      <c r="C9752">
        <v>23</v>
      </c>
      <c r="D9752">
        <v>11</v>
      </c>
      <c r="E9752">
        <f t="shared" si="152"/>
        <v>3.6648995444353988E-29</v>
      </c>
    </row>
    <row r="9753" spans="1:5" x14ac:dyDescent="0.25">
      <c r="A9753">
        <v>12</v>
      </c>
      <c r="B9753">
        <v>2</v>
      </c>
      <c r="C9753">
        <v>24</v>
      </c>
      <c r="D9753">
        <v>10</v>
      </c>
      <c r="E9753">
        <f t="shared" si="152"/>
        <v>4.7032877486920948E-29</v>
      </c>
    </row>
    <row r="9754" spans="1:5" x14ac:dyDescent="0.25">
      <c r="A9754">
        <v>12</v>
      </c>
      <c r="B9754">
        <v>2</v>
      </c>
      <c r="C9754">
        <v>25</v>
      </c>
      <c r="D9754">
        <v>9</v>
      </c>
      <c r="E9754">
        <f t="shared" si="152"/>
        <v>4.8208699424093993E-29</v>
      </c>
    </row>
    <row r="9755" spans="1:5" x14ac:dyDescent="0.25">
      <c r="A9755">
        <v>12</v>
      </c>
      <c r="B9755">
        <v>2</v>
      </c>
      <c r="C9755">
        <v>26</v>
      </c>
      <c r="D9755">
        <v>8</v>
      </c>
      <c r="E9755">
        <f t="shared" si="152"/>
        <v>3.9265004055823142E-29</v>
      </c>
    </row>
    <row r="9756" spans="1:5" x14ac:dyDescent="0.25">
      <c r="A9756">
        <v>12</v>
      </c>
      <c r="B9756">
        <v>2</v>
      </c>
      <c r="C9756">
        <v>27</v>
      </c>
      <c r="D9756">
        <v>7</v>
      </c>
      <c r="E9756">
        <f t="shared" si="152"/>
        <v>2.520716309756548E-29</v>
      </c>
    </row>
    <row r="9757" spans="1:5" x14ac:dyDescent="0.25">
      <c r="A9757">
        <v>12</v>
      </c>
      <c r="B9757">
        <v>2</v>
      </c>
      <c r="C9757">
        <v>28</v>
      </c>
      <c r="D9757">
        <v>6</v>
      </c>
      <c r="E9757">
        <f t="shared" si="152"/>
        <v>1.2603581548782734E-29</v>
      </c>
    </row>
    <row r="9758" spans="1:5" x14ac:dyDescent="0.25">
      <c r="A9758">
        <v>12</v>
      </c>
      <c r="B9758">
        <v>2</v>
      </c>
      <c r="C9758">
        <v>29</v>
      </c>
      <c r="D9758">
        <v>5</v>
      </c>
      <c r="E9758">
        <f t="shared" si="152"/>
        <v>4.8241294893616686E-30</v>
      </c>
    </row>
    <row r="9759" spans="1:5" x14ac:dyDescent="0.25">
      <c r="A9759">
        <v>12</v>
      </c>
      <c r="B9759">
        <v>2</v>
      </c>
      <c r="C9759">
        <v>30</v>
      </c>
      <c r="D9759">
        <v>4</v>
      </c>
      <c r="E9759">
        <f t="shared" si="152"/>
        <v>1.3783227112461911E-30</v>
      </c>
    </row>
    <row r="9760" spans="1:5" x14ac:dyDescent="0.25">
      <c r="A9760">
        <v>12</v>
      </c>
      <c r="B9760">
        <v>2</v>
      </c>
      <c r="C9760">
        <v>31</v>
      </c>
      <c r="D9760">
        <v>3</v>
      </c>
      <c r="E9760">
        <f t="shared" si="152"/>
        <v>2.8294014600361698E-31</v>
      </c>
    </row>
    <row r="9761" spans="1:5" x14ac:dyDescent="0.25">
      <c r="A9761">
        <v>12</v>
      </c>
      <c r="B9761">
        <v>2</v>
      </c>
      <c r="C9761">
        <v>32</v>
      </c>
      <c r="D9761">
        <v>2</v>
      </c>
      <c r="E9761">
        <f t="shared" si="152"/>
        <v>3.9211813712457777E-32</v>
      </c>
    </row>
    <row r="9762" spans="1:5" x14ac:dyDescent="0.25">
      <c r="A9762">
        <v>12</v>
      </c>
      <c r="B9762">
        <v>2</v>
      </c>
      <c r="C9762">
        <v>33</v>
      </c>
      <c r="D9762">
        <v>1</v>
      </c>
      <c r="E9762">
        <f t="shared" si="152"/>
        <v>3.2676511427048143E-33</v>
      </c>
    </row>
    <row r="9763" spans="1:5" x14ac:dyDescent="0.25">
      <c r="A9763">
        <v>12</v>
      </c>
      <c r="B9763">
        <v>2</v>
      </c>
      <c r="C9763">
        <v>34</v>
      </c>
      <c r="D9763">
        <v>0</v>
      </c>
      <c r="E9763">
        <f t="shared" si="152"/>
        <v>1.230174547841813E-34</v>
      </c>
    </row>
    <row r="9764" spans="1:5" x14ac:dyDescent="0.25">
      <c r="A9764">
        <v>12</v>
      </c>
      <c r="B9764">
        <v>3</v>
      </c>
      <c r="C9764">
        <v>8</v>
      </c>
      <c r="D9764">
        <v>25</v>
      </c>
      <c r="E9764">
        <f t="shared" si="152"/>
        <v>1.7484355767070724E-41</v>
      </c>
    </row>
    <row r="9765" spans="1:5" x14ac:dyDescent="0.25">
      <c r="A9765">
        <v>12</v>
      </c>
      <c r="B9765">
        <v>3</v>
      </c>
      <c r="C9765">
        <v>9</v>
      </c>
      <c r="D9765">
        <v>24</v>
      </c>
      <c r="E9765">
        <f t="shared" si="152"/>
        <v>2.768356329786197E-39</v>
      </c>
    </row>
    <row r="9766" spans="1:5" x14ac:dyDescent="0.25">
      <c r="A9766">
        <v>12</v>
      </c>
      <c r="B9766">
        <v>3</v>
      </c>
      <c r="C9766">
        <v>10</v>
      </c>
      <c r="D9766">
        <v>23</v>
      </c>
      <c r="E9766">
        <f t="shared" si="152"/>
        <v>1.8603354536163251E-37</v>
      </c>
    </row>
    <row r="9767" spans="1:5" x14ac:dyDescent="0.25">
      <c r="A9767">
        <v>12</v>
      </c>
      <c r="B9767">
        <v>3</v>
      </c>
      <c r="C9767">
        <v>11</v>
      </c>
      <c r="D9767">
        <v>22</v>
      </c>
      <c r="E9767">
        <f t="shared" si="152"/>
        <v>7.1312859055292457E-36</v>
      </c>
    </row>
    <row r="9768" spans="1:5" x14ac:dyDescent="0.25">
      <c r="A9768">
        <v>12</v>
      </c>
      <c r="B9768">
        <v>3</v>
      </c>
      <c r="C9768">
        <v>12</v>
      </c>
      <c r="D9768">
        <v>21</v>
      </c>
      <c r="E9768">
        <f t="shared" si="152"/>
        <v>1.7649932616184876E-34</v>
      </c>
    </row>
    <row r="9769" spans="1:5" x14ac:dyDescent="0.25">
      <c r="A9769">
        <v>12</v>
      </c>
      <c r="B9769">
        <v>3</v>
      </c>
      <c r="C9769">
        <v>13</v>
      </c>
      <c r="D9769">
        <v>20</v>
      </c>
      <c r="E9769">
        <f t="shared" si="152"/>
        <v>3.0222115387405802E-33</v>
      </c>
    </row>
    <row r="9770" spans="1:5" x14ac:dyDescent="0.25">
      <c r="A9770">
        <v>12</v>
      </c>
      <c r="B9770">
        <v>3</v>
      </c>
      <c r="C9770">
        <v>14</v>
      </c>
      <c r="D9770">
        <v>19</v>
      </c>
      <c r="E9770">
        <f t="shared" si="152"/>
        <v>3.7417857146311946E-32</v>
      </c>
    </row>
    <row r="9771" spans="1:5" x14ac:dyDescent="0.25">
      <c r="A9771">
        <v>12</v>
      </c>
      <c r="B9771">
        <v>3</v>
      </c>
      <c r="C9771">
        <v>15</v>
      </c>
      <c r="D9771">
        <v>18</v>
      </c>
      <c r="E9771">
        <f t="shared" si="152"/>
        <v>3.4531336737882166E-31</v>
      </c>
    </row>
    <row r="9772" spans="1:5" x14ac:dyDescent="0.25">
      <c r="A9772">
        <v>12</v>
      </c>
      <c r="B9772">
        <v>3</v>
      </c>
      <c r="C9772">
        <v>16</v>
      </c>
      <c r="D9772">
        <v>17</v>
      </c>
      <c r="E9772">
        <f t="shared" si="152"/>
        <v>2.4279846143823396E-30</v>
      </c>
    </row>
    <row r="9773" spans="1:5" x14ac:dyDescent="0.25">
      <c r="A9773">
        <v>12</v>
      </c>
      <c r="B9773">
        <v>3</v>
      </c>
      <c r="C9773">
        <v>17</v>
      </c>
      <c r="D9773">
        <v>16</v>
      </c>
      <c r="E9773">
        <f t="shared" si="152"/>
        <v>1.3219027344970522E-29</v>
      </c>
    </row>
    <row r="9774" spans="1:5" x14ac:dyDescent="0.25">
      <c r="A9774">
        <v>12</v>
      </c>
      <c r="B9774">
        <v>3</v>
      </c>
      <c r="C9774">
        <v>18</v>
      </c>
      <c r="D9774">
        <v>15</v>
      </c>
      <c r="E9774">
        <f t="shared" si="152"/>
        <v>5.640118333854085E-29</v>
      </c>
    </row>
    <row r="9775" spans="1:5" x14ac:dyDescent="0.25">
      <c r="A9775">
        <v>12</v>
      </c>
      <c r="B9775">
        <v>3</v>
      </c>
      <c r="C9775">
        <v>19</v>
      </c>
      <c r="D9775">
        <v>14</v>
      </c>
      <c r="E9775">
        <f t="shared" si="152"/>
        <v>1.9025279547211156E-28</v>
      </c>
    </row>
    <row r="9776" spans="1:5" x14ac:dyDescent="0.25">
      <c r="A9776">
        <v>12</v>
      </c>
      <c r="B9776">
        <v>3</v>
      </c>
      <c r="C9776">
        <v>20</v>
      </c>
      <c r="D9776">
        <v>13</v>
      </c>
      <c r="E9776">
        <f t="shared" si="152"/>
        <v>5.1051166785016646E-28</v>
      </c>
    </row>
    <row r="9777" spans="1:5" x14ac:dyDescent="0.25">
      <c r="A9777">
        <v>12</v>
      </c>
      <c r="B9777">
        <v>3</v>
      </c>
      <c r="C9777">
        <v>21</v>
      </c>
      <c r="D9777">
        <v>12</v>
      </c>
      <c r="E9777">
        <f t="shared" si="152"/>
        <v>1.0939535739646412E-27</v>
      </c>
    </row>
    <row r="9778" spans="1:5" x14ac:dyDescent="0.25">
      <c r="A9778">
        <v>12</v>
      </c>
      <c r="B9778">
        <v>3</v>
      </c>
      <c r="C9778">
        <v>22</v>
      </c>
      <c r="D9778">
        <v>11</v>
      </c>
      <c r="E9778">
        <f t="shared" si="152"/>
        <v>1.875348983939386E-27</v>
      </c>
    </row>
    <row r="9779" spans="1:5" x14ac:dyDescent="0.25">
      <c r="A9779">
        <v>12</v>
      </c>
      <c r="B9779">
        <v>3</v>
      </c>
      <c r="C9779">
        <v>23</v>
      </c>
      <c r="D9779">
        <v>10</v>
      </c>
      <c r="E9779">
        <f t="shared" si="152"/>
        <v>2.5711306359516782E-27</v>
      </c>
    </row>
    <row r="9780" spans="1:5" x14ac:dyDescent="0.25">
      <c r="A9780">
        <v>12</v>
      </c>
      <c r="B9780">
        <v>3</v>
      </c>
      <c r="C9780">
        <v>24</v>
      </c>
      <c r="D9780">
        <v>9</v>
      </c>
      <c r="E9780">
        <f t="shared" si="152"/>
        <v>2.812174133072149E-27</v>
      </c>
    </row>
    <row r="9781" spans="1:5" x14ac:dyDescent="0.25">
      <c r="A9781">
        <v>12</v>
      </c>
      <c r="B9781">
        <v>3</v>
      </c>
      <c r="C9781">
        <v>25</v>
      </c>
      <c r="D9781">
        <v>8</v>
      </c>
      <c r="E9781">
        <f t="shared" si="152"/>
        <v>2.4416288355379375E-27</v>
      </c>
    </row>
    <row r="9782" spans="1:5" x14ac:dyDescent="0.25">
      <c r="A9782">
        <v>12</v>
      </c>
      <c r="B9782">
        <v>3</v>
      </c>
      <c r="C9782">
        <v>26</v>
      </c>
      <c r="D9782">
        <v>7</v>
      </c>
      <c r="E9782">
        <f t="shared" si="152"/>
        <v>1.6694898020772212E-27</v>
      </c>
    </row>
    <row r="9783" spans="1:5" x14ac:dyDescent="0.25">
      <c r="A9783">
        <v>12</v>
      </c>
      <c r="B9783">
        <v>3</v>
      </c>
      <c r="C9783">
        <v>27</v>
      </c>
      <c r="D9783">
        <v>6</v>
      </c>
      <c r="E9783">
        <f t="shared" si="152"/>
        <v>8.8844194145629878E-28</v>
      </c>
    </row>
    <row r="9784" spans="1:5" x14ac:dyDescent="0.25">
      <c r="A9784">
        <v>12</v>
      </c>
      <c r="B9784">
        <v>3</v>
      </c>
      <c r="C9784">
        <v>28</v>
      </c>
      <c r="D9784">
        <v>5</v>
      </c>
      <c r="E9784">
        <f t="shared" si="152"/>
        <v>3.6172279045006456E-28</v>
      </c>
    </row>
    <row r="9785" spans="1:5" x14ac:dyDescent="0.25">
      <c r="A9785">
        <v>12</v>
      </c>
      <c r="B9785">
        <v>3</v>
      </c>
      <c r="C9785">
        <v>29</v>
      </c>
      <c r="D9785">
        <v>4</v>
      </c>
      <c r="E9785">
        <f t="shared" si="152"/>
        <v>1.0988294947990471E-28</v>
      </c>
    </row>
    <row r="9786" spans="1:5" x14ac:dyDescent="0.25">
      <c r="A9786">
        <v>12</v>
      </c>
      <c r="B9786">
        <v>3</v>
      </c>
      <c r="C9786">
        <v>30</v>
      </c>
      <c r="D9786">
        <v>3</v>
      </c>
      <c r="E9786">
        <f t="shared" si="152"/>
        <v>2.3974461704706476E-29</v>
      </c>
    </row>
    <row r="9787" spans="1:5" x14ac:dyDescent="0.25">
      <c r="A9787">
        <v>12</v>
      </c>
      <c r="B9787">
        <v>3</v>
      </c>
      <c r="C9787">
        <v>31</v>
      </c>
      <c r="D9787">
        <v>2</v>
      </c>
      <c r="E9787">
        <f t="shared" si="152"/>
        <v>3.5306009523060027E-30</v>
      </c>
    </row>
    <row r="9788" spans="1:5" x14ac:dyDescent="0.25">
      <c r="A9788">
        <v>12</v>
      </c>
      <c r="B9788">
        <v>3</v>
      </c>
      <c r="C9788">
        <v>32</v>
      </c>
      <c r="D9788">
        <v>1</v>
      </c>
      <c r="E9788">
        <f t="shared" si="152"/>
        <v>3.1260529265209399E-31</v>
      </c>
    </row>
    <row r="9789" spans="1:5" x14ac:dyDescent="0.25">
      <c r="A9789">
        <v>12</v>
      </c>
      <c r="B9789">
        <v>3</v>
      </c>
      <c r="C9789">
        <v>33</v>
      </c>
      <c r="D9789">
        <v>0</v>
      </c>
      <c r="E9789">
        <f t="shared" si="152"/>
        <v>1.2504211706083758E-32</v>
      </c>
    </row>
    <row r="9790" spans="1:5" x14ac:dyDescent="0.25">
      <c r="A9790">
        <v>12</v>
      </c>
      <c r="B9790">
        <v>4</v>
      </c>
      <c r="C9790">
        <v>7</v>
      </c>
      <c r="D9790">
        <v>25</v>
      </c>
      <c r="E9790">
        <f t="shared" si="152"/>
        <v>1.7243192239249053E-40</v>
      </c>
    </row>
    <row r="9791" spans="1:5" x14ac:dyDescent="0.25">
      <c r="A9791">
        <v>12</v>
      </c>
      <c r="B9791">
        <v>4</v>
      </c>
      <c r="C9791">
        <v>8</v>
      </c>
      <c r="D9791">
        <v>24</v>
      </c>
      <c r="E9791">
        <f t="shared" si="152"/>
        <v>3.1253285933638917E-38</v>
      </c>
    </row>
    <row r="9792" spans="1:5" x14ac:dyDescent="0.25">
      <c r="A9792">
        <v>12</v>
      </c>
      <c r="B9792">
        <v>4</v>
      </c>
      <c r="C9792">
        <v>9</v>
      </c>
      <c r="D9792">
        <v>23</v>
      </c>
      <c r="E9792">
        <f t="shared" si="152"/>
        <v>2.3752497309565568E-36</v>
      </c>
    </row>
    <row r="9793" spans="1:5" x14ac:dyDescent="0.25">
      <c r="A9793">
        <v>12</v>
      </c>
      <c r="B9793">
        <v>4</v>
      </c>
      <c r="C9793">
        <v>10</v>
      </c>
      <c r="D9793">
        <v>22</v>
      </c>
      <c r="E9793">
        <f t="shared" si="152"/>
        <v>1.019773884490682E-34</v>
      </c>
    </row>
    <row r="9794" spans="1:5" x14ac:dyDescent="0.25">
      <c r="A9794">
        <v>12</v>
      </c>
      <c r="B9794">
        <v>4</v>
      </c>
      <c r="C9794">
        <v>11</v>
      </c>
      <c r="D9794">
        <v>21</v>
      </c>
      <c r="E9794">
        <f t="shared" si="152"/>
        <v>2.8043781823493764E-33</v>
      </c>
    </row>
    <row r="9795" spans="1:5" x14ac:dyDescent="0.25">
      <c r="A9795">
        <v>12</v>
      </c>
      <c r="B9795">
        <v>4</v>
      </c>
      <c r="C9795">
        <v>12</v>
      </c>
      <c r="D9795">
        <v>20</v>
      </c>
      <c r="E9795">
        <f t="shared" si="152"/>
        <v>5.3002747646403171E-32</v>
      </c>
    </row>
    <row r="9796" spans="1:5" x14ac:dyDescent="0.25">
      <c r="A9796">
        <v>12</v>
      </c>
      <c r="B9796">
        <v>4</v>
      </c>
      <c r="C9796">
        <v>13</v>
      </c>
      <c r="D9796">
        <v>19</v>
      </c>
      <c r="E9796">
        <f t="shared" si="152"/>
        <v>7.2029375006650484E-31</v>
      </c>
    </row>
    <row r="9797" spans="1:5" x14ac:dyDescent="0.25">
      <c r="A9797">
        <v>12</v>
      </c>
      <c r="B9797">
        <v>4</v>
      </c>
      <c r="C9797">
        <v>14</v>
      </c>
      <c r="D9797">
        <v>18</v>
      </c>
      <c r="E9797">
        <f t="shared" si="152"/>
        <v>7.2617369904664011E-30</v>
      </c>
    </row>
    <row r="9798" spans="1:5" x14ac:dyDescent="0.25">
      <c r="A9798">
        <v>12</v>
      </c>
      <c r="B9798">
        <v>4</v>
      </c>
      <c r="C9798">
        <v>15</v>
      </c>
      <c r="D9798">
        <v>17</v>
      </c>
      <c r="E9798">
        <f t="shared" si="152"/>
        <v>5.5552287977067925E-29</v>
      </c>
    </row>
    <row r="9799" spans="1:5" x14ac:dyDescent="0.25">
      <c r="A9799">
        <v>12</v>
      </c>
      <c r="B9799">
        <v>4</v>
      </c>
      <c r="C9799">
        <v>16</v>
      </c>
      <c r="D9799">
        <v>16</v>
      </c>
      <c r="E9799">
        <f t="shared" si="152"/>
        <v>3.2791281097574827E-28</v>
      </c>
    </row>
    <row r="9800" spans="1:5" x14ac:dyDescent="0.25">
      <c r="A9800">
        <v>12</v>
      </c>
      <c r="B9800">
        <v>4</v>
      </c>
      <c r="C9800">
        <v>17</v>
      </c>
      <c r="D9800">
        <v>15</v>
      </c>
      <c r="E9800">
        <f t="shared" si="152"/>
        <v>1.5122567282646278E-27</v>
      </c>
    </row>
    <row r="9801" spans="1:5" x14ac:dyDescent="0.25">
      <c r="A9801">
        <v>12</v>
      </c>
      <c r="B9801">
        <v>4</v>
      </c>
      <c r="C9801">
        <v>18</v>
      </c>
      <c r="D9801">
        <v>14</v>
      </c>
      <c r="E9801">
        <f t="shared" si="152"/>
        <v>5.4991153755077322E-27</v>
      </c>
    </row>
    <row r="9802" spans="1:5" x14ac:dyDescent="0.25">
      <c r="A9802">
        <v>12</v>
      </c>
      <c r="B9802">
        <v>4</v>
      </c>
      <c r="C9802">
        <v>19</v>
      </c>
      <c r="D9802">
        <v>13</v>
      </c>
      <c r="E9802">
        <f t="shared" si="152"/>
        <v>1.587025402229864E-26</v>
      </c>
    </row>
    <row r="9803" spans="1:5" x14ac:dyDescent="0.25">
      <c r="A9803">
        <v>12</v>
      </c>
      <c r="B9803">
        <v>4</v>
      </c>
      <c r="C9803">
        <v>20</v>
      </c>
      <c r="D9803">
        <v>12</v>
      </c>
      <c r="E9803">
        <f t="shared" si="152"/>
        <v>3.6501584251286904E-26</v>
      </c>
    </row>
    <row r="9804" spans="1:5" x14ac:dyDescent="0.25">
      <c r="A9804">
        <v>12</v>
      </c>
      <c r="B9804">
        <v>4</v>
      </c>
      <c r="C9804">
        <v>21</v>
      </c>
      <c r="D9804">
        <v>11</v>
      </c>
      <c r="E9804">
        <f t="shared" si="152"/>
        <v>6.7043726175832997E-26</v>
      </c>
    </row>
    <row r="9805" spans="1:5" x14ac:dyDescent="0.25">
      <c r="A9805">
        <v>12</v>
      </c>
      <c r="B9805">
        <v>4</v>
      </c>
      <c r="C9805">
        <v>22</v>
      </c>
      <c r="D9805">
        <v>10</v>
      </c>
      <c r="E9805">
        <f t="shared" si="152"/>
        <v>9.8330798391221778E-26</v>
      </c>
    </row>
    <row r="9806" spans="1:5" x14ac:dyDescent="0.25">
      <c r="A9806">
        <v>12</v>
      </c>
      <c r="B9806">
        <v>4</v>
      </c>
      <c r="C9806">
        <v>23</v>
      </c>
      <c r="D9806">
        <v>9</v>
      </c>
      <c r="E9806">
        <f t="shared" ref="E9806:E9869" si="153">COMBIN(A$4,A9806)*COMBIN(B$4,B9806)*COMBIN(C$4,C9806)*COMBIN(D$4,D9806)/COMBIN($G$4,$F$4)</f>
        <v>1.1489740029409064E-25</v>
      </c>
    </row>
    <row r="9807" spans="1:5" x14ac:dyDescent="0.25">
      <c r="A9807">
        <v>12</v>
      </c>
      <c r="B9807">
        <v>4</v>
      </c>
      <c r="C9807">
        <v>24</v>
      </c>
      <c r="D9807">
        <v>8</v>
      </c>
      <c r="E9807">
        <f t="shared" si="153"/>
        <v>1.0644906203717223E-25</v>
      </c>
    </row>
    <row r="9808" spans="1:5" x14ac:dyDescent="0.25">
      <c r="A9808">
        <v>12</v>
      </c>
      <c r="B9808">
        <v>4</v>
      </c>
      <c r="C9808">
        <v>25</v>
      </c>
      <c r="D9808">
        <v>7</v>
      </c>
      <c r="E9808">
        <f t="shared" si="153"/>
        <v>7.7589538551538907E-26</v>
      </c>
    </row>
    <row r="9809" spans="1:5" x14ac:dyDescent="0.25">
      <c r="A9809">
        <v>12</v>
      </c>
      <c r="B9809">
        <v>4</v>
      </c>
      <c r="C9809">
        <v>26</v>
      </c>
      <c r="D9809">
        <v>6</v>
      </c>
      <c r="E9809">
        <f t="shared" si="153"/>
        <v>4.3977876102086787E-26</v>
      </c>
    </row>
    <row r="9810" spans="1:5" x14ac:dyDescent="0.25">
      <c r="A9810">
        <v>12</v>
      </c>
      <c r="B9810">
        <v>4</v>
      </c>
      <c r="C9810">
        <v>27</v>
      </c>
      <c r="D9810">
        <v>5</v>
      </c>
      <c r="E9810">
        <f t="shared" si="153"/>
        <v>1.9057079644237604E-26</v>
      </c>
    </row>
    <row r="9811" spans="1:5" x14ac:dyDescent="0.25">
      <c r="A9811">
        <v>12</v>
      </c>
      <c r="B9811">
        <v>4</v>
      </c>
      <c r="C9811">
        <v>28</v>
      </c>
      <c r="D9811">
        <v>4</v>
      </c>
      <c r="E9811">
        <f t="shared" si="153"/>
        <v>6.1578998850427669E-27</v>
      </c>
    </row>
    <row r="9812" spans="1:5" x14ac:dyDescent="0.25">
      <c r="A9812">
        <v>12</v>
      </c>
      <c r="B9812">
        <v>4</v>
      </c>
      <c r="C9812">
        <v>29</v>
      </c>
      <c r="D9812">
        <v>3</v>
      </c>
      <c r="E9812">
        <f t="shared" si="153"/>
        <v>1.4284783432387611E-27</v>
      </c>
    </row>
    <row r="9813" spans="1:5" x14ac:dyDescent="0.25">
      <c r="A9813">
        <v>12</v>
      </c>
      <c r="B9813">
        <v>4</v>
      </c>
      <c r="C9813">
        <v>30</v>
      </c>
      <c r="D9813">
        <v>2</v>
      </c>
      <c r="E9813">
        <f t="shared" si="153"/>
        <v>2.2358791459389298E-28</v>
      </c>
    </row>
    <row r="9814" spans="1:5" x14ac:dyDescent="0.25">
      <c r="A9814">
        <v>12</v>
      </c>
      <c r="B9814">
        <v>4</v>
      </c>
      <c r="C9814">
        <v>31</v>
      </c>
      <c r="D9814">
        <v>1</v>
      </c>
      <c r="E9814">
        <f t="shared" si="153"/>
        <v>2.1036497340823267E-29</v>
      </c>
    </row>
    <row r="9815" spans="1:5" x14ac:dyDescent="0.25">
      <c r="A9815">
        <v>12</v>
      </c>
      <c r="B9815">
        <v>4</v>
      </c>
      <c r="C9815">
        <v>32</v>
      </c>
      <c r="D9815">
        <v>0</v>
      </c>
      <c r="E9815">
        <f t="shared" si="153"/>
        <v>8.9405113698498874E-31</v>
      </c>
    </row>
    <row r="9816" spans="1:5" x14ac:dyDescent="0.25">
      <c r="A9816">
        <v>12</v>
      </c>
      <c r="B9816">
        <v>5</v>
      </c>
      <c r="C9816">
        <v>6</v>
      </c>
      <c r="D9816">
        <v>25</v>
      </c>
      <c r="E9816">
        <f t="shared" si="153"/>
        <v>1.1661074073661649E-39</v>
      </c>
    </row>
    <row r="9817" spans="1:5" x14ac:dyDescent="0.25">
      <c r="A9817">
        <v>12</v>
      </c>
      <c r="B9817">
        <v>5</v>
      </c>
      <c r="C9817">
        <v>7</v>
      </c>
      <c r="D9817">
        <v>24</v>
      </c>
      <c r="E9817">
        <f t="shared" si="153"/>
        <v>2.4571548940929905E-37</v>
      </c>
    </row>
    <row r="9818" spans="1:5" x14ac:dyDescent="0.25">
      <c r="A9818">
        <v>12</v>
      </c>
      <c r="B9818">
        <v>5</v>
      </c>
      <c r="C9818">
        <v>8</v>
      </c>
      <c r="D9818">
        <v>23</v>
      </c>
      <c r="E9818">
        <f t="shared" si="153"/>
        <v>2.1377247578609021E-35</v>
      </c>
    </row>
    <row r="9819" spans="1:5" x14ac:dyDescent="0.25">
      <c r="A9819">
        <v>12</v>
      </c>
      <c r="B9819">
        <v>5</v>
      </c>
      <c r="C9819">
        <v>9</v>
      </c>
      <c r="D9819">
        <v>22</v>
      </c>
      <c r="E9819">
        <f t="shared" si="153"/>
        <v>1.0379841324280154E-33</v>
      </c>
    </row>
    <row r="9820" spans="1:5" x14ac:dyDescent="0.25">
      <c r="A9820">
        <v>12</v>
      </c>
      <c r="B9820">
        <v>5</v>
      </c>
      <c r="C9820">
        <v>10</v>
      </c>
      <c r="D9820">
        <v>21</v>
      </c>
      <c r="E9820">
        <f t="shared" si="153"/>
        <v>3.1969911278782886E-32</v>
      </c>
    </row>
    <row r="9821" spans="1:5" x14ac:dyDescent="0.25">
      <c r="A9821">
        <v>12</v>
      </c>
      <c r="B9821">
        <v>5</v>
      </c>
      <c r="C9821">
        <v>11</v>
      </c>
      <c r="D9821">
        <v>20</v>
      </c>
      <c r="E9821">
        <f t="shared" si="153"/>
        <v>6.7136813685444054E-31</v>
      </c>
    </row>
    <row r="9822" spans="1:5" x14ac:dyDescent="0.25">
      <c r="A9822">
        <v>12</v>
      </c>
      <c r="B9822">
        <v>5</v>
      </c>
      <c r="C9822">
        <v>12</v>
      </c>
      <c r="D9822">
        <v>19</v>
      </c>
      <c r="E9822">
        <f t="shared" si="153"/>
        <v>1.0070522052816602E-29</v>
      </c>
    </row>
    <row r="9823" spans="1:5" x14ac:dyDescent="0.25">
      <c r="A9823">
        <v>12</v>
      </c>
      <c r="B9823">
        <v>5</v>
      </c>
      <c r="C9823">
        <v>13</v>
      </c>
      <c r="D9823">
        <v>18</v>
      </c>
      <c r="E9823">
        <f t="shared" si="153"/>
        <v>1.1143973304600359E-28</v>
      </c>
    </row>
    <row r="9824" spans="1:5" x14ac:dyDescent="0.25">
      <c r="A9824">
        <v>12</v>
      </c>
      <c r="B9824">
        <v>5</v>
      </c>
      <c r="C9824">
        <v>14</v>
      </c>
      <c r="D9824">
        <v>17</v>
      </c>
      <c r="E9824">
        <f t="shared" si="153"/>
        <v>9.3131776902731559E-28</v>
      </c>
    </row>
    <row r="9825" spans="1:5" x14ac:dyDescent="0.25">
      <c r="A9825">
        <v>12</v>
      </c>
      <c r="B9825">
        <v>5</v>
      </c>
      <c r="C9825">
        <v>15</v>
      </c>
      <c r="D9825">
        <v>16</v>
      </c>
      <c r="E9825">
        <f t="shared" si="153"/>
        <v>5.9811296721976465E-27</v>
      </c>
    </row>
    <row r="9826" spans="1:5" x14ac:dyDescent="0.25">
      <c r="A9826">
        <v>12</v>
      </c>
      <c r="B9826">
        <v>5</v>
      </c>
      <c r="C9826">
        <v>16</v>
      </c>
      <c r="D9826">
        <v>15</v>
      </c>
      <c r="E9826">
        <f t="shared" si="153"/>
        <v>2.9905648360988232E-26</v>
      </c>
    </row>
    <row r="9827" spans="1:5" x14ac:dyDescent="0.25">
      <c r="A9827">
        <v>12</v>
      </c>
      <c r="B9827">
        <v>5</v>
      </c>
      <c r="C9827">
        <v>17</v>
      </c>
      <c r="D9827">
        <v>14</v>
      </c>
      <c r="E9827">
        <f t="shared" si="153"/>
        <v>1.1754359115147789E-25</v>
      </c>
    </row>
    <row r="9828" spans="1:5" x14ac:dyDescent="0.25">
      <c r="A9828">
        <v>12</v>
      </c>
      <c r="B9828">
        <v>5</v>
      </c>
      <c r="C9828">
        <v>18</v>
      </c>
      <c r="D9828">
        <v>13</v>
      </c>
      <c r="E9828">
        <f t="shared" si="153"/>
        <v>3.6569117247126426E-25</v>
      </c>
    </row>
    <row r="9829" spans="1:5" x14ac:dyDescent="0.25">
      <c r="A9829">
        <v>12</v>
      </c>
      <c r="B9829">
        <v>5</v>
      </c>
      <c r="C9829">
        <v>19</v>
      </c>
      <c r="D9829">
        <v>12</v>
      </c>
      <c r="E9829">
        <f t="shared" si="153"/>
        <v>9.0460447927102253E-25</v>
      </c>
    </row>
    <row r="9830" spans="1:5" x14ac:dyDescent="0.25">
      <c r="A9830">
        <v>12</v>
      </c>
      <c r="B9830">
        <v>5</v>
      </c>
      <c r="C9830">
        <v>20</v>
      </c>
      <c r="D9830">
        <v>11</v>
      </c>
      <c r="E9830">
        <f t="shared" si="153"/>
        <v>1.7833631162771598E-24</v>
      </c>
    </row>
    <row r="9831" spans="1:5" x14ac:dyDescent="0.25">
      <c r="A9831">
        <v>12</v>
      </c>
      <c r="B9831">
        <v>5</v>
      </c>
      <c r="C9831">
        <v>21</v>
      </c>
      <c r="D9831">
        <v>10</v>
      </c>
      <c r="E9831">
        <f t="shared" si="153"/>
        <v>2.8024277541498187E-24</v>
      </c>
    </row>
    <row r="9832" spans="1:5" x14ac:dyDescent="0.25">
      <c r="A9832">
        <v>12</v>
      </c>
      <c r="B9832">
        <v>5</v>
      </c>
      <c r="C9832">
        <v>22</v>
      </c>
      <c r="D9832">
        <v>9</v>
      </c>
      <c r="E9832">
        <f t="shared" si="153"/>
        <v>3.5030346926872766E-24</v>
      </c>
    </row>
    <row r="9833" spans="1:5" x14ac:dyDescent="0.25">
      <c r="A9833">
        <v>12</v>
      </c>
      <c r="B9833">
        <v>5</v>
      </c>
      <c r="C9833">
        <v>23</v>
      </c>
      <c r="D9833">
        <v>8</v>
      </c>
      <c r="E9833">
        <f t="shared" si="153"/>
        <v>3.4671980206393239E-24</v>
      </c>
    </row>
    <row r="9834" spans="1:5" x14ac:dyDescent="0.25">
      <c r="A9834">
        <v>12</v>
      </c>
      <c r="B9834">
        <v>5</v>
      </c>
      <c r="C9834">
        <v>24</v>
      </c>
      <c r="D9834">
        <v>7</v>
      </c>
      <c r="E9834">
        <f t="shared" si="153"/>
        <v>2.6967095716083633E-24</v>
      </c>
    </row>
    <row r="9835" spans="1:5" x14ac:dyDescent="0.25">
      <c r="A9835">
        <v>12</v>
      </c>
      <c r="B9835">
        <v>5</v>
      </c>
      <c r="C9835">
        <v>25</v>
      </c>
      <c r="D9835">
        <v>6</v>
      </c>
      <c r="E9835">
        <f t="shared" si="153"/>
        <v>1.6293803095823167E-24</v>
      </c>
    </row>
    <row r="9836" spans="1:5" x14ac:dyDescent="0.25">
      <c r="A9836">
        <v>12</v>
      </c>
      <c r="B9836">
        <v>5</v>
      </c>
      <c r="C9836">
        <v>26</v>
      </c>
      <c r="D9836">
        <v>5</v>
      </c>
      <c r="E9836">
        <f t="shared" si="153"/>
        <v>7.5202168134568414E-25</v>
      </c>
    </row>
    <row r="9837" spans="1:5" x14ac:dyDescent="0.25">
      <c r="A9837">
        <v>12</v>
      </c>
      <c r="B9837">
        <v>5</v>
      </c>
      <c r="C9837">
        <v>27</v>
      </c>
      <c r="D9837">
        <v>4</v>
      </c>
      <c r="E9837">
        <f t="shared" si="153"/>
        <v>2.5863179517179616E-25</v>
      </c>
    </row>
    <row r="9838" spans="1:5" x14ac:dyDescent="0.25">
      <c r="A9838">
        <v>12</v>
      </c>
      <c r="B9838">
        <v>5</v>
      </c>
      <c r="C9838">
        <v>28</v>
      </c>
      <c r="D9838">
        <v>3</v>
      </c>
      <c r="E9838">
        <f t="shared" si="153"/>
        <v>6.3818235172261392E-26</v>
      </c>
    </row>
    <row r="9839" spans="1:5" x14ac:dyDescent="0.25">
      <c r="A9839">
        <v>12</v>
      </c>
      <c r="B9839">
        <v>5</v>
      </c>
      <c r="C9839">
        <v>29</v>
      </c>
      <c r="D9839">
        <v>2</v>
      </c>
      <c r="E9839">
        <f t="shared" si="153"/>
        <v>1.0620425943209918E-26</v>
      </c>
    </row>
    <row r="9840" spans="1:5" x14ac:dyDescent="0.25">
      <c r="A9840">
        <v>12</v>
      </c>
      <c r="B9840">
        <v>5</v>
      </c>
      <c r="C9840">
        <v>30</v>
      </c>
      <c r="D9840">
        <v>1</v>
      </c>
      <c r="E9840">
        <f t="shared" si="153"/>
        <v>1.0620425943209916E-27</v>
      </c>
    </row>
    <row r="9841" spans="1:5" x14ac:dyDescent="0.25">
      <c r="A9841">
        <v>12</v>
      </c>
      <c r="B9841">
        <v>5</v>
      </c>
      <c r="C9841">
        <v>31</v>
      </c>
      <c r="D9841">
        <v>0</v>
      </c>
      <c r="E9841">
        <f t="shared" si="153"/>
        <v>4.7963213937077046E-29</v>
      </c>
    </row>
    <row r="9842" spans="1:5" x14ac:dyDescent="0.25">
      <c r="A9842">
        <v>12</v>
      </c>
      <c r="B9842">
        <v>6</v>
      </c>
      <c r="C9842">
        <v>5</v>
      </c>
      <c r="D9842">
        <v>25</v>
      </c>
      <c r="E9842">
        <f t="shared" si="153"/>
        <v>5.519575061533181E-39</v>
      </c>
    </row>
    <row r="9843" spans="1:5" x14ac:dyDescent="0.25">
      <c r="A9843">
        <v>12</v>
      </c>
      <c r="B9843">
        <v>6</v>
      </c>
      <c r="C9843">
        <v>6</v>
      </c>
      <c r="D9843">
        <v>24</v>
      </c>
      <c r="E9843">
        <f t="shared" si="153"/>
        <v>1.3798937653832951E-36</v>
      </c>
    </row>
    <row r="9844" spans="1:5" x14ac:dyDescent="0.25">
      <c r="A9844">
        <v>12</v>
      </c>
      <c r="B9844">
        <v>6</v>
      </c>
      <c r="C9844">
        <v>7</v>
      </c>
      <c r="D9844">
        <v>23</v>
      </c>
      <c r="E9844">
        <f t="shared" si="153"/>
        <v>1.3956639798448185E-34</v>
      </c>
    </row>
    <row r="9845" spans="1:5" x14ac:dyDescent="0.25">
      <c r="A9845">
        <v>12</v>
      </c>
      <c r="B9845">
        <v>6</v>
      </c>
      <c r="C9845">
        <v>8</v>
      </c>
      <c r="D9845">
        <v>22</v>
      </c>
      <c r="E9845">
        <f t="shared" si="153"/>
        <v>7.7575656213041169E-33</v>
      </c>
    </row>
    <row r="9846" spans="1:5" x14ac:dyDescent="0.25">
      <c r="A9846">
        <v>12</v>
      </c>
      <c r="B9846">
        <v>6</v>
      </c>
      <c r="C9846">
        <v>9</v>
      </c>
      <c r="D9846">
        <v>21</v>
      </c>
      <c r="E9846">
        <f t="shared" si="153"/>
        <v>2.7022186914209336E-31</v>
      </c>
    </row>
    <row r="9847" spans="1:5" x14ac:dyDescent="0.25">
      <c r="A9847">
        <v>12</v>
      </c>
      <c r="B9847">
        <v>6</v>
      </c>
      <c r="C9847">
        <v>10</v>
      </c>
      <c r="D9847">
        <v>20</v>
      </c>
      <c r="E9847">
        <f t="shared" si="153"/>
        <v>6.3556183622220357E-30</v>
      </c>
    </row>
    <row r="9848" spans="1:5" x14ac:dyDescent="0.25">
      <c r="A9848">
        <v>12</v>
      </c>
      <c r="B9848">
        <v>6</v>
      </c>
      <c r="C9848">
        <v>11</v>
      </c>
      <c r="D9848">
        <v>19</v>
      </c>
      <c r="E9848">
        <f t="shared" si="153"/>
        <v>1.059269727037006E-28</v>
      </c>
    </row>
    <row r="9849" spans="1:5" x14ac:dyDescent="0.25">
      <c r="A9849">
        <v>12</v>
      </c>
      <c r="B9849">
        <v>6</v>
      </c>
      <c r="C9849">
        <v>12</v>
      </c>
      <c r="D9849">
        <v>18</v>
      </c>
      <c r="E9849">
        <f t="shared" si="153"/>
        <v>1.2938223094523428E-27</v>
      </c>
    </row>
    <row r="9850" spans="1:5" x14ac:dyDescent="0.25">
      <c r="A9850">
        <v>12</v>
      </c>
      <c r="B9850">
        <v>6</v>
      </c>
      <c r="C9850">
        <v>13</v>
      </c>
      <c r="D9850">
        <v>17</v>
      </c>
      <c r="E9850">
        <f t="shared" si="153"/>
        <v>1.1868331569399379E-26</v>
      </c>
    </row>
    <row r="9851" spans="1:5" x14ac:dyDescent="0.25">
      <c r="A9851">
        <v>12</v>
      </c>
      <c r="B9851">
        <v>6</v>
      </c>
      <c r="C9851">
        <v>14</v>
      </c>
      <c r="D9851">
        <v>16</v>
      </c>
      <c r="E9851">
        <f t="shared" si="153"/>
        <v>8.3266707201182949E-26</v>
      </c>
    </row>
    <row r="9852" spans="1:5" x14ac:dyDescent="0.25">
      <c r="A9852">
        <v>12</v>
      </c>
      <c r="B9852">
        <v>6</v>
      </c>
      <c r="C9852">
        <v>15</v>
      </c>
      <c r="D9852">
        <v>15</v>
      </c>
      <c r="E9852">
        <f t="shared" si="153"/>
        <v>4.5297088717443505E-25</v>
      </c>
    </row>
    <row r="9853" spans="1:5" x14ac:dyDescent="0.25">
      <c r="A9853">
        <v>12</v>
      </c>
      <c r="B9853">
        <v>6</v>
      </c>
      <c r="C9853">
        <v>16</v>
      </c>
      <c r="D9853">
        <v>14</v>
      </c>
      <c r="E9853">
        <f t="shared" si="153"/>
        <v>1.9302736669365134E-24</v>
      </c>
    </row>
    <row r="9854" spans="1:5" x14ac:dyDescent="0.25">
      <c r="A9854">
        <v>12</v>
      </c>
      <c r="B9854">
        <v>6</v>
      </c>
      <c r="C9854">
        <v>17</v>
      </c>
      <c r="D9854">
        <v>13</v>
      </c>
      <c r="E9854">
        <f t="shared" si="153"/>
        <v>6.4910183113649462E-24</v>
      </c>
    </row>
    <row r="9855" spans="1:5" x14ac:dyDescent="0.25">
      <c r="A9855">
        <v>12</v>
      </c>
      <c r="B9855">
        <v>6</v>
      </c>
      <c r="C9855">
        <v>18</v>
      </c>
      <c r="D9855">
        <v>12</v>
      </c>
      <c r="E9855">
        <f t="shared" si="153"/>
        <v>1.7309382163639841E-23</v>
      </c>
    </row>
    <row r="9856" spans="1:5" x14ac:dyDescent="0.25">
      <c r="A9856">
        <v>12</v>
      </c>
      <c r="B9856">
        <v>6</v>
      </c>
      <c r="C9856">
        <v>19</v>
      </c>
      <c r="D9856">
        <v>11</v>
      </c>
      <c r="E9856">
        <f t="shared" si="153"/>
        <v>3.6701096016138624E-23</v>
      </c>
    </row>
    <row r="9857" spans="1:5" x14ac:dyDescent="0.25">
      <c r="A9857">
        <v>12</v>
      </c>
      <c r="B9857">
        <v>6</v>
      </c>
      <c r="C9857">
        <v>20</v>
      </c>
      <c r="D9857">
        <v>10</v>
      </c>
      <c r="E9857">
        <f t="shared" si="153"/>
        <v>6.1902515280553847E-23</v>
      </c>
    </row>
    <row r="9858" spans="1:5" x14ac:dyDescent="0.25">
      <c r="A9858">
        <v>12</v>
      </c>
      <c r="B9858">
        <v>6</v>
      </c>
      <c r="C9858">
        <v>21</v>
      </c>
      <c r="D9858">
        <v>9</v>
      </c>
      <c r="E9858">
        <f t="shared" si="153"/>
        <v>8.2905154393598822E-23</v>
      </c>
    </row>
    <row r="9859" spans="1:5" x14ac:dyDescent="0.25">
      <c r="A9859">
        <v>12</v>
      </c>
      <c r="B9859">
        <v>6</v>
      </c>
      <c r="C9859">
        <v>22</v>
      </c>
      <c r="D9859">
        <v>8</v>
      </c>
      <c r="E9859">
        <f t="shared" si="153"/>
        <v>8.7781928181457625E-23</v>
      </c>
    </row>
    <row r="9860" spans="1:5" x14ac:dyDescent="0.25">
      <c r="A9860">
        <v>12</v>
      </c>
      <c r="B9860">
        <v>6</v>
      </c>
      <c r="C9860">
        <v>23</v>
      </c>
      <c r="D9860">
        <v>7</v>
      </c>
      <c r="E9860">
        <f t="shared" si="153"/>
        <v>7.2939573174930979E-23</v>
      </c>
    </row>
    <row r="9861" spans="1:5" x14ac:dyDescent="0.25">
      <c r="A9861">
        <v>12</v>
      </c>
      <c r="B9861">
        <v>6</v>
      </c>
      <c r="C9861">
        <v>24</v>
      </c>
      <c r="D9861">
        <v>6</v>
      </c>
      <c r="E9861">
        <f t="shared" si="153"/>
        <v>4.7026830073310744E-23</v>
      </c>
    </row>
    <row r="9862" spans="1:5" x14ac:dyDescent="0.25">
      <c r="A9862">
        <v>12</v>
      </c>
      <c r="B9862">
        <v>6</v>
      </c>
      <c r="C9862">
        <v>25</v>
      </c>
      <c r="D9862">
        <v>5</v>
      </c>
      <c r="E9862">
        <f t="shared" si="153"/>
        <v>2.3137200396068894E-23</v>
      </c>
    </row>
    <row r="9863" spans="1:5" x14ac:dyDescent="0.25">
      <c r="A9863">
        <v>12</v>
      </c>
      <c r="B9863">
        <v>6</v>
      </c>
      <c r="C9863">
        <v>26</v>
      </c>
      <c r="D9863">
        <v>4</v>
      </c>
      <c r="E9863">
        <f t="shared" si="153"/>
        <v>8.4751649802450124E-24</v>
      </c>
    </row>
    <row r="9864" spans="1:5" x14ac:dyDescent="0.25">
      <c r="A9864">
        <v>12</v>
      </c>
      <c r="B9864">
        <v>6</v>
      </c>
      <c r="C9864">
        <v>27</v>
      </c>
      <c r="D9864">
        <v>3</v>
      </c>
      <c r="E9864">
        <f t="shared" si="153"/>
        <v>2.22580090390273E-24</v>
      </c>
    </row>
    <row r="9865" spans="1:5" x14ac:dyDescent="0.25">
      <c r="A9865">
        <v>12</v>
      </c>
      <c r="B9865">
        <v>6</v>
      </c>
      <c r="C9865">
        <v>28</v>
      </c>
      <c r="D9865">
        <v>2</v>
      </c>
      <c r="E9865">
        <f t="shared" si="153"/>
        <v>3.9400823454178774E-25</v>
      </c>
    </row>
    <row r="9866" spans="1:5" x14ac:dyDescent="0.25">
      <c r="A9866">
        <v>12</v>
      </c>
      <c r="B9866">
        <v>6</v>
      </c>
      <c r="C9866">
        <v>29</v>
      </c>
      <c r="D9866">
        <v>1</v>
      </c>
      <c r="E9866">
        <f t="shared" si="153"/>
        <v>4.189168010932801E-26</v>
      </c>
    </row>
    <row r="9867" spans="1:5" x14ac:dyDescent="0.25">
      <c r="A9867">
        <v>12</v>
      </c>
      <c r="B9867">
        <v>6</v>
      </c>
      <c r="C9867">
        <v>30</v>
      </c>
      <c r="D9867">
        <v>0</v>
      </c>
      <c r="E9867">
        <f t="shared" si="153"/>
        <v>2.0108006452477443E-27</v>
      </c>
    </row>
    <row r="9868" spans="1:5" x14ac:dyDescent="0.25">
      <c r="A9868">
        <v>12</v>
      </c>
      <c r="B9868">
        <v>7</v>
      </c>
      <c r="C9868">
        <v>4</v>
      </c>
      <c r="D9868">
        <v>25</v>
      </c>
      <c r="E9868">
        <f t="shared" si="153"/>
        <v>1.8290863494307846E-38</v>
      </c>
    </row>
    <row r="9869" spans="1:5" x14ac:dyDescent="0.25">
      <c r="A9869">
        <v>12</v>
      </c>
      <c r="B9869">
        <v>7</v>
      </c>
      <c r="C9869">
        <v>5</v>
      </c>
      <c r="D9869">
        <v>24</v>
      </c>
      <c r="E9869">
        <f t="shared" si="153"/>
        <v>5.5787133657638935E-36</v>
      </c>
    </row>
    <row r="9870" spans="1:5" x14ac:dyDescent="0.25">
      <c r="A9870">
        <v>12</v>
      </c>
      <c r="B9870">
        <v>7</v>
      </c>
      <c r="C9870">
        <v>6</v>
      </c>
      <c r="D9870">
        <v>23</v>
      </c>
      <c r="E9870">
        <f t="shared" ref="E9870:E9933" si="154">COMBIN(A$4,A9870)*COMBIN(B$4,B9870)*COMBIN(C$4,C9870)*COMBIN(D$4,D9870)/COMBIN($G$4,$F$4)</f>
        <v>6.6944560389166716E-34</v>
      </c>
    </row>
    <row r="9871" spans="1:5" x14ac:dyDescent="0.25">
      <c r="A9871">
        <v>12</v>
      </c>
      <c r="B9871">
        <v>7</v>
      </c>
      <c r="C9871">
        <v>7</v>
      </c>
      <c r="D9871">
        <v>22</v>
      </c>
      <c r="E9871">
        <f t="shared" si="154"/>
        <v>4.3258937356237728E-32</v>
      </c>
    </row>
    <row r="9872" spans="1:5" x14ac:dyDescent="0.25">
      <c r="A9872">
        <v>12</v>
      </c>
      <c r="B9872">
        <v>7</v>
      </c>
      <c r="C9872">
        <v>8</v>
      </c>
      <c r="D9872">
        <v>21</v>
      </c>
      <c r="E9872">
        <f t="shared" si="154"/>
        <v>1.7249501270799802E-30</v>
      </c>
    </row>
    <row r="9873" spans="1:5" x14ac:dyDescent="0.25">
      <c r="A9873">
        <v>12</v>
      </c>
      <c r="B9873">
        <v>7</v>
      </c>
      <c r="C9873">
        <v>9</v>
      </c>
      <c r="D9873">
        <v>20</v>
      </c>
      <c r="E9873">
        <f t="shared" si="154"/>
        <v>4.588367338032745E-29</v>
      </c>
    </row>
    <row r="9874" spans="1:5" x14ac:dyDescent="0.25">
      <c r="A9874">
        <v>12</v>
      </c>
      <c r="B9874">
        <v>7</v>
      </c>
      <c r="C9874">
        <v>10</v>
      </c>
      <c r="D9874">
        <v>19</v>
      </c>
      <c r="E9874">
        <f t="shared" si="154"/>
        <v>8.5649523643277922E-28</v>
      </c>
    </row>
    <row r="9875" spans="1:5" x14ac:dyDescent="0.25">
      <c r="A9875">
        <v>12</v>
      </c>
      <c r="B9875">
        <v>7</v>
      </c>
      <c r="C9875">
        <v>11</v>
      </c>
      <c r="D9875">
        <v>18</v>
      </c>
      <c r="E9875">
        <f t="shared" si="154"/>
        <v>1.1623863923016295E-26</v>
      </c>
    </row>
    <row r="9876" spans="1:5" x14ac:dyDescent="0.25">
      <c r="A9876">
        <v>12</v>
      </c>
      <c r="B9876">
        <v>7</v>
      </c>
      <c r="C9876">
        <v>12</v>
      </c>
      <c r="D9876">
        <v>17</v>
      </c>
      <c r="E9876">
        <f t="shared" si="154"/>
        <v>1.176916222205399E-25</v>
      </c>
    </row>
    <row r="9877" spans="1:5" x14ac:dyDescent="0.25">
      <c r="A9877">
        <v>12</v>
      </c>
      <c r="B9877">
        <v>7</v>
      </c>
      <c r="C9877">
        <v>13</v>
      </c>
      <c r="D9877">
        <v>16</v>
      </c>
      <c r="E9877">
        <f t="shared" si="154"/>
        <v>9.0632608222826062E-25</v>
      </c>
    </row>
    <row r="9878" spans="1:5" x14ac:dyDescent="0.25">
      <c r="A9878">
        <v>12</v>
      </c>
      <c r="B9878">
        <v>7</v>
      </c>
      <c r="C9878">
        <v>14</v>
      </c>
      <c r="D9878">
        <v>15</v>
      </c>
      <c r="E9878">
        <f t="shared" si="154"/>
        <v>5.3861664315279495E-24</v>
      </c>
    </row>
    <row r="9879" spans="1:5" x14ac:dyDescent="0.25">
      <c r="A9879">
        <v>12</v>
      </c>
      <c r="B9879">
        <v>7</v>
      </c>
      <c r="C9879">
        <v>15</v>
      </c>
      <c r="D9879">
        <v>14</v>
      </c>
      <c r="E9879">
        <f t="shared" si="154"/>
        <v>2.4972226182538664E-23</v>
      </c>
    </row>
    <row r="9880" spans="1:5" x14ac:dyDescent="0.25">
      <c r="A9880">
        <v>12</v>
      </c>
      <c r="B9880">
        <v>7</v>
      </c>
      <c r="C9880">
        <v>16</v>
      </c>
      <c r="D9880">
        <v>13</v>
      </c>
      <c r="E9880">
        <f t="shared" si="154"/>
        <v>9.1044574623838913E-23</v>
      </c>
    </row>
    <row r="9881" spans="1:5" x14ac:dyDescent="0.25">
      <c r="A9881">
        <v>12</v>
      </c>
      <c r="B9881">
        <v>7</v>
      </c>
      <c r="C9881">
        <v>17</v>
      </c>
      <c r="D9881">
        <v>12</v>
      </c>
      <c r="E9881">
        <f t="shared" si="154"/>
        <v>2.624225974451829E-22</v>
      </c>
    </row>
    <row r="9882" spans="1:5" x14ac:dyDescent="0.25">
      <c r="A9882">
        <v>12</v>
      </c>
      <c r="B9882">
        <v>7</v>
      </c>
      <c r="C9882">
        <v>18</v>
      </c>
      <c r="D9882">
        <v>11</v>
      </c>
      <c r="E9882">
        <f t="shared" si="154"/>
        <v>5.9982307987470302E-22</v>
      </c>
    </row>
    <row r="9883" spans="1:5" x14ac:dyDescent="0.25">
      <c r="A9883">
        <v>12</v>
      </c>
      <c r="B9883">
        <v>7</v>
      </c>
      <c r="C9883">
        <v>19</v>
      </c>
      <c r="D9883">
        <v>10</v>
      </c>
      <c r="E9883">
        <f t="shared" si="154"/>
        <v>1.0881001133165668E-21</v>
      </c>
    </row>
    <row r="9884" spans="1:5" x14ac:dyDescent="0.25">
      <c r="A9884">
        <v>12</v>
      </c>
      <c r="B9884">
        <v>7</v>
      </c>
      <c r="C9884">
        <v>20</v>
      </c>
      <c r="D9884">
        <v>9</v>
      </c>
      <c r="E9884">
        <f t="shared" si="154"/>
        <v>1.5641439128925665E-21</v>
      </c>
    </row>
    <row r="9885" spans="1:5" x14ac:dyDescent="0.25">
      <c r="A9885">
        <v>12</v>
      </c>
      <c r="B9885">
        <v>7</v>
      </c>
      <c r="C9885">
        <v>21</v>
      </c>
      <c r="D9885">
        <v>8</v>
      </c>
      <c r="E9885">
        <f t="shared" si="154"/>
        <v>1.7744489768108923E-21</v>
      </c>
    </row>
    <row r="9886" spans="1:5" x14ac:dyDescent="0.25">
      <c r="A9886">
        <v>12</v>
      </c>
      <c r="B9886">
        <v>7</v>
      </c>
      <c r="C9886">
        <v>22</v>
      </c>
      <c r="D9886">
        <v>7</v>
      </c>
      <c r="E9886">
        <f t="shared" si="154"/>
        <v>1.5772879793874614E-21</v>
      </c>
    </row>
    <row r="9887" spans="1:5" x14ac:dyDescent="0.25">
      <c r="A9887">
        <v>12</v>
      </c>
      <c r="B9887">
        <v>7</v>
      </c>
      <c r="C9887">
        <v>23</v>
      </c>
      <c r="D9887">
        <v>6</v>
      </c>
      <c r="E9887">
        <f t="shared" si="154"/>
        <v>1.0864157478160769E-21</v>
      </c>
    </row>
    <row r="9888" spans="1:5" x14ac:dyDescent="0.25">
      <c r="A9888">
        <v>12</v>
      </c>
      <c r="B9888">
        <v>7</v>
      </c>
      <c r="C9888">
        <v>24</v>
      </c>
      <c r="D9888">
        <v>5</v>
      </c>
      <c r="E9888">
        <f t="shared" si="154"/>
        <v>5.7036826760344029E-22</v>
      </c>
    </row>
    <row r="9889" spans="1:5" x14ac:dyDescent="0.25">
      <c r="A9889">
        <v>12</v>
      </c>
      <c r="B9889">
        <v>7</v>
      </c>
      <c r="C9889">
        <v>25</v>
      </c>
      <c r="D9889">
        <v>4</v>
      </c>
      <c r="E9889">
        <f t="shared" si="154"/>
        <v>2.227152283022959E-22</v>
      </c>
    </row>
    <row r="9890" spans="1:5" x14ac:dyDescent="0.25">
      <c r="A9890">
        <v>12</v>
      </c>
      <c r="B9890">
        <v>7</v>
      </c>
      <c r="C9890">
        <v>26</v>
      </c>
      <c r="D9890">
        <v>3</v>
      </c>
      <c r="E9890">
        <f t="shared" si="154"/>
        <v>6.2297965958684121E-23</v>
      </c>
    </row>
    <row r="9891" spans="1:5" x14ac:dyDescent="0.25">
      <c r="A9891">
        <v>12</v>
      </c>
      <c r="B9891">
        <v>7</v>
      </c>
      <c r="C9891">
        <v>27</v>
      </c>
      <c r="D9891">
        <v>2</v>
      </c>
      <c r="E9891">
        <f t="shared" si="154"/>
        <v>1.1737297934244834E-23</v>
      </c>
    </row>
    <row r="9892" spans="1:5" x14ac:dyDescent="0.25">
      <c r="A9892">
        <v>12</v>
      </c>
      <c r="B9892">
        <v>7</v>
      </c>
      <c r="C9892">
        <v>28</v>
      </c>
      <c r="D9892">
        <v>1</v>
      </c>
      <c r="E9892">
        <f t="shared" si="154"/>
        <v>1.3274325044681658E-24</v>
      </c>
    </row>
    <row r="9893" spans="1:5" x14ac:dyDescent="0.25">
      <c r="A9893">
        <v>12</v>
      </c>
      <c r="B9893">
        <v>7</v>
      </c>
      <c r="C9893">
        <v>29</v>
      </c>
      <c r="D9893">
        <v>0</v>
      </c>
      <c r="E9893">
        <f t="shared" si="154"/>
        <v>6.774483126251331E-26</v>
      </c>
    </row>
    <row r="9894" spans="1:5" x14ac:dyDescent="0.25">
      <c r="A9894">
        <v>12</v>
      </c>
      <c r="B9894">
        <v>8</v>
      </c>
      <c r="C9894">
        <v>3</v>
      </c>
      <c r="D9894">
        <v>25</v>
      </c>
      <c r="E9894">
        <f t="shared" si="154"/>
        <v>4.1596963753183969E-38</v>
      </c>
    </row>
    <row r="9895" spans="1:5" x14ac:dyDescent="0.25">
      <c r="A9895">
        <v>12</v>
      </c>
      <c r="B9895">
        <v>8</v>
      </c>
      <c r="C9895">
        <v>4</v>
      </c>
      <c r="D9895">
        <v>24</v>
      </c>
      <c r="E9895">
        <f t="shared" si="154"/>
        <v>1.6118823454358785E-35</v>
      </c>
    </row>
    <row r="9896" spans="1:5" x14ac:dyDescent="0.25">
      <c r="A9896">
        <v>12</v>
      </c>
      <c r="B9896">
        <v>8</v>
      </c>
      <c r="C9896">
        <v>5</v>
      </c>
      <c r="D9896">
        <v>23</v>
      </c>
      <c r="E9896">
        <f t="shared" si="154"/>
        <v>2.3597957537181268E-33</v>
      </c>
    </row>
    <row r="9897" spans="1:5" x14ac:dyDescent="0.25">
      <c r="A9897">
        <v>12</v>
      </c>
      <c r="B9897">
        <v>8</v>
      </c>
      <c r="C9897">
        <v>6</v>
      </c>
      <c r="D9897">
        <v>22</v>
      </c>
      <c r="E9897">
        <f t="shared" si="154"/>
        <v>1.8091767445172304E-31</v>
      </c>
    </row>
    <row r="9898" spans="1:5" x14ac:dyDescent="0.25">
      <c r="A9898">
        <v>12</v>
      </c>
      <c r="B9898">
        <v>8</v>
      </c>
      <c r="C9898">
        <v>7</v>
      </c>
      <c r="D9898">
        <v>21</v>
      </c>
      <c r="E9898">
        <f t="shared" si="154"/>
        <v>8.3868264799405897E-30</v>
      </c>
    </row>
    <row r="9899" spans="1:5" x14ac:dyDescent="0.25">
      <c r="A9899">
        <v>12</v>
      </c>
      <c r="B9899">
        <v>8</v>
      </c>
      <c r="C9899">
        <v>8</v>
      </c>
      <c r="D9899">
        <v>20</v>
      </c>
      <c r="E9899">
        <f t="shared" si="154"/>
        <v>2.5537886631419096E-28</v>
      </c>
    </row>
    <row r="9900" spans="1:5" x14ac:dyDescent="0.25">
      <c r="A9900">
        <v>12</v>
      </c>
      <c r="B9900">
        <v>8</v>
      </c>
      <c r="C9900">
        <v>9</v>
      </c>
      <c r="D9900">
        <v>19</v>
      </c>
      <c r="E9900">
        <f t="shared" si="154"/>
        <v>5.3913316221884744E-27</v>
      </c>
    </row>
    <row r="9901" spans="1:5" x14ac:dyDescent="0.25">
      <c r="A9901">
        <v>12</v>
      </c>
      <c r="B9901">
        <v>8</v>
      </c>
      <c r="C9901">
        <v>10</v>
      </c>
      <c r="D9901">
        <v>18</v>
      </c>
      <c r="E9901">
        <f t="shared" si="154"/>
        <v>8.1948240657264875E-26</v>
      </c>
    </row>
    <row r="9902" spans="1:5" x14ac:dyDescent="0.25">
      <c r="A9902">
        <v>12</v>
      </c>
      <c r="B9902">
        <v>8</v>
      </c>
      <c r="C9902">
        <v>11</v>
      </c>
      <c r="D9902">
        <v>17</v>
      </c>
      <c r="E9902">
        <f t="shared" si="154"/>
        <v>9.2191770739422961E-25</v>
      </c>
    </row>
    <row r="9903" spans="1:5" x14ac:dyDescent="0.25">
      <c r="A9903">
        <v>12</v>
      </c>
      <c r="B9903">
        <v>8</v>
      </c>
      <c r="C9903">
        <v>12</v>
      </c>
      <c r="D9903">
        <v>16</v>
      </c>
      <c r="E9903">
        <f t="shared" si="154"/>
        <v>7.8363005128509464E-24</v>
      </c>
    </row>
    <row r="9904" spans="1:5" x14ac:dyDescent="0.25">
      <c r="A9904">
        <v>12</v>
      </c>
      <c r="B9904">
        <v>8</v>
      </c>
      <c r="C9904">
        <v>13</v>
      </c>
      <c r="D9904">
        <v>15</v>
      </c>
      <c r="E9904">
        <f t="shared" si="154"/>
        <v>5.111679103767388E-23</v>
      </c>
    </row>
    <row r="9905" spans="1:5" x14ac:dyDescent="0.25">
      <c r="A9905">
        <v>12</v>
      </c>
      <c r="B9905">
        <v>8</v>
      </c>
      <c r="C9905">
        <v>14</v>
      </c>
      <c r="D9905">
        <v>14</v>
      </c>
      <c r="E9905">
        <f t="shared" si="154"/>
        <v>2.5890322733367296E-22</v>
      </c>
    </row>
    <row r="9906" spans="1:5" x14ac:dyDescent="0.25">
      <c r="A9906">
        <v>12</v>
      </c>
      <c r="B9906">
        <v>8</v>
      </c>
      <c r="C9906">
        <v>15</v>
      </c>
      <c r="D9906">
        <v>13</v>
      </c>
      <c r="E9906">
        <f t="shared" si="154"/>
        <v>1.0269828017569026E-21</v>
      </c>
    </row>
    <row r="9907" spans="1:5" x14ac:dyDescent="0.25">
      <c r="A9907">
        <v>12</v>
      </c>
      <c r="B9907">
        <v>8</v>
      </c>
      <c r="C9907">
        <v>16</v>
      </c>
      <c r="D9907">
        <v>12</v>
      </c>
      <c r="E9907">
        <f t="shared" si="154"/>
        <v>3.2093212554903211E-21</v>
      </c>
    </row>
    <row r="9908" spans="1:5" x14ac:dyDescent="0.25">
      <c r="A9908">
        <v>12</v>
      </c>
      <c r="B9908">
        <v>8</v>
      </c>
      <c r="C9908">
        <v>17</v>
      </c>
      <c r="D9908">
        <v>11</v>
      </c>
      <c r="E9908">
        <f t="shared" si="154"/>
        <v>7.9289113370937374E-21</v>
      </c>
    </row>
    <row r="9909" spans="1:5" x14ac:dyDescent="0.25">
      <c r="A9909">
        <v>12</v>
      </c>
      <c r="B9909">
        <v>8</v>
      </c>
      <c r="C9909">
        <v>18</v>
      </c>
      <c r="D9909">
        <v>10</v>
      </c>
      <c r="E9909">
        <f t="shared" si="154"/>
        <v>1.5505426614761069E-20</v>
      </c>
    </row>
    <row r="9910" spans="1:5" x14ac:dyDescent="0.25">
      <c r="A9910">
        <v>12</v>
      </c>
      <c r="B9910">
        <v>8</v>
      </c>
      <c r="C9910">
        <v>19</v>
      </c>
      <c r="D9910">
        <v>9</v>
      </c>
      <c r="E9910">
        <f t="shared" si="154"/>
        <v>2.3972205621505616E-20</v>
      </c>
    </row>
    <row r="9911" spans="1:5" x14ac:dyDescent="0.25">
      <c r="A9911">
        <v>12</v>
      </c>
      <c r="B9911">
        <v>8</v>
      </c>
      <c r="C9911">
        <v>20</v>
      </c>
      <c r="D9911">
        <v>8</v>
      </c>
      <c r="E9911">
        <f t="shared" si="154"/>
        <v>2.9189685668539216E-20</v>
      </c>
    </row>
    <row r="9912" spans="1:5" x14ac:dyDescent="0.25">
      <c r="A9912">
        <v>12</v>
      </c>
      <c r="B9912">
        <v>8</v>
      </c>
      <c r="C9912">
        <v>21</v>
      </c>
      <c r="D9912">
        <v>7</v>
      </c>
      <c r="E9912">
        <f t="shared" si="154"/>
        <v>2.7799700636703985E-20</v>
      </c>
    </row>
    <row r="9913" spans="1:5" x14ac:dyDescent="0.25">
      <c r="A9913">
        <v>12</v>
      </c>
      <c r="B9913">
        <v>8</v>
      </c>
      <c r="C9913">
        <v>22</v>
      </c>
      <c r="D9913">
        <v>6</v>
      </c>
      <c r="E9913">
        <f t="shared" si="154"/>
        <v>2.0483989942834518E-20</v>
      </c>
    </row>
    <row r="9914" spans="1:5" x14ac:dyDescent="0.25">
      <c r="A9914">
        <v>12</v>
      </c>
      <c r="B9914">
        <v>8</v>
      </c>
      <c r="C9914">
        <v>23</v>
      </c>
      <c r="D9914">
        <v>5</v>
      </c>
      <c r="E9914">
        <f t="shared" si="154"/>
        <v>1.1488846533155012E-20</v>
      </c>
    </row>
    <row r="9915" spans="1:5" x14ac:dyDescent="0.25">
      <c r="A9915">
        <v>12</v>
      </c>
      <c r="B9915">
        <v>8</v>
      </c>
      <c r="C9915">
        <v>24</v>
      </c>
      <c r="D9915">
        <v>4</v>
      </c>
      <c r="E9915">
        <f t="shared" si="154"/>
        <v>4.7870193888145897E-21</v>
      </c>
    </row>
    <row r="9916" spans="1:5" x14ac:dyDescent="0.25">
      <c r="A9916">
        <v>12</v>
      </c>
      <c r="B9916">
        <v>8</v>
      </c>
      <c r="C9916">
        <v>25</v>
      </c>
      <c r="D9916">
        <v>3</v>
      </c>
      <c r="E9916">
        <f t="shared" si="154"/>
        <v>1.4274021450283506E-21</v>
      </c>
    </row>
    <row r="9917" spans="1:5" x14ac:dyDescent="0.25">
      <c r="A9917">
        <v>12</v>
      </c>
      <c r="B9917">
        <v>8</v>
      </c>
      <c r="C9917">
        <v>26</v>
      </c>
      <c r="D9917">
        <v>2</v>
      </c>
      <c r="E9917">
        <f t="shared" si="154"/>
        <v>2.8643521304916713E-22</v>
      </c>
    </row>
    <row r="9918" spans="1:5" x14ac:dyDescent="0.25">
      <c r="A9918">
        <v>12</v>
      </c>
      <c r="B9918">
        <v>8</v>
      </c>
      <c r="C9918">
        <v>27</v>
      </c>
      <c r="D9918">
        <v>1</v>
      </c>
      <c r="E9918">
        <f t="shared" si="154"/>
        <v>3.4478312681844194E-23</v>
      </c>
    </row>
    <row r="9919" spans="1:5" x14ac:dyDescent="0.25">
      <c r="A9919">
        <v>12</v>
      </c>
      <c r="B9919">
        <v>8</v>
      </c>
      <c r="C9919">
        <v>28</v>
      </c>
      <c r="D9919">
        <v>0</v>
      </c>
      <c r="E9919">
        <f t="shared" si="154"/>
        <v>1.8716798313001137E-24</v>
      </c>
    </row>
    <row r="9920" spans="1:5" x14ac:dyDescent="0.25">
      <c r="A9920">
        <v>12</v>
      </c>
      <c r="B9920">
        <v>9</v>
      </c>
      <c r="C9920">
        <v>2</v>
      </c>
      <c r="D9920">
        <v>25</v>
      </c>
      <c r="E9920">
        <f t="shared" si="154"/>
        <v>6.1845221241506329E-38</v>
      </c>
    </row>
    <row r="9921" spans="1:5" x14ac:dyDescent="0.25">
      <c r="A9921">
        <v>12</v>
      </c>
      <c r="B9921">
        <v>9</v>
      </c>
      <c r="C9921">
        <v>3</v>
      </c>
      <c r="D9921">
        <v>24</v>
      </c>
      <c r="E9921">
        <f t="shared" si="154"/>
        <v>3.2468741151790818E-35</v>
      </c>
    </row>
    <row r="9922" spans="1:5" x14ac:dyDescent="0.25">
      <c r="A9922">
        <v>12</v>
      </c>
      <c r="B9922">
        <v>9</v>
      </c>
      <c r="C9922">
        <v>4</v>
      </c>
      <c r="D9922">
        <v>23</v>
      </c>
      <c r="E9922">
        <f t="shared" si="154"/>
        <v>6.0391858542330916E-33</v>
      </c>
    </row>
    <row r="9923" spans="1:5" x14ac:dyDescent="0.25">
      <c r="A9923">
        <v>12</v>
      </c>
      <c r="B9923">
        <v>9</v>
      </c>
      <c r="C9923">
        <v>5</v>
      </c>
      <c r="D9923">
        <v>22</v>
      </c>
      <c r="E9923">
        <f t="shared" si="154"/>
        <v>5.6486518356593537E-31</v>
      </c>
    </row>
    <row r="9924" spans="1:5" x14ac:dyDescent="0.25">
      <c r="A9924">
        <v>12</v>
      </c>
      <c r="B9924">
        <v>9</v>
      </c>
      <c r="C9924">
        <v>6</v>
      </c>
      <c r="D9924">
        <v>21</v>
      </c>
      <c r="E9924">
        <f t="shared" si="154"/>
        <v>3.1067585096126445E-29</v>
      </c>
    </row>
    <row r="9925" spans="1:5" x14ac:dyDescent="0.25">
      <c r="A9925">
        <v>12</v>
      </c>
      <c r="B9925">
        <v>9</v>
      </c>
      <c r="C9925">
        <v>7</v>
      </c>
      <c r="D9925">
        <v>20</v>
      </c>
      <c r="E9925">
        <f t="shared" si="154"/>
        <v>1.0997925124028758E-27</v>
      </c>
    </row>
    <row r="9926" spans="1:5" x14ac:dyDescent="0.25">
      <c r="A9926">
        <v>12</v>
      </c>
      <c r="B9926">
        <v>9</v>
      </c>
      <c r="C9926">
        <v>8</v>
      </c>
      <c r="D9926">
        <v>19</v>
      </c>
      <c r="E9926">
        <f t="shared" si="154"/>
        <v>2.657831904973617E-26</v>
      </c>
    </row>
    <row r="9927" spans="1:5" x14ac:dyDescent="0.25">
      <c r="A9927">
        <v>12</v>
      </c>
      <c r="B9927">
        <v>9</v>
      </c>
      <c r="C9927">
        <v>9</v>
      </c>
      <c r="D9927">
        <v>18</v>
      </c>
      <c r="E9927">
        <f t="shared" si="154"/>
        <v>4.568939608073695E-25</v>
      </c>
    </row>
    <row r="9928" spans="1:5" x14ac:dyDescent="0.25">
      <c r="A9928">
        <v>12</v>
      </c>
      <c r="B9928">
        <v>9</v>
      </c>
      <c r="C9928">
        <v>10</v>
      </c>
      <c r="D9928">
        <v>17</v>
      </c>
      <c r="E9928">
        <f t="shared" si="154"/>
        <v>5.756863906172855E-24</v>
      </c>
    </row>
    <row r="9929" spans="1:5" x14ac:dyDescent="0.25">
      <c r="A9929">
        <v>12</v>
      </c>
      <c r="B9929">
        <v>9</v>
      </c>
      <c r="C9929">
        <v>11</v>
      </c>
      <c r="D9929">
        <v>16</v>
      </c>
      <c r="E9929">
        <f t="shared" si="154"/>
        <v>5.437038133607697E-23</v>
      </c>
    </row>
    <row r="9930" spans="1:5" x14ac:dyDescent="0.25">
      <c r="A9930">
        <v>12</v>
      </c>
      <c r="B9930">
        <v>9</v>
      </c>
      <c r="C9930">
        <v>12</v>
      </c>
      <c r="D9930">
        <v>15</v>
      </c>
      <c r="E9930">
        <f t="shared" si="154"/>
        <v>3.9146674561975387E-22</v>
      </c>
    </row>
    <row r="9931" spans="1:5" x14ac:dyDescent="0.25">
      <c r="A9931">
        <v>12</v>
      </c>
      <c r="B9931">
        <v>9</v>
      </c>
      <c r="C9931">
        <v>13</v>
      </c>
      <c r="D9931">
        <v>14</v>
      </c>
      <c r="E9931">
        <f t="shared" si="154"/>
        <v>2.1763361032706614E-21</v>
      </c>
    </row>
    <row r="9932" spans="1:5" x14ac:dyDescent="0.25">
      <c r="A9932">
        <v>12</v>
      </c>
      <c r="B9932">
        <v>9</v>
      </c>
      <c r="C9932">
        <v>14</v>
      </c>
      <c r="D9932">
        <v>13</v>
      </c>
      <c r="E9932">
        <f t="shared" si="154"/>
        <v>9.4307897808395342E-21</v>
      </c>
    </row>
    <row r="9933" spans="1:5" x14ac:dyDescent="0.25">
      <c r="A9933">
        <v>12</v>
      </c>
      <c r="B9933">
        <v>9</v>
      </c>
      <c r="C9933">
        <v>15</v>
      </c>
      <c r="D9933">
        <v>12</v>
      </c>
      <c r="E9933">
        <f t="shared" si="154"/>
        <v>3.2064685254854398E-20</v>
      </c>
    </row>
    <row r="9934" spans="1:5" x14ac:dyDescent="0.25">
      <c r="A9934">
        <v>12</v>
      </c>
      <c r="B9934">
        <v>9</v>
      </c>
      <c r="C9934">
        <v>16</v>
      </c>
      <c r="D9934">
        <v>11</v>
      </c>
      <c r="E9934">
        <f t="shared" ref="E9934:E9997" si="155">COMBIN(A$4,A9934)*COMBIN(B$4,B9934)*COMBIN(C$4,C9934)*COMBIN(D$4,D9934)/COMBIN($G$4,$F$4)</f>
        <v>8.5887549789788575E-20</v>
      </c>
    </row>
    <row r="9935" spans="1:5" x14ac:dyDescent="0.25">
      <c r="A9935">
        <v>12</v>
      </c>
      <c r="B9935">
        <v>9</v>
      </c>
      <c r="C9935">
        <v>17</v>
      </c>
      <c r="D9935">
        <v>10</v>
      </c>
      <c r="E9935">
        <f t="shared" si="155"/>
        <v>1.8154270328116103E-19</v>
      </c>
    </row>
    <row r="9936" spans="1:5" x14ac:dyDescent="0.25">
      <c r="A9936">
        <v>12</v>
      </c>
      <c r="B9936">
        <v>9</v>
      </c>
      <c r="C9936">
        <v>18</v>
      </c>
      <c r="D9936">
        <v>9</v>
      </c>
      <c r="E9936">
        <f t="shared" si="155"/>
        <v>3.0257117213526812E-19</v>
      </c>
    </row>
    <row r="9937" spans="1:5" x14ac:dyDescent="0.25">
      <c r="A9937">
        <v>12</v>
      </c>
      <c r="B9937">
        <v>9</v>
      </c>
      <c r="C9937">
        <v>19</v>
      </c>
      <c r="D9937">
        <v>8</v>
      </c>
      <c r="E9937">
        <f t="shared" si="155"/>
        <v>3.9624645762606341E-19</v>
      </c>
    </row>
    <row r="9938" spans="1:5" x14ac:dyDescent="0.25">
      <c r="A9938">
        <v>12</v>
      </c>
      <c r="B9938">
        <v>9</v>
      </c>
      <c r="C9938">
        <v>20</v>
      </c>
      <c r="D9938">
        <v>7</v>
      </c>
      <c r="E9938">
        <f t="shared" si="155"/>
        <v>4.0505193446219857E-19</v>
      </c>
    </row>
    <row r="9939" spans="1:5" x14ac:dyDescent="0.25">
      <c r="A9939">
        <v>12</v>
      </c>
      <c r="B9939">
        <v>9</v>
      </c>
      <c r="C9939">
        <v>21</v>
      </c>
      <c r="D9939">
        <v>6</v>
      </c>
      <c r="E9939">
        <f t="shared" si="155"/>
        <v>3.1977784299647202E-19</v>
      </c>
    </row>
    <row r="9940" spans="1:5" x14ac:dyDescent="0.25">
      <c r="A9940">
        <v>12</v>
      </c>
      <c r="B9940">
        <v>9</v>
      </c>
      <c r="C9940">
        <v>22</v>
      </c>
      <c r="D9940">
        <v>5</v>
      </c>
      <c r="E9940">
        <f t="shared" si="155"/>
        <v>1.9186670579788333E-19</v>
      </c>
    </row>
    <row r="9941" spans="1:5" x14ac:dyDescent="0.25">
      <c r="A9941">
        <v>12</v>
      </c>
      <c r="B9941">
        <v>9</v>
      </c>
      <c r="C9941">
        <v>23</v>
      </c>
      <c r="D9941">
        <v>4</v>
      </c>
      <c r="E9941">
        <f t="shared" si="155"/>
        <v>8.5406504651231724E-20</v>
      </c>
    </row>
    <row r="9942" spans="1:5" x14ac:dyDescent="0.25">
      <c r="A9942">
        <v>12</v>
      </c>
      <c r="B9942">
        <v>9</v>
      </c>
      <c r="C9942">
        <v>24</v>
      </c>
      <c r="D9942">
        <v>3</v>
      </c>
      <c r="E9942">
        <f t="shared" si="155"/>
        <v>2.7174796934482812E-20</v>
      </c>
    </row>
    <row r="9943" spans="1:5" x14ac:dyDescent="0.25">
      <c r="A9943">
        <v>12</v>
      </c>
      <c r="B9943">
        <v>9</v>
      </c>
      <c r="C9943">
        <v>25</v>
      </c>
      <c r="D9943">
        <v>2</v>
      </c>
      <c r="E9943">
        <f t="shared" si="155"/>
        <v>5.8130435181589347E-21</v>
      </c>
    </row>
    <row r="9944" spans="1:5" x14ac:dyDescent="0.25">
      <c r="A9944">
        <v>12</v>
      </c>
      <c r="B9944">
        <v>9</v>
      </c>
      <c r="C9944">
        <v>26</v>
      </c>
      <c r="D9944">
        <v>1</v>
      </c>
      <c r="E9944">
        <f t="shared" si="155"/>
        <v>7.4526198950755522E-22</v>
      </c>
    </row>
    <row r="9945" spans="1:5" x14ac:dyDescent="0.25">
      <c r="A9945">
        <v>12</v>
      </c>
      <c r="B9945">
        <v>9</v>
      </c>
      <c r="C9945">
        <v>27</v>
      </c>
      <c r="D9945">
        <v>0</v>
      </c>
      <c r="E9945">
        <f t="shared" si="155"/>
        <v>4.3059581615992082E-23</v>
      </c>
    </row>
    <row r="9946" spans="1:5" x14ac:dyDescent="0.25">
      <c r="A9946">
        <v>12</v>
      </c>
      <c r="B9946">
        <v>10</v>
      </c>
      <c r="C9946">
        <v>1</v>
      </c>
      <c r="D9946">
        <v>25</v>
      </c>
      <c r="E9946">
        <f t="shared" si="155"/>
        <v>5.4114568586318035E-38</v>
      </c>
    </row>
    <row r="9947" spans="1:5" x14ac:dyDescent="0.25">
      <c r="A9947">
        <v>12</v>
      </c>
      <c r="B9947">
        <v>10</v>
      </c>
      <c r="C9947">
        <v>2</v>
      </c>
      <c r="D9947">
        <v>24</v>
      </c>
      <c r="E9947">
        <f t="shared" si="155"/>
        <v>4.3291654869054431E-35</v>
      </c>
    </row>
    <row r="9948" spans="1:5" x14ac:dyDescent="0.25">
      <c r="A9948">
        <v>12</v>
      </c>
      <c r="B9948">
        <v>10</v>
      </c>
      <c r="C9948">
        <v>3</v>
      </c>
      <c r="D9948">
        <v>23</v>
      </c>
      <c r="E9948">
        <f t="shared" si="155"/>
        <v>1.0909497027001716E-32</v>
      </c>
    </row>
    <row r="9949" spans="1:5" x14ac:dyDescent="0.25">
      <c r="A9949">
        <v>12</v>
      </c>
      <c r="B9949">
        <v>10</v>
      </c>
      <c r="C9949">
        <v>4</v>
      </c>
      <c r="D9949">
        <v>22</v>
      </c>
      <c r="E9949">
        <f t="shared" si="155"/>
        <v>1.296411896708704E-30</v>
      </c>
    </row>
    <row r="9950" spans="1:5" x14ac:dyDescent="0.25">
      <c r="A9950">
        <v>12</v>
      </c>
      <c r="B9950">
        <v>10</v>
      </c>
      <c r="C9950">
        <v>5</v>
      </c>
      <c r="D9950">
        <v>21</v>
      </c>
      <c r="E9950">
        <f t="shared" si="155"/>
        <v>8.6989238269154072E-29</v>
      </c>
    </row>
    <row r="9951" spans="1:5" x14ac:dyDescent="0.25">
      <c r="A9951">
        <v>12</v>
      </c>
      <c r="B9951">
        <v>10</v>
      </c>
      <c r="C9951">
        <v>6</v>
      </c>
      <c r="D9951">
        <v>20</v>
      </c>
      <c r="E9951">
        <f t="shared" si="155"/>
        <v>3.6535480073044694E-27</v>
      </c>
    </row>
    <row r="9952" spans="1:5" x14ac:dyDescent="0.25">
      <c r="A9952">
        <v>12</v>
      </c>
      <c r="B9952">
        <v>10</v>
      </c>
      <c r="C9952">
        <v>7</v>
      </c>
      <c r="D9952">
        <v>19</v>
      </c>
      <c r="E9952">
        <f t="shared" si="155"/>
        <v>1.0264730115760175E-25</v>
      </c>
    </row>
    <row r="9953" spans="1:5" x14ac:dyDescent="0.25">
      <c r="A9953">
        <v>12</v>
      </c>
      <c r="B9953">
        <v>10</v>
      </c>
      <c r="C9953">
        <v>8</v>
      </c>
      <c r="D9953">
        <v>18</v>
      </c>
      <c r="E9953">
        <f t="shared" si="155"/>
        <v>2.0199522477799501E-24</v>
      </c>
    </row>
    <row r="9954" spans="1:5" x14ac:dyDescent="0.25">
      <c r="A9954">
        <v>12</v>
      </c>
      <c r="B9954">
        <v>10</v>
      </c>
      <c r="C9954">
        <v>9</v>
      </c>
      <c r="D9954">
        <v>17</v>
      </c>
      <c r="E9954">
        <f t="shared" si="155"/>
        <v>2.8784319530864273E-23</v>
      </c>
    </row>
    <row r="9955" spans="1:5" x14ac:dyDescent="0.25">
      <c r="A9955">
        <v>12</v>
      </c>
      <c r="B9955">
        <v>10</v>
      </c>
      <c r="C9955">
        <v>10</v>
      </c>
      <c r="D9955">
        <v>16</v>
      </c>
      <c r="E9955">
        <f t="shared" si="155"/>
        <v>3.0447413548203104E-22</v>
      </c>
    </row>
    <row r="9956" spans="1:5" x14ac:dyDescent="0.25">
      <c r="A9956">
        <v>12</v>
      </c>
      <c r="B9956">
        <v>10</v>
      </c>
      <c r="C9956">
        <v>11</v>
      </c>
      <c r="D9956">
        <v>15</v>
      </c>
      <c r="E9956">
        <f t="shared" si="155"/>
        <v>2.4357930838562483E-21</v>
      </c>
    </row>
    <row r="9957" spans="1:5" x14ac:dyDescent="0.25">
      <c r="A9957">
        <v>12</v>
      </c>
      <c r="B9957">
        <v>10</v>
      </c>
      <c r="C9957">
        <v>12</v>
      </c>
      <c r="D9957">
        <v>14</v>
      </c>
      <c r="E9957">
        <f t="shared" si="155"/>
        <v>1.4946912105481516E-20</v>
      </c>
    </row>
    <row r="9958" spans="1:5" x14ac:dyDescent="0.25">
      <c r="A9958">
        <v>12</v>
      </c>
      <c r="B9958">
        <v>10</v>
      </c>
      <c r="C9958">
        <v>13</v>
      </c>
      <c r="D9958">
        <v>13</v>
      </c>
      <c r="E9958">
        <f t="shared" si="155"/>
        <v>7.1093646040174961E-20</v>
      </c>
    </row>
    <row r="9959" spans="1:5" x14ac:dyDescent="0.25">
      <c r="A9959">
        <v>12</v>
      </c>
      <c r="B9959">
        <v>10</v>
      </c>
      <c r="C9959">
        <v>14</v>
      </c>
      <c r="D9959">
        <v>12</v>
      </c>
      <c r="E9959">
        <f t="shared" si="155"/>
        <v>2.6406211386350703E-19</v>
      </c>
    </row>
    <row r="9960" spans="1:5" x14ac:dyDescent="0.25">
      <c r="A9960">
        <v>12</v>
      </c>
      <c r="B9960">
        <v>10</v>
      </c>
      <c r="C9960">
        <v>15</v>
      </c>
      <c r="D9960">
        <v>11</v>
      </c>
      <c r="E9960">
        <f t="shared" si="155"/>
        <v>7.6955244611650565E-19</v>
      </c>
    </row>
    <row r="9961" spans="1:5" x14ac:dyDescent="0.25">
      <c r="A9961">
        <v>12</v>
      </c>
      <c r="B9961">
        <v>10</v>
      </c>
      <c r="C9961">
        <v>16</v>
      </c>
      <c r="D9961">
        <v>10</v>
      </c>
      <c r="E9961">
        <f t="shared" si="155"/>
        <v>1.763557689016992E-18</v>
      </c>
    </row>
    <row r="9962" spans="1:5" x14ac:dyDescent="0.25">
      <c r="A9962">
        <v>12</v>
      </c>
      <c r="B9962">
        <v>10</v>
      </c>
      <c r="C9962">
        <v>17</v>
      </c>
      <c r="D9962">
        <v>9</v>
      </c>
      <c r="E9962">
        <f t="shared" si="155"/>
        <v>3.1769973074203189E-18</v>
      </c>
    </row>
    <row r="9963" spans="1:5" x14ac:dyDescent="0.25">
      <c r="A9963">
        <v>12</v>
      </c>
      <c r="B9963">
        <v>10</v>
      </c>
      <c r="C9963">
        <v>18</v>
      </c>
      <c r="D9963">
        <v>8</v>
      </c>
      <c r="E9963">
        <f t="shared" si="155"/>
        <v>4.4851726692992687E-18</v>
      </c>
    </row>
    <row r="9964" spans="1:5" x14ac:dyDescent="0.25">
      <c r="A9964">
        <v>12</v>
      </c>
      <c r="B9964">
        <v>10</v>
      </c>
      <c r="C9964">
        <v>19</v>
      </c>
      <c r="D9964">
        <v>7</v>
      </c>
      <c r="E9964">
        <f t="shared" si="155"/>
        <v>4.9310670282354571E-18</v>
      </c>
    </row>
    <row r="9965" spans="1:5" x14ac:dyDescent="0.25">
      <c r="A9965">
        <v>12</v>
      </c>
      <c r="B9965">
        <v>10</v>
      </c>
      <c r="C9965">
        <v>20</v>
      </c>
      <c r="D9965">
        <v>6</v>
      </c>
      <c r="E9965">
        <f t="shared" si="155"/>
        <v>4.1784304818205731E-18</v>
      </c>
    </row>
    <row r="9966" spans="1:5" x14ac:dyDescent="0.25">
      <c r="A9966">
        <v>12</v>
      </c>
      <c r="B9966">
        <v>10</v>
      </c>
      <c r="C9966">
        <v>21</v>
      </c>
      <c r="D9966">
        <v>5</v>
      </c>
      <c r="E9966">
        <f t="shared" si="155"/>
        <v>2.6861338811703657E-18</v>
      </c>
    </row>
    <row r="9967" spans="1:5" x14ac:dyDescent="0.25">
      <c r="A9967">
        <v>12</v>
      </c>
      <c r="B9967">
        <v>10</v>
      </c>
      <c r="C9967">
        <v>22</v>
      </c>
      <c r="D9967">
        <v>4</v>
      </c>
      <c r="E9967">
        <f t="shared" si="155"/>
        <v>1.2791113719858894E-18</v>
      </c>
    </row>
    <row r="9968" spans="1:5" x14ac:dyDescent="0.25">
      <c r="A9968">
        <v>12</v>
      </c>
      <c r="B9968">
        <v>10</v>
      </c>
      <c r="C9968">
        <v>23</v>
      </c>
      <c r="D9968">
        <v>3</v>
      </c>
      <c r="E9968">
        <f t="shared" si="155"/>
        <v>4.3479675095172518E-19</v>
      </c>
    </row>
    <row r="9969" spans="1:5" x14ac:dyDescent="0.25">
      <c r="A9969">
        <v>12</v>
      </c>
      <c r="B9969">
        <v>10</v>
      </c>
      <c r="C9969">
        <v>24</v>
      </c>
      <c r="D9969">
        <v>2</v>
      </c>
      <c r="E9969">
        <f t="shared" si="155"/>
        <v>9.9247084456372037E-20</v>
      </c>
    </row>
    <row r="9970" spans="1:5" x14ac:dyDescent="0.25">
      <c r="A9970">
        <v>12</v>
      </c>
      <c r="B9970">
        <v>10</v>
      </c>
      <c r="C9970">
        <v>25</v>
      </c>
      <c r="D9970">
        <v>1</v>
      </c>
      <c r="E9970">
        <f t="shared" si="155"/>
        <v>1.3563768209037517E-20</v>
      </c>
    </row>
    <row r="9971" spans="1:5" x14ac:dyDescent="0.25">
      <c r="A9971">
        <v>12</v>
      </c>
      <c r="B9971">
        <v>10</v>
      </c>
      <c r="C9971">
        <v>26</v>
      </c>
      <c r="D9971">
        <v>0</v>
      </c>
      <c r="E9971">
        <f t="shared" si="155"/>
        <v>8.34693428248462E-22</v>
      </c>
    </row>
    <row r="9972" spans="1:5" x14ac:dyDescent="0.25">
      <c r="A9972">
        <v>12</v>
      </c>
      <c r="B9972">
        <v>11</v>
      </c>
      <c r="C9972">
        <v>0</v>
      </c>
      <c r="D9972">
        <v>25</v>
      </c>
      <c r="E9972">
        <f t="shared" si="155"/>
        <v>2.1116034455360465E-38</v>
      </c>
    </row>
    <row r="9973" spans="1:5" x14ac:dyDescent="0.25">
      <c r="A9973">
        <v>12</v>
      </c>
      <c r="B9973">
        <v>11</v>
      </c>
      <c r="C9973">
        <v>1</v>
      </c>
      <c r="D9973">
        <v>24</v>
      </c>
      <c r="E9973">
        <f t="shared" si="155"/>
        <v>3.4313555989960757E-35</v>
      </c>
    </row>
    <row r="9974" spans="1:5" x14ac:dyDescent="0.25">
      <c r="A9974">
        <v>12</v>
      </c>
      <c r="B9974">
        <v>11</v>
      </c>
      <c r="C9974">
        <v>2</v>
      </c>
      <c r="D9974">
        <v>23</v>
      </c>
      <c r="E9974">
        <f t="shared" si="155"/>
        <v>1.3176405500144931E-32</v>
      </c>
    </row>
    <row r="9975" spans="1:5" x14ac:dyDescent="0.25">
      <c r="A9975">
        <v>12</v>
      </c>
      <c r="B9975">
        <v>11</v>
      </c>
      <c r="C9975">
        <v>3</v>
      </c>
      <c r="D9975">
        <v>22</v>
      </c>
      <c r="E9975">
        <f t="shared" si="155"/>
        <v>2.1214012855233335E-30</v>
      </c>
    </row>
    <row r="9976" spans="1:5" x14ac:dyDescent="0.25">
      <c r="A9976">
        <v>12</v>
      </c>
      <c r="B9976">
        <v>11</v>
      </c>
      <c r="C9976">
        <v>4</v>
      </c>
      <c r="D9976">
        <v>21</v>
      </c>
      <c r="E9976">
        <f t="shared" si="155"/>
        <v>1.8084945959086423E-28</v>
      </c>
    </row>
    <row r="9977" spans="1:5" x14ac:dyDescent="0.25">
      <c r="A9977">
        <v>12</v>
      </c>
      <c r="B9977">
        <v>11</v>
      </c>
      <c r="C9977">
        <v>5</v>
      </c>
      <c r="D9977">
        <v>20</v>
      </c>
      <c r="E9977">
        <f t="shared" si="155"/>
        <v>9.2667263094358799E-27</v>
      </c>
    </row>
    <row r="9978" spans="1:5" x14ac:dyDescent="0.25">
      <c r="A9978">
        <v>12</v>
      </c>
      <c r="B9978">
        <v>11</v>
      </c>
      <c r="C9978">
        <v>6</v>
      </c>
      <c r="D9978">
        <v>19</v>
      </c>
      <c r="E9978">
        <f t="shared" si="155"/>
        <v>3.0889087698119603E-25</v>
      </c>
    </row>
    <row r="9979" spans="1:5" x14ac:dyDescent="0.25">
      <c r="A9979">
        <v>12</v>
      </c>
      <c r="B9979">
        <v>11</v>
      </c>
      <c r="C9979">
        <v>7</v>
      </c>
      <c r="D9979">
        <v>18</v>
      </c>
      <c r="E9979">
        <f t="shared" si="155"/>
        <v>7.0666667978759359E-24</v>
      </c>
    </row>
    <row r="9980" spans="1:5" x14ac:dyDescent="0.25">
      <c r="A9980">
        <v>12</v>
      </c>
      <c r="B9980">
        <v>11</v>
      </c>
      <c r="C9980">
        <v>8</v>
      </c>
      <c r="D9980">
        <v>17</v>
      </c>
      <c r="E9980">
        <f t="shared" si="155"/>
        <v>1.1527500214035122E-22</v>
      </c>
    </row>
    <row r="9981" spans="1:5" x14ac:dyDescent="0.25">
      <c r="A9981">
        <v>12</v>
      </c>
      <c r="B9981">
        <v>11</v>
      </c>
      <c r="C9981">
        <v>9</v>
      </c>
      <c r="D9981">
        <v>16</v>
      </c>
      <c r="E9981">
        <f t="shared" si="155"/>
        <v>1.3790305811604974E-21</v>
      </c>
    </row>
    <row r="9982" spans="1:5" x14ac:dyDescent="0.25">
      <c r="A9982">
        <v>12</v>
      </c>
      <c r="B9982">
        <v>11</v>
      </c>
      <c r="C9982">
        <v>10</v>
      </c>
      <c r="D9982">
        <v>15</v>
      </c>
      <c r="E9982">
        <f t="shared" si="155"/>
        <v>1.2356114007198058E-20</v>
      </c>
    </row>
    <row r="9983" spans="1:5" x14ac:dyDescent="0.25">
      <c r="A9983">
        <v>12</v>
      </c>
      <c r="B9983">
        <v>11</v>
      </c>
      <c r="C9983">
        <v>11</v>
      </c>
      <c r="D9983">
        <v>14</v>
      </c>
      <c r="E9983">
        <f t="shared" si="155"/>
        <v>8.42462318672595E-20</v>
      </c>
    </row>
    <row r="9984" spans="1:5" x14ac:dyDescent="0.25">
      <c r="A9984">
        <v>12</v>
      </c>
      <c r="B9984">
        <v>11</v>
      </c>
      <c r="C9984">
        <v>12</v>
      </c>
      <c r="D9984">
        <v>13</v>
      </c>
      <c r="E9984">
        <f t="shared" si="155"/>
        <v>4.4229271730311219E-19</v>
      </c>
    </row>
    <row r="9985" spans="1:5" x14ac:dyDescent="0.25">
      <c r="A9985">
        <v>12</v>
      </c>
      <c r="B9985">
        <v>11</v>
      </c>
      <c r="C9985">
        <v>13</v>
      </c>
      <c r="D9985">
        <v>12</v>
      </c>
      <c r="E9985">
        <f t="shared" si="155"/>
        <v>1.8031933859280737E-18</v>
      </c>
    </row>
    <row r="9986" spans="1:5" x14ac:dyDescent="0.25">
      <c r="A9986">
        <v>12</v>
      </c>
      <c r="B9986">
        <v>11</v>
      </c>
      <c r="C9986">
        <v>14</v>
      </c>
      <c r="D9986">
        <v>11</v>
      </c>
      <c r="E9986">
        <f t="shared" si="155"/>
        <v>5.7407789429546836E-18</v>
      </c>
    </row>
    <row r="9987" spans="1:5" x14ac:dyDescent="0.25">
      <c r="A9987">
        <v>12</v>
      </c>
      <c r="B9987">
        <v>11</v>
      </c>
      <c r="C9987">
        <v>15</v>
      </c>
      <c r="D9987">
        <v>10</v>
      </c>
      <c r="E9987">
        <f t="shared" si="155"/>
        <v>1.4313675497767003E-17</v>
      </c>
    </row>
    <row r="9988" spans="1:5" x14ac:dyDescent="0.25">
      <c r="A9988">
        <v>12</v>
      </c>
      <c r="B9988">
        <v>11</v>
      </c>
      <c r="C9988">
        <v>16</v>
      </c>
      <c r="D9988">
        <v>9</v>
      </c>
      <c r="E9988">
        <f t="shared" si="155"/>
        <v>2.7956397456576188E-17</v>
      </c>
    </row>
    <row r="9989" spans="1:5" x14ac:dyDescent="0.25">
      <c r="A9989">
        <v>12</v>
      </c>
      <c r="B9989">
        <v>11</v>
      </c>
      <c r="C9989">
        <v>17</v>
      </c>
      <c r="D9989">
        <v>8</v>
      </c>
      <c r="E9989">
        <f t="shared" si="155"/>
        <v>4.2660108229585137E-17</v>
      </c>
    </row>
    <row r="9990" spans="1:5" x14ac:dyDescent="0.25">
      <c r="A9990">
        <v>12</v>
      </c>
      <c r="B9990">
        <v>11</v>
      </c>
      <c r="C9990">
        <v>18</v>
      </c>
      <c r="D9990">
        <v>7</v>
      </c>
      <c r="E9990">
        <f t="shared" si="155"/>
        <v>5.0560128272100863E-17</v>
      </c>
    </row>
    <row r="9991" spans="1:5" x14ac:dyDescent="0.25">
      <c r="A9991">
        <v>12</v>
      </c>
      <c r="B9991">
        <v>11</v>
      </c>
      <c r="C9991">
        <v>19</v>
      </c>
      <c r="D9991">
        <v>6</v>
      </c>
      <c r="E9991">
        <f t="shared" si="155"/>
        <v>4.6078344048535132E-17</v>
      </c>
    </row>
    <row r="9992" spans="1:5" x14ac:dyDescent="0.25">
      <c r="A9992">
        <v>12</v>
      </c>
      <c r="B9992">
        <v>11</v>
      </c>
      <c r="C9992">
        <v>20</v>
      </c>
      <c r="D9992">
        <v>5</v>
      </c>
      <c r="E9992">
        <f t="shared" si="155"/>
        <v>3.1794057393489274E-17</v>
      </c>
    </row>
    <row r="9993" spans="1:5" x14ac:dyDescent="0.25">
      <c r="A9993">
        <v>12</v>
      </c>
      <c r="B9993">
        <v>11</v>
      </c>
      <c r="C9993">
        <v>21</v>
      </c>
      <c r="D9993">
        <v>4</v>
      </c>
      <c r="E9993">
        <f t="shared" si="155"/>
        <v>1.6221457853821041E-17</v>
      </c>
    </row>
    <row r="9994" spans="1:5" x14ac:dyDescent="0.25">
      <c r="A9994">
        <v>12</v>
      </c>
      <c r="B9994">
        <v>11</v>
      </c>
      <c r="C9994">
        <v>22</v>
      </c>
      <c r="D9994">
        <v>3</v>
      </c>
      <c r="E9994">
        <f t="shared" si="155"/>
        <v>5.8987119468440188E-18</v>
      </c>
    </row>
    <row r="9995" spans="1:5" x14ac:dyDescent="0.25">
      <c r="A9995">
        <v>12</v>
      </c>
      <c r="B9995">
        <v>11</v>
      </c>
      <c r="C9995">
        <v>23</v>
      </c>
      <c r="D9995">
        <v>2</v>
      </c>
      <c r="E9995">
        <f t="shared" si="155"/>
        <v>1.4384382630300154E-18</v>
      </c>
    </row>
    <row r="9996" spans="1:5" x14ac:dyDescent="0.25">
      <c r="A9996">
        <v>12</v>
      </c>
      <c r="B9996">
        <v>11</v>
      </c>
      <c r="C9996">
        <v>24</v>
      </c>
      <c r="D9996">
        <v>1</v>
      </c>
      <c r="E9996">
        <f t="shared" si="155"/>
        <v>2.0977224669187725E-19</v>
      </c>
    </row>
    <row r="9997" spans="1:5" x14ac:dyDescent="0.25">
      <c r="A9997">
        <v>12</v>
      </c>
      <c r="B9997">
        <v>11</v>
      </c>
      <c r="C9997">
        <v>25</v>
      </c>
      <c r="D9997">
        <v>0</v>
      </c>
      <c r="E9997">
        <f t="shared" si="155"/>
        <v>1.3761059382987153E-20</v>
      </c>
    </row>
    <row r="9998" spans="1:5" x14ac:dyDescent="0.25">
      <c r="A9998">
        <v>12</v>
      </c>
      <c r="B9998">
        <v>12</v>
      </c>
      <c r="C9998">
        <v>0</v>
      </c>
      <c r="D9998">
        <v>24</v>
      </c>
      <c r="E9998">
        <f t="shared" ref="E9998:E10061" si="156">COMBIN(A$4,A9998)*COMBIN(B$4,B9998)*COMBIN(C$4,C9998)*COMBIN(D$4,D9998)/COMBIN($G$4,$F$4)</f>
        <v>1.2229703288729602E-35</v>
      </c>
    </row>
    <row r="9999" spans="1:5" x14ac:dyDescent="0.25">
      <c r="A9999">
        <v>12</v>
      </c>
      <c r="B9999">
        <v>12</v>
      </c>
      <c r="C9999">
        <v>1</v>
      </c>
      <c r="D9999">
        <v>23</v>
      </c>
      <c r="E9999">
        <f t="shared" si="156"/>
        <v>9.5391685652090879E-33</v>
      </c>
    </row>
    <row r="10000" spans="1:5" x14ac:dyDescent="0.25">
      <c r="A10000">
        <v>12</v>
      </c>
      <c r="B10000">
        <v>12</v>
      </c>
      <c r="C10000">
        <v>2</v>
      </c>
      <c r="D10000">
        <v>22</v>
      </c>
      <c r="E10000">
        <f t="shared" si="156"/>
        <v>2.3402760213312967E-30</v>
      </c>
    </row>
    <row r="10001" spans="1:5" x14ac:dyDescent="0.25">
      <c r="A10001">
        <v>12</v>
      </c>
      <c r="B10001">
        <v>12</v>
      </c>
      <c r="C10001">
        <v>3</v>
      </c>
      <c r="D10001">
        <v>21</v>
      </c>
      <c r="E10001">
        <f t="shared" si="156"/>
        <v>2.7030188046376479E-28</v>
      </c>
    </row>
    <row r="10002" spans="1:5" x14ac:dyDescent="0.25">
      <c r="A10002">
        <v>12</v>
      </c>
      <c r="B10002">
        <v>12</v>
      </c>
      <c r="C10002">
        <v>4</v>
      </c>
      <c r="D10002">
        <v>20</v>
      </c>
      <c r="E10002">
        <f t="shared" si="156"/>
        <v>1.759665241819108E-26</v>
      </c>
    </row>
    <row r="10003" spans="1:5" x14ac:dyDescent="0.25">
      <c r="A10003">
        <v>12</v>
      </c>
      <c r="B10003">
        <v>12</v>
      </c>
      <c r="C10003">
        <v>5</v>
      </c>
      <c r="D10003">
        <v>19</v>
      </c>
      <c r="E10003">
        <f t="shared" si="156"/>
        <v>7.1559719833977072E-25</v>
      </c>
    </row>
    <row r="10004" spans="1:5" x14ac:dyDescent="0.25">
      <c r="A10004">
        <v>12</v>
      </c>
      <c r="B10004">
        <v>12</v>
      </c>
      <c r="C10004">
        <v>6</v>
      </c>
      <c r="D10004">
        <v>18</v>
      </c>
      <c r="E10004">
        <f t="shared" si="156"/>
        <v>1.9423352526365212E-23</v>
      </c>
    </row>
    <row r="10005" spans="1:5" x14ac:dyDescent="0.25">
      <c r="A10005">
        <v>12</v>
      </c>
      <c r="B10005">
        <v>12</v>
      </c>
      <c r="C10005">
        <v>7</v>
      </c>
      <c r="D10005">
        <v>17</v>
      </c>
      <c r="E10005">
        <f t="shared" si="156"/>
        <v>3.6835000683928304E-22</v>
      </c>
    </row>
    <row r="10006" spans="1:5" x14ac:dyDescent="0.25">
      <c r="A10006">
        <v>12</v>
      </c>
      <c r="B10006">
        <v>12</v>
      </c>
      <c r="C10006">
        <v>8</v>
      </c>
      <c r="D10006">
        <v>16</v>
      </c>
      <c r="E10006">
        <f t="shared" si="156"/>
        <v>5.0443487047712929E-21</v>
      </c>
    </row>
    <row r="10007" spans="1:5" x14ac:dyDescent="0.25">
      <c r="A10007">
        <v>12</v>
      </c>
      <c r="B10007">
        <v>12</v>
      </c>
      <c r="C10007">
        <v>9</v>
      </c>
      <c r="D10007">
        <v>15</v>
      </c>
      <c r="E10007">
        <f t="shared" si="156"/>
        <v>5.1116066875015755E-20</v>
      </c>
    </row>
    <row r="10008" spans="1:5" x14ac:dyDescent="0.25">
      <c r="A10008">
        <v>12</v>
      </c>
      <c r="B10008">
        <v>12</v>
      </c>
      <c r="C10008">
        <v>10</v>
      </c>
      <c r="D10008">
        <v>14</v>
      </c>
      <c r="E10008">
        <f t="shared" si="156"/>
        <v>3.9034087431830225E-19</v>
      </c>
    </row>
    <row r="10009" spans="1:5" x14ac:dyDescent="0.25">
      <c r="A10009">
        <v>12</v>
      </c>
      <c r="B10009">
        <v>12</v>
      </c>
      <c r="C10009">
        <v>11</v>
      </c>
      <c r="D10009">
        <v>13</v>
      </c>
      <c r="E10009">
        <f t="shared" si="156"/>
        <v>2.2769884335234308E-18</v>
      </c>
    </row>
    <row r="10010" spans="1:5" x14ac:dyDescent="0.25">
      <c r="A10010">
        <v>12</v>
      </c>
      <c r="B10010">
        <v>12</v>
      </c>
      <c r="C10010">
        <v>12</v>
      </c>
      <c r="D10010">
        <v>12</v>
      </c>
      <c r="E10010">
        <f t="shared" si="156"/>
        <v>1.0246447950855432E-17</v>
      </c>
    </row>
    <row r="10011" spans="1:5" x14ac:dyDescent="0.25">
      <c r="A10011">
        <v>12</v>
      </c>
      <c r="B10011">
        <v>12</v>
      </c>
      <c r="C10011">
        <v>13</v>
      </c>
      <c r="D10011">
        <v>11</v>
      </c>
      <c r="E10011">
        <f t="shared" si="156"/>
        <v>3.5806268663428879E-17</v>
      </c>
    </row>
    <row r="10012" spans="1:5" x14ac:dyDescent="0.25">
      <c r="A10012">
        <v>12</v>
      </c>
      <c r="B10012">
        <v>12</v>
      </c>
      <c r="C10012">
        <v>14</v>
      </c>
      <c r="D10012">
        <v>10</v>
      </c>
      <c r="E10012">
        <f t="shared" si="156"/>
        <v>9.7529455597530092E-17</v>
      </c>
    </row>
    <row r="10013" spans="1:5" x14ac:dyDescent="0.25">
      <c r="A10013">
        <v>12</v>
      </c>
      <c r="B10013">
        <v>12</v>
      </c>
      <c r="C10013">
        <v>15</v>
      </c>
      <c r="D10013">
        <v>9</v>
      </c>
      <c r="E10013">
        <f t="shared" si="156"/>
        <v>2.072500931447514E-16</v>
      </c>
    </row>
    <row r="10014" spans="1:5" x14ac:dyDescent="0.25">
      <c r="A10014">
        <v>12</v>
      </c>
      <c r="B10014">
        <v>12</v>
      </c>
      <c r="C10014">
        <v>16</v>
      </c>
      <c r="D10014">
        <v>8</v>
      </c>
      <c r="E10014">
        <f t="shared" si="156"/>
        <v>3.4287699233506665E-16</v>
      </c>
    </row>
    <row r="10015" spans="1:5" x14ac:dyDescent="0.25">
      <c r="A10015">
        <v>12</v>
      </c>
      <c r="B10015">
        <v>12</v>
      </c>
      <c r="C10015">
        <v>17</v>
      </c>
      <c r="D10015">
        <v>7</v>
      </c>
      <c r="E10015">
        <f t="shared" si="156"/>
        <v>4.3924111436387663E-16</v>
      </c>
    </row>
    <row r="10016" spans="1:5" x14ac:dyDescent="0.25">
      <c r="A10016">
        <v>12</v>
      </c>
      <c r="B10016">
        <v>12</v>
      </c>
      <c r="C10016">
        <v>18</v>
      </c>
      <c r="D10016">
        <v>6</v>
      </c>
      <c r="E10016">
        <f t="shared" si="156"/>
        <v>4.3153512990135186E-16</v>
      </c>
    </row>
    <row r="10017" spans="1:5" x14ac:dyDescent="0.25">
      <c r="A10017">
        <v>12</v>
      </c>
      <c r="B10017">
        <v>12</v>
      </c>
      <c r="C10017">
        <v>19</v>
      </c>
      <c r="D10017">
        <v>5</v>
      </c>
      <c r="E10017">
        <f t="shared" si="156"/>
        <v>3.2024449113731924E-16</v>
      </c>
    </row>
    <row r="10018" spans="1:5" x14ac:dyDescent="0.25">
      <c r="A10018">
        <v>12</v>
      </c>
      <c r="B10018">
        <v>12</v>
      </c>
      <c r="C10018">
        <v>20</v>
      </c>
      <c r="D10018">
        <v>4</v>
      </c>
      <c r="E10018">
        <f t="shared" si="156"/>
        <v>1.7537198324186544E-16</v>
      </c>
    </row>
    <row r="10019" spans="1:5" x14ac:dyDescent="0.25">
      <c r="A10019">
        <v>12</v>
      </c>
      <c r="B10019">
        <v>12</v>
      </c>
      <c r="C10019">
        <v>21</v>
      </c>
      <c r="D10019">
        <v>3</v>
      </c>
      <c r="E10019">
        <f t="shared" si="156"/>
        <v>6.8326746717609824E-17</v>
      </c>
    </row>
    <row r="10020" spans="1:5" x14ac:dyDescent="0.25">
      <c r="A10020">
        <v>12</v>
      </c>
      <c r="B10020">
        <v>12</v>
      </c>
      <c r="C10020">
        <v>22</v>
      </c>
      <c r="D10020">
        <v>2</v>
      </c>
      <c r="E10020">
        <f t="shared" si="156"/>
        <v>1.7824368708941705E-17</v>
      </c>
    </row>
    <row r="10021" spans="1:5" x14ac:dyDescent="0.25">
      <c r="A10021">
        <v>12</v>
      </c>
      <c r="B10021">
        <v>12</v>
      </c>
      <c r="C10021">
        <v>23</v>
      </c>
      <c r="D10021">
        <v>1</v>
      </c>
      <c r="E10021">
        <f t="shared" si="156"/>
        <v>2.7769849800162793E-18</v>
      </c>
    </row>
    <row r="10022" spans="1:5" x14ac:dyDescent="0.25">
      <c r="A10022">
        <v>12</v>
      </c>
      <c r="B10022">
        <v>12</v>
      </c>
      <c r="C10022">
        <v>24</v>
      </c>
      <c r="D10022">
        <v>0</v>
      </c>
      <c r="E10022">
        <f t="shared" si="156"/>
        <v>1.9438894860113956E-19</v>
      </c>
    </row>
    <row r="10023" spans="1:5" x14ac:dyDescent="0.25">
      <c r="A10023">
        <v>12</v>
      </c>
      <c r="B10023">
        <v>13</v>
      </c>
      <c r="C10023">
        <v>0</v>
      </c>
      <c r="D10023">
        <v>23</v>
      </c>
      <c r="E10023">
        <f t="shared" si="156"/>
        <v>3.1270410562874765E-33</v>
      </c>
    </row>
    <row r="10024" spans="1:5" x14ac:dyDescent="0.25">
      <c r="A10024">
        <v>12</v>
      </c>
      <c r="B10024">
        <v>13</v>
      </c>
      <c r="C10024">
        <v>1</v>
      </c>
      <c r="D10024">
        <v>22</v>
      </c>
      <c r="E10024">
        <f t="shared" si="156"/>
        <v>1.558308793049926E-30</v>
      </c>
    </row>
    <row r="10025" spans="1:5" x14ac:dyDescent="0.25">
      <c r="A10025">
        <v>12</v>
      </c>
      <c r="B10025">
        <v>13</v>
      </c>
      <c r="C10025">
        <v>2</v>
      </c>
      <c r="D10025">
        <v>21</v>
      </c>
      <c r="E10025">
        <f t="shared" si="156"/>
        <v>2.7426234757678702E-28</v>
      </c>
    </row>
    <row r="10026" spans="1:5" x14ac:dyDescent="0.25">
      <c r="A10026">
        <v>12</v>
      </c>
      <c r="B10026">
        <v>13</v>
      </c>
      <c r="C10026">
        <v>3</v>
      </c>
      <c r="D10026">
        <v>20</v>
      </c>
      <c r="E10026">
        <f t="shared" si="156"/>
        <v>2.4189939056272607E-26</v>
      </c>
    </row>
    <row r="10027" spans="1:5" x14ac:dyDescent="0.25">
      <c r="A10027">
        <v>12</v>
      </c>
      <c r="B10027">
        <v>13</v>
      </c>
      <c r="C10027">
        <v>4</v>
      </c>
      <c r="D10027">
        <v>19</v>
      </c>
      <c r="E10027">
        <f t="shared" si="156"/>
        <v>1.2498135179074179E-24</v>
      </c>
    </row>
    <row r="10028" spans="1:5" x14ac:dyDescent="0.25">
      <c r="A10028">
        <v>12</v>
      </c>
      <c r="B10028">
        <v>13</v>
      </c>
      <c r="C10028">
        <v>5</v>
      </c>
      <c r="D10028">
        <v>18</v>
      </c>
      <c r="E10028">
        <f t="shared" si="156"/>
        <v>4.1386681921562802E-23</v>
      </c>
    </row>
    <row r="10029" spans="1:5" x14ac:dyDescent="0.25">
      <c r="A10029">
        <v>12</v>
      </c>
      <c r="B10029">
        <v>13</v>
      </c>
      <c r="C10029">
        <v>6</v>
      </c>
      <c r="D10029">
        <v>17</v>
      </c>
      <c r="E10029">
        <f t="shared" si="156"/>
        <v>9.3120034323516284E-22</v>
      </c>
    </row>
    <row r="10030" spans="1:5" x14ac:dyDescent="0.25">
      <c r="A10030">
        <v>12</v>
      </c>
      <c r="B10030">
        <v>13</v>
      </c>
      <c r="C10030">
        <v>7</v>
      </c>
      <c r="D10030">
        <v>16</v>
      </c>
      <c r="E10030">
        <f t="shared" si="156"/>
        <v>1.4825300702616958E-20</v>
      </c>
    </row>
    <row r="10031" spans="1:5" x14ac:dyDescent="0.25">
      <c r="A10031">
        <v>12</v>
      </c>
      <c r="B10031">
        <v>13</v>
      </c>
      <c r="C10031">
        <v>8</v>
      </c>
      <c r="D10031">
        <v>15</v>
      </c>
      <c r="E10031">
        <f t="shared" si="156"/>
        <v>1.719734881503567E-19</v>
      </c>
    </row>
    <row r="10032" spans="1:5" x14ac:dyDescent="0.25">
      <c r="A10032">
        <v>12</v>
      </c>
      <c r="B10032">
        <v>13</v>
      </c>
      <c r="C10032">
        <v>9</v>
      </c>
      <c r="D10032">
        <v>14</v>
      </c>
      <c r="E10032">
        <f t="shared" si="156"/>
        <v>1.4852255794803534E-18</v>
      </c>
    </row>
    <row r="10033" spans="1:5" x14ac:dyDescent="0.25">
      <c r="A10033">
        <v>12</v>
      </c>
      <c r="B10033">
        <v>13</v>
      </c>
      <c r="C10033">
        <v>10</v>
      </c>
      <c r="D10033">
        <v>13</v>
      </c>
      <c r="E10033">
        <f t="shared" si="156"/>
        <v>9.7034737859383128E-18</v>
      </c>
    </row>
    <row r="10034" spans="1:5" x14ac:dyDescent="0.25">
      <c r="A10034">
        <v>12</v>
      </c>
      <c r="B10034">
        <v>13</v>
      </c>
      <c r="C10034">
        <v>11</v>
      </c>
      <c r="D10034">
        <v>12</v>
      </c>
      <c r="E10034">
        <f t="shared" si="156"/>
        <v>4.8517368929691559E-17</v>
      </c>
    </row>
    <row r="10035" spans="1:5" x14ac:dyDescent="0.25">
      <c r="A10035">
        <v>12</v>
      </c>
      <c r="B10035">
        <v>13</v>
      </c>
      <c r="C10035">
        <v>12</v>
      </c>
      <c r="D10035">
        <v>11</v>
      </c>
      <c r="E10035">
        <f t="shared" si="156"/>
        <v>1.8713842301452445E-16</v>
      </c>
    </row>
    <row r="10036" spans="1:5" x14ac:dyDescent="0.25">
      <c r="A10036">
        <v>12</v>
      </c>
      <c r="B10036">
        <v>13</v>
      </c>
      <c r="C10036">
        <v>13</v>
      </c>
      <c r="D10036">
        <v>10</v>
      </c>
      <c r="E10036">
        <f t="shared" si="156"/>
        <v>5.5949590060239901E-16</v>
      </c>
    </row>
    <row r="10037" spans="1:5" x14ac:dyDescent="0.25">
      <c r="A10037">
        <v>12</v>
      </c>
      <c r="B10037">
        <v>13</v>
      </c>
      <c r="C10037">
        <v>14</v>
      </c>
      <c r="D10037">
        <v>9</v>
      </c>
      <c r="E10037">
        <f t="shared" si="156"/>
        <v>1.2988297692555694E-15</v>
      </c>
    </row>
    <row r="10038" spans="1:5" x14ac:dyDescent="0.25">
      <c r="A10038">
        <v>12</v>
      </c>
      <c r="B10038">
        <v>13</v>
      </c>
      <c r="C10038">
        <v>15</v>
      </c>
      <c r="D10038">
        <v>8</v>
      </c>
      <c r="E10038">
        <f t="shared" si="156"/>
        <v>2.3378935846600238E-15</v>
      </c>
    </row>
    <row r="10039" spans="1:5" x14ac:dyDescent="0.25">
      <c r="A10039">
        <v>12</v>
      </c>
      <c r="B10039">
        <v>13</v>
      </c>
      <c r="C10039">
        <v>16</v>
      </c>
      <c r="D10039">
        <v>7</v>
      </c>
      <c r="E10039">
        <f t="shared" si="156"/>
        <v>3.2470744231389234E-15</v>
      </c>
    </row>
    <row r="10040" spans="1:5" x14ac:dyDescent="0.25">
      <c r="A10040">
        <v>12</v>
      </c>
      <c r="B10040">
        <v>13</v>
      </c>
      <c r="C10040">
        <v>17</v>
      </c>
      <c r="D10040">
        <v>6</v>
      </c>
      <c r="E10040">
        <f t="shared" si="156"/>
        <v>3.4481316629617668E-15</v>
      </c>
    </row>
    <row r="10041" spans="1:5" x14ac:dyDescent="0.25">
      <c r="A10041">
        <v>12</v>
      </c>
      <c r="B10041">
        <v>13</v>
      </c>
      <c r="C10041">
        <v>18</v>
      </c>
      <c r="D10041">
        <v>5</v>
      </c>
      <c r="E10041">
        <f t="shared" si="156"/>
        <v>2.7585053303694113E-15</v>
      </c>
    </row>
    <row r="10042" spans="1:5" x14ac:dyDescent="0.25">
      <c r="A10042">
        <v>12</v>
      </c>
      <c r="B10042">
        <v>13</v>
      </c>
      <c r="C10042">
        <v>19</v>
      </c>
      <c r="D10042">
        <v>4</v>
      </c>
      <c r="E10042">
        <f t="shared" si="156"/>
        <v>1.6246835905684513E-15</v>
      </c>
    </row>
    <row r="10043" spans="1:5" x14ac:dyDescent="0.25">
      <c r="A10043">
        <v>12</v>
      </c>
      <c r="B10043">
        <v>13</v>
      </c>
      <c r="C10043">
        <v>20</v>
      </c>
      <c r="D10043">
        <v>3</v>
      </c>
      <c r="E10043">
        <f t="shared" si="156"/>
        <v>6.7941313787408017E-16</v>
      </c>
    </row>
    <row r="10044" spans="1:5" x14ac:dyDescent="0.25">
      <c r="A10044">
        <v>12</v>
      </c>
      <c r="B10044">
        <v>13</v>
      </c>
      <c r="C10044">
        <v>21</v>
      </c>
      <c r="D10044">
        <v>2</v>
      </c>
      <c r="E10044">
        <f t="shared" si="156"/>
        <v>1.8989808201449419E-16</v>
      </c>
    </row>
    <row r="10045" spans="1:5" x14ac:dyDescent="0.25">
      <c r="A10045">
        <v>12</v>
      </c>
      <c r="B10045">
        <v>13</v>
      </c>
      <c r="C10045">
        <v>22</v>
      </c>
      <c r="D10045">
        <v>1</v>
      </c>
      <c r="E10045">
        <f t="shared" si="156"/>
        <v>3.1649680335749052E-17</v>
      </c>
    </row>
    <row r="10046" spans="1:5" x14ac:dyDescent="0.25">
      <c r="A10046">
        <v>12</v>
      </c>
      <c r="B10046">
        <v>13</v>
      </c>
      <c r="C10046">
        <v>23</v>
      </c>
      <c r="D10046">
        <v>0</v>
      </c>
      <c r="E10046">
        <f t="shared" si="156"/>
        <v>2.3668456598907985E-18</v>
      </c>
    </row>
    <row r="10047" spans="1:5" x14ac:dyDescent="0.25">
      <c r="A10047">
        <v>12</v>
      </c>
      <c r="B10047">
        <v>14</v>
      </c>
      <c r="C10047">
        <v>0</v>
      </c>
      <c r="D10047">
        <v>22</v>
      </c>
      <c r="E10047">
        <f t="shared" si="156"/>
        <v>4.7262991965030726E-31</v>
      </c>
    </row>
    <row r="10048" spans="1:5" x14ac:dyDescent="0.25">
      <c r="A10048">
        <v>12</v>
      </c>
      <c r="B10048">
        <v>14</v>
      </c>
      <c r="C10048">
        <v>1</v>
      </c>
      <c r="D10048">
        <v>21</v>
      </c>
      <c r="E10048">
        <f t="shared" si="156"/>
        <v>1.6896519627498484E-28</v>
      </c>
    </row>
    <row r="10049" spans="1:5" x14ac:dyDescent="0.25">
      <c r="A10049">
        <v>12</v>
      </c>
      <c r="B10049">
        <v>14</v>
      </c>
      <c r="C10049">
        <v>2</v>
      </c>
      <c r="D10049">
        <v>20</v>
      </c>
      <c r="E10049">
        <f t="shared" si="156"/>
        <v>2.2708922379357956E-26</v>
      </c>
    </row>
    <row r="10050" spans="1:5" x14ac:dyDescent="0.25">
      <c r="A10050">
        <v>12</v>
      </c>
      <c r="B10050">
        <v>14</v>
      </c>
      <c r="C10050">
        <v>3</v>
      </c>
      <c r="D10050">
        <v>19</v>
      </c>
      <c r="E10050">
        <f t="shared" si="156"/>
        <v>1.5896245665550569E-24</v>
      </c>
    </row>
    <row r="10051" spans="1:5" x14ac:dyDescent="0.25">
      <c r="A10051">
        <v>12</v>
      </c>
      <c r="B10051">
        <v>14</v>
      </c>
      <c r="C10051">
        <v>4</v>
      </c>
      <c r="D10051">
        <v>18</v>
      </c>
      <c r="E10051">
        <f t="shared" si="156"/>
        <v>6.6877776407209216E-23</v>
      </c>
    </row>
    <row r="10052" spans="1:5" x14ac:dyDescent="0.25">
      <c r="A10052">
        <v>12</v>
      </c>
      <c r="B10052">
        <v>14</v>
      </c>
      <c r="C10052">
        <v>5</v>
      </c>
      <c r="D10052">
        <v>17</v>
      </c>
      <c r="E10052">
        <f t="shared" si="156"/>
        <v>1.8357949623778924E-21</v>
      </c>
    </row>
    <row r="10053" spans="1:5" x14ac:dyDescent="0.25">
      <c r="A10053">
        <v>12</v>
      </c>
      <c r="B10053">
        <v>14</v>
      </c>
      <c r="C10053">
        <v>6</v>
      </c>
      <c r="D10053">
        <v>16</v>
      </c>
      <c r="E10053">
        <f t="shared" si="156"/>
        <v>3.4676127067137972E-20</v>
      </c>
    </row>
    <row r="10054" spans="1:5" x14ac:dyDescent="0.25">
      <c r="A10054">
        <v>12</v>
      </c>
      <c r="B10054">
        <v>14</v>
      </c>
      <c r="C10054">
        <v>7</v>
      </c>
      <c r="D10054">
        <v>15</v>
      </c>
      <c r="E10054">
        <f t="shared" si="156"/>
        <v>4.6763234216254625E-19</v>
      </c>
    </row>
    <row r="10055" spans="1:5" x14ac:dyDescent="0.25">
      <c r="A10055">
        <v>12</v>
      </c>
      <c r="B10055">
        <v>14</v>
      </c>
      <c r="C10055">
        <v>8</v>
      </c>
      <c r="D10055">
        <v>14</v>
      </c>
      <c r="E10055">
        <f t="shared" si="156"/>
        <v>4.6231833827433566E-18</v>
      </c>
    </row>
    <row r="10056" spans="1:5" x14ac:dyDescent="0.25">
      <c r="A10056">
        <v>12</v>
      </c>
      <c r="B10056">
        <v>14</v>
      </c>
      <c r="C10056">
        <v>9</v>
      </c>
      <c r="D10056">
        <v>13</v>
      </c>
      <c r="E10056">
        <f t="shared" si="156"/>
        <v>3.4160188328048132E-17</v>
      </c>
    </row>
    <row r="10057" spans="1:5" x14ac:dyDescent="0.25">
      <c r="A10057">
        <v>12</v>
      </c>
      <c r="B10057">
        <v>14</v>
      </c>
      <c r="C10057">
        <v>10</v>
      </c>
      <c r="D10057">
        <v>12</v>
      </c>
      <c r="E10057">
        <f t="shared" si="156"/>
        <v>1.9129705463706961E-16</v>
      </c>
    </row>
    <row r="10058" spans="1:5" x14ac:dyDescent="0.25">
      <c r="A10058">
        <v>12</v>
      </c>
      <c r="B10058">
        <v>14</v>
      </c>
      <c r="C10058">
        <v>11</v>
      </c>
      <c r="D10058">
        <v>11</v>
      </c>
      <c r="E10058">
        <f t="shared" si="156"/>
        <v>8.1984451987315531E-16</v>
      </c>
    </row>
    <row r="10059" spans="1:5" x14ac:dyDescent="0.25">
      <c r="A10059">
        <v>12</v>
      </c>
      <c r="B10059">
        <v>14</v>
      </c>
      <c r="C10059">
        <v>12</v>
      </c>
      <c r="D10059">
        <v>10</v>
      </c>
      <c r="E10059">
        <f t="shared" si="156"/>
        <v>2.7054869155814105E-15</v>
      </c>
    </row>
    <row r="10060" spans="1:5" x14ac:dyDescent="0.25">
      <c r="A10060">
        <v>12</v>
      </c>
      <c r="B10060">
        <v>14</v>
      </c>
      <c r="C10060">
        <v>13</v>
      </c>
      <c r="D10060">
        <v>9</v>
      </c>
      <c r="E10060">
        <f t="shared" si="156"/>
        <v>6.8937887752795602E-15</v>
      </c>
    </row>
    <row r="10061" spans="1:5" x14ac:dyDescent="0.25">
      <c r="A10061">
        <v>12</v>
      </c>
      <c r="B10061">
        <v>14</v>
      </c>
      <c r="C10061">
        <v>14</v>
      </c>
      <c r="D10061">
        <v>8</v>
      </c>
      <c r="E10061">
        <f t="shared" si="156"/>
        <v>1.3555853558112748E-14</v>
      </c>
    </row>
    <row r="10062" spans="1:5" x14ac:dyDescent="0.25">
      <c r="A10062">
        <v>12</v>
      </c>
      <c r="B10062">
        <v>14</v>
      </c>
      <c r="C10062">
        <v>15</v>
      </c>
      <c r="D10062">
        <v>7</v>
      </c>
      <c r="E10062">
        <f t="shared" ref="E10062:E10125" si="157">COMBIN(A$4,A10062)*COMBIN(B$4,B10062)*COMBIN(C$4,C10062)*COMBIN(D$4,D10062)/COMBIN($G$4,$F$4)</f>
        <v>2.0484400932259259E-14</v>
      </c>
    </row>
    <row r="10063" spans="1:5" x14ac:dyDescent="0.25">
      <c r="A10063">
        <v>12</v>
      </c>
      <c r="B10063">
        <v>14</v>
      </c>
      <c r="C10063">
        <v>16</v>
      </c>
      <c r="D10063">
        <v>6</v>
      </c>
      <c r="E10063">
        <f t="shared" si="157"/>
        <v>2.3584014231219538E-14</v>
      </c>
    </row>
    <row r="10064" spans="1:5" x14ac:dyDescent="0.25">
      <c r="A10064">
        <v>12</v>
      </c>
      <c r="B10064">
        <v>14</v>
      </c>
      <c r="C10064">
        <v>17</v>
      </c>
      <c r="D10064">
        <v>5</v>
      </c>
      <c r="E10064">
        <f t="shared" si="157"/>
        <v>2.0393235835231023E-14</v>
      </c>
    </row>
    <row r="10065" spans="1:5" x14ac:dyDescent="0.25">
      <c r="A10065">
        <v>12</v>
      </c>
      <c r="B10065">
        <v>14</v>
      </c>
      <c r="C10065">
        <v>18</v>
      </c>
      <c r="D10065">
        <v>4</v>
      </c>
      <c r="E10065">
        <f t="shared" si="157"/>
        <v>1.2948086244591118E-14</v>
      </c>
    </row>
    <row r="10066" spans="1:5" x14ac:dyDescent="0.25">
      <c r="A10066">
        <v>12</v>
      </c>
      <c r="B10066">
        <v>14</v>
      </c>
      <c r="C10066">
        <v>19</v>
      </c>
      <c r="D10066">
        <v>3</v>
      </c>
      <c r="E10066">
        <f t="shared" si="157"/>
        <v>5.8235411817778248E-15</v>
      </c>
    </row>
    <row r="10067" spans="1:5" x14ac:dyDescent="0.25">
      <c r="A10067">
        <v>12</v>
      </c>
      <c r="B10067">
        <v>14</v>
      </c>
      <c r="C10067">
        <v>20</v>
      </c>
      <c r="D10067">
        <v>2</v>
      </c>
      <c r="E10067">
        <f t="shared" si="157"/>
        <v>1.7470623545333489E-15</v>
      </c>
    </row>
    <row r="10068" spans="1:5" x14ac:dyDescent="0.25">
      <c r="A10068">
        <v>12</v>
      </c>
      <c r="B10068">
        <v>14</v>
      </c>
      <c r="C10068">
        <v>21</v>
      </c>
      <c r="D10068">
        <v>1</v>
      </c>
      <c r="E10068">
        <f t="shared" si="157"/>
        <v>3.1197542045238336E-16</v>
      </c>
    </row>
    <row r="10069" spans="1:5" x14ac:dyDescent="0.25">
      <c r="A10069">
        <v>12</v>
      </c>
      <c r="B10069">
        <v>14</v>
      </c>
      <c r="C10069">
        <v>22</v>
      </c>
      <c r="D10069">
        <v>0</v>
      </c>
      <c r="E10069">
        <f t="shared" si="157"/>
        <v>2.4958033636190682E-17</v>
      </c>
    </row>
    <row r="10070" spans="1:5" x14ac:dyDescent="0.25">
      <c r="A10070">
        <v>12</v>
      </c>
      <c r="B10070">
        <v>15</v>
      </c>
      <c r="C10070">
        <v>0</v>
      </c>
      <c r="D10070">
        <v>21</v>
      </c>
      <c r="E10070">
        <f t="shared" si="157"/>
        <v>4.7656850231405978E-29</v>
      </c>
    </row>
    <row r="10071" spans="1:5" x14ac:dyDescent="0.25">
      <c r="A10071">
        <v>12</v>
      </c>
      <c r="B10071">
        <v>15</v>
      </c>
      <c r="C10071">
        <v>1</v>
      </c>
      <c r="D10071">
        <v>20</v>
      </c>
      <c r="E10071">
        <f t="shared" si="157"/>
        <v>1.301032011317383E-26</v>
      </c>
    </row>
    <row r="10072" spans="1:5" x14ac:dyDescent="0.25">
      <c r="A10072">
        <v>12</v>
      </c>
      <c r="B10072">
        <v>15</v>
      </c>
      <c r="C10072">
        <v>2</v>
      </c>
      <c r="D10072">
        <v>19</v>
      </c>
      <c r="E10072">
        <f t="shared" si="157"/>
        <v>1.3877674787385417E-24</v>
      </c>
    </row>
    <row r="10073" spans="1:5" x14ac:dyDescent="0.25">
      <c r="A10073">
        <v>12</v>
      </c>
      <c r="B10073">
        <v>15</v>
      </c>
      <c r="C10073">
        <v>3</v>
      </c>
      <c r="D10073">
        <v>18</v>
      </c>
      <c r="E10073">
        <f t="shared" si="157"/>
        <v>7.9102746288096911E-23</v>
      </c>
    </row>
    <row r="10074" spans="1:5" x14ac:dyDescent="0.25">
      <c r="A10074">
        <v>12</v>
      </c>
      <c r="B10074">
        <v>15</v>
      </c>
      <c r="C10074">
        <v>4</v>
      </c>
      <c r="D10074">
        <v>17</v>
      </c>
      <c r="E10074">
        <f t="shared" si="157"/>
        <v>2.758708276797379E-21</v>
      </c>
    </row>
    <row r="10075" spans="1:5" x14ac:dyDescent="0.25">
      <c r="A10075">
        <v>12</v>
      </c>
      <c r="B10075">
        <v>15</v>
      </c>
      <c r="C10075">
        <v>5</v>
      </c>
      <c r="D10075">
        <v>16</v>
      </c>
      <c r="E10075">
        <f t="shared" si="157"/>
        <v>6.3572899623086279E-20</v>
      </c>
    </row>
    <row r="10076" spans="1:5" x14ac:dyDescent="0.25">
      <c r="A10076">
        <v>12</v>
      </c>
      <c r="B10076">
        <v>15</v>
      </c>
      <c r="C10076">
        <v>6</v>
      </c>
      <c r="D10076">
        <v>15</v>
      </c>
      <c r="E10076">
        <f t="shared" si="157"/>
        <v>1.0171663939693803E-18</v>
      </c>
    </row>
    <row r="10077" spans="1:5" x14ac:dyDescent="0.25">
      <c r="A10077">
        <v>12</v>
      </c>
      <c r="B10077">
        <v>15</v>
      </c>
      <c r="C10077">
        <v>7</v>
      </c>
      <c r="D10077">
        <v>14</v>
      </c>
      <c r="E10077">
        <f t="shared" si="157"/>
        <v>1.1690808554063657E-17</v>
      </c>
    </row>
    <row r="10078" spans="1:5" x14ac:dyDescent="0.25">
      <c r="A10078">
        <v>12</v>
      </c>
      <c r="B10078">
        <v>15</v>
      </c>
      <c r="C10078">
        <v>8</v>
      </c>
      <c r="D10078">
        <v>13</v>
      </c>
      <c r="E10078">
        <f t="shared" si="157"/>
        <v>9.8884755686455122E-17</v>
      </c>
    </row>
    <row r="10079" spans="1:5" x14ac:dyDescent="0.25">
      <c r="A10079">
        <v>12</v>
      </c>
      <c r="B10079">
        <v>15</v>
      </c>
      <c r="C10079">
        <v>9</v>
      </c>
      <c r="D10079">
        <v>12</v>
      </c>
      <c r="E10079">
        <f t="shared" si="157"/>
        <v>6.2627011934754902E-16</v>
      </c>
    </row>
    <row r="10080" spans="1:5" x14ac:dyDescent="0.25">
      <c r="A10080">
        <v>12</v>
      </c>
      <c r="B10080">
        <v>15</v>
      </c>
      <c r="C10080">
        <v>10</v>
      </c>
      <c r="D10080">
        <v>11</v>
      </c>
      <c r="E10080">
        <f t="shared" si="157"/>
        <v>3.0060965728682354E-15</v>
      </c>
    </row>
    <row r="10081" spans="1:5" x14ac:dyDescent="0.25">
      <c r="A10081">
        <v>12</v>
      </c>
      <c r="B10081">
        <v>15</v>
      </c>
      <c r="C10081">
        <v>11</v>
      </c>
      <c r="D10081">
        <v>10</v>
      </c>
      <c r="E10081">
        <f t="shared" si="157"/>
        <v>1.1022354100516864E-14</v>
      </c>
    </row>
    <row r="10082" spans="1:5" x14ac:dyDescent="0.25">
      <c r="A10082">
        <v>12</v>
      </c>
      <c r="B10082">
        <v>15</v>
      </c>
      <c r="C10082">
        <v>12</v>
      </c>
      <c r="D10082">
        <v>9</v>
      </c>
      <c r="E10082">
        <f t="shared" si="157"/>
        <v>3.1000370907703662E-14</v>
      </c>
    </row>
    <row r="10083" spans="1:5" x14ac:dyDescent="0.25">
      <c r="A10083">
        <v>12</v>
      </c>
      <c r="B10083">
        <v>15</v>
      </c>
      <c r="C10083">
        <v>13</v>
      </c>
      <c r="D10083">
        <v>8</v>
      </c>
      <c r="E10083">
        <f t="shared" si="157"/>
        <v>6.6910302818889834E-14</v>
      </c>
    </row>
    <row r="10084" spans="1:5" x14ac:dyDescent="0.25">
      <c r="A10084">
        <v>12</v>
      </c>
      <c r="B10084">
        <v>15</v>
      </c>
      <c r="C10084">
        <v>14</v>
      </c>
      <c r="D10084">
        <v>7</v>
      </c>
      <c r="E10084">
        <f t="shared" si="157"/>
        <v>1.1045510306610389E-13</v>
      </c>
    </row>
    <row r="10085" spans="1:5" x14ac:dyDescent="0.25">
      <c r="A10085">
        <v>12</v>
      </c>
      <c r="B10085">
        <v>15</v>
      </c>
      <c r="C10085">
        <v>15</v>
      </c>
      <c r="D10085">
        <v>6</v>
      </c>
      <c r="E10085">
        <f t="shared" si="157"/>
        <v>1.3835955015648791E-13</v>
      </c>
    </row>
    <row r="10086" spans="1:5" x14ac:dyDescent="0.25">
      <c r="A10086">
        <v>12</v>
      </c>
      <c r="B10086">
        <v>15</v>
      </c>
      <c r="C10086">
        <v>16</v>
      </c>
      <c r="D10086">
        <v>5</v>
      </c>
      <c r="E10086">
        <f t="shared" si="157"/>
        <v>1.2971207827170745E-13</v>
      </c>
    </row>
    <row r="10087" spans="1:5" x14ac:dyDescent="0.25">
      <c r="A10087">
        <v>12</v>
      </c>
      <c r="B10087">
        <v>15</v>
      </c>
      <c r="C10087">
        <v>17</v>
      </c>
      <c r="D10087">
        <v>4</v>
      </c>
      <c r="E10087">
        <f t="shared" si="157"/>
        <v>8.9018092931564011E-14</v>
      </c>
    </row>
    <row r="10088" spans="1:5" x14ac:dyDescent="0.25">
      <c r="A10088">
        <v>12</v>
      </c>
      <c r="B10088">
        <v>15</v>
      </c>
      <c r="C10088">
        <v>18</v>
      </c>
      <c r="D10088">
        <v>3</v>
      </c>
      <c r="E10088">
        <f t="shared" si="157"/>
        <v>4.316028748197038E-14</v>
      </c>
    </row>
    <row r="10089" spans="1:5" x14ac:dyDescent="0.25">
      <c r="A10089">
        <v>12</v>
      </c>
      <c r="B10089">
        <v>15</v>
      </c>
      <c r="C10089">
        <v>19</v>
      </c>
      <c r="D10089">
        <v>2</v>
      </c>
      <c r="E10089">
        <f t="shared" si="157"/>
        <v>1.3925859347729579E-14</v>
      </c>
    </row>
    <row r="10090" spans="1:5" x14ac:dyDescent="0.25">
      <c r="A10090">
        <v>12</v>
      </c>
      <c r="B10090">
        <v>15</v>
      </c>
      <c r="C10090">
        <v>20</v>
      </c>
      <c r="D10090">
        <v>1</v>
      </c>
      <c r="E10090">
        <f t="shared" si="157"/>
        <v>2.6691230416481719E-15</v>
      </c>
    </row>
    <row r="10091" spans="1:5" x14ac:dyDescent="0.25">
      <c r="A10091">
        <v>12</v>
      </c>
      <c r="B10091">
        <v>15</v>
      </c>
      <c r="C10091">
        <v>21</v>
      </c>
      <c r="D10091">
        <v>0</v>
      </c>
      <c r="E10091">
        <f t="shared" si="157"/>
        <v>2.2878197499841442E-16</v>
      </c>
    </row>
    <row r="10092" spans="1:5" x14ac:dyDescent="0.25">
      <c r="A10092">
        <v>12</v>
      </c>
      <c r="B10092">
        <v>16</v>
      </c>
      <c r="C10092">
        <v>0</v>
      </c>
      <c r="D10092">
        <v>20</v>
      </c>
      <c r="E10092">
        <f t="shared" si="157"/>
        <v>3.4277189528938742E-27</v>
      </c>
    </row>
    <row r="10093" spans="1:5" x14ac:dyDescent="0.25">
      <c r="A10093">
        <v>12</v>
      </c>
      <c r="B10093">
        <v>16</v>
      </c>
      <c r="C10093">
        <v>1</v>
      </c>
      <c r="D10093">
        <v>19</v>
      </c>
      <c r="E10093">
        <f t="shared" si="157"/>
        <v>7.4267243979367273E-25</v>
      </c>
    </row>
    <row r="10094" spans="1:5" x14ac:dyDescent="0.25">
      <c r="A10094">
        <v>12</v>
      </c>
      <c r="B10094">
        <v>16</v>
      </c>
      <c r="C10094">
        <v>2</v>
      </c>
      <c r="D10094">
        <v>18</v>
      </c>
      <c r="E10094">
        <f t="shared" si="157"/>
        <v>6.4506406199221894E-23</v>
      </c>
    </row>
    <row r="10095" spans="1:5" x14ac:dyDescent="0.25">
      <c r="A10095">
        <v>12</v>
      </c>
      <c r="B10095">
        <v>16</v>
      </c>
      <c r="C10095">
        <v>3</v>
      </c>
      <c r="D10095">
        <v>17</v>
      </c>
      <c r="E10095">
        <f t="shared" si="157"/>
        <v>3.0479276929132332E-21</v>
      </c>
    </row>
    <row r="10096" spans="1:5" x14ac:dyDescent="0.25">
      <c r="A10096">
        <v>12</v>
      </c>
      <c r="B10096">
        <v>16</v>
      </c>
      <c r="C10096">
        <v>4</v>
      </c>
      <c r="D10096">
        <v>16</v>
      </c>
      <c r="E10096">
        <f t="shared" si="157"/>
        <v>8.9236549675848559E-20</v>
      </c>
    </row>
    <row r="10097" spans="1:5" x14ac:dyDescent="0.25">
      <c r="A10097">
        <v>12</v>
      </c>
      <c r="B10097">
        <v>16</v>
      </c>
      <c r="C10097">
        <v>5</v>
      </c>
      <c r="D10097">
        <v>15</v>
      </c>
      <c r="E10097">
        <f t="shared" si="157"/>
        <v>1.7418974496725636E-18</v>
      </c>
    </row>
    <row r="10098" spans="1:5" x14ac:dyDescent="0.25">
      <c r="A10098">
        <v>12</v>
      </c>
      <c r="B10098">
        <v>16</v>
      </c>
      <c r="C10098">
        <v>6</v>
      </c>
      <c r="D10098">
        <v>14</v>
      </c>
      <c r="E10098">
        <f t="shared" si="157"/>
        <v>2.3753147040989509E-17</v>
      </c>
    </row>
    <row r="10099" spans="1:5" x14ac:dyDescent="0.25">
      <c r="A10099">
        <v>12</v>
      </c>
      <c r="B10099">
        <v>16</v>
      </c>
      <c r="C10099">
        <v>7</v>
      </c>
      <c r="D10099">
        <v>13</v>
      </c>
      <c r="E10099">
        <f t="shared" si="157"/>
        <v>2.3357261256973017E-16</v>
      </c>
    </row>
    <row r="10100" spans="1:5" x14ac:dyDescent="0.25">
      <c r="A10100">
        <v>12</v>
      </c>
      <c r="B10100">
        <v>16</v>
      </c>
      <c r="C10100">
        <v>8</v>
      </c>
      <c r="D10100">
        <v>12</v>
      </c>
      <c r="E10100">
        <f t="shared" si="157"/>
        <v>1.6934014411305442E-15</v>
      </c>
    </row>
    <row r="10101" spans="1:5" x14ac:dyDescent="0.25">
      <c r="A10101">
        <v>12</v>
      </c>
      <c r="B10101">
        <v>16</v>
      </c>
      <c r="C10101">
        <v>9</v>
      </c>
      <c r="D10101">
        <v>11</v>
      </c>
      <c r="E10101">
        <f t="shared" si="157"/>
        <v>9.1927506804229494E-15</v>
      </c>
    </row>
    <row r="10102" spans="1:5" x14ac:dyDescent="0.25">
      <c r="A10102">
        <v>12</v>
      </c>
      <c r="B10102">
        <v>16</v>
      </c>
      <c r="C10102">
        <v>10</v>
      </c>
      <c r="D10102">
        <v>10</v>
      </c>
      <c r="E10102">
        <f t="shared" si="157"/>
        <v>3.7751562794270257E-14</v>
      </c>
    </row>
    <row r="10103" spans="1:5" x14ac:dyDescent="0.25">
      <c r="A10103">
        <v>12</v>
      </c>
      <c r="B10103">
        <v>16</v>
      </c>
      <c r="C10103">
        <v>11</v>
      </c>
      <c r="D10103">
        <v>9</v>
      </c>
      <c r="E10103">
        <f t="shared" si="157"/>
        <v>1.1797363373209457E-13</v>
      </c>
    </row>
    <row r="10104" spans="1:5" x14ac:dyDescent="0.25">
      <c r="A10104">
        <v>12</v>
      </c>
      <c r="B10104">
        <v>16</v>
      </c>
      <c r="C10104">
        <v>12</v>
      </c>
      <c r="D10104">
        <v>8</v>
      </c>
      <c r="E10104">
        <f t="shared" si="157"/>
        <v>2.8105483330293097E-13</v>
      </c>
    </row>
    <row r="10105" spans="1:5" x14ac:dyDescent="0.25">
      <c r="A10105">
        <v>12</v>
      </c>
      <c r="B10105">
        <v>16</v>
      </c>
      <c r="C10105">
        <v>13</v>
      </c>
      <c r="D10105">
        <v>7</v>
      </c>
      <c r="E10105">
        <f t="shared" si="157"/>
        <v>5.0926174923266164E-13</v>
      </c>
    </row>
    <row r="10106" spans="1:5" x14ac:dyDescent="0.25">
      <c r="A10106">
        <v>12</v>
      </c>
      <c r="B10106">
        <v>16</v>
      </c>
      <c r="C10106">
        <v>14</v>
      </c>
      <c r="D10106">
        <v>6</v>
      </c>
      <c r="E10106">
        <f t="shared" si="157"/>
        <v>6.9688449894995785E-13</v>
      </c>
    </row>
    <row r="10107" spans="1:5" x14ac:dyDescent="0.25">
      <c r="A10107">
        <v>12</v>
      </c>
      <c r="B10107">
        <v>16</v>
      </c>
      <c r="C10107">
        <v>15</v>
      </c>
      <c r="D10107">
        <v>5</v>
      </c>
      <c r="E10107">
        <f t="shared" si="157"/>
        <v>7.1082218892895678E-13</v>
      </c>
    </row>
    <row r="10108" spans="1:5" x14ac:dyDescent="0.25">
      <c r="A10108">
        <v>12</v>
      </c>
      <c r="B10108">
        <v>16</v>
      </c>
      <c r="C10108">
        <v>16</v>
      </c>
      <c r="D10108">
        <v>4</v>
      </c>
      <c r="E10108">
        <f t="shared" si="157"/>
        <v>5.2888555723880722E-13</v>
      </c>
    </row>
    <row r="10109" spans="1:5" x14ac:dyDescent="0.25">
      <c r="A10109">
        <v>12</v>
      </c>
      <c r="B10109">
        <v>16</v>
      </c>
      <c r="C10109">
        <v>17</v>
      </c>
      <c r="D10109">
        <v>3</v>
      </c>
      <c r="E10109">
        <f t="shared" si="157"/>
        <v>2.7716997117327882E-13</v>
      </c>
    </row>
    <row r="10110" spans="1:5" x14ac:dyDescent="0.25">
      <c r="A10110">
        <v>12</v>
      </c>
      <c r="B10110">
        <v>16</v>
      </c>
      <c r="C10110">
        <v>18</v>
      </c>
      <c r="D10110">
        <v>2</v>
      </c>
      <c r="E10110">
        <f t="shared" si="157"/>
        <v>9.6406946495053407E-14</v>
      </c>
    </row>
    <row r="10111" spans="1:5" x14ac:dyDescent="0.25">
      <c r="A10111">
        <v>12</v>
      </c>
      <c r="B10111">
        <v>16</v>
      </c>
      <c r="C10111">
        <v>19</v>
      </c>
      <c r="D10111">
        <v>1</v>
      </c>
      <c r="E10111">
        <f t="shared" si="157"/>
        <v>1.9873361777489089E-14</v>
      </c>
    </row>
    <row r="10112" spans="1:5" x14ac:dyDescent="0.25">
      <c r="A10112">
        <v>12</v>
      </c>
      <c r="B10112">
        <v>16</v>
      </c>
      <c r="C10112">
        <v>20</v>
      </c>
      <c r="D10112">
        <v>0</v>
      </c>
      <c r="E10112">
        <f t="shared" si="157"/>
        <v>1.8283492835289976E-15</v>
      </c>
    </row>
    <row r="10113" spans="1:5" x14ac:dyDescent="0.25">
      <c r="A10113">
        <v>12</v>
      </c>
      <c r="B10113">
        <v>17</v>
      </c>
      <c r="C10113">
        <v>0</v>
      </c>
      <c r="D10113">
        <v>19</v>
      </c>
      <c r="E10113">
        <f t="shared" si="157"/>
        <v>1.8348377924314269E-25</v>
      </c>
    </row>
    <row r="10114" spans="1:5" x14ac:dyDescent="0.25">
      <c r="A10114">
        <v>12</v>
      </c>
      <c r="B10114">
        <v>17</v>
      </c>
      <c r="C10114">
        <v>1</v>
      </c>
      <c r="D10114">
        <v>18</v>
      </c>
      <c r="E10114">
        <f t="shared" si="157"/>
        <v>3.2371781052183044E-23</v>
      </c>
    </row>
    <row r="10115" spans="1:5" x14ac:dyDescent="0.25">
      <c r="A10115">
        <v>12</v>
      </c>
      <c r="B10115">
        <v>17</v>
      </c>
      <c r="C10115">
        <v>2</v>
      </c>
      <c r="D10115">
        <v>17</v>
      </c>
      <c r="E10115">
        <f t="shared" si="157"/>
        <v>2.3307682357571787E-21</v>
      </c>
    </row>
    <row r="10116" spans="1:5" x14ac:dyDescent="0.25">
      <c r="A10116">
        <v>12</v>
      </c>
      <c r="B10116">
        <v>17</v>
      </c>
      <c r="C10116">
        <v>3</v>
      </c>
      <c r="D10116">
        <v>16</v>
      </c>
      <c r="E10116">
        <f t="shared" si="157"/>
        <v>9.2453806685034764E-20</v>
      </c>
    </row>
    <row r="10117" spans="1:5" x14ac:dyDescent="0.25">
      <c r="A10117">
        <v>12</v>
      </c>
      <c r="B10117">
        <v>17</v>
      </c>
      <c r="C10117">
        <v>4</v>
      </c>
      <c r="D10117">
        <v>15</v>
      </c>
      <c r="E10117">
        <f t="shared" si="157"/>
        <v>2.2928544057888622E-18</v>
      </c>
    </row>
    <row r="10118" spans="1:5" x14ac:dyDescent="0.25">
      <c r="A10118">
        <v>12</v>
      </c>
      <c r="B10118">
        <v>17</v>
      </c>
      <c r="C10118">
        <v>5</v>
      </c>
      <c r="D10118">
        <v>14</v>
      </c>
      <c r="E10118">
        <f t="shared" si="157"/>
        <v>3.8144759659941984E-17</v>
      </c>
    </row>
    <row r="10119" spans="1:5" x14ac:dyDescent="0.25">
      <c r="A10119">
        <v>12</v>
      </c>
      <c r="B10119">
        <v>17</v>
      </c>
      <c r="C10119">
        <v>6</v>
      </c>
      <c r="D10119">
        <v>13</v>
      </c>
      <c r="E10119">
        <f t="shared" si="157"/>
        <v>4.4502219603265648E-16</v>
      </c>
    </row>
    <row r="10120" spans="1:5" x14ac:dyDescent="0.25">
      <c r="A10120">
        <v>12</v>
      </c>
      <c r="B10120">
        <v>17</v>
      </c>
      <c r="C10120">
        <v>7</v>
      </c>
      <c r="D10120">
        <v>12</v>
      </c>
      <c r="E10120">
        <f t="shared" si="157"/>
        <v>3.7509013665609617E-15</v>
      </c>
    </row>
    <row r="10121" spans="1:5" x14ac:dyDescent="0.25">
      <c r="A10121">
        <v>12</v>
      </c>
      <c r="B10121">
        <v>17</v>
      </c>
      <c r="C10121">
        <v>8</v>
      </c>
      <c r="D10121">
        <v>11</v>
      </c>
      <c r="E10121">
        <f t="shared" si="157"/>
        <v>2.3309172777914546E-14</v>
      </c>
    </row>
    <row r="10122" spans="1:5" x14ac:dyDescent="0.25">
      <c r="A10122">
        <v>12</v>
      </c>
      <c r="B10122">
        <v>17</v>
      </c>
      <c r="C10122">
        <v>9</v>
      </c>
      <c r="D10122">
        <v>10</v>
      </c>
      <c r="E10122">
        <f t="shared" si="157"/>
        <v>1.0825815801298088E-13</v>
      </c>
    </row>
    <row r="10123" spans="1:5" x14ac:dyDescent="0.25">
      <c r="A10123">
        <v>12</v>
      </c>
      <c r="B10123">
        <v>17</v>
      </c>
      <c r="C10123">
        <v>10</v>
      </c>
      <c r="D10123">
        <v>9</v>
      </c>
      <c r="E10123">
        <f t="shared" si="157"/>
        <v>3.789035530454332E-13</v>
      </c>
    </row>
    <row r="10124" spans="1:5" x14ac:dyDescent="0.25">
      <c r="A10124">
        <v>12</v>
      </c>
      <c r="B10124">
        <v>17</v>
      </c>
      <c r="C10124">
        <v>11</v>
      </c>
      <c r="D10124">
        <v>8</v>
      </c>
      <c r="E10124">
        <f t="shared" si="157"/>
        <v>1.0029799933555585E-12</v>
      </c>
    </row>
    <row r="10125" spans="1:5" x14ac:dyDescent="0.25">
      <c r="A10125">
        <v>12</v>
      </c>
      <c r="B10125">
        <v>17</v>
      </c>
      <c r="C10125">
        <v>12</v>
      </c>
      <c r="D10125">
        <v>7</v>
      </c>
      <c r="E10125">
        <f t="shared" si="157"/>
        <v>2.0059599867111161E-12</v>
      </c>
    </row>
    <row r="10126" spans="1:5" x14ac:dyDescent="0.25">
      <c r="A10126">
        <v>12</v>
      </c>
      <c r="B10126">
        <v>17</v>
      </c>
      <c r="C10126">
        <v>13</v>
      </c>
      <c r="D10126">
        <v>6</v>
      </c>
      <c r="E10126">
        <f t="shared" ref="E10126:E10189" si="158">COMBIN(A$4,A10126)*COMBIN(B$4,B10126)*COMBIN(C$4,C10126)*COMBIN(D$4,D10126)/COMBIN($G$4,$F$4)</f>
        <v>3.0130006278130532E-12</v>
      </c>
    </row>
    <row r="10127" spans="1:5" x14ac:dyDescent="0.25">
      <c r="A10127">
        <v>12</v>
      </c>
      <c r="B10127">
        <v>17</v>
      </c>
      <c r="C10127">
        <v>14</v>
      </c>
      <c r="D10127">
        <v>5</v>
      </c>
      <c r="E10127">
        <f t="shared" si="158"/>
        <v>3.3573435567059742E-12</v>
      </c>
    </row>
    <row r="10128" spans="1:5" x14ac:dyDescent="0.25">
      <c r="A10128">
        <v>12</v>
      </c>
      <c r="B10128">
        <v>17</v>
      </c>
      <c r="C10128">
        <v>15</v>
      </c>
      <c r="D10128">
        <v>4</v>
      </c>
      <c r="E10128">
        <f t="shared" si="158"/>
        <v>2.7178495459048359E-12</v>
      </c>
    </row>
    <row r="10129" spans="1:5" x14ac:dyDescent="0.25">
      <c r="A10129">
        <v>12</v>
      </c>
      <c r="B10129">
        <v>17</v>
      </c>
      <c r="C10129">
        <v>16</v>
      </c>
      <c r="D10129">
        <v>3</v>
      </c>
      <c r="E10129">
        <f t="shared" si="158"/>
        <v>1.5442326965368386E-12</v>
      </c>
    </row>
    <row r="10130" spans="1:5" x14ac:dyDescent="0.25">
      <c r="A10130">
        <v>12</v>
      </c>
      <c r="B10130">
        <v>17</v>
      </c>
      <c r="C10130">
        <v>17</v>
      </c>
      <c r="D10130">
        <v>2</v>
      </c>
      <c r="E10130">
        <f t="shared" si="158"/>
        <v>5.8056830279006491E-13</v>
      </c>
    </row>
    <row r="10131" spans="1:5" x14ac:dyDescent="0.25">
      <c r="A10131">
        <v>12</v>
      </c>
      <c r="B10131">
        <v>17</v>
      </c>
      <c r="C10131">
        <v>18</v>
      </c>
      <c r="D10131">
        <v>1</v>
      </c>
      <c r="E10131">
        <f t="shared" si="158"/>
        <v>1.290151783977921E-13</v>
      </c>
    </row>
    <row r="10132" spans="1:5" x14ac:dyDescent="0.25">
      <c r="A10132">
        <v>12</v>
      </c>
      <c r="B10132">
        <v>17</v>
      </c>
      <c r="C10132">
        <v>19</v>
      </c>
      <c r="D10132">
        <v>0</v>
      </c>
      <c r="E10132">
        <f t="shared" si="158"/>
        <v>1.2765712388834169E-14</v>
      </c>
    </row>
    <row r="10133" spans="1:5" x14ac:dyDescent="0.25">
      <c r="A10133">
        <v>12</v>
      </c>
      <c r="B10133">
        <v>18</v>
      </c>
      <c r="C10133">
        <v>0</v>
      </c>
      <c r="D10133">
        <v>18</v>
      </c>
      <c r="E10133">
        <f t="shared" si="158"/>
        <v>7.5257473899092225E-24</v>
      </c>
    </row>
    <row r="10134" spans="1:5" x14ac:dyDescent="0.25">
      <c r="A10134">
        <v>12</v>
      </c>
      <c r="B10134">
        <v>18</v>
      </c>
      <c r="C10134">
        <v>1</v>
      </c>
      <c r="D10134">
        <v>17</v>
      </c>
      <c r="E10134">
        <f t="shared" si="158"/>
        <v>1.1006405557742235E-21</v>
      </c>
    </row>
    <row r="10135" spans="1:5" x14ac:dyDescent="0.25">
      <c r="A10135">
        <v>12</v>
      </c>
      <c r="B10135">
        <v>18</v>
      </c>
      <c r="C10135">
        <v>2</v>
      </c>
      <c r="D10135">
        <v>16</v>
      </c>
      <c r="E10135">
        <f t="shared" si="158"/>
        <v>6.65276069267975E-20</v>
      </c>
    </row>
    <row r="10136" spans="1:5" x14ac:dyDescent="0.25">
      <c r="A10136">
        <v>12</v>
      </c>
      <c r="B10136">
        <v>18</v>
      </c>
      <c r="C10136">
        <v>3</v>
      </c>
      <c r="D10136">
        <v>15</v>
      </c>
      <c r="E10136">
        <f t="shared" si="158"/>
        <v>2.2353275927403959E-18</v>
      </c>
    </row>
    <row r="10137" spans="1:5" x14ac:dyDescent="0.25">
      <c r="A10137">
        <v>12</v>
      </c>
      <c r="B10137">
        <v>18</v>
      </c>
      <c r="C10137">
        <v>4</v>
      </c>
      <c r="D10137">
        <v>14</v>
      </c>
      <c r="E10137">
        <f t="shared" si="158"/>
        <v>4.7246696846558379E-17</v>
      </c>
    </row>
    <row r="10138" spans="1:5" x14ac:dyDescent="0.25">
      <c r="A10138">
        <v>12</v>
      </c>
      <c r="B10138">
        <v>18</v>
      </c>
      <c r="C10138">
        <v>5</v>
      </c>
      <c r="D10138">
        <v>13</v>
      </c>
      <c r="E10138">
        <f t="shared" si="158"/>
        <v>6.7247798511601442E-16</v>
      </c>
    </row>
    <row r="10139" spans="1:5" x14ac:dyDescent="0.25">
      <c r="A10139">
        <v>12</v>
      </c>
      <c r="B10139">
        <v>18</v>
      </c>
      <c r="C10139">
        <v>6</v>
      </c>
      <c r="D10139">
        <v>12</v>
      </c>
      <c r="E10139">
        <f t="shared" si="158"/>
        <v>6.7247798511601434E-15</v>
      </c>
    </row>
    <row r="10140" spans="1:5" x14ac:dyDescent="0.25">
      <c r="A10140">
        <v>12</v>
      </c>
      <c r="B10140">
        <v>18</v>
      </c>
      <c r="C10140">
        <v>7</v>
      </c>
      <c r="D10140">
        <v>11</v>
      </c>
      <c r="E10140">
        <f t="shared" si="158"/>
        <v>4.8583103414503879E-14</v>
      </c>
    </row>
    <row r="10141" spans="1:5" x14ac:dyDescent="0.25">
      <c r="A10141">
        <v>12</v>
      </c>
      <c r="B10141">
        <v>18</v>
      </c>
      <c r="C10141">
        <v>8</v>
      </c>
      <c r="D10141">
        <v>10</v>
      </c>
      <c r="E10141">
        <f t="shared" si="158"/>
        <v>2.5830016648711235E-13</v>
      </c>
    </row>
    <row r="10142" spans="1:5" x14ac:dyDescent="0.25">
      <c r="A10142">
        <v>12</v>
      </c>
      <c r="B10142">
        <v>18</v>
      </c>
      <c r="C10142">
        <v>9</v>
      </c>
      <c r="D10142">
        <v>9</v>
      </c>
      <c r="E10142">
        <f t="shared" si="158"/>
        <v>1.0224381590114861E-12</v>
      </c>
    </row>
    <row r="10143" spans="1:5" x14ac:dyDescent="0.25">
      <c r="A10143">
        <v>12</v>
      </c>
      <c r="B10143">
        <v>18</v>
      </c>
      <c r="C10143">
        <v>10</v>
      </c>
      <c r="D10143">
        <v>8</v>
      </c>
      <c r="E10143">
        <f t="shared" si="158"/>
        <v>3.0312284243634656E-12</v>
      </c>
    </row>
    <row r="10144" spans="1:5" x14ac:dyDescent="0.25">
      <c r="A10144">
        <v>12</v>
      </c>
      <c r="B10144">
        <v>18</v>
      </c>
      <c r="C10144">
        <v>11</v>
      </c>
      <c r="D10144">
        <v>7</v>
      </c>
      <c r="E10144">
        <f t="shared" si="158"/>
        <v>6.7360631652521487E-12</v>
      </c>
    </row>
    <row r="10145" spans="1:5" x14ac:dyDescent="0.25">
      <c r="A10145">
        <v>12</v>
      </c>
      <c r="B10145">
        <v>18</v>
      </c>
      <c r="C10145">
        <v>12</v>
      </c>
      <c r="D10145">
        <v>6</v>
      </c>
      <c r="E10145">
        <f t="shared" si="158"/>
        <v>1.1167683668707497E-11</v>
      </c>
    </row>
    <row r="10146" spans="1:5" x14ac:dyDescent="0.25">
      <c r="A10146">
        <v>12</v>
      </c>
      <c r="B10146">
        <v>18</v>
      </c>
      <c r="C10146">
        <v>13</v>
      </c>
      <c r="D10146">
        <v>5</v>
      </c>
      <c r="E10146">
        <f t="shared" si="158"/>
        <v>1.3658936179419175E-11</v>
      </c>
    </row>
    <row r="10147" spans="1:5" x14ac:dyDescent="0.25">
      <c r="A10147">
        <v>12</v>
      </c>
      <c r="B10147">
        <v>18</v>
      </c>
      <c r="C10147">
        <v>14</v>
      </c>
      <c r="D10147">
        <v>4</v>
      </c>
      <c r="E10147">
        <f t="shared" si="158"/>
        <v>1.207933131513261E-11</v>
      </c>
    </row>
    <row r="10148" spans="1:5" x14ac:dyDescent="0.25">
      <c r="A10148">
        <v>12</v>
      </c>
      <c r="B10148">
        <v>18</v>
      </c>
      <c r="C10148">
        <v>15</v>
      </c>
      <c r="D10148">
        <v>3</v>
      </c>
      <c r="E10148">
        <f t="shared" si="158"/>
        <v>7.4672229948092452E-12</v>
      </c>
    </row>
    <row r="10149" spans="1:5" x14ac:dyDescent="0.25">
      <c r="A10149">
        <v>12</v>
      </c>
      <c r="B10149">
        <v>18</v>
      </c>
      <c r="C10149">
        <v>16</v>
      </c>
      <c r="D10149">
        <v>2</v>
      </c>
      <c r="E10149">
        <f t="shared" si="158"/>
        <v>3.0437050250581168E-12</v>
      </c>
    </row>
    <row r="10150" spans="1:5" x14ac:dyDescent="0.25">
      <c r="A10150">
        <v>12</v>
      </c>
      <c r="B10150">
        <v>18</v>
      </c>
      <c r="C10150">
        <v>17</v>
      </c>
      <c r="D10150">
        <v>1</v>
      </c>
      <c r="E10150">
        <f t="shared" si="158"/>
        <v>7.3108601092082263E-13</v>
      </c>
    </row>
    <row r="10151" spans="1:5" x14ac:dyDescent="0.25">
      <c r="A10151">
        <v>12</v>
      </c>
      <c r="B10151">
        <v>18</v>
      </c>
      <c r="C10151">
        <v>18</v>
      </c>
      <c r="D10151">
        <v>0</v>
      </c>
      <c r="E10151">
        <f t="shared" si="158"/>
        <v>7.7982507831554331E-14</v>
      </c>
    </row>
    <row r="10152" spans="1:5" x14ac:dyDescent="0.25">
      <c r="A10152">
        <v>12</v>
      </c>
      <c r="B10152">
        <v>19</v>
      </c>
      <c r="C10152">
        <v>0</v>
      </c>
      <c r="D10152">
        <v>17</v>
      </c>
      <c r="E10152">
        <f t="shared" si="158"/>
        <v>2.4151707742090243E-22</v>
      </c>
    </row>
    <row r="10153" spans="1:5" x14ac:dyDescent="0.25">
      <c r="A10153">
        <v>12</v>
      </c>
      <c r="B10153">
        <v>19</v>
      </c>
      <c r="C10153">
        <v>1</v>
      </c>
      <c r="D10153">
        <v>16</v>
      </c>
      <c r="E10153">
        <f t="shared" si="158"/>
        <v>2.965293006112191E-20</v>
      </c>
    </row>
    <row r="10154" spans="1:5" x14ac:dyDescent="0.25">
      <c r="A10154">
        <v>12</v>
      </c>
      <c r="B10154">
        <v>19</v>
      </c>
      <c r="C10154">
        <v>2</v>
      </c>
      <c r="D10154">
        <v>15</v>
      </c>
      <c r="E10154">
        <f t="shared" si="158"/>
        <v>1.5182300191294416E-18</v>
      </c>
    </row>
    <row r="10155" spans="1:5" x14ac:dyDescent="0.25">
      <c r="A10155">
        <v>12</v>
      </c>
      <c r="B10155">
        <v>19</v>
      </c>
      <c r="C10155">
        <v>3</v>
      </c>
      <c r="D10155">
        <v>14</v>
      </c>
      <c r="E10155">
        <f t="shared" si="158"/>
        <v>4.3476586911434013E-17</v>
      </c>
    </row>
    <row r="10156" spans="1:5" x14ac:dyDescent="0.25">
      <c r="A10156">
        <v>12</v>
      </c>
      <c r="B10156">
        <v>19</v>
      </c>
      <c r="C10156">
        <v>4</v>
      </c>
      <c r="D10156">
        <v>13</v>
      </c>
      <c r="E10156">
        <f t="shared" si="158"/>
        <v>7.8620161331509856E-16</v>
      </c>
    </row>
    <row r="10157" spans="1:5" x14ac:dyDescent="0.25">
      <c r="A10157">
        <v>12</v>
      </c>
      <c r="B10157">
        <v>19</v>
      </c>
      <c r="C10157">
        <v>5</v>
      </c>
      <c r="D10157">
        <v>12</v>
      </c>
      <c r="E10157">
        <f t="shared" si="158"/>
        <v>9.5916596824442029E-15</v>
      </c>
    </row>
    <row r="10158" spans="1:5" x14ac:dyDescent="0.25">
      <c r="A10158">
        <v>12</v>
      </c>
      <c r="B10158">
        <v>19</v>
      </c>
      <c r="C10158">
        <v>6</v>
      </c>
      <c r="D10158">
        <v>11</v>
      </c>
      <c r="E10158">
        <f t="shared" si="158"/>
        <v>8.2214225849521722E-14</v>
      </c>
    </row>
    <row r="10159" spans="1:5" x14ac:dyDescent="0.25">
      <c r="A10159">
        <v>12</v>
      </c>
      <c r="B10159">
        <v>19</v>
      </c>
      <c r="C10159">
        <v>7</v>
      </c>
      <c r="D10159">
        <v>10</v>
      </c>
      <c r="E10159">
        <f t="shared" si="158"/>
        <v>5.08162215012758E-13</v>
      </c>
    </row>
    <row r="10160" spans="1:5" x14ac:dyDescent="0.25">
      <c r="A10160">
        <v>12</v>
      </c>
      <c r="B10160">
        <v>19</v>
      </c>
      <c r="C10160">
        <v>8</v>
      </c>
      <c r="D10160">
        <v>9</v>
      </c>
      <c r="E10160">
        <f t="shared" si="158"/>
        <v>2.3026100367765607E-12</v>
      </c>
    </row>
    <row r="10161" spans="1:5" x14ac:dyDescent="0.25">
      <c r="A10161">
        <v>12</v>
      </c>
      <c r="B10161">
        <v>19</v>
      </c>
      <c r="C10161">
        <v>9</v>
      </c>
      <c r="D10161">
        <v>8</v>
      </c>
      <c r="E10161">
        <f t="shared" si="158"/>
        <v>7.7205160056625836E-12</v>
      </c>
    </row>
    <row r="10162" spans="1:5" x14ac:dyDescent="0.25">
      <c r="A10162">
        <v>12</v>
      </c>
      <c r="B10162">
        <v>19</v>
      </c>
      <c r="C10162">
        <v>10</v>
      </c>
      <c r="D10162">
        <v>7</v>
      </c>
      <c r="E10162">
        <f t="shared" si="158"/>
        <v>1.9215506502982438E-11</v>
      </c>
    </row>
    <row r="10163" spans="1:5" x14ac:dyDescent="0.25">
      <c r="A10163">
        <v>12</v>
      </c>
      <c r="B10163">
        <v>19</v>
      </c>
      <c r="C10163">
        <v>11</v>
      </c>
      <c r="D10163">
        <v>6</v>
      </c>
      <c r="E10163">
        <f t="shared" si="158"/>
        <v>3.5396985663388686E-11</v>
      </c>
    </row>
    <row r="10164" spans="1:5" x14ac:dyDescent="0.25">
      <c r="A10164">
        <v>12</v>
      </c>
      <c r="B10164">
        <v>19</v>
      </c>
      <c r="C10164">
        <v>12</v>
      </c>
      <c r="D10164">
        <v>5</v>
      </c>
      <c r="E10164">
        <f t="shared" si="158"/>
        <v>4.7785930645574705E-11</v>
      </c>
    </row>
    <row r="10165" spans="1:5" x14ac:dyDescent="0.25">
      <c r="A10165">
        <v>12</v>
      </c>
      <c r="B10165">
        <v>19</v>
      </c>
      <c r="C10165">
        <v>13</v>
      </c>
      <c r="D10165">
        <v>4</v>
      </c>
      <c r="E10165">
        <f t="shared" si="158"/>
        <v>4.6385610333616507E-11</v>
      </c>
    </row>
    <row r="10166" spans="1:5" x14ac:dyDescent="0.25">
      <c r="A10166">
        <v>12</v>
      </c>
      <c r="B10166">
        <v>19</v>
      </c>
      <c r="C10166">
        <v>14</v>
      </c>
      <c r="D10166">
        <v>3</v>
      </c>
      <c r="E10166">
        <f t="shared" si="158"/>
        <v>3.1325347238286467E-11</v>
      </c>
    </row>
    <row r="10167" spans="1:5" x14ac:dyDescent="0.25">
      <c r="A10167">
        <v>12</v>
      </c>
      <c r="B10167">
        <v>19</v>
      </c>
      <c r="C10167">
        <v>15</v>
      </c>
      <c r="D10167">
        <v>2</v>
      </c>
      <c r="E10167">
        <f t="shared" si="158"/>
        <v>1.3892110514370515E-11</v>
      </c>
    </row>
    <row r="10168" spans="1:5" x14ac:dyDescent="0.25">
      <c r="A10168">
        <v>12</v>
      </c>
      <c r="B10168">
        <v>19</v>
      </c>
      <c r="C10168">
        <v>16</v>
      </c>
      <c r="D10168">
        <v>1</v>
      </c>
      <c r="E10168">
        <f t="shared" si="158"/>
        <v>3.6177371131173225E-12</v>
      </c>
    </row>
    <row r="10169" spans="1:5" x14ac:dyDescent="0.25">
      <c r="A10169">
        <v>12</v>
      </c>
      <c r="B10169">
        <v>19</v>
      </c>
      <c r="C10169">
        <v>17</v>
      </c>
      <c r="D10169">
        <v>0</v>
      </c>
      <c r="E10169">
        <f t="shared" si="158"/>
        <v>4.1710380833587969E-13</v>
      </c>
    </row>
    <row r="10170" spans="1:5" x14ac:dyDescent="0.25">
      <c r="A10170">
        <v>12</v>
      </c>
      <c r="B10170">
        <v>20</v>
      </c>
      <c r="C10170">
        <v>0</v>
      </c>
      <c r="D10170">
        <v>16</v>
      </c>
      <c r="E10170">
        <f t="shared" si="158"/>
        <v>6.1586854742330115E-21</v>
      </c>
    </row>
    <row r="10171" spans="1:5" x14ac:dyDescent="0.25">
      <c r="A10171">
        <v>12</v>
      </c>
      <c r="B10171">
        <v>20</v>
      </c>
      <c r="C10171">
        <v>1</v>
      </c>
      <c r="D10171">
        <v>15</v>
      </c>
      <c r="E10171">
        <f t="shared" si="158"/>
        <v>6.4050328932023307E-19</v>
      </c>
    </row>
    <row r="10172" spans="1:5" x14ac:dyDescent="0.25">
      <c r="A10172">
        <v>12</v>
      </c>
      <c r="B10172">
        <v>20</v>
      </c>
      <c r="C10172">
        <v>2</v>
      </c>
      <c r="D10172">
        <v>14</v>
      </c>
      <c r="E10172">
        <f t="shared" si="158"/>
        <v>2.7949234443064724E-17</v>
      </c>
    </row>
    <row r="10173" spans="1:5" x14ac:dyDescent="0.25">
      <c r="A10173">
        <v>12</v>
      </c>
      <c r="B10173">
        <v>20</v>
      </c>
      <c r="C10173">
        <v>3</v>
      </c>
      <c r="D10173">
        <v>13</v>
      </c>
      <c r="E10173">
        <f t="shared" si="158"/>
        <v>6.8475624385508573E-16</v>
      </c>
    </row>
    <row r="10174" spans="1:5" x14ac:dyDescent="0.25">
      <c r="A10174">
        <v>12</v>
      </c>
      <c r="B10174">
        <v>20</v>
      </c>
      <c r="C10174">
        <v>4</v>
      </c>
      <c r="D10174">
        <v>12</v>
      </c>
      <c r="E10174">
        <f t="shared" si="158"/>
        <v>1.061372177975383E-14</v>
      </c>
    </row>
    <row r="10175" spans="1:5" x14ac:dyDescent="0.25">
      <c r="A10175">
        <v>12</v>
      </c>
      <c r="B10175">
        <v>20</v>
      </c>
      <c r="C10175">
        <v>5</v>
      </c>
      <c r="D10175">
        <v>11</v>
      </c>
      <c r="E10175">
        <f t="shared" si="158"/>
        <v>1.1098920489685432E-13</v>
      </c>
    </row>
    <row r="10176" spans="1:5" x14ac:dyDescent="0.25">
      <c r="A10176">
        <v>12</v>
      </c>
      <c r="B10176">
        <v>20</v>
      </c>
      <c r="C10176">
        <v>6</v>
      </c>
      <c r="D10176">
        <v>10</v>
      </c>
      <c r="E10176">
        <f t="shared" si="158"/>
        <v>8.1392083591026479E-13</v>
      </c>
    </row>
    <row r="10177" spans="1:5" x14ac:dyDescent="0.25">
      <c r="A10177">
        <v>12</v>
      </c>
      <c r="B10177">
        <v>20</v>
      </c>
      <c r="C10177">
        <v>7</v>
      </c>
      <c r="D10177">
        <v>9</v>
      </c>
      <c r="E10177">
        <f t="shared" si="158"/>
        <v>4.2876186891701458E-12</v>
      </c>
    </row>
    <row r="10178" spans="1:5" x14ac:dyDescent="0.25">
      <c r="A10178">
        <v>12</v>
      </c>
      <c r="B10178">
        <v>20</v>
      </c>
      <c r="C10178">
        <v>8</v>
      </c>
      <c r="D10178">
        <v>8</v>
      </c>
      <c r="E10178">
        <f t="shared" si="158"/>
        <v>1.6456889380491299E-11</v>
      </c>
    </row>
    <row r="10179" spans="1:5" x14ac:dyDescent="0.25">
      <c r="A10179">
        <v>12</v>
      </c>
      <c r="B10179">
        <v>20</v>
      </c>
      <c r="C10179">
        <v>9</v>
      </c>
      <c r="D10179">
        <v>7</v>
      </c>
      <c r="E10179">
        <f t="shared" si="158"/>
        <v>4.6323096033975505E-11</v>
      </c>
    </row>
    <row r="10180" spans="1:5" x14ac:dyDescent="0.25">
      <c r="A10180">
        <v>12</v>
      </c>
      <c r="B10180">
        <v>20</v>
      </c>
      <c r="C10180">
        <v>10</v>
      </c>
      <c r="D10180">
        <v>6</v>
      </c>
      <c r="E10180">
        <f t="shared" si="158"/>
        <v>9.5571861291149437E-11</v>
      </c>
    </row>
    <row r="10181" spans="1:5" x14ac:dyDescent="0.25">
      <c r="A10181">
        <v>12</v>
      </c>
      <c r="B10181">
        <v>20</v>
      </c>
      <c r="C10181">
        <v>11</v>
      </c>
      <c r="D10181">
        <v>5</v>
      </c>
      <c r="E10181">
        <f t="shared" si="158"/>
        <v>1.4335779193672417E-10</v>
      </c>
    </row>
    <row r="10182" spans="1:5" x14ac:dyDescent="0.25">
      <c r="A10182">
        <v>12</v>
      </c>
      <c r="B10182">
        <v>20</v>
      </c>
      <c r="C10182">
        <v>12</v>
      </c>
      <c r="D10182">
        <v>4</v>
      </c>
      <c r="E10182">
        <f t="shared" si="158"/>
        <v>1.5359763421791872E-10</v>
      </c>
    </row>
    <row r="10183" spans="1:5" x14ac:dyDescent="0.25">
      <c r="A10183">
        <v>12</v>
      </c>
      <c r="B10183">
        <v>20</v>
      </c>
      <c r="C10183">
        <v>13</v>
      </c>
      <c r="D10183">
        <v>3</v>
      </c>
      <c r="E10183">
        <f t="shared" si="158"/>
        <v>1.1385558900069503E-10</v>
      </c>
    </row>
    <row r="10184" spans="1:5" x14ac:dyDescent="0.25">
      <c r="A10184">
        <v>12</v>
      </c>
      <c r="B10184">
        <v>20</v>
      </c>
      <c r="C10184">
        <v>14</v>
      </c>
      <c r="D10184">
        <v>2</v>
      </c>
      <c r="E10184">
        <f t="shared" si="158"/>
        <v>5.5159850571765299E-11</v>
      </c>
    </row>
    <row r="10185" spans="1:5" x14ac:dyDescent="0.25">
      <c r="A10185">
        <v>12</v>
      </c>
      <c r="B10185">
        <v>20</v>
      </c>
      <c r="C10185">
        <v>15</v>
      </c>
      <c r="D10185">
        <v>1</v>
      </c>
      <c r="E10185">
        <f t="shared" si="158"/>
        <v>1.5628624328666829E-11</v>
      </c>
    </row>
    <row r="10186" spans="1:5" x14ac:dyDescent="0.25">
      <c r="A10186">
        <v>12</v>
      </c>
      <c r="B10186">
        <v>20</v>
      </c>
      <c r="C10186">
        <v>16</v>
      </c>
      <c r="D10186">
        <v>0</v>
      </c>
      <c r="E10186">
        <f t="shared" si="158"/>
        <v>1.9535780410833536E-12</v>
      </c>
    </row>
    <row r="10187" spans="1:5" x14ac:dyDescent="0.25">
      <c r="A10187">
        <v>12</v>
      </c>
      <c r="B10187">
        <v>21</v>
      </c>
      <c r="C10187">
        <v>0</v>
      </c>
      <c r="D10187">
        <v>15</v>
      </c>
      <c r="E10187">
        <f t="shared" si="158"/>
        <v>1.2622372514808993E-19</v>
      </c>
    </row>
    <row r="10188" spans="1:5" x14ac:dyDescent="0.25">
      <c r="A10188">
        <v>12</v>
      </c>
      <c r="B10188">
        <v>21</v>
      </c>
      <c r="C10188">
        <v>1</v>
      </c>
      <c r="D10188">
        <v>14</v>
      </c>
      <c r="E10188">
        <f t="shared" si="158"/>
        <v>1.118801200176252E-17</v>
      </c>
    </row>
    <row r="10189" spans="1:5" x14ac:dyDescent="0.25">
      <c r="A10189">
        <v>12</v>
      </c>
      <c r="B10189">
        <v>21</v>
      </c>
      <c r="C10189">
        <v>2</v>
      </c>
      <c r="D10189">
        <v>13</v>
      </c>
      <c r="E10189">
        <f t="shared" si="158"/>
        <v>4.1768578139913411E-16</v>
      </c>
    </row>
    <row r="10190" spans="1:5" x14ac:dyDescent="0.25">
      <c r="A10190">
        <v>12</v>
      </c>
      <c r="B10190">
        <v>21</v>
      </c>
      <c r="C10190">
        <v>3</v>
      </c>
      <c r="D10190">
        <v>12</v>
      </c>
      <c r="E10190">
        <f t="shared" ref="E10190:E10253" si="159">COMBIN(A$4,A10190)*COMBIN(B$4,B10190)*COMBIN(C$4,C10190)*COMBIN(D$4,D10190)/COMBIN($G$4,$F$4)</f>
        <v>8.7714014093818157E-15</v>
      </c>
    </row>
    <row r="10191" spans="1:5" x14ac:dyDescent="0.25">
      <c r="A10191">
        <v>12</v>
      </c>
      <c r="B10191">
        <v>21</v>
      </c>
      <c r="C10191">
        <v>4</v>
      </c>
      <c r="D10191">
        <v>11</v>
      </c>
      <c r="E10191">
        <f t="shared" si="159"/>
        <v>1.1653433301035839E-13</v>
      </c>
    </row>
    <row r="10192" spans="1:5" x14ac:dyDescent="0.25">
      <c r="A10192">
        <v>12</v>
      </c>
      <c r="B10192">
        <v>21</v>
      </c>
      <c r="C10192">
        <v>5</v>
      </c>
      <c r="D10192">
        <v>10</v>
      </c>
      <c r="E10192">
        <f t="shared" si="159"/>
        <v>1.0425938326660063E-12</v>
      </c>
    </row>
    <row r="10193" spans="1:5" x14ac:dyDescent="0.25">
      <c r="A10193">
        <v>12</v>
      </c>
      <c r="B10193">
        <v>21</v>
      </c>
      <c r="C10193">
        <v>6</v>
      </c>
      <c r="D10193">
        <v>9</v>
      </c>
      <c r="E10193">
        <f t="shared" si="159"/>
        <v>6.5162114541625402E-12</v>
      </c>
    </row>
    <row r="10194" spans="1:5" x14ac:dyDescent="0.25">
      <c r="A10194">
        <v>12</v>
      </c>
      <c r="B10194">
        <v>21</v>
      </c>
      <c r="C10194">
        <v>7</v>
      </c>
      <c r="D10194">
        <v>8</v>
      </c>
      <c r="E10194">
        <f t="shared" si="159"/>
        <v>2.9076540186221082E-11</v>
      </c>
    </row>
    <row r="10195" spans="1:5" x14ac:dyDescent="0.25">
      <c r="A10195">
        <v>12</v>
      </c>
      <c r="B10195">
        <v>21</v>
      </c>
      <c r="C10195">
        <v>8</v>
      </c>
      <c r="D10195">
        <v>7</v>
      </c>
      <c r="E10195">
        <f t="shared" si="159"/>
        <v>9.3691073933379082E-11</v>
      </c>
    </row>
    <row r="10196" spans="1:5" x14ac:dyDescent="0.25">
      <c r="A10196">
        <v>12</v>
      </c>
      <c r="B10196">
        <v>21</v>
      </c>
      <c r="C10196">
        <v>9</v>
      </c>
      <c r="D10196">
        <v>6</v>
      </c>
      <c r="E10196">
        <f t="shared" si="159"/>
        <v>2.1861250584455104E-10</v>
      </c>
    </row>
    <row r="10197" spans="1:5" x14ac:dyDescent="0.25">
      <c r="A10197">
        <v>12</v>
      </c>
      <c r="B10197">
        <v>21</v>
      </c>
      <c r="C10197">
        <v>10</v>
      </c>
      <c r="D10197">
        <v>5</v>
      </c>
      <c r="E10197">
        <f t="shared" si="159"/>
        <v>3.6726900981884579E-10</v>
      </c>
    </row>
    <row r="10198" spans="1:5" x14ac:dyDescent="0.25">
      <c r="A10198">
        <v>12</v>
      </c>
      <c r="B10198">
        <v>21</v>
      </c>
      <c r="C10198">
        <v>11</v>
      </c>
      <c r="D10198">
        <v>4</v>
      </c>
      <c r="E10198">
        <f t="shared" si="159"/>
        <v>4.3722501168910235E-10</v>
      </c>
    </row>
    <row r="10199" spans="1:5" x14ac:dyDescent="0.25">
      <c r="A10199">
        <v>12</v>
      </c>
      <c r="B10199">
        <v>21</v>
      </c>
      <c r="C10199">
        <v>12</v>
      </c>
      <c r="D10199">
        <v>3</v>
      </c>
      <c r="E10199">
        <f t="shared" si="159"/>
        <v>3.5772955501835617E-10</v>
      </c>
    </row>
    <row r="10200" spans="1:5" x14ac:dyDescent="0.25">
      <c r="A10200">
        <v>12</v>
      </c>
      <c r="B10200">
        <v>21</v>
      </c>
      <c r="C10200">
        <v>13</v>
      </c>
      <c r="D10200">
        <v>2</v>
      </c>
      <c r="E10200">
        <f t="shared" si="159"/>
        <v>1.9023076671544703E-10</v>
      </c>
    </row>
    <row r="10201" spans="1:5" x14ac:dyDescent="0.25">
      <c r="A10201">
        <v>12</v>
      </c>
      <c r="B10201">
        <v>21</v>
      </c>
      <c r="C10201">
        <v>14</v>
      </c>
      <c r="D10201">
        <v>1</v>
      </c>
      <c r="E10201">
        <f t="shared" si="159"/>
        <v>5.8880951602400273E-11</v>
      </c>
    </row>
    <row r="10202" spans="1:5" x14ac:dyDescent="0.25">
      <c r="A10202">
        <v>12</v>
      </c>
      <c r="B10202">
        <v>21</v>
      </c>
      <c r="C10202">
        <v>15</v>
      </c>
      <c r="D10202">
        <v>0</v>
      </c>
      <c r="E10202">
        <f t="shared" si="159"/>
        <v>8.0078094179264357E-12</v>
      </c>
    </row>
    <row r="10203" spans="1:5" x14ac:dyDescent="0.25">
      <c r="A10203">
        <v>12</v>
      </c>
      <c r="B10203">
        <v>22</v>
      </c>
      <c r="C10203">
        <v>0</v>
      </c>
      <c r="D10203">
        <v>14</v>
      </c>
      <c r="E10203">
        <f t="shared" si="159"/>
        <v>2.0967742772533949E-18</v>
      </c>
    </row>
    <row r="10204" spans="1:5" x14ac:dyDescent="0.25">
      <c r="A10204">
        <v>12</v>
      </c>
      <c r="B10204">
        <v>22</v>
      </c>
      <c r="C10204">
        <v>1</v>
      </c>
      <c r="D10204">
        <v>13</v>
      </c>
      <c r="E10204">
        <f t="shared" si="159"/>
        <v>1.5900538269171582E-16</v>
      </c>
    </row>
    <row r="10205" spans="1:5" x14ac:dyDescent="0.25">
      <c r="A10205">
        <v>12</v>
      </c>
      <c r="B10205">
        <v>22</v>
      </c>
      <c r="C10205">
        <v>2</v>
      </c>
      <c r="D10205">
        <v>12</v>
      </c>
      <c r="E10205">
        <f t="shared" si="159"/>
        <v>5.0881722461349062E-15</v>
      </c>
    </row>
    <row r="10206" spans="1:5" x14ac:dyDescent="0.25">
      <c r="A10206">
        <v>12</v>
      </c>
      <c r="B10206">
        <v>22</v>
      </c>
      <c r="C10206">
        <v>3</v>
      </c>
      <c r="D10206">
        <v>11</v>
      </c>
      <c r="E10206">
        <f t="shared" si="159"/>
        <v>9.1587100430428292E-14</v>
      </c>
    </row>
    <row r="10207" spans="1:5" x14ac:dyDescent="0.25">
      <c r="A10207">
        <v>12</v>
      </c>
      <c r="B10207">
        <v>22</v>
      </c>
      <c r="C10207">
        <v>4</v>
      </c>
      <c r="D10207">
        <v>10</v>
      </c>
      <c r="E10207">
        <f t="shared" si="159"/>
        <v>1.0410400415592014E-12</v>
      </c>
    </row>
    <row r="10208" spans="1:5" x14ac:dyDescent="0.25">
      <c r="A10208">
        <v>12</v>
      </c>
      <c r="B10208">
        <v>22</v>
      </c>
      <c r="C10208">
        <v>5</v>
      </c>
      <c r="D10208">
        <v>9</v>
      </c>
      <c r="E10208">
        <f t="shared" si="159"/>
        <v>7.937930316888913E-12</v>
      </c>
    </row>
    <row r="10209" spans="1:5" x14ac:dyDescent="0.25">
      <c r="A10209">
        <v>12</v>
      </c>
      <c r="B10209">
        <v>22</v>
      </c>
      <c r="C10209">
        <v>6</v>
      </c>
      <c r="D10209">
        <v>8</v>
      </c>
      <c r="E10209">
        <f t="shared" si="159"/>
        <v>4.2024336971764833E-11</v>
      </c>
    </row>
    <row r="10210" spans="1:5" x14ac:dyDescent="0.25">
      <c r="A10210">
        <v>12</v>
      </c>
      <c r="B10210">
        <v>22</v>
      </c>
      <c r="C10210">
        <v>7</v>
      </c>
      <c r="D10210">
        <v>7</v>
      </c>
      <c r="E10210">
        <f t="shared" si="159"/>
        <v>1.5742450040216671E-10</v>
      </c>
    </row>
    <row r="10211" spans="1:5" x14ac:dyDescent="0.25">
      <c r="A10211">
        <v>12</v>
      </c>
      <c r="B10211">
        <v>22</v>
      </c>
      <c r="C10211">
        <v>8</v>
      </c>
      <c r="D10211">
        <v>6</v>
      </c>
      <c r="E10211">
        <f t="shared" si="159"/>
        <v>4.2048912607420832E-10</v>
      </c>
    </row>
    <row r="10212" spans="1:5" x14ac:dyDescent="0.25">
      <c r="A10212">
        <v>12</v>
      </c>
      <c r="B10212">
        <v>22</v>
      </c>
      <c r="C10212">
        <v>9</v>
      </c>
      <c r="D10212">
        <v>5</v>
      </c>
      <c r="E10212">
        <f t="shared" si="159"/>
        <v>7.9892933954099562E-10</v>
      </c>
    </row>
    <row r="10213" spans="1:5" x14ac:dyDescent="0.25">
      <c r="A10213">
        <v>12</v>
      </c>
      <c r="B10213">
        <v>22</v>
      </c>
      <c r="C10213">
        <v>10</v>
      </c>
      <c r="D10213">
        <v>4</v>
      </c>
      <c r="E10213">
        <f t="shared" si="159"/>
        <v>1.0652391193879949E-9</v>
      </c>
    </row>
    <row r="10214" spans="1:5" x14ac:dyDescent="0.25">
      <c r="A10214">
        <v>12</v>
      </c>
      <c r="B10214">
        <v>22</v>
      </c>
      <c r="C10214">
        <v>11</v>
      </c>
      <c r="D10214">
        <v>3</v>
      </c>
      <c r="E10214">
        <f t="shared" si="159"/>
        <v>9.6839919944363154E-10</v>
      </c>
    </row>
    <row r="10215" spans="1:5" x14ac:dyDescent="0.25">
      <c r="A10215">
        <v>12</v>
      </c>
      <c r="B10215">
        <v>22</v>
      </c>
      <c r="C10215">
        <v>12</v>
      </c>
      <c r="D10215">
        <v>2</v>
      </c>
      <c r="E10215">
        <f t="shared" si="159"/>
        <v>5.6840822576039204E-10</v>
      </c>
    </row>
    <row r="10216" spans="1:5" x14ac:dyDescent="0.25">
      <c r="A10216">
        <v>12</v>
      </c>
      <c r="B10216">
        <v>22</v>
      </c>
      <c r="C10216">
        <v>13</v>
      </c>
      <c r="D10216">
        <v>1</v>
      </c>
      <c r="E10216">
        <f t="shared" si="159"/>
        <v>1.9311305105962047E-10</v>
      </c>
    </row>
    <row r="10217" spans="1:5" x14ac:dyDescent="0.25">
      <c r="A10217">
        <v>12</v>
      </c>
      <c r="B10217">
        <v>22</v>
      </c>
      <c r="C10217">
        <v>14</v>
      </c>
      <c r="D10217">
        <v>0</v>
      </c>
      <c r="E10217">
        <f t="shared" si="159"/>
        <v>2.8691081871715044E-11</v>
      </c>
    </row>
    <row r="10218" spans="1:5" x14ac:dyDescent="0.25">
      <c r="A10218">
        <v>12</v>
      </c>
      <c r="B10218">
        <v>23</v>
      </c>
      <c r="C10218">
        <v>0</v>
      </c>
      <c r="D10218">
        <v>13</v>
      </c>
      <c r="E10218">
        <f t="shared" si="159"/>
        <v>2.8397616841931839E-17</v>
      </c>
    </row>
    <row r="10219" spans="1:5" x14ac:dyDescent="0.25">
      <c r="A10219">
        <v>12</v>
      </c>
      <c r="B10219">
        <v>23</v>
      </c>
      <c r="C10219">
        <v>1</v>
      </c>
      <c r="D10219">
        <v>12</v>
      </c>
      <c r="E10219">
        <f t="shared" si="159"/>
        <v>1.8458450947255694E-15</v>
      </c>
    </row>
    <row r="10220" spans="1:5" x14ac:dyDescent="0.25">
      <c r="A10220">
        <v>12</v>
      </c>
      <c r="B10220">
        <v>23</v>
      </c>
      <c r="C10220">
        <v>2</v>
      </c>
      <c r="D10220">
        <v>11</v>
      </c>
      <c r="E10220">
        <f t="shared" si="159"/>
        <v>5.0628894026758463E-14</v>
      </c>
    </row>
    <row r="10221" spans="1:5" x14ac:dyDescent="0.25">
      <c r="A10221">
        <v>12</v>
      </c>
      <c r="B10221">
        <v>23</v>
      </c>
      <c r="C10221">
        <v>3</v>
      </c>
      <c r="D10221">
        <v>10</v>
      </c>
      <c r="E10221">
        <f t="shared" si="159"/>
        <v>7.7968496801208028E-13</v>
      </c>
    </row>
    <row r="10222" spans="1:5" x14ac:dyDescent="0.25">
      <c r="A10222">
        <v>12</v>
      </c>
      <c r="B10222">
        <v>23</v>
      </c>
      <c r="C10222">
        <v>4</v>
      </c>
      <c r="D10222">
        <v>9</v>
      </c>
      <c r="E10222">
        <f t="shared" si="159"/>
        <v>7.5531981276170293E-12</v>
      </c>
    </row>
    <row r="10223" spans="1:5" x14ac:dyDescent="0.25">
      <c r="A10223">
        <v>12</v>
      </c>
      <c r="B10223">
        <v>23</v>
      </c>
      <c r="C10223">
        <v>5</v>
      </c>
      <c r="D10223">
        <v>8</v>
      </c>
      <c r="E10223">
        <f t="shared" si="159"/>
        <v>4.8784773788961754E-11</v>
      </c>
    </row>
    <row r="10224" spans="1:5" x14ac:dyDescent="0.25">
      <c r="A10224">
        <v>12</v>
      </c>
      <c r="B10224">
        <v>23</v>
      </c>
      <c r="C10224">
        <v>6</v>
      </c>
      <c r="D10224">
        <v>7</v>
      </c>
      <c r="E10224">
        <f t="shared" si="159"/>
        <v>2.1682121683983002E-10</v>
      </c>
    </row>
    <row r="10225" spans="1:5" x14ac:dyDescent="0.25">
      <c r="A10225">
        <v>12</v>
      </c>
      <c r="B10225">
        <v>23</v>
      </c>
      <c r="C10225">
        <v>7</v>
      </c>
      <c r="D10225">
        <v>6</v>
      </c>
      <c r="E10225">
        <f t="shared" si="159"/>
        <v>6.7328693650262978E-10</v>
      </c>
    </row>
    <row r="10226" spans="1:5" x14ac:dyDescent="0.25">
      <c r="A10226">
        <v>12</v>
      </c>
      <c r="B10226">
        <v>23</v>
      </c>
      <c r="C10226">
        <v>8</v>
      </c>
      <c r="D10226">
        <v>5</v>
      </c>
      <c r="E10226">
        <f t="shared" si="159"/>
        <v>1.4643990868932204E-9</v>
      </c>
    </row>
    <row r="10227" spans="1:5" x14ac:dyDescent="0.25">
      <c r="A10227">
        <v>12</v>
      </c>
      <c r="B10227">
        <v>23</v>
      </c>
      <c r="C10227">
        <v>9</v>
      </c>
      <c r="D10227">
        <v>4</v>
      </c>
      <c r="E10227">
        <f t="shared" si="159"/>
        <v>2.2082208453151736E-9</v>
      </c>
    </row>
    <row r="10228" spans="1:5" x14ac:dyDescent="0.25">
      <c r="A10228">
        <v>12</v>
      </c>
      <c r="B10228">
        <v>23</v>
      </c>
      <c r="C10228">
        <v>10</v>
      </c>
      <c r="D10228">
        <v>3</v>
      </c>
      <c r="E10228">
        <f t="shared" si="159"/>
        <v>2.2483703152299951E-9</v>
      </c>
    </row>
    <row r="10229" spans="1:5" x14ac:dyDescent="0.25">
      <c r="A10229">
        <v>12</v>
      </c>
      <c r="B10229">
        <v>23</v>
      </c>
      <c r="C10229">
        <v>11</v>
      </c>
      <c r="D10229">
        <v>2</v>
      </c>
      <c r="E10229">
        <f t="shared" si="159"/>
        <v>1.4663284664543447E-9</v>
      </c>
    </row>
    <row r="10230" spans="1:5" x14ac:dyDescent="0.25">
      <c r="A10230">
        <v>12</v>
      </c>
      <c r="B10230">
        <v>23</v>
      </c>
      <c r="C10230">
        <v>12</v>
      </c>
      <c r="D10230">
        <v>1</v>
      </c>
      <c r="E10230">
        <f t="shared" si="159"/>
        <v>5.4987317492037897E-10</v>
      </c>
    </row>
    <row r="10231" spans="1:5" x14ac:dyDescent="0.25">
      <c r="A10231">
        <v>12</v>
      </c>
      <c r="B10231">
        <v>23</v>
      </c>
      <c r="C10231">
        <v>13</v>
      </c>
      <c r="D10231">
        <v>0</v>
      </c>
      <c r="E10231">
        <f t="shared" si="159"/>
        <v>8.9671625448554145E-11</v>
      </c>
    </row>
    <row r="10232" spans="1:5" x14ac:dyDescent="0.25">
      <c r="A10232">
        <v>12</v>
      </c>
      <c r="B10232">
        <v>24</v>
      </c>
      <c r="C10232">
        <v>0</v>
      </c>
      <c r="D10232">
        <v>12</v>
      </c>
      <c r="E10232">
        <f t="shared" si="159"/>
        <v>3.1474025333141134E-16</v>
      </c>
    </row>
    <row r="10233" spans="1:5" x14ac:dyDescent="0.25">
      <c r="A10233">
        <v>12</v>
      </c>
      <c r="B10233">
        <v>24</v>
      </c>
      <c r="C10233">
        <v>1</v>
      </c>
      <c r="D10233">
        <v>11</v>
      </c>
      <c r="E10233">
        <f t="shared" si="159"/>
        <v>1.7535528399892918E-14</v>
      </c>
    </row>
    <row r="10234" spans="1:5" x14ac:dyDescent="0.25">
      <c r="A10234">
        <v>12</v>
      </c>
      <c r="B10234">
        <v>24</v>
      </c>
      <c r="C10234">
        <v>2</v>
      </c>
      <c r="D10234">
        <v>10</v>
      </c>
      <c r="E10234">
        <f t="shared" si="159"/>
        <v>4.1150039978415371E-13</v>
      </c>
    </row>
    <row r="10235" spans="1:5" x14ac:dyDescent="0.25">
      <c r="A10235">
        <v>12</v>
      </c>
      <c r="B10235">
        <v>24</v>
      </c>
      <c r="C10235">
        <v>3</v>
      </c>
      <c r="D10235">
        <v>9</v>
      </c>
      <c r="E10235">
        <f t="shared" si="159"/>
        <v>5.4009427471670181E-12</v>
      </c>
    </row>
    <row r="10236" spans="1:5" x14ac:dyDescent="0.25">
      <c r="A10236">
        <v>12</v>
      </c>
      <c r="B10236">
        <v>24</v>
      </c>
      <c r="C10236">
        <v>4</v>
      </c>
      <c r="D10236">
        <v>8</v>
      </c>
      <c r="E10236">
        <f t="shared" si="159"/>
        <v>4.4319500778223467E-11</v>
      </c>
    </row>
    <row r="10237" spans="1:5" x14ac:dyDescent="0.25">
      <c r="A10237">
        <v>12</v>
      </c>
      <c r="B10237">
        <v>24</v>
      </c>
      <c r="C10237">
        <v>5</v>
      </c>
      <c r="D10237">
        <v>7</v>
      </c>
      <c r="E10237">
        <f t="shared" si="159"/>
        <v>2.4031018199747848E-10</v>
      </c>
    </row>
    <row r="10238" spans="1:5" x14ac:dyDescent="0.25">
      <c r="A10238">
        <v>12</v>
      </c>
      <c r="B10238">
        <v>24</v>
      </c>
      <c r="C10238">
        <v>6</v>
      </c>
      <c r="D10238">
        <v>6</v>
      </c>
      <c r="E10238">
        <f t="shared" si="159"/>
        <v>8.8535330209597286E-10</v>
      </c>
    </row>
    <row r="10239" spans="1:5" x14ac:dyDescent="0.25">
      <c r="A10239">
        <v>12</v>
      </c>
      <c r="B10239">
        <v>24</v>
      </c>
      <c r="C10239">
        <v>7</v>
      </c>
      <c r="D10239">
        <v>5</v>
      </c>
      <c r="E10239">
        <f t="shared" si="159"/>
        <v>2.2386790638712457E-9</v>
      </c>
    </row>
    <row r="10240" spans="1:5" x14ac:dyDescent="0.25">
      <c r="A10240">
        <v>12</v>
      </c>
      <c r="B10240">
        <v>24</v>
      </c>
      <c r="C10240">
        <v>8</v>
      </c>
      <c r="D10240">
        <v>4</v>
      </c>
      <c r="E10240">
        <f t="shared" si="159"/>
        <v>3.864386479301557E-9</v>
      </c>
    </row>
    <row r="10241" spans="1:5" x14ac:dyDescent="0.25">
      <c r="A10241">
        <v>12</v>
      </c>
      <c r="B10241">
        <v>24</v>
      </c>
      <c r="C10241">
        <v>9</v>
      </c>
      <c r="D10241">
        <v>3</v>
      </c>
      <c r="E10241">
        <f t="shared" si="159"/>
        <v>4.4498995822260339E-9</v>
      </c>
    </row>
    <row r="10242" spans="1:5" x14ac:dyDescent="0.25">
      <c r="A10242">
        <v>12</v>
      </c>
      <c r="B10242">
        <v>24</v>
      </c>
      <c r="C10242">
        <v>10</v>
      </c>
      <c r="D10242">
        <v>2</v>
      </c>
      <c r="E10242">
        <f t="shared" si="159"/>
        <v>3.2503614339737991E-9</v>
      </c>
    </row>
    <row r="10243" spans="1:5" x14ac:dyDescent="0.25">
      <c r="A10243">
        <v>12</v>
      </c>
      <c r="B10243">
        <v>24</v>
      </c>
      <c r="C10243">
        <v>11</v>
      </c>
      <c r="D10243">
        <v>1</v>
      </c>
      <c r="E10243">
        <f t="shared" si="159"/>
        <v>1.3543172641557499E-9</v>
      </c>
    </row>
    <row r="10244" spans="1:5" x14ac:dyDescent="0.25">
      <c r="A10244">
        <v>12</v>
      </c>
      <c r="B10244">
        <v>24</v>
      </c>
      <c r="C10244">
        <v>12</v>
      </c>
      <c r="D10244">
        <v>0</v>
      </c>
      <c r="E10244">
        <f t="shared" si="159"/>
        <v>2.4377710754803484E-10</v>
      </c>
    </row>
    <row r="10245" spans="1:5" x14ac:dyDescent="0.25">
      <c r="A10245">
        <v>12</v>
      </c>
      <c r="B10245">
        <v>25</v>
      </c>
      <c r="C10245">
        <v>0</v>
      </c>
      <c r="D10245">
        <v>11</v>
      </c>
      <c r="E10245">
        <f t="shared" si="159"/>
        <v>2.8596400159825381E-15</v>
      </c>
    </row>
    <row r="10246" spans="1:5" x14ac:dyDescent="0.25">
      <c r="A10246">
        <v>12</v>
      </c>
      <c r="B10246">
        <v>25</v>
      </c>
      <c r="C10246">
        <v>1</v>
      </c>
      <c r="D10246">
        <v>10</v>
      </c>
      <c r="E10246">
        <f t="shared" si="159"/>
        <v>1.3630950742850096E-13</v>
      </c>
    </row>
    <row r="10247" spans="1:5" x14ac:dyDescent="0.25">
      <c r="A10247">
        <v>12</v>
      </c>
      <c r="B10247">
        <v>25</v>
      </c>
      <c r="C10247">
        <v>2</v>
      </c>
      <c r="D10247">
        <v>9</v>
      </c>
      <c r="E10247">
        <f t="shared" si="159"/>
        <v>2.7261901485700194E-12</v>
      </c>
    </row>
    <row r="10248" spans="1:5" x14ac:dyDescent="0.25">
      <c r="A10248">
        <v>12</v>
      </c>
      <c r="B10248">
        <v>25</v>
      </c>
      <c r="C10248">
        <v>3</v>
      </c>
      <c r="D10248">
        <v>8</v>
      </c>
      <c r="E10248">
        <f t="shared" si="159"/>
        <v>3.0308819887043156E-11</v>
      </c>
    </row>
    <row r="10249" spans="1:5" x14ac:dyDescent="0.25">
      <c r="A10249">
        <v>12</v>
      </c>
      <c r="B10249">
        <v>25</v>
      </c>
      <c r="C10249">
        <v>4</v>
      </c>
      <c r="D10249">
        <v>7</v>
      </c>
      <c r="E10249">
        <f t="shared" si="159"/>
        <v>2.0879409255518625E-10</v>
      </c>
    </row>
    <row r="10250" spans="1:5" x14ac:dyDescent="0.25">
      <c r="A10250">
        <v>12</v>
      </c>
      <c r="B10250">
        <v>25</v>
      </c>
      <c r="C10250">
        <v>5</v>
      </c>
      <c r="D10250">
        <v>6</v>
      </c>
      <c r="E10250">
        <f t="shared" si="159"/>
        <v>9.3847450022173151E-10</v>
      </c>
    </row>
    <row r="10251" spans="1:5" x14ac:dyDescent="0.25">
      <c r="A10251">
        <v>12</v>
      </c>
      <c r="B10251">
        <v>25</v>
      </c>
      <c r="C10251">
        <v>6</v>
      </c>
      <c r="D10251">
        <v>5</v>
      </c>
      <c r="E10251">
        <f t="shared" si="159"/>
        <v>2.8154235006651947E-9</v>
      </c>
    </row>
    <row r="10252" spans="1:5" x14ac:dyDescent="0.25">
      <c r="A10252">
        <v>12</v>
      </c>
      <c r="B10252">
        <v>25</v>
      </c>
      <c r="C10252">
        <v>7</v>
      </c>
      <c r="D10252">
        <v>4</v>
      </c>
      <c r="E10252">
        <f t="shared" si="159"/>
        <v>5.649999542151243E-9</v>
      </c>
    </row>
    <row r="10253" spans="1:5" x14ac:dyDescent="0.25">
      <c r="A10253">
        <v>12</v>
      </c>
      <c r="B10253">
        <v>25</v>
      </c>
      <c r="C10253">
        <v>8</v>
      </c>
      <c r="D10253">
        <v>3</v>
      </c>
      <c r="E10253">
        <f t="shared" si="159"/>
        <v>7.4477266691993662E-9</v>
      </c>
    </row>
    <row r="10254" spans="1:5" x14ac:dyDescent="0.25">
      <c r="A10254">
        <v>12</v>
      </c>
      <c r="B10254">
        <v>25</v>
      </c>
      <c r="C10254">
        <v>9</v>
      </c>
      <c r="D10254">
        <v>2</v>
      </c>
      <c r="E10254">
        <f t="shared" ref="E10254:E10317" si="160">COMBIN(A$4,A10254)*COMBIN(B$4,B10254)*COMBIN(C$4,C10254)*COMBIN(D$4,D10254)/COMBIN($G$4,$F$4)</f>
        <v>6.1524698571646922E-9</v>
      </c>
    </row>
    <row r="10255" spans="1:5" x14ac:dyDescent="0.25">
      <c r="A10255">
        <v>12</v>
      </c>
      <c r="B10255">
        <v>25</v>
      </c>
      <c r="C10255">
        <v>10</v>
      </c>
      <c r="D10255">
        <v>1</v>
      </c>
      <c r="E10255">
        <f t="shared" si="160"/>
        <v>2.87115260001019E-9</v>
      </c>
    </row>
    <row r="10256" spans="1:5" x14ac:dyDescent="0.25">
      <c r="A10256">
        <v>12</v>
      </c>
      <c r="B10256">
        <v>25</v>
      </c>
      <c r="C10256">
        <v>11</v>
      </c>
      <c r="D10256">
        <v>0</v>
      </c>
      <c r="E10256">
        <f t="shared" si="160"/>
        <v>5.74230520002038E-10</v>
      </c>
    </row>
    <row r="10257" spans="1:5" x14ac:dyDescent="0.25">
      <c r="A10257">
        <v>12</v>
      </c>
      <c r="B10257">
        <v>26</v>
      </c>
      <c r="C10257">
        <v>0</v>
      </c>
      <c r="D10257">
        <v>10</v>
      </c>
      <c r="E10257">
        <f t="shared" si="160"/>
        <v>2.1293319503623805E-14</v>
      </c>
    </row>
    <row r="10258" spans="1:5" x14ac:dyDescent="0.25">
      <c r="A10258">
        <v>12</v>
      </c>
      <c r="B10258">
        <v>26</v>
      </c>
      <c r="C10258">
        <v>1</v>
      </c>
      <c r="D10258">
        <v>9</v>
      </c>
      <c r="E10258">
        <f t="shared" si="160"/>
        <v>8.6504110483471715E-13</v>
      </c>
    </row>
    <row r="10259" spans="1:5" x14ac:dyDescent="0.25">
      <c r="A10259">
        <v>12</v>
      </c>
      <c r="B10259">
        <v>26</v>
      </c>
      <c r="C10259">
        <v>2</v>
      </c>
      <c r="D10259">
        <v>8</v>
      </c>
      <c r="E10259">
        <f t="shared" si="160"/>
        <v>1.4654814011317562E-11</v>
      </c>
    </row>
    <row r="10260" spans="1:5" x14ac:dyDescent="0.25">
      <c r="A10260">
        <v>12</v>
      </c>
      <c r="B10260">
        <v>26</v>
      </c>
      <c r="C10260">
        <v>3</v>
      </c>
      <c r="D10260">
        <v>7</v>
      </c>
      <c r="E10260">
        <f t="shared" si="160"/>
        <v>1.367782641056306E-10</v>
      </c>
    </row>
    <row r="10261" spans="1:5" x14ac:dyDescent="0.25">
      <c r="A10261">
        <v>12</v>
      </c>
      <c r="B10261">
        <v>26</v>
      </c>
      <c r="C10261">
        <v>4</v>
      </c>
      <c r="D10261">
        <v>6</v>
      </c>
      <c r="E10261">
        <f t="shared" si="160"/>
        <v>7.8107587660320608E-10</v>
      </c>
    </row>
    <row r="10262" spans="1:5" x14ac:dyDescent="0.25">
      <c r="A10262">
        <v>12</v>
      </c>
      <c r="B10262">
        <v>26</v>
      </c>
      <c r="C10262">
        <v>5</v>
      </c>
      <c r="D10262">
        <v>5</v>
      </c>
      <c r="E10262">
        <f t="shared" si="160"/>
        <v>2.8587377083677343E-9</v>
      </c>
    </row>
    <row r="10263" spans="1:5" x14ac:dyDescent="0.25">
      <c r="A10263">
        <v>12</v>
      </c>
      <c r="B10263">
        <v>26</v>
      </c>
      <c r="C10263">
        <v>6</v>
      </c>
      <c r="D10263">
        <v>4</v>
      </c>
      <c r="E10263">
        <f t="shared" si="160"/>
        <v>6.8065183532565121E-9</v>
      </c>
    </row>
    <row r="10264" spans="1:5" x14ac:dyDescent="0.25">
      <c r="A10264">
        <v>12</v>
      </c>
      <c r="B10264">
        <v>26</v>
      </c>
      <c r="C10264">
        <v>7</v>
      </c>
      <c r="D10264">
        <v>3</v>
      </c>
      <c r="E10264">
        <f t="shared" si="160"/>
        <v>1.0430768385509978E-8</v>
      </c>
    </row>
    <row r="10265" spans="1:5" x14ac:dyDescent="0.25">
      <c r="A10265">
        <v>12</v>
      </c>
      <c r="B10265">
        <v>26</v>
      </c>
      <c r="C10265">
        <v>8</v>
      </c>
      <c r="D10265">
        <v>2</v>
      </c>
      <c r="E10265">
        <f t="shared" si="160"/>
        <v>9.8638787993409597E-9</v>
      </c>
    </row>
    <row r="10266" spans="1:5" x14ac:dyDescent="0.25">
      <c r="A10266">
        <v>12</v>
      </c>
      <c r="B10266">
        <v>26</v>
      </c>
      <c r="C10266">
        <v>9</v>
      </c>
      <c r="D10266">
        <v>1</v>
      </c>
      <c r="E10266">
        <f t="shared" si="160"/>
        <v>5.2059360329855052E-9</v>
      </c>
    </row>
    <row r="10267" spans="1:5" x14ac:dyDescent="0.25">
      <c r="A10267">
        <v>12</v>
      </c>
      <c r="B10267">
        <v>26</v>
      </c>
      <c r="C10267">
        <v>10</v>
      </c>
      <c r="D10267">
        <v>0</v>
      </c>
      <c r="E10267">
        <f t="shared" si="160"/>
        <v>1.1661296713887533E-9</v>
      </c>
    </row>
    <row r="10268" spans="1:5" x14ac:dyDescent="0.25">
      <c r="A10268">
        <v>12</v>
      </c>
      <c r="B10268">
        <v>27</v>
      </c>
      <c r="C10268">
        <v>0</v>
      </c>
      <c r="D10268">
        <v>9</v>
      </c>
      <c r="E10268">
        <f t="shared" si="160"/>
        <v>1.2963294049659859E-13</v>
      </c>
    </row>
    <row r="10269" spans="1:5" x14ac:dyDescent="0.25">
      <c r="A10269">
        <v>12</v>
      </c>
      <c r="B10269">
        <v>27</v>
      </c>
      <c r="C10269">
        <v>1</v>
      </c>
      <c r="D10269">
        <v>8</v>
      </c>
      <c r="E10269">
        <f t="shared" si="160"/>
        <v>4.4608982465005986E-12</v>
      </c>
    </row>
    <row r="10270" spans="1:5" x14ac:dyDescent="0.25">
      <c r="A10270">
        <v>12</v>
      </c>
      <c r="B10270">
        <v>27</v>
      </c>
      <c r="C10270">
        <v>2</v>
      </c>
      <c r="D10270">
        <v>7</v>
      </c>
      <c r="E10270">
        <f t="shared" si="160"/>
        <v>6.3443886172452976E-11</v>
      </c>
    </row>
    <row r="10271" spans="1:5" x14ac:dyDescent="0.25">
      <c r="A10271">
        <v>12</v>
      </c>
      <c r="B10271">
        <v>27</v>
      </c>
      <c r="C10271">
        <v>3</v>
      </c>
      <c r="D10271">
        <v>6</v>
      </c>
      <c r="E10271">
        <f t="shared" si="160"/>
        <v>4.9085532986055708E-10</v>
      </c>
    </row>
    <row r="10272" spans="1:5" x14ac:dyDescent="0.25">
      <c r="A10272">
        <v>12</v>
      </c>
      <c r="B10272">
        <v>27</v>
      </c>
      <c r="C10272">
        <v>4</v>
      </c>
      <c r="D10272">
        <v>5</v>
      </c>
      <c r="E10272">
        <f t="shared" si="160"/>
        <v>2.2824772838515904E-9</v>
      </c>
    </row>
    <row r="10273" spans="1:5" x14ac:dyDescent="0.25">
      <c r="A10273">
        <v>12</v>
      </c>
      <c r="B10273">
        <v>27</v>
      </c>
      <c r="C10273">
        <v>5</v>
      </c>
      <c r="D10273">
        <v>4</v>
      </c>
      <c r="E10273">
        <f t="shared" si="160"/>
        <v>6.6300530626165268E-9</v>
      </c>
    </row>
    <row r="10274" spans="1:5" x14ac:dyDescent="0.25">
      <c r="A10274">
        <v>12</v>
      </c>
      <c r="B10274">
        <v>27</v>
      </c>
      <c r="C10274">
        <v>6</v>
      </c>
      <c r="D10274">
        <v>3</v>
      </c>
      <c r="E10274">
        <f t="shared" si="160"/>
        <v>1.2054641932030046E-8</v>
      </c>
    </row>
    <row r="10275" spans="1:5" x14ac:dyDescent="0.25">
      <c r="A10275">
        <v>12</v>
      </c>
      <c r="B10275">
        <v>27</v>
      </c>
      <c r="C10275">
        <v>7</v>
      </c>
      <c r="D10275">
        <v>2</v>
      </c>
      <c r="E10275">
        <f t="shared" si="160"/>
        <v>1.3252618769995764E-8</v>
      </c>
    </row>
    <row r="10276" spans="1:5" x14ac:dyDescent="0.25">
      <c r="A10276">
        <v>12</v>
      </c>
      <c r="B10276">
        <v>27</v>
      </c>
      <c r="C10276">
        <v>8</v>
      </c>
      <c r="D10276">
        <v>1</v>
      </c>
      <c r="E10276">
        <f t="shared" si="160"/>
        <v>8.0067905068724427E-9</v>
      </c>
    </row>
    <row r="10277" spans="1:5" x14ac:dyDescent="0.25">
      <c r="A10277">
        <v>12</v>
      </c>
      <c r="B10277">
        <v>27</v>
      </c>
      <c r="C10277">
        <v>9</v>
      </c>
      <c r="D10277">
        <v>0</v>
      </c>
      <c r="E10277">
        <f t="shared" si="160"/>
        <v>2.0283869284076852E-9</v>
      </c>
    </row>
    <row r="10278" spans="1:5" x14ac:dyDescent="0.25">
      <c r="A10278">
        <v>12</v>
      </c>
      <c r="B10278">
        <v>28</v>
      </c>
      <c r="C10278">
        <v>0</v>
      </c>
      <c r="D10278">
        <v>8</v>
      </c>
      <c r="E10278">
        <f t="shared" si="160"/>
        <v>6.4217326405668045E-13</v>
      </c>
    </row>
    <row r="10279" spans="1:5" x14ac:dyDescent="0.25">
      <c r="A10279">
        <v>12</v>
      </c>
      <c r="B10279">
        <v>28</v>
      </c>
      <c r="C10279">
        <v>1</v>
      </c>
      <c r="D10279">
        <v>7</v>
      </c>
      <c r="E10279">
        <f t="shared" si="160"/>
        <v>1.855167207274855E-11</v>
      </c>
    </row>
    <row r="10280" spans="1:5" x14ac:dyDescent="0.25">
      <c r="A10280">
        <v>12</v>
      </c>
      <c r="B10280">
        <v>28</v>
      </c>
      <c r="C10280">
        <v>2</v>
      </c>
      <c r="D10280">
        <v>6</v>
      </c>
      <c r="E10280">
        <f t="shared" si="160"/>
        <v>2.1871444969977227E-10</v>
      </c>
    </row>
    <row r="10281" spans="1:5" x14ac:dyDescent="0.25">
      <c r="A10281">
        <v>12</v>
      </c>
      <c r="B10281">
        <v>28</v>
      </c>
      <c r="C10281">
        <v>3</v>
      </c>
      <c r="D10281">
        <v>5</v>
      </c>
      <c r="E10281">
        <f t="shared" si="160"/>
        <v>1.3779010331085654E-9</v>
      </c>
    </row>
    <row r="10282" spans="1:5" x14ac:dyDescent="0.25">
      <c r="A10282">
        <v>12</v>
      </c>
      <c r="B10282">
        <v>28</v>
      </c>
      <c r="C10282">
        <v>4</v>
      </c>
      <c r="D10282">
        <v>4</v>
      </c>
      <c r="E10282">
        <f t="shared" si="160"/>
        <v>5.0851109555197071E-9</v>
      </c>
    </row>
    <row r="10283" spans="1:5" x14ac:dyDescent="0.25">
      <c r="A10283">
        <v>12</v>
      </c>
      <c r="B10283">
        <v>28</v>
      </c>
      <c r="C10283">
        <v>5</v>
      </c>
      <c r="D10283">
        <v>3</v>
      </c>
      <c r="E10283">
        <f t="shared" si="160"/>
        <v>1.1279700664970985E-8</v>
      </c>
    </row>
    <row r="10284" spans="1:5" x14ac:dyDescent="0.25">
      <c r="A10284">
        <v>12</v>
      </c>
      <c r="B10284">
        <v>28</v>
      </c>
      <c r="C10284">
        <v>6</v>
      </c>
      <c r="D10284">
        <v>2</v>
      </c>
      <c r="E10284">
        <f t="shared" si="160"/>
        <v>1.4712653041266502E-8</v>
      </c>
    </row>
    <row r="10285" spans="1:5" x14ac:dyDescent="0.25">
      <c r="A10285">
        <v>12</v>
      </c>
      <c r="B10285">
        <v>28</v>
      </c>
      <c r="C10285">
        <v>7</v>
      </c>
      <c r="D10285">
        <v>1</v>
      </c>
      <c r="E10285">
        <f t="shared" si="160"/>
        <v>1.033388725517528E-8</v>
      </c>
    </row>
    <row r="10286" spans="1:5" x14ac:dyDescent="0.25">
      <c r="A10286">
        <v>12</v>
      </c>
      <c r="B10286">
        <v>28</v>
      </c>
      <c r="C10286">
        <v>8</v>
      </c>
      <c r="D10286">
        <v>0</v>
      </c>
      <c r="E10286">
        <f t="shared" si="160"/>
        <v>2.9968273040008322E-9</v>
      </c>
    </row>
    <row r="10287" spans="1:5" x14ac:dyDescent="0.25">
      <c r="A10287">
        <v>12</v>
      </c>
      <c r="B10287">
        <v>29</v>
      </c>
      <c r="C10287">
        <v>0</v>
      </c>
      <c r="D10287">
        <v>7</v>
      </c>
      <c r="E10287">
        <f t="shared" si="160"/>
        <v>2.568693056226719E-12</v>
      </c>
    </row>
    <row r="10288" spans="1:5" x14ac:dyDescent="0.25">
      <c r="A10288">
        <v>12</v>
      </c>
      <c r="B10288">
        <v>29</v>
      </c>
      <c r="C10288">
        <v>1</v>
      </c>
      <c r="D10288">
        <v>6</v>
      </c>
      <c r="E10288">
        <f t="shared" si="160"/>
        <v>6.1513438978060886E-11</v>
      </c>
    </row>
    <row r="10289" spans="1:5" x14ac:dyDescent="0.25">
      <c r="A10289">
        <v>12</v>
      </c>
      <c r="B10289">
        <v>29</v>
      </c>
      <c r="C10289">
        <v>2</v>
      </c>
      <c r="D10289">
        <v>5</v>
      </c>
      <c r="E10289">
        <f t="shared" si="160"/>
        <v>5.9052901418938459E-10</v>
      </c>
    </row>
    <row r="10290" spans="1:5" x14ac:dyDescent="0.25">
      <c r="A10290">
        <v>12</v>
      </c>
      <c r="B10290">
        <v>29</v>
      </c>
      <c r="C10290">
        <v>3</v>
      </c>
      <c r="D10290">
        <v>4</v>
      </c>
      <c r="E10290">
        <f t="shared" si="160"/>
        <v>2.9526450709469232E-9</v>
      </c>
    </row>
    <row r="10291" spans="1:5" x14ac:dyDescent="0.25">
      <c r="A10291">
        <v>12</v>
      </c>
      <c r="B10291">
        <v>29</v>
      </c>
      <c r="C10291">
        <v>4</v>
      </c>
      <c r="D10291">
        <v>3</v>
      </c>
      <c r="E10291">
        <f t="shared" si="160"/>
        <v>8.321090654486782E-9</v>
      </c>
    </row>
    <row r="10292" spans="1:5" x14ac:dyDescent="0.25">
      <c r="A10292">
        <v>12</v>
      </c>
      <c r="B10292">
        <v>29</v>
      </c>
      <c r="C10292">
        <v>5</v>
      </c>
      <c r="D10292">
        <v>2</v>
      </c>
      <c r="E10292">
        <f t="shared" si="160"/>
        <v>1.3241387737139838E-8</v>
      </c>
    </row>
    <row r="10293" spans="1:5" x14ac:dyDescent="0.25">
      <c r="A10293">
        <v>12</v>
      </c>
      <c r="B10293">
        <v>29</v>
      </c>
      <c r="C10293">
        <v>6</v>
      </c>
      <c r="D10293">
        <v>1</v>
      </c>
      <c r="E10293">
        <f t="shared" si="160"/>
        <v>1.1034489780949864E-8</v>
      </c>
    </row>
    <row r="10294" spans="1:5" x14ac:dyDescent="0.25">
      <c r="A10294">
        <v>12</v>
      </c>
      <c r="B10294">
        <v>29</v>
      </c>
      <c r="C10294">
        <v>7</v>
      </c>
      <c r="D10294">
        <v>0</v>
      </c>
      <c r="E10294">
        <f t="shared" si="160"/>
        <v>3.720199411863097E-9</v>
      </c>
    </row>
    <row r="10295" spans="1:5" x14ac:dyDescent="0.25">
      <c r="A10295">
        <v>12</v>
      </c>
      <c r="B10295">
        <v>30</v>
      </c>
      <c r="C10295">
        <v>0</v>
      </c>
      <c r="D10295">
        <v>6</v>
      </c>
      <c r="E10295">
        <f t="shared" si="160"/>
        <v>8.2017918637414509E-12</v>
      </c>
    </row>
    <row r="10296" spans="1:5" x14ac:dyDescent="0.25">
      <c r="A10296">
        <v>12</v>
      </c>
      <c r="B10296">
        <v>30</v>
      </c>
      <c r="C10296">
        <v>1</v>
      </c>
      <c r="D10296">
        <v>5</v>
      </c>
      <c r="E10296">
        <f t="shared" si="160"/>
        <v>1.599349413429583E-10</v>
      </c>
    </row>
    <row r="10297" spans="1:5" x14ac:dyDescent="0.25">
      <c r="A10297">
        <v>12</v>
      </c>
      <c r="B10297">
        <v>30</v>
      </c>
      <c r="C10297">
        <v>2</v>
      </c>
      <c r="D10297">
        <v>4</v>
      </c>
      <c r="E10297">
        <f t="shared" si="160"/>
        <v>1.2185519340415871E-9</v>
      </c>
    </row>
    <row r="10298" spans="1:5" x14ac:dyDescent="0.25">
      <c r="A10298">
        <v>12</v>
      </c>
      <c r="B10298">
        <v>30</v>
      </c>
      <c r="C10298">
        <v>3</v>
      </c>
      <c r="D10298">
        <v>3</v>
      </c>
      <c r="E10298">
        <f t="shared" si="160"/>
        <v>4.652652839067879E-9</v>
      </c>
    </row>
    <row r="10299" spans="1:5" x14ac:dyDescent="0.25">
      <c r="A10299">
        <v>12</v>
      </c>
      <c r="B10299">
        <v>30</v>
      </c>
      <c r="C10299">
        <v>4</v>
      </c>
      <c r="D10299">
        <v>2</v>
      </c>
      <c r="E10299">
        <f t="shared" si="160"/>
        <v>9.4064503050720147E-9</v>
      </c>
    </row>
    <row r="10300" spans="1:5" x14ac:dyDescent="0.25">
      <c r="A10300">
        <v>12</v>
      </c>
      <c r="B10300">
        <v>30</v>
      </c>
      <c r="C10300">
        <v>5</v>
      </c>
      <c r="D10300">
        <v>1</v>
      </c>
      <c r="E10300">
        <f t="shared" si="160"/>
        <v>9.5632244768232163E-9</v>
      </c>
    </row>
    <row r="10301" spans="1:5" x14ac:dyDescent="0.25">
      <c r="A10301">
        <v>12</v>
      </c>
      <c r="B10301">
        <v>30</v>
      </c>
      <c r="C10301">
        <v>6</v>
      </c>
      <c r="D10301">
        <v>0</v>
      </c>
      <c r="E10301">
        <f t="shared" si="160"/>
        <v>3.8252897907292857E-9</v>
      </c>
    </row>
    <row r="10302" spans="1:5" x14ac:dyDescent="0.25">
      <c r="A10302">
        <v>12</v>
      </c>
      <c r="B10302">
        <v>31</v>
      </c>
      <c r="C10302">
        <v>0</v>
      </c>
      <c r="D10302">
        <v>5</v>
      </c>
      <c r="E10302">
        <f t="shared" si="160"/>
        <v>2.0557394445571338E-11</v>
      </c>
    </row>
    <row r="10303" spans="1:5" x14ac:dyDescent="0.25">
      <c r="A10303">
        <v>12</v>
      </c>
      <c r="B10303">
        <v>31</v>
      </c>
      <c r="C10303">
        <v>1</v>
      </c>
      <c r="D10303">
        <v>4</v>
      </c>
      <c r="E10303">
        <f t="shared" si="160"/>
        <v>3.1815015213384218E-10</v>
      </c>
    </row>
    <row r="10304" spans="1:5" x14ac:dyDescent="0.25">
      <c r="A10304">
        <v>12</v>
      </c>
      <c r="B10304">
        <v>31</v>
      </c>
      <c r="C10304">
        <v>2</v>
      </c>
      <c r="D10304">
        <v>3</v>
      </c>
      <c r="E10304">
        <f t="shared" si="160"/>
        <v>1.8510554305968999E-9</v>
      </c>
    </row>
    <row r="10305" spans="1:5" x14ac:dyDescent="0.25">
      <c r="A10305">
        <v>12</v>
      </c>
      <c r="B10305">
        <v>31</v>
      </c>
      <c r="C10305">
        <v>3</v>
      </c>
      <c r="D10305">
        <v>2</v>
      </c>
      <c r="E10305">
        <f t="shared" si="160"/>
        <v>5.0702822664175953E-9</v>
      </c>
    </row>
    <row r="10306" spans="1:5" x14ac:dyDescent="0.25">
      <c r="A10306">
        <v>12</v>
      </c>
      <c r="B10306">
        <v>31</v>
      </c>
      <c r="C10306">
        <v>4</v>
      </c>
      <c r="D10306">
        <v>1</v>
      </c>
      <c r="E10306">
        <f t="shared" si="160"/>
        <v>6.5491145941227276E-9</v>
      </c>
    </row>
    <row r="10307" spans="1:5" x14ac:dyDescent="0.25">
      <c r="A10307">
        <v>12</v>
      </c>
      <c r="B10307">
        <v>31</v>
      </c>
      <c r="C10307">
        <v>5</v>
      </c>
      <c r="D10307">
        <v>0</v>
      </c>
      <c r="E10307">
        <f t="shared" si="160"/>
        <v>3.195967921931891E-9</v>
      </c>
    </row>
    <row r="10308" spans="1:5" x14ac:dyDescent="0.25">
      <c r="A10308">
        <v>12</v>
      </c>
      <c r="B10308">
        <v>32</v>
      </c>
      <c r="C10308">
        <v>0</v>
      </c>
      <c r="D10308">
        <v>4</v>
      </c>
      <c r="E10308">
        <f t="shared" si="160"/>
        <v>3.9462855408909225E-11</v>
      </c>
    </row>
    <row r="10309" spans="1:5" x14ac:dyDescent="0.25">
      <c r="A10309">
        <v>12</v>
      </c>
      <c r="B10309">
        <v>32</v>
      </c>
      <c r="C10309">
        <v>1</v>
      </c>
      <c r="D10309">
        <v>3</v>
      </c>
      <c r="E10309">
        <f t="shared" si="160"/>
        <v>4.6637920028710896E-10</v>
      </c>
    </row>
    <row r="10310" spans="1:5" x14ac:dyDescent="0.25">
      <c r="A10310">
        <v>12</v>
      </c>
      <c r="B10310">
        <v>32</v>
      </c>
      <c r="C10310">
        <v>2</v>
      </c>
      <c r="D10310">
        <v>2</v>
      </c>
      <c r="E10310">
        <f t="shared" si="160"/>
        <v>1.9466262272853246E-9</v>
      </c>
    </row>
    <row r="10311" spans="1:5" x14ac:dyDescent="0.25">
      <c r="A10311">
        <v>12</v>
      </c>
      <c r="B10311">
        <v>32</v>
      </c>
      <c r="C10311">
        <v>3</v>
      </c>
      <c r="D10311">
        <v>1</v>
      </c>
      <c r="E10311">
        <f t="shared" si="160"/>
        <v>3.4065958977493178E-9</v>
      </c>
    </row>
    <row r="10312" spans="1:5" x14ac:dyDescent="0.25">
      <c r="A10312">
        <v>12</v>
      </c>
      <c r="B10312">
        <v>32</v>
      </c>
      <c r="C10312">
        <v>4</v>
      </c>
      <c r="D10312">
        <v>0</v>
      </c>
      <c r="E10312">
        <f t="shared" si="160"/>
        <v>2.112089456604577E-9</v>
      </c>
    </row>
    <row r="10313" spans="1:5" x14ac:dyDescent="0.25">
      <c r="A10313">
        <v>12</v>
      </c>
      <c r="B10313">
        <v>33</v>
      </c>
      <c r="C10313">
        <v>0</v>
      </c>
      <c r="D10313">
        <v>3</v>
      </c>
      <c r="E10313">
        <f t="shared" si="160"/>
        <v>5.5878533554213115E-11</v>
      </c>
    </row>
    <row r="10314" spans="1:5" x14ac:dyDescent="0.25">
      <c r="A10314">
        <v>12</v>
      </c>
      <c r="B10314">
        <v>33</v>
      </c>
      <c r="C10314">
        <v>1</v>
      </c>
      <c r="D10314">
        <v>2</v>
      </c>
      <c r="E10314">
        <f t="shared" si="160"/>
        <v>4.7375278448137196E-10</v>
      </c>
    </row>
    <row r="10315" spans="1:5" x14ac:dyDescent="0.25">
      <c r="A10315">
        <v>12</v>
      </c>
      <c r="B10315">
        <v>33</v>
      </c>
      <c r="C10315">
        <v>2</v>
      </c>
      <c r="D10315">
        <v>1</v>
      </c>
      <c r="E10315">
        <f t="shared" si="160"/>
        <v>1.2633407586169922E-9</v>
      </c>
    </row>
    <row r="10316" spans="1:5" x14ac:dyDescent="0.25">
      <c r="A10316">
        <v>12</v>
      </c>
      <c r="B10316">
        <v>33</v>
      </c>
      <c r="C10316">
        <v>3</v>
      </c>
      <c r="D10316">
        <v>0</v>
      </c>
      <c r="E10316">
        <f t="shared" si="160"/>
        <v>1.0612062372382734E-9</v>
      </c>
    </row>
    <row r="10317" spans="1:5" x14ac:dyDescent="0.25">
      <c r="A10317">
        <v>12</v>
      </c>
      <c r="B10317">
        <v>34</v>
      </c>
      <c r="C10317">
        <v>0</v>
      </c>
      <c r="D10317">
        <v>2</v>
      </c>
      <c r="E10317">
        <f t="shared" si="160"/>
        <v>5.48781506005571E-11</v>
      </c>
    </row>
    <row r="10318" spans="1:5" x14ac:dyDescent="0.25">
      <c r="A10318">
        <v>12</v>
      </c>
      <c r="B10318">
        <v>34</v>
      </c>
      <c r="C10318">
        <v>1</v>
      </c>
      <c r="D10318">
        <v>1</v>
      </c>
      <c r="E10318">
        <f t="shared" ref="E10318:E10381" si="161">COMBIN(A$4,A10318)*COMBIN(B$4,B10318)*COMBIN(C$4,C10318)*COMBIN(D$4,D10318)/COMBIN($G$4,$F$4)</f>
        <v>2.9725664908635092E-10</v>
      </c>
    </row>
    <row r="10319" spans="1:5" x14ac:dyDescent="0.25">
      <c r="A10319">
        <v>12</v>
      </c>
      <c r="B10319">
        <v>34</v>
      </c>
      <c r="C10319">
        <v>2</v>
      </c>
      <c r="D10319">
        <v>0</v>
      </c>
      <c r="E10319">
        <f t="shared" si="161"/>
        <v>3.8048851083052922E-10</v>
      </c>
    </row>
    <row r="10320" spans="1:5" x14ac:dyDescent="0.25">
      <c r="A10320">
        <v>12</v>
      </c>
      <c r="B10320">
        <v>35</v>
      </c>
      <c r="C10320">
        <v>0</v>
      </c>
      <c r="D10320">
        <v>1</v>
      </c>
      <c r="E10320">
        <f t="shared" si="161"/>
        <v>3.3318877150338234E-11</v>
      </c>
    </row>
    <row r="10321" spans="1:5" x14ac:dyDescent="0.25">
      <c r="A10321">
        <v>12</v>
      </c>
      <c r="B10321">
        <v>35</v>
      </c>
      <c r="C10321">
        <v>1</v>
      </c>
      <c r="D10321">
        <v>0</v>
      </c>
      <c r="E10321">
        <f t="shared" si="161"/>
        <v>8.6629080590879411E-11</v>
      </c>
    </row>
    <row r="10322" spans="1:5" x14ac:dyDescent="0.25">
      <c r="A10322">
        <v>12</v>
      </c>
      <c r="B10322">
        <v>36</v>
      </c>
      <c r="C10322">
        <v>0</v>
      </c>
      <c r="D10322">
        <v>0</v>
      </c>
      <c r="E10322">
        <f t="shared" si="161"/>
        <v>9.4033275513176836E-12</v>
      </c>
    </row>
    <row r="10323" spans="1:5" x14ac:dyDescent="0.25">
      <c r="A10323">
        <v>13</v>
      </c>
      <c r="B10323">
        <v>0</v>
      </c>
      <c r="C10323">
        <v>10</v>
      </c>
      <c r="D10323">
        <v>25</v>
      </c>
      <c r="E10323">
        <f t="shared" si="161"/>
        <v>1.0783213110302838E-46</v>
      </c>
    </row>
    <row r="10324" spans="1:5" x14ac:dyDescent="0.25">
      <c r="A10324">
        <v>13</v>
      </c>
      <c r="B10324">
        <v>0</v>
      </c>
      <c r="C10324">
        <v>11</v>
      </c>
      <c r="D10324">
        <v>24</v>
      </c>
      <c r="E10324">
        <f t="shared" si="161"/>
        <v>1.347901638787855E-44</v>
      </c>
    </row>
    <row r="10325" spans="1:5" x14ac:dyDescent="0.25">
      <c r="A10325">
        <v>13</v>
      </c>
      <c r="B10325">
        <v>0</v>
      </c>
      <c r="C10325">
        <v>12</v>
      </c>
      <c r="D10325">
        <v>23</v>
      </c>
      <c r="E10325">
        <f t="shared" si="161"/>
        <v>7.2786688494544129E-43</v>
      </c>
    </row>
    <row r="10326" spans="1:5" x14ac:dyDescent="0.25">
      <c r="A10326">
        <v>13</v>
      </c>
      <c r="B10326">
        <v>0</v>
      </c>
      <c r="C10326">
        <v>13</v>
      </c>
      <c r="D10326">
        <v>22</v>
      </c>
      <c r="E10326">
        <f t="shared" si="161"/>
        <v>2.2750505967910084E-41</v>
      </c>
    </row>
    <row r="10327" spans="1:5" x14ac:dyDescent="0.25">
      <c r="A10327">
        <v>13</v>
      </c>
      <c r="B10327">
        <v>0</v>
      </c>
      <c r="C10327">
        <v>14</v>
      </c>
      <c r="D10327">
        <v>21</v>
      </c>
      <c r="E10327">
        <f t="shared" si="161"/>
        <v>4.6476033620159187E-40</v>
      </c>
    </row>
    <row r="10328" spans="1:5" x14ac:dyDescent="0.25">
      <c r="A10328">
        <v>13</v>
      </c>
      <c r="B10328">
        <v>0</v>
      </c>
      <c r="C10328">
        <v>15</v>
      </c>
      <c r="D10328">
        <v>20</v>
      </c>
      <c r="E10328">
        <f t="shared" si="161"/>
        <v>6.6367776009587266E-39</v>
      </c>
    </row>
    <row r="10329" spans="1:5" x14ac:dyDescent="0.25">
      <c r="A10329">
        <v>13</v>
      </c>
      <c r="B10329">
        <v>0</v>
      </c>
      <c r="C10329">
        <v>16</v>
      </c>
      <c r="D10329">
        <v>19</v>
      </c>
      <c r="E10329">
        <f t="shared" si="161"/>
        <v>6.9133100009986735E-38</v>
      </c>
    </row>
    <row r="10330" spans="1:5" x14ac:dyDescent="0.25">
      <c r="A10330">
        <v>13</v>
      </c>
      <c r="B10330">
        <v>0</v>
      </c>
      <c r="C10330">
        <v>17</v>
      </c>
      <c r="D10330">
        <v>18</v>
      </c>
      <c r="E10330">
        <f t="shared" si="161"/>
        <v>5.4086484125460275E-37</v>
      </c>
    </row>
    <row r="10331" spans="1:5" x14ac:dyDescent="0.25">
      <c r="A10331">
        <v>13</v>
      </c>
      <c r="B10331">
        <v>0</v>
      </c>
      <c r="C10331">
        <v>18</v>
      </c>
      <c r="D10331">
        <v>17</v>
      </c>
      <c r="E10331">
        <f t="shared" si="161"/>
        <v>3.2451890475276125E-36</v>
      </c>
    </row>
    <row r="10332" spans="1:5" x14ac:dyDescent="0.25">
      <c r="A10332">
        <v>13</v>
      </c>
      <c r="B10332">
        <v>0</v>
      </c>
      <c r="C10332">
        <v>19</v>
      </c>
      <c r="D10332">
        <v>16</v>
      </c>
      <c r="E10332">
        <f t="shared" si="161"/>
        <v>1.5163193268857095E-35</v>
      </c>
    </row>
    <row r="10333" spans="1:5" x14ac:dyDescent="0.25">
      <c r="A10333">
        <v>13</v>
      </c>
      <c r="B10333">
        <v>0</v>
      </c>
      <c r="C10333">
        <v>20</v>
      </c>
      <c r="D10333">
        <v>15</v>
      </c>
      <c r="E10333">
        <f t="shared" si="161"/>
        <v>5.5800551229394154E-35</v>
      </c>
    </row>
    <row r="10334" spans="1:5" x14ac:dyDescent="0.25">
      <c r="A10334">
        <v>13</v>
      </c>
      <c r="B10334">
        <v>0</v>
      </c>
      <c r="C10334">
        <v>21</v>
      </c>
      <c r="D10334">
        <v>14</v>
      </c>
      <c r="E10334">
        <f t="shared" si="161"/>
        <v>1.6305355878719051E-34</v>
      </c>
    </row>
    <row r="10335" spans="1:5" x14ac:dyDescent="0.25">
      <c r="A10335">
        <v>13</v>
      </c>
      <c r="B10335">
        <v>0</v>
      </c>
      <c r="C10335">
        <v>22</v>
      </c>
      <c r="D10335">
        <v>13</v>
      </c>
      <c r="E10335">
        <f t="shared" si="161"/>
        <v>3.8045830383677817E-34</v>
      </c>
    </row>
    <row r="10336" spans="1:5" x14ac:dyDescent="0.25">
      <c r="A10336">
        <v>13</v>
      </c>
      <c r="B10336">
        <v>0</v>
      </c>
      <c r="C10336">
        <v>23</v>
      </c>
      <c r="D10336">
        <v>12</v>
      </c>
      <c r="E10336">
        <f t="shared" si="161"/>
        <v>7.1129161152093293E-34</v>
      </c>
    </row>
    <row r="10337" spans="1:5" x14ac:dyDescent="0.25">
      <c r="A10337">
        <v>13</v>
      </c>
      <c r="B10337">
        <v>0</v>
      </c>
      <c r="C10337">
        <v>24</v>
      </c>
      <c r="D10337">
        <v>11</v>
      </c>
      <c r="E10337">
        <f t="shared" si="161"/>
        <v>1.0669374172813992E-33</v>
      </c>
    </row>
    <row r="10338" spans="1:5" x14ac:dyDescent="0.25">
      <c r="A10338">
        <v>13</v>
      </c>
      <c r="B10338">
        <v>0</v>
      </c>
      <c r="C10338">
        <v>25</v>
      </c>
      <c r="D10338">
        <v>10</v>
      </c>
      <c r="E10338">
        <f t="shared" si="161"/>
        <v>1.2831700671837631E-33</v>
      </c>
    </row>
    <row r="10339" spans="1:5" x14ac:dyDescent="0.25">
      <c r="A10339">
        <v>13</v>
      </c>
      <c r="B10339">
        <v>0</v>
      </c>
      <c r="C10339">
        <v>26</v>
      </c>
      <c r="D10339">
        <v>9</v>
      </c>
      <c r="E10339">
        <f t="shared" si="161"/>
        <v>1.2338173722920792E-33</v>
      </c>
    </row>
    <row r="10340" spans="1:5" x14ac:dyDescent="0.25">
      <c r="A10340">
        <v>13</v>
      </c>
      <c r="B10340">
        <v>0</v>
      </c>
      <c r="C10340">
        <v>27</v>
      </c>
      <c r="D10340">
        <v>8</v>
      </c>
      <c r="E10340">
        <f t="shared" si="161"/>
        <v>9.4350740234100189E-34</v>
      </c>
    </row>
    <row r="10341" spans="1:5" x14ac:dyDescent="0.25">
      <c r="A10341">
        <v>13</v>
      </c>
      <c r="B10341">
        <v>0</v>
      </c>
      <c r="C10341">
        <v>28</v>
      </c>
      <c r="D10341">
        <v>7</v>
      </c>
      <c r="E10341">
        <f t="shared" si="161"/>
        <v>5.6909970299933472E-34</v>
      </c>
    </row>
    <row r="10342" spans="1:5" x14ac:dyDescent="0.25">
      <c r="A10342">
        <v>13</v>
      </c>
      <c r="B10342">
        <v>0</v>
      </c>
      <c r="C10342">
        <v>29</v>
      </c>
      <c r="D10342">
        <v>6</v>
      </c>
      <c r="E10342">
        <f t="shared" si="161"/>
        <v>2.6750784587446035E-34</v>
      </c>
    </row>
    <row r="10343" spans="1:5" x14ac:dyDescent="0.25">
      <c r="A10343">
        <v>13</v>
      </c>
      <c r="B10343">
        <v>0</v>
      </c>
      <c r="C10343">
        <v>30</v>
      </c>
      <c r="D10343">
        <v>5</v>
      </c>
      <c r="E10343">
        <f t="shared" si="161"/>
        <v>9.6302824514805706E-35</v>
      </c>
    </row>
    <row r="10344" spans="1:5" x14ac:dyDescent="0.25">
      <c r="A10344">
        <v>13</v>
      </c>
      <c r="B10344">
        <v>0</v>
      </c>
      <c r="C10344">
        <v>31</v>
      </c>
      <c r="D10344">
        <v>4</v>
      </c>
      <c r="E10344">
        <f t="shared" si="161"/>
        <v>2.5887856052367138E-35</v>
      </c>
    </row>
    <row r="10345" spans="1:5" x14ac:dyDescent="0.25">
      <c r="A10345">
        <v>13</v>
      </c>
      <c r="B10345">
        <v>0</v>
      </c>
      <c r="C10345">
        <v>32</v>
      </c>
      <c r="D10345">
        <v>3</v>
      </c>
      <c r="E10345">
        <f t="shared" si="161"/>
        <v>5.0010631010254684E-36</v>
      </c>
    </row>
    <row r="10346" spans="1:5" x14ac:dyDescent="0.25">
      <c r="A10346">
        <v>13</v>
      </c>
      <c r="B10346">
        <v>0</v>
      </c>
      <c r="C10346">
        <v>33</v>
      </c>
      <c r="D10346">
        <v>2</v>
      </c>
      <c r="E10346">
        <f t="shared" si="161"/>
        <v>6.5231257839462622E-37</v>
      </c>
    </row>
    <row r="10347" spans="1:5" x14ac:dyDescent="0.25">
      <c r="A10347">
        <v>13</v>
      </c>
      <c r="B10347">
        <v>0</v>
      </c>
      <c r="C10347">
        <v>34</v>
      </c>
      <c r="D10347">
        <v>1</v>
      </c>
      <c r="E10347">
        <f t="shared" si="161"/>
        <v>5.1161770854480498E-38</v>
      </c>
    </row>
    <row r="10348" spans="1:5" x14ac:dyDescent="0.25">
      <c r="A10348">
        <v>13</v>
      </c>
      <c r="B10348">
        <v>0</v>
      </c>
      <c r="C10348">
        <v>35</v>
      </c>
      <c r="D10348">
        <v>0</v>
      </c>
      <c r="E10348">
        <f t="shared" si="161"/>
        <v>1.8125884531301659E-39</v>
      </c>
    </row>
    <row r="10349" spans="1:5" x14ac:dyDescent="0.25">
      <c r="A10349">
        <v>13</v>
      </c>
      <c r="B10349">
        <v>1</v>
      </c>
      <c r="C10349">
        <v>9</v>
      </c>
      <c r="D10349">
        <v>25</v>
      </c>
      <c r="E10349">
        <f t="shared" si="161"/>
        <v>5.5649081944241423E-45</v>
      </c>
    </row>
    <row r="10350" spans="1:5" x14ac:dyDescent="0.25">
      <c r="A10350">
        <v>13</v>
      </c>
      <c r="B10350">
        <v>1</v>
      </c>
      <c r="C10350">
        <v>10</v>
      </c>
      <c r="D10350">
        <v>24</v>
      </c>
      <c r="E10350">
        <f t="shared" si="161"/>
        <v>7.7908714721938006E-43</v>
      </c>
    </row>
    <row r="10351" spans="1:5" x14ac:dyDescent="0.25">
      <c r="A10351">
        <v>13</v>
      </c>
      <c r="B10351">
        <v>1</v>
      </c>
      <c r="C10351">
        <v>11</v>
      </c>
      <c r="D10351">
        <v>23</v>
      </c>
      <c r="E10351">
        <f t="shared" si="161"/>
        <v>4.6745228833162807E-41</v>
      </c>
    </row>
    <row r="10352" spans="1:5" x14ac:dyDescent="0.25">
      <c r="A10352">
        <v>13</v>
      </c>
      <c r="B10352">
        <v>1</v>
      </c>
      <c r="C10352">
        <v>12</v>
      </c>
      <c r="D10352">
        <v>22</v>
      </c>
      <c r="E10352">
        <f t="shared" si="161"/>
        <v>1.6127103947441159E-39</v>
      </c>
    </row>
    <row r="10353" spans="1:5" x14ac:dyDescent="0.25">
      <c r="A10353">
        <v>13</v>
      </c>
      <c r="B10353">
        <v>1</v>
      </c>
      <c r="C10353">
        <v>13</v>
      </c>
      <c r="D10353">
        <v>21</v>
      </c>
      <c r="E10353">
        <f t="shared" si="161"/>
        <v>3.6161929235993081E-38</v>
      </c>
    </row>
    <row r="10354" spans="1:5" x14ac:dyDescent="0.25">
      <c r="A10354">
        <v>13</v>
      </c>
      <c r="B10354">
        <v>1</v>
      </c>
      <c r="C10354">
        <v>14</v>
      </c>
      <c r="D10354">
        <v>20</v>
      </c>
      <c r="E10354">
        <f t="shared" si="161"/>
        <v>5.6412609608149199E-37</v>
      </c>
    </row>
    <row r="10355" spans="1:5" x14ac:dyDescent="0.25">
      <c r="A10355">
        <v>13</v>
      </c>
      <c r="B10355">
        <v>1</v>
      </c>
      <c r="C10355">
        <v>15</v>
      </c>
      <c r="D10355">
        <v>19</v>
      </c>
      <c r="E10355">
        <f t="shared" si="161"/>
        <v>6.3934290889235739E-36</v>
      </c>
    </row>
    <row r="10356" spans="1:5" x14ac:dyDescent="0.25">
      <c r="A10356">
        <v>13</v>
      </c>
      <c r="B10356">
        <v>1</v>
      </c>
      <c r="C10356">
        <v>16</v>
      </c>
      <c r="D10356">
        <v>18</v>
      </c>
      <c r="E10356">
        <f t="shared" si="161"/>
        <v>5.4229978879262486E-35</v>
      </c>
    </row>
    <row r="10357" spans="1:5" x14ac:dyDescent="0.25">
      <c r="A10357">
        <v>13</v>
      </c>
      <c r="B10357">
        <v>1</v>
      </c>
      <c r="C10357">
        <v>17</v>
      </c>
      <c r="D10357">
        <v>17</v>
      </c>
      <c r="E10357">
        <f t="shared" si="161"/>
        <v>3.5169736302580528E-34</v>
      </c>
    </row>
    <row r="10358" spans="1:5" x14ac:dyDescent="0.25">
      <c r="A10358">
        <v>13</v>
      </c>
      <c r="B10358">
        <v>1</v>
      </c>
      <c r="C10358">
        <v>18</v>
      </c>
      <c r="D10358">
        <v>16</v>
      </c>
      <c r="E10358">
        <f t="shared" si="161"/>
        <v>1.7715126433892399E-33</v>
      </c>
    </row>
    <row r="10359" spans="1:5" x14ac:dyDescent="0.25">
      <c r="A10359">
        <v>13</v>
      </c>
      <c r="B10359">
        <v>1</v>
      </c>
      <c r="C10359">
        <v>19</v>
      </c>
      <c r="D10359">
        <v>15</v>
      </c>
      <c r="E10359">
        <f t="shared" si="161"/>
        <v>7.0114605675195198E-33</v>
      </c>
    </row>
    <row r="10360" spans="1:5" x14ac:dyDescent="0.25">
      <c r="A10360">
        <v>13</v>
      </c>
      <c r="B10360">
        <v>1</v>
      </c>
      <c r="C10360">
        <v>20</v>
      </c>
      <c r="D10360">
        <v>14</v>
      </c>
      <c r="E10360">
        <f t="shared" si="161"/>
        <v>2.1990489961765791E-32</v>
      </c>
    </row>
    <row r="10361" spans="1:5" x14ac:dyDescent="0.25">
      <c r="A10361">
        <v>13</v>
      </c>
      <c r="B10361">
        <v>1</v>
      </c>
      <c r="C10361">
        <v>21</v>
      </c>
      <c r="D10361">
        <v>13</v>
      </c>
      <c r="E10361">
        <f t="shared" si="161"/>
        <v>5.4976224904414406E-32</v>
      </c>
    </row>
    <row r="10362" spans="1:5" x14ac:dyDescent="0.25">
      <c r="A10362">
        <v>13</v>
      </c>
      <c r="B10362">
        <v>1</v>
      </c>
      <c r="C10362">
        <v>22</v>
      </c>
      <c r="D10362">
        <v>12</v>
      </c>
      <c r="E10362">
        <f t="shared" si="161"/>
        <v>1.099524498088289E-31</v>
      </c>
    </row>
    <row r="10363" spans="1:5" x14ac:dyDescent="0.25">
      <c r="A10363">
        <v>13</v>
      </c>
      <c r="B10363">
        <v>1</v>
      </c>
      <c r="C10363">
        <v>23</v>
      </c>
      <c r="D10363">
        <v>11</v>
      </c>
      <c r="E10363">
        <f t="shared" si="161"/>
        <v>1.7619709348247107E-31</v>
      </c>
    </row>
    <row r="10364" spans="1:5" x14ac:dyDescent="0.25">
      <c r="A10364">
        <v>13</v>
      </c>
      <c r="B10364">
        <v>1</v>
      </c>
      <c r="C10364">
        <v>24</v>
      </c>
      <c r="D10364">
        <v>10</v>
      </c>
      <c r="E10364">
        <f t="shared" si="161"/>
        <v>2.2611960330250455E-31</v>
      </c>
    </row>
    <row r="10365" spans="1:5" x14ac:dyDescent="0.25">
      <c r="A10365">
        <v>13</v>
      </c>
      <c r="B10365">
        <v>1</v>
      </c>
      <c r="C10365">
        <v>25</v>
      </c>
      <c r="D10365">
        <v>9</v>
      </c>
      <c r="E10365">
        <f t="shared" si="161"/>
        <v>2.3177259338506727E-31</v>
      </c>
    </row>
    <row r="10366" spans="1:5" x14ac:dyDescent="0.25">
      <c r="A10366">
        <v>13</v>
      </c>
      <c r="B10366">
        <v>1</v>
      </c>
      <c r="C10366">
        <v>26</v>
      </c>
      <c r="D10366">
        <v>8</v>
      </c>
      <c r="E10366">
        <f t="shared" si="161"/>
        <v>1.8877405796068811E-31</v>
      </c>
    </row>
    <row r="10367" spans="1:5" x14ac:dyDescent="0.25">
      <c r="A10367">
        <v>13</v>
      </c>
      <c r="B10367">
        <v>1</v>
      </c>
      <c r="C10367">
        <v>27</v>
      </c>
      <c r="D10367">
        <v>7</v>
      </c>
      <c r="E10367">
        <f t="shared" si="161"/>
        <v>1.2118828412291093E-31</v>
      </c>
    </row>
    <row r="10368" spans="1:5" x14ac:dyDescent="0.25">
      <c r="A10368">
        <v>13</v>
      </c>
      <c r="B10368">
        <v>1</v>
      </c>
      <c r="C10368">
        <v>28</v>
      </c>
      <c r="D10368">
        <v>6</v>
      </c>
      <c r="E10368">
        <f t="shared" si="161"/>
        <v>6.0594142061455455E-32</v>
      </c>
    </row>
    <row r="10369" spans="1:5" x14ac:dyDescent="0.25">
      <c r="A10369">
        <v>13</v>
      </c>
      <c r="B10369">
        <v>1</v>
      </c>
      <c r="C10369">
        <v>29</v>
      </c>
      <c r="D10369">
        <v>5</v>
      </c>
      <c r="E10369">
        <f t="shared" si="161"/>
        <v>2.3192930237315712E-32</v>
      </c>
    </row>
    <row r="10370" spans="1:5" x14ac:dyDescent="0.25">
      <c r="A10370">
        <v>13</v>
      </c>
      <c r="B10370">
        <v>1</v>
      </c>
      <c r="C10370">
        <v>30</v>
      </c>
      <c r="D10370">
        <v>4</v>
      </c>
      <c r="E10370">
        <f t="shared" si="161"/>
        <v>6.6265514963759173E-33</v>
      </c>
    </row>
    <row r="10371" spans="1:5" x14ac:dyDescent="0.25">
      <c r="A10371">
        <v>13</v>
      </c>
      <c r="B10371">
        <v>1</v>
      </c>
      <c r="C10371">
        <v>31</v>
      </c>
      <c r="D10371">
        <v>3</v>
      </c>
      <c r="E10371">
        <f t="shared" si="161"/>
        <v>1.3602891634789275E-33</v>
      </c>
    </row>
    <row r="10372" spans="1:5" x14ac:dyDescent="0.25">
      <c r="A10372">
        <v>13</v>
      </c>
      <c r="B10372">
        <v>1</v>
      </c>
      <c r="C10372">
        <v>32</v>
      </c>
      <c r="D10372">
        <v>2</v>
      </c>
      <c r="E10372">
        <f t="shared" si="161"/>
        <v>1.8851833515604697E-34</v>
      </c>
    </row>
    <row r="10373" spans="1:5" x14ac:dyDescent="0.25">
      <c r="A10373">
        <v>13</v>
      </c>
      <c r="B10373">
        <v>1</v>
      </c>
      <c r="C10373">
        <v>33</v>
      </c>
      <c r="D10373">
        <v>1</v>
      </c>
      <c r="E10373">
        <f t="shared" si="161"/>
        <v>1.5709861263003914E-35</v>
      </c>
    </row>
    <row r="10374" spans="1:5" x14ac:dyDescent="0.25">
      <c r="A10374">
        <v>13</v>
      </c>
      <c r="B10374">
        <v>1</v>
      </c>
      <c r="C10374">
        <v>34</v>
      </c>
      <c r="D10374">
        <v>0</v>
      </c>
      <c r="E10374">
        <f t="shared" si="161"/>
        <v>5.914300710777945E-37</v>
      </c>
    </row>
    <row r="10375" spans="1:5" x14ac:dyDescent="0.25">
      <c r="A10375">
        <v>13</v>
      </c>
      <c r="B10375">
        <v>2</v>
      </c>
      <c r="C10375">
        <v>8</v>
      </c>
      <c r="D10375">
        <v>25</v>
      </c>
      <c r="E10375">
        <f t="shared" si="161"/>
        <v>1.2652843894690682E-43</v>
      </c>
    </row>
    <row r="10376" spans="1:5" x14ac:dyDescent="0.25">
      <c r="A10376">
        <v>13</v>
      </c>
      <c r="B10376">
        <v>2</v>
      </c>
      <c r="C10376">
        <v>9</v>
      </c>
      <c r="D10376">
        <v>24</v>
      </c>
      <c r="E10376">
        <f t="shared" si="161"/>
        <v>2.0033669499926911E-41</v>
      </c>
    </row>
    <row r="10377" spans="1:5" x14ac:dyDescent="0.25">
      <c r="A10377">
        <v>13</v>
      </c>
      <c r="B10377">
        <v>2</v>
      </c>
      <c r="C10377">
        <v>10</v>
      </c>
      <c r="D10377">
        <v>23</v>
      </c>
      <c r="E10377">
        <f t="shared" si="161"/>
        <v>1.3462625903950888E-39</v>
      </c>
    </row>
    <row r="10378" spans="1:5" x14ac:dyDescent="0.25">
      <c r="A10378">
        <v>13</v>
      </c>
      <c r="B10378">
        <v>2</v>
      </c>
      <c r="C10378">
        <v>11</v>
      </c>
      <c r="D10378">
        <v>22</v>
      </c>
      <c r="E10378">
        <f t="shared" si="161"/>
        <v>5.160673263181174E-38</v>
      </c>
    </row>
    <row r="10379" spans="1:5" x14ac:dyDescent="0.25">
      <c r="A10379">
        <v>13</v>
      </c>
      <c r="B10379">
        <v>2</v>
      </c>
      <c r="C10379">
        <v>12</v>
      </c>
      <c r="D10379">
        <v>21</v>
      </c>
      <c r="E10379">
        <f t="shared" si="161"/>
        <v>1.27726663263734E-36</v>
      </c>
    </row>
    <row r="10380" spans="1:5" x14ac:dyDescent="0.25">
      <c r="A10380">
        <v>13</v>
      </c>
      <c r="B10380">
        <v>2</v>
      </c>
      <c r="C10380">
        <v>13</v>
      </c>
      <c r="D10380">
        <v>20</v>
      </c>
      <c r="E10380">
        <f t="shared" si="161"/>
        <v>2.1870734801928608E-35</v>
      </c>
    </row>
    <row r="10381" spans="1:5" x14ac:dyDescent="0.25">
      <c r="A10381">
        <v>13</v>
      </c>
      <c r="B10381">
        <v>2</v>
      </c>
      <c r="C10381">
        <v>14</v>
      </c>
      <c r="D10381">
        <v>19</v>
      </c>
      <c r="E10381">
        <f t="shared" si="161"/>
        <v>2.7078052611911618E-34</v>
      </c>
    </row>
    <row r="10382" spans="1:5" x14ac:dyDescent="0.25">
      <c r="A10382">
        <v>13</v>
      </c>
      <c r="B10382">
        <v>2</v>
      </c>
      <c r="C10382">
        <v>15</v>
      </c>
      <c r="D10382">
        <v>18</v>
      </c>
      <c r="E10382">
        <f t="shared" ref="E10382:E10445" si="162">COMBIN(A$4,A10382)*COMBIN(B$4,B10382)*COMBIN(C$4,C10382)*COMBIN(D$4,D10382)/COMBIN($G$4,$F$4)</f>
        <v>2.4989174267564149E-33</v>
      </c>
    </row>
    <row r="10383" spans="1:5" x14ac:dyDescent="0.25">
      <c r="A10383">
        <v>13</v>
      </c>
      <c r="B10383">
        <v>2</v>
      </c>
      <c r="C10383">
        <v>16</v>
      </c>
      <c r="D10383">
        <v>17</v>
      </c>
      <c r="E10383">
        <f t="shared" si="162"/>
        <v>1.757051315688104E-32</v>
      </c>
    </row>
    <row r="10384" spans="1:5" x14ac:dyDescent="0.25">
      <c r="A10384">
        <v>13</v>
      </c>
      <c r="B10384">
        <v>2</v>
      </c>
      <c r="C10384">
        <v>17</v>
      </c>
      <c r="D10384">
        <v>16</v>
      </c>
      <c r="E10384">
        <f t="shared" si="162"/>
        <v>9.5661682743019043E-32</v>
      </c>
    </row>
    <row r="10385" spans="1:5" x14ac:dyDescent="0.25">
      <c r="A10385">
        <v>13</v>
      </c>
      <c r="B10385">
        <v>2</v>
      </c>
      <c r="C10385">
        <v>18</v>
      </c>
      <c r="D10385">
        <v>15</v>
      </c>
      <c r="E10385">
        <f t="shared" si="162"/>
        <v>4.0815651303688078E-31</v>
      </c>
    </row>
    <row r="10386" spans="1:5" x14ac:dyDescent="0.25">
      <c r="A10386">
        <v>13</v>
      </c>
      <c r="B10386">
        <v>2</v>
      </c>
      <c r="C10386">
        <v>19</v>
      </c>
      <c r="D10386">
        <v>14</v>
      </c>
      <c r="E10386">
        <f t="shared" si="162"/>
        <v>1.3767958932583785E-30</v>
      </c>
    </row>
    <row r="10387" spans="1:5" x14ac:dyDescent="0.25">
      <c r="A10387">
        <v>13</v>
      </c>
      <c r="B10387">
        <v>2</v>
      </c>
      <c r="C10387">
        <v>20</v>
      </c>
      <c r="D10387">
        <v>13</v>
      </c>
      <c r="E10387">
        <f t="shared" si="162"/>
        <v>3.6944023135766529E-30</v>
      </c>
    </row>
    <row r="10388" spans="1:5" x14ac:dyDescent="0.25">
      <c r="A10388">
        <v>13</v>
      </c>
      <c r="B10388">
        <v>2</v>
      </c>
      <c r="C10388">
        <v>21</v>
      </c>
      <c r="D10388">
        <v>12</v>
      </c>
      <c r="E10388">
        <f t="shared" si="162"/>
        <v>7.9165763862356757E-30</v>
      </c>
    </row>
    <row r="10389" spans="1:5" x14ac:dyDescent="0.25">
      <c r="A10389">
        <v>13</v>
      </c>
      <c r="B10389">
        <v>2</v>
      </c>
      <c r="C10389">
        <v>22</v>
      </c>
      <c r="D10389">
        <v>11</v>
      </c>
      <c r="E10389">
        <f t="shared" si="162"/>
        <v>1.357127380497545E-29</v>
      </c>
    </row>
    <row r="10390" spans="1:5" x14ac:dyDescent="0.25">
      <c r="A10390">
        <v>13</v>
      </c>
      <c r="B10390">
        <v>2</v>
      </c>
      <c r="C10390">
        <v>23</v>
      </c>
      <c r="D10390">
        <v>10</v>
      </c>
      <c r="E10390">
        <f t="shared" si="162"/>
        <v>1.8606413071748941E-29</v>
      </c>
    </row>
    <row r="10391" spans="1:5" x14ac:dyDescent="0.25">
      <c r="A10391">
        <v>13</v>
      </c>
      <c r="B10391">
        <v>2</v>
      </c>
      <c r="C10391">
        <v>24</v>
      </c>
      <c r="D10391">
        <v>9</v>
      </c>
      <c r="E10391">
        <f t="shared" si="162"/>
        <v>2.035076429722541E-29</v>
      </c>
    </row>
    <row r="10392" spans="1:5" x14ac:dyDescent="0.25">
      <c r="A10392">
        <v>13</v>
      </c>
      <c r="B10392">
        <v>2</v>
      </c>
      <c r="C10392">
        <v>25</v>
      </c>
      <c r="D10392">
        <v>8</v>
      </c>
      <c r="E10392">
        <f t="shared" si="162"/>
        <v>1.7669251825120419E-29</v>
      </c>
    </row>
    <row r="10393" spans="1:5" x14ac:dyDescent="0.25">
      <c r="A10393">
        <v>13</v>
      </c>
      <c r="B10393">
        <v>2</v>
      </c>
      <c r="C10393">
        <v>26</v>
      </c>
      <c r="D10393">
        <v>7</v>
      </c>
      <c r="E10393">
        <f t="shared" si="162"/>
        <v>1.2081539709484042E-29</v>
      </c>
    </row>
    <row r="10394" spans="1:5" x14ac:dyDescent="0.25">
      <c r="A10394">
        <v>13</v>
      </c>
      <c r="B10394">
        <v>2</v>
      </c>
      <c r="C10394">
        <v>27</v>
      </c>
      <c r="D10394">
        <v>6</v>
      </c>
      <c r="E10394">
        <f t="shared" si="162"/>
        <v>6.4293573892575877E-30</v>
      </c>
    </row>
    <row r="10395" spans="1:5" x14ac:dyDescent="0.25">
      <c r="A10395">
        <v>13</v>
      </c>
      <c r="B10395">
        <v>2</v>
      </c>
      <c r="C10395">
        <v>28</v>
      </c>
      <c r="D10395">
        <v>5</v>
      </c>
      <c r="E10395">
        <f t="shared" si="162"/>
        <v>2.6176669370548754E-30</v>
      </c>
    </row>
    <row r="10396" spans="1:5" x14ac:dyDescent="0.25">
      <c r="A10396">
        <v>13</v>
      </c>
      <c r="B10396">
        <v>2</v>
      </c>
      <c r="C10396">
        <v>29</v>
      </c>
      <c r="D10396">
        <v>4</v>
      </c>
      <c r="E10396">
        <f t="shared" si="162"/>
        <v>7.9518617956511045E-31</v>
      </c>
    </row>
    <row r="10397" spans="1:5" x14ac:dyDescent="0.25">
      <c r="A10397">
        <v>13</v>
      </c>
      <c r="B10397">
        <v>2</v>
      </c>
      <c r="C10397">
        <v>30</v>
      </c>
      <c r="D10397">
        <v>3</v>
      </c>
      <c r="E10397">
        <f t="shared" si="162"/>
        <v>1.7349516645056948E-31</v>
      </c>
    </row>
    <row r="10398" spans="1:5" x14ac:dyDescent="0.25">
      <c r="A10398">
        <v>13</v>
      </c>
      <c r="B10398">
        <v>2</v>
      </c>
      <c r="C10398">
        <v>31</v>
      </c>
      <c r="D10398">
        <v>2</v>
      </c>
      <c r="E10398">
        <f t="shared" si="162"/>
        <v>2.5549779070560721E-32</v>
      </c>
    </row>
    <row r="10399" spans="1:5" x14ac:dyDescent="0.25">
      <c r="A10399">
        <v>13</v>
      </c>
      <c r="B10399">
        <v>2</v>
      </c>
      <c r="C10399">
        <v>32</v>
      </c>
      <c r="D10399">
        <v>1</v>
      </c>
      <c r="E10399">
        <f t="shared" si="162"/>
        <v>2.2622200218725638E-33</v>
      </c>
    </row>
    <row r="10400" spans="1:5" x14ac:dyDescent="0.25">
      <c r="A10400">
        <v>13</v>
      </c>
      <c r="B10400">
        <v>2</v>
      </c>
      <c r="C10400">
        <v>33</v>
      </c>
      <c r="D10400">
        <v>0</v>
      </c>
      <c r="E10400">
        <f t="shared" si="162"/>
        <v>9.0488800874902555E-35</v>
      </c>
    </row>
    <row r="10401" spans="1:5" x14ac:dyDescent="0.25">
      <c r="A10401">
        <v>13</v>
      </c>
      <c r="B10401">
        <v>3</v>
      </c>
      <c r="C10401">
        <v>7</v>
      </c>
      <c r="D10401">
        <v>25</v>
      </c>
      <c r="E10401">
        <f t="shared" si="162"/>
        <v>1.6695936541499887E-42</v>
      </c>
    </row>
    <row r="10402" spans="1:5" x14ac:dyDescent="0.25">
      <c r="A10402">
        <v>13</v>
      </c>
      <c r="B10402">
        <v>3</v>
      </c>
      <c r="C10402">
        <v>8</v>
      </c>
      <c r="D10402">
        <v>24</v>
      </c>
      <c r="E10402">
        <f t="shared" si="162"/>
        <v>3.026138498146855E-40</v>
      </c>
    </row>
    <row r="10403" spans="1:5" x14ac:dyDescent="0.25">
      <c r="A10403">
        <v>13</v>
      </c>
      <c r="B10403">
        <v>3</v>
      </c>
      <c r="C10403">
        <v>9</v>
      </c>
      <c r="D10403">
        <v>23</v>
      </c>
      <c r="E10403">
        <f t="shared" si="162"/>
        <v>2.2998652585916095E-38</v>
      </c>
    </row>
    <row r="10404" spans="1:5" x14ac:dyDescent="0.25">
      <c r="A10404">
        <v>13</v>
      </c>
      <c r="B10404">
        <v>3</v>
      </c>
      <c r="C10404">
        <v>10</v>
      </c>
      <c r="D10404">
        <v>22</v>
      </c>
      <c r="E10404">
        <f t="shared" si="162"/>
        <v>9.8740881768866461E-37</v>
      </c>
    </row>
    <row r="10405" spans="1:5" x14ac:dyDescent="0.25">
      <c r="A10405">
        <v>13</v>
      </c>
      <c r="B10405">
        <v>3</v>
      </c>
      <c r="C10405">
        <v>11</v>
      </c>
      <c r="D10405">
        <v>21</v>
      </c>
      <c r="E10405">
        <f t="shared" si="162"/>
        <v>2.7153742486438281E-35</v>
      </c>
    </row>
    <row r="10406" spans="1:5" x14ac:dyDescent="0.25">
      <c r="A10406">
        <v>13</v>
      </c>
      <c r="B10406">
        <v>3</v>
      </c>
      <c r="C10406">
        <v>12</v>
      </c>
      <c r="D10406">
        <v>20</v>
      </c>
      <c r="E10406">
        <f t="shared" si="162"/>
        <v>5.1320573299368308E-34</v>
      </c>
    </row>
    <row r="10407" spans="1:5" x14ac:dyDescent="0.25">
      <c r="A10407">
        <v>13</v>
      </c>
      <c r="B10407">
        <v>3</v>
      </c>
      <c r="C10407">
        <v>13</v>
      </c>
      <c r="D10407">
        <v>19</v>
      </c>
      <c r="E10407">
        <f t="shared" si="162"/>
        <v>6.9743343201705674E-33</v>
      </c>
    </row>
    <row r="10408" spans="1:5" x14ac:dyDescent="0.25">
      <c r="A10408">
        <v>13</v>
      </c>
      <c r="B10408">
        <v>3</v>
      </c>
      <c r="C10408">
        <v>14</v>
      </c>
      <c r="D10408">
        <v>18</v>
      </c>
      <c r="E10408">
        <f t="shared" si="162"/>
        <v>7.0312676615597191E-32</v>
      </c>
    </row>
    <row r="10409" spans="1:5" x14ac:dyDescent="0.25">
      <c r="A10409">
        <v>13</v>
      </c>
      <c r="B10409">
        <v>3</v>
      </c>
      <c r="C10409">
        <v>15</v>
      </c>
      <c r="D10409">
        <v>17</v>
      </c>
      <c r="E10409">
        <f t="shared" si="162"/>
        <v>5.3789197610931806E-31</v>
      </c>
    </row>
    <row r="10410" spans="1:5" x14ac:dyDescent="0.25">
      <c r="A10410">
        <v>13</v>
      </c>
      <c r="B10410">
        <v>3</v>
      </c>
      <c r="C10410">
        <v>16</v>
      </c>
      <c r="D10410">
        <v>16</v>
      </c>
      <c r="E10410">
        <f t="shared" si="162"/>
        <v>3.1750568034230587E-30</v>
      </c>
    </row>
    <row r="10411" spans="1:5" x14ac:dyDescent="0.25">
      <c r="A10411">
        <v>13</v>
      </c>
      <c r="B10411">
        <v>3</v>
      </c>
      <c r="C10411">
        <v>17</v>
      </c>
      <c r="D10411">
        <v>15</v>
      </c>
      <c r="E10411">
        <f t="shared" si="162"/>
        <v>1.4642614905198113E-29</v>
      </c>
    </row>
    <row r="10412" spans="1:5" x14ac:dyDescent="0.25">
      <c r="A10412">
        <v>13</v>
      </c>
      <c r="B10412">
        <v>3</v>
      </c>
      <c r="C10412">
        <v>18</v>
      </c>
      <c r="D10412">
        <v>14</v>
      </c>
      <c r="E10412">
        <f t="shared" si="162"/>
        <v>5.3245872382538555E-29</v>
      </c>
    </row>
    <row r="10413" spans="1:5" x14ac:dyDescent="0.25">
      <c r="A10413">
        <v>13</v>
      </c>
      <c r="B10413">
        <v>3</v>
      </c>
      <c r="C10413">
        <v>19</v>
      </c>
      <c r="D10413">
        <v>13</v>
      </c>
      <c r="E10413">
        <f t="shared" si="162"/>
        <v>1.5366571941978241E-28</v>
      </c>
    </row>
    <row r="10414" spans="1:5" x14ac:dyDescent="0.25">
      <c r="A10414">
        <v>13</v>
      </c>
      <c r="B10414">
        <v>3</v>
      </c>
      <c r="C10414">
        <v>20</v>
      </c>
      <c r="D10414">
        <v>12</v>
      </c>
      <c r="E10414">
        <f t="shared" si="162"/>
        <v>3.5343115466549981E-28</v>
      </c>
    </row>
    <row r="10415" spans="1:5" x14ac:dyDescent="0.25">
      <c r="A10415">
        <v>13</v>
      </c>
      <c r="B10415">
        <v>3</v>
      </c>
      <c r="C10415">
        <v>21</v>
      </c>
      <c r="D10415">
        <v>11</v>
      </c>
      <c r="E10415">
        <f t="shared" si="162"/>
        <v>6.4915926367132537E-28</v>
      </c>
    </row>
    <row r="10416" spans="1:5" x14ac:dyDescent="0.25">
      <c r="A10416">
        <v>13</v>
      </c>
      <c r="B10416">
        <v>3</v>
      </c>
      <c r="C10416">
        <v>22</v>
      </c>
      <c r="D10416">
        <v>10</v>
      </c>
      <c r="E10416">
        <f t="shared" si="162"/>
        <v>9.5210025338461094E-28</v>
      </c>
    </row>
    <row r="10417" spans="1:5" x14ac:dyDescent="0.25">
      <c r="A10417">
        <v>13</v>
      </c>
      <c r="B10417">
        <v>3</v>
      </c>
      <c r="C10417">
        <v>23</v>
      </c>
      <c r="D10417">
        <v>9</v>
      </c>
      <c r="E10417">
        <f t="shared" si="162"/>
        <v>1.1125084482483223E-27</v>
      </c>
    </row>
    <row r="10418" spans="1:5" x14ac:dyDescent="0.25">
      <c r="A10418">
        <v>13</v>
      </c>
      <c r="B10418">
        <v>3</v>
      </c>
      <c r="C10418">
        <v>24</v>
      </c>
      <c r="D10418">
        <v>8</v>
      </c>
      <c r="E10418">
        <f t="shared" si="162"/>
        <v>1.0307063564653576E-27</v>
      </c>
    </row>
    <row r="10419" spans="1:5" x14ac:dyDescent="0.25">
      <c r="A10419">
        <v>13</v>
      </c>
      <c r="B10419">
        <v>3</v>
      </c>
      <c r="C10419">
        <v>25</v>
      </c>
      <c r="D10419">
        <v>7</v>
      </c>
      <c r="E10419">
        <f t="shared" si="162"/>
        <v>7.512704109347499E-28</v>
      </c>
    </row>
    <row r="10420" spans="1:5" x14ac:dyDescent="0.25">
      <c r="A10420">
        <v>13</v>
      </c>
      <c r="B10420">
        <v>3</v>
      </c>
      <c r="C10420">
        <v>26</v>
      </c>
      <c r="D10420">
        <v>6</v>
      </c>
      <c r="E10420">
        <f t="shared" si="162"/>
        <v>4.2582128555006027E-28</v>
      </c>
    </row>
    <row r="10421" spans="1:5" x14ac:dyDescent="0.25">
      <c r="A10421">
        <v>13</v>
      </c>
      <c r="B10421">
        <v>3</v>
      </c>
      <c r="C10421">
        <v>27</v>
      </c>
      <c r="D10421">
        <v>5</v>
      </c>
      <c r="E10421">
        <f t="shared" si="162"/>
        <v>1.8452255707169277E-28</v>
      </c>
    </row>
    <row r="10422" spans="1:5" x14ac:dyDescent="0.25">
      <c r="A10422">
        <v>13</v>
      </c>
      <c r="B10422">
        <v>3</v>
      </c>
      <c r="C10422">
        <v>28</v>
      </c>
      <c r="D10422">
        <v>4</v>
      </c>
      <c r="E10422">
        <f t="shared" si="162"/>
        <v>5.9624635788472186E-29</v>
      </c>
    </row>
    <row r="10423" spans="1:5" x14ac:dyDescent="0.25">
      <c r="A10423">
        <v>13</v>
      </c>
      <c r="B10423">
        <v>3</v>
      </c>
      <c r="C10423">
        <v>29</v>
      </c>
      <c r="D10423">
        <v>3</v>
      </c>
      <c r="E10423">
        <f t="shared" si="162"/>
        <v>1.3831420214253735E-29</v>
      </c>
    </row>
    <row r="10424" spans="1:5" x14ac:dyDescent="0.25">
      <c r="A10424">
        <v>13</v>
      </c>
      <c r="B10424">
        <v>3</v>
      </c>
      <c r="C10424">
        <v>30</v>
      </c>
      <c r="D10424">
        <v>2</v>
      </c>
      <c r="E10424">
        <f t="shared" si="162"/>
        <v>2.164917946578845E-30</v>
      </c>
    </row>
    <row r="10425" spans="1:5" x14ac:dyDescent="0.25">
      <c r="A10425">
        <v>13</v>
      </c>
      <c r="B10425">
        <v>3</v>
      </c>
      <c r="C10425">
        <v>31</v>
      </c>
      <c r="D10425">
        <v>1</v>
      </c>
      <c r="E10425">
        <f t="shared" si="162"/>
        <v>2.0368851647919241E-31</v>
      </c>
    </row>
    <row r="10426" spans="1:5" x14ac:dyDescent="0.25">
      <c r="A10426">
        <v>13</v>
      </c>
      <c r="B10426">
        <v>3</v>
      </c>
      <c r="C10426">
        <v>32</v>
      </c>
      <c r="D10426">
        <v>0</v>
      </c>
      <c r="E10426">
        <f t="shared" si="162"/>
        <v>8.656761950365676E-33</v>
      </c>
    </row>
    <row r="10427" spans="1:5" x14ac:dyDescent="0.25">
      <c r="A10427">
        <v>13</v>
      </c>
      <c r="B10427">
        <v>4</v>
      </c>
      <c r="C10427">
        <v>6</v>
      </c>
      <c r="D10427">
        <v>25</v>
      </c>
      <c r="E10427">
        <f t="shared" si="162"/>
        <v>1.416324786274694E-41</v>
      </c>
    </row>
    <row r="10428" spans="1:5" x14ac:dyDescent="0.25">
      <c r="A10428">
        <v>13</v>
      </c>
      <c r="B10428">
        <v>4</v>
      </c>
      <c r="C10428">
        <v>7</v>
      </c>
      <c r="D10428">
        <v>24</v>
      </c>
      <c r="E10428">
        <f t="shared" si="162"/>
        <v>2.9843986567931052E-39</v>
      </c>
    </row>
    <row r="10429" spans="1:5" x14ac:dyDescent="0.25">
      <c r="A10429">
        <v>13</v>
      </c>
      <c r="B10429">
        <v>4</v>
      </c>
      <c r="C10429">
        <v>8</v>
      </c>
      <c r="D10429">
        <v>23</v>
      </c>
      <c r="E10429">
        <f t="shared" si="162"/>
        <v>2.5964268314100019E-37</v>
      </c>
    </row>
    <row r="10430" spans="1:5" x14ac:dyDescent="0.25">
      <c r="A10430">
        <v>13</v>
      </c>
      <c r="B10430">
        <v>4</v>
      </c>
      <c r="C10430">
        <v>9</v>
      </c>
      <c r="D10430">
        <v>22</v>
      </c>
      <c r="E10430">
        <f t="shared" si="162"/>
        <v>1.2607094725846339E-35</v>
      </c>
    </row>
    <row r="10431" spans="1:5" x14ac:dyDescent="0.25">
      <c r="A10431">
        <v>13</v>
      </c>
      <c r="B10431">
        <v>4</v>
      </c>
      <c r="C10431">
        <v>10</v>
      </c>
      <c r="D10431">
        <v>21</v>
      </c>
      <c r="E10431">
        <f t="shared" si="162"/>
        <v>3.8829851755606741E-34</v>
      </c>
    </row>
    <row r="10432" spans="1:5" x14ac:dyDescent="0.25">
      <c r="A10432">
        <v>13</v>
      </c>
      <c r="B10432">
        <v>4</v>
      </c>
      <c r="C10432">
        <v>11</v>
      </c>
      <c r="D10432">
        <v>20</v>
      </c>
      <c r="E10432">
        <f t="shared" si="162"/>
        <v>8.154268868677414E-33</v>
      </c>
    </row>
    <row r="10433" spans="1:5" x14ac:dyDescent="0.25">
      <c r="A10433">
        <v>13</v>
      </c>
      <c r="B10433">
        <v>4</v>
      </c>
      <c r="C10433">
        <v>12</v>
      </c>
      <c r="D10433">
        <v>19</v>
      </c>
      <c r="E10433">
        <f t="shared" si="162"/>
        <v>1.2231403303016112E-31</v>
      </c>
    </row>
    <row r="10434" spans="1:5" x14ac:dyDescent="0.25">
      <c r="A10434">
        <v>13</v>
      </c>
      <c r="B10434">
        <v>4</v>
      </c>
      <c r="C10434">
        <v>13</v>
      </c>
      <c r="D10434">
        <v>18</v>
      </c>
      <c r="E10434">
        <f t="shared" si="162"/>
        <v>1.3535190248502457E-30</v>
      </c>
    </row>
    <row r="10435" spans="1:5" x14ac:dyDescent="0.25">
      <c r="A10435">
        <v>13</v>
      </c>
      <c r="B10435">
        <v>4</v>
      </c>
      <c r="C10435">
        <v>14</v>
      </c>
      <c r="D10435">
        <v>17</v>
      </c>
      <c r="E10435">
        <f t="shared" si="162"/>
        <v>1.1311551850534196E-29</v>
      </c>
    </row>
    <row r="10436" spans="1:5" x14ac:dyDescent="0.25">
      <c r="A10436">
        <v>13</v>
      </c>
      <c r="B10436">
        <v>4</v>
      </c>
      <c r="C10436">
        <v>15</v>
      </c>
      <c r="D10436">
        <v>16</v>
      </c>
      <c r="E10436">
        <f t="shared" si="162"/>
        <v>7.2645299662319583E-29</v>
      </c>
    </row>
    <row r="10437" spans="1:5" x14ac:dyDescent="0.25">
      <c r="A10437">
        <v>13</v>
      </c>
      <c r="B10437">
        <v>4</v>
      </c>
      <c r="C10437">
        <v>16</v>
      </c>
      <c r="D10437">
        <v>15</v>
      </c>
      <c r="E10437">
        <f t="shared" si="162"/>
        <v>3.6322649831159793E-28</v>
      </c>
    </row>
    <row r="10438" spans="1:5" x14ac:dyDescent="0.25">
      <c r="A10438">
        <v>13</v>
      </c>
      <c r="B10438">
        <v>4</v>
      </c>
      <c r="C10438">
        <v>17</v>
      </c>
      <c r="D10438">
        <v>14</v>
      </c>
      <c r="E10438">
        <f t="shared" si="162"/>
        <v>1.4276549532568163E-27</v>
      </c>
    </row>
    <row r="10439" spans="1:5" x14ac:dyDescent="0.25">
      <c r="A10439">
        <v>13</v>
      </c>
      <c r="B10439">
        <v>4</v>
      </c>
      <c r="C10439">
        <v>18</v>
      </c>
      <c r="D10439">
        <v>13</v>
      </c>
      <c r="E10439">
        <f t="shared" si="162"/>
        <v>4.4415931879100918E-27</v>
      </c>
    </row>
    <row r="10440" spans="1:5" x14ac:dyDescent="0.25">
      <c r="A10440">
        <v>13</v>
      </c>
      <c r="B10440">
        <v>4</v>
      </c>
      <c r="C10440">
        <v>19</v>
      </c>
      <c r="D10440">
        <v>12</v>
      </c>
      <c r="E10440">
        <f t="shared" si="162"/>
        <v>1.0987098938514443E-26</v>
      </c>
    </row>
    <row r="10441" spans="1:5" x14ac:dyDescent="0.25">
      <c r="A10441">
        <v>13</v>
      </c>
      <c r="B10441">
        <v>4</v>
      </c>
      <c r="C10441">
        <v>20</v>
      </c>
      <c r="D10441">
        <v>11</v>
      </c>
      <c r="E10441">
        <f t="shared" si="162"/>
        <v>2.1660280764499915E-26</v>
      </c>
    </row>
    <row r="10442" spans="1:5" x14ac:dyDescent="0.25">
      <c r="A10442">
        <v>13</v>
      </c>
      <c r="B10442">
        <v>4</v>
      </c>
      <c r="C10442">
        <v>21</v>
      </c>
      <c r="D10442">
        <v>10</v>
      </c>
      <c r="E10442">
        <f t="shared" si="162"/>
        <v>3.4037584058499818E-26</v>
      </c>
    </row>
    <row r="10443" spans="1:5" x14ac:dyDescent="0.25">
      <c r="A10443">
        <v>13</v>
      </c>
      <c r="B10443">
        <v>4</v>
      </c>
      <c r="C10443">
        <v>22</v>
      </c>
      <c r="D10443">
        <v>9</v>
      </c>
      <c r="E10443">
        <f t="shared" si="162"/>
        <v>4.2546980073124805E-26</v>
      </c>
    </row>
    <row r="10444" spans="1:5" x14ac:dyDescent="0.25">
      <c r="A10444">
        <v>13</v>
      </c>
      <c r="B10444">
        <v>4</v>
      </c>
      <c r="C10444">
        <v>23</v>
      </c>
      <c r="D10444">
        <v>8</v>
      </c>
      <c r="E10444">
        <f t="shared" si="162"/>
        <v>4.2111716849870323E-26</v>
      </c>
    </row>
    <row r="10445" spans="1:5" x14ac:dyDescent="0.25">
      <c r="A10445">
        <v>13</v>
      </c>
      <c r="B10445">
        <v>4</v>
      </c>
      <c r="C10445">
        <v>24</v>
      </c>
      <c r="D10445">
        <v>7</v>
      </c>
      <c r="E10445">
        <f t="shared" si="162"/>
        <v>3.2753557549899146E-26</v>
      </c>
    </row>
    <row r="10446" spans="1:5" x14ac:dyDescent="0.25">
      <c r="A10446">
        <v>13</v>
      </c>
      <c r="B10446">
        <v>4</v>
      </c>
      <c r="C10446">
        <v>25</v>
      </c>
      <c r="D10446">
        <v>6</v>
      </c>
      <c r="E10446">
        <f t="shared" ref="E10446:E10509" si="163">COMBIN(A$4,A10446)*COMBIN(B$4,B10446)*COMBIN(C$4,C10446)*COMBIN(D$4,D10446)/COMBIN($G$4,$F$4)</f>
        <v>1.9790044245939063E-26</v>
      </c>
    </row>
    <row r="10447" spans="1:5" x14ac:dyDescent="0.25">
      <c r="A10447">
        <v>13</v>
      </c>
      <c r="B10447">
        <v>4</v>
      </c>
      <c r="C10447">
        <v>26</v>
      </c>
      <c r="D10447">
        <v>5</v>
      </c>
      <c r="E10447">
        <f t="shared" si="163"/>
        <v>9.1338665750487917E-27</v>
      </c>
    </row>
    <row r="10448" spans="1:5" x14ac:dyDescent="0.25">
      <c r="A10448">
        <v>13</v>
      </c>
      <c r="B10448">
        <v>4</v>
      </c>
      <c r="C10448">
        <v>27</v>
      </c>
      <c r="D10448">
        <v>4</v>
      </c>
      <c r="E10448">
        <f t="shared" si="163"/>
        <v>3.1412768644347705E-27</v>
      </c>
    </row>
    <row r="10449" spans="1:5" x14ac:dyDescent="0.25">
      <c r="A10449">
        <v>13</v>
      </c>
      <c r="B10449">
        <v>4</v>
      </c>
      <c r="C10449">
        <v>28</v>
      </c>
      <c r="D10449">
        <v>3</v>
      </c>
      <c r="E10449">
        <f t="shared" si="163"/>
        <v>7.7512026525013827E-28</v>
      </c>
    </row>
    <row r="10450" spans="1:5" x14ac:dyDescent="0.25">
      <c r="A10450">
        <v>13</v>
      </c>
      <c r="B10450">
        <v>4</v>
      </c>
      <c r="C10450">
        <v>29</v>
      </c>
      <c r="D10450">
        <v>2</v>
      </c>
      <c r="E10450">
        <f t="shared" si="163"/>
        <v>1.2899302765032289E-28</v>
      </c>
    </row>
    <row r="10451" spans="1:5" x14ac:dyDescent="0.25">
      <c r="A10451">
        <v>13</v>
      </c>
      <c r="B10451">
        <v>4</v>
      </c>
      <c r="C10451">
        <v>30</v>
      </c>
      <c r="D10451">
        <v>1</v>
      </c>
      <c r="E10451">
        <f t="shared" si="163"/>
        <v>1.2899302765032287E-29</v>
      </c>
    </row>
    <row r="10452" spans="1:5" x14ac:dyDescent="0.25">
      <c r="A10452">
        <v>13</v>
      </c>
      <c r="B10452">
        <v>4</v>
      </c>
      <c r="C10452">
        <v>31</v>
      </c>
      <c r="D10452">
        <v>0</v>
      </c>
      <c r="E10452">
        <f t="shared" si="163"/>
        <v>5.8254915713049042E-31</v>
      </c>
    </row>
    <row r="10453" spans="1:5" x14ac:dyDescent="0.25">
      <c r="A10453">
        <v>13</v>
      </c>
      <c r="B10453">
        <v>5</v>
      </c>
      <c r="C10453">
        <v>5</v>
      </c>
      <c r="D10453">
        <v>25</v>
      </c>
      <c r="E10453">
        <f t="shared" si="163"/>
        <v>8.0730512817657555E-41</v>
      </c>
    </row>
    <row r="10454" spans="1:5" x14ac:dyDescent="0.25">
      <c r="A10454">
        <v>13</v>
      </c>
      <c r="B10454">
        <v>5</v>
      </c>
      <c r="C10454">
        <v>6</v>
      </c>
      <c r="D10454">
        <v>24</v>
      </c>
      <c r="E10454">
        <f t="shared" si="163"/>
        <v>2.0182628204414389E-38</v>
      </c>
    </row>
    <row r="10455" spans="1:5" x14ac:dyDescent="0.25">
      <c r="A10455">
        <v>13</v>
      </c>
      <c r="B10455">
        <v>5</v>
      </c>
      <c r="C10455">
        <v>7</v>
      </c>
      <c r="D10455">
        <v>23</v>
      </c>
      <c r="E10455">
        <f t="shared" si="163"/>
        <v>2.0413286812464839E-36</v>
      </c>
    </row>
    <row r="10456" spans="1:5" x14ac:dyDescent="0.25">
      <c r="A10456">
        <v>13</v>
      </c>
      <c r="B10456">
        <v>5</v>
      </c>
      <c r="C10456">
        <v>8</v>
      </c>
      <c r="D10456">
        <v>22</v>
      </c>
      <c r="E10456">
        <f t="shared" si="163"/>
        <v>1.1346385253261709E-34</v>
      </c>
    </row>
    <row r="10457" spans="1:5" x14ac:dyDescent="0.25">
      <c r="A10457">
        <v>13</v>
      </c>
      <c r="B10457">
        <v>5</v>
      </c>
      <c r="C10457">
        <v>9</v>
      </c>
      <c r="D10457">
        <v>21</v>
      </c>
      <c r="E10457">
        <f t="shared" si="163"/>
        <v>3.9523241965528277E-33</v>
      </c>
    </row>
    <row r="10458" spans="1:5" x14ac:dyDescent="0.25">
      <c r="A10458">
        <v>13</v>
      </c>
      <c r="B10458">
        <v>5</v>
      </c>
      <c r="C10458">
        <v>10</v>
      </c>
      <c r="D10458">
        <v>20</v>
      </c>
      <c r="E10458">
        <f t="shared" si="163"/>
        <v>9.2958665102922502E-32</v>
      </c>
    </row>
    <row r="10459" spans="1:5" x14ac:dyDescent="0.25">
      <c r="A10459">
        <v>13</v>
      </c>
      <c r="B10459">
        <v>5</v>
      </c>
      <c r="C10459">
        <v>11</v>
      </c>
      <c r="D10459">
        <v>19</v>
      </c>
      <c r="E10459">
        <f t="shared" si="163"/>
        <v>1.5493110850487084E-30</v>
      </c>
    </row>
    <row r="10460" spans="1:5" x14ac:dyDescent="0.25">
      <c r="A10460">
        <v>13</v>
      </c>
      <c r="B10460">
        <v>5</v>
      </c>
      <c r="C10460">
        <v>12</v>
      </c>
      <c r="D10460">
        <v>18</v>
      </c>
      <c r="E10460">
        <f t="shared" si="163"/>
        <v>1.8923728253094936E-29</v>
      </c>
    </row>
    <row r="10461" spans="1:5" x14ac:dyDescent="0.25">
      <c r="A10461">
        <v>13</v>
      </c>
      <c r="B10461">
        <v>5</v>
      </c>
      <c r="C10461">
        <v>13</v>
      </c>
      <c r="D10461">
        <v>17</v>
      </c>
      <c r="E10461">
        <f t="shared" si="163"/>
        <v>1.7358881493704396E-28</v>
      </c>
    </row>
    <row r="10462" spans="1:5" x14ac:dyDescent="0.25">
      <c r="A10462">
        <v>13</v>
      </c>
      <c r="B10462">
        <v>5</v>
      </c>
      <c r="C10462">
        <v>14</v>
      </c>
      <c r="D10462">
        <v>16</v>
      </c>
      <c r="E10462">
        <f t="shared" si="163"/>
        <v>1.2178770825741816E-27</v>
      </c>
    </row>
    <row r="10463" spans="1:5" x14ac:dyDescent="0.25">
      <c r="A10463">
        <v>13</v>
      </c>
      <c r="B10463">
        <v>5</v>
      </c>
      <c r="C10463">
        <v>15</v>
      </c>
      <c r="D10463">
        <v>15</v>
      </c>
      <c r="E10463">
        <f t="shared" si="163"/>
        <v>6.6252513292035453E-27</v>
      </c>
    </row>
    <row r="10464" spans="1:5" x14ac:dyDescent="0.25">
      <c r="A10464">
        <v>13</v>
      </c>
      <c r="B10464">
        <v>5</v>
      </c>
      <c r="C10464">
        <v>16</v>
      </c>
      <c r="D10464">
        <v>14</v>
      </c>
      <c r="E10464">
        <f t="shared" si="163"/>
        <v>2.8232605096037843E-26</v>
      </c>
    </row>
    <row r="10465" spans="1:5" x14ac:dyDescent="0.25">
      <c r="A10465">
        <v>13</v>
      </c>
      <c r="B10465">
        <v>5</v>
      </c>
      <c r="C10465">
        <v>17</v>
      </c>
      <c r="D10465">
        <v>13</v>
      </c>
      <c r="E10465">
        <f t="shared" si="163"/>
        <v>9.4939054391578309E-26</v>
      </c>
    </row>
    <row r="10466" spans="1:5" x14ac:dyDescent="0.25">
      <c r="A10466">
        <v>13</v>
      </c>
      <c r="B10466">
        <v>5</v>
      </c>
      <c r="C10466">
        <v>18</v>
      </c>
      <c r="D10466">
        <v>12</v>
      </c>
      <c r="E10466">
        <f t="shared" si="163"/>
        <v>2.531708117108752E-25</v>
      </c>
    </row>
    <row r="10467" spans="1:5" x14ac:dyDescent="0.25">
      <c r="A10467">
        <v>13</v>
      </c>
      <c r="B10467">
        <v>5</v>
      </c>
      <c r="C10467">
        <v>19</v>
      </c>
      <c r="D10467">
        <v>11</v>
      </c>
      <c r="E10467">
        <f t="shared" si="163"/>
        <v>5.3679826242456258E-25</v>
      </c>
    </row>
    <row r="10468" spans="1:5" x14ac:dyDescent="0.25">
      <c r="A10468">
        <v>13</v>
      </c>
      <c r="B10468">
        <v>5</v>
      </c>
      <c r="C10468">
        <v>20</v>
      </c>
      <c r="D10468">
        <v>10</v>
      </c>
      <c r="E10468">
        <f t="shared" si="163"/>
        <v>9.0539973595609619E-25</v>
      </c>
    </row>
    <row r="10469" spans="1:5" x14ac:dyDescent="0.25">
      <c r="A10469">
        <v>13</v>
      </c>
      <c r="B10469">
        <v>5</v>
      </c>
      <c r="C10469">
        <v>21</v>
      </c>
      <c r="D10469">
        <v>9</v>
      </c>
      <c r="E10469">
        <f t="shared" si="163"/>
        <v>1.2125889320840562E-24</v>
      </c>
    </row>
    <row r="10470" spans="1:5" x14ac:dyDescent="0.25">
      <c r="A10470">
        <v>13</v>
      </c>
      <c r="B10470">
        <v>5</v>
      </c>
      <c r="C10470">
        <v>22</v>
      </c>
      <c r="D10470">
        <v>8</v>
      </c>
      <c r="E10470">
        <f t="shared" si="163"/>
        <v>1.2839176927948837E-24</v>
      </c>
    </row>
    <row r="10471" spans="1:5" x14ac:dyDescent="0.25">
      <c r="A10471">
        <v>13</v>
      </c>
      <c r="B10471">
        <v>5</v>
      </c>
      <c r="C10471">
        <v>23</v>
      </c>
      <c r="D10471">
        <v>7</v>
      </c>
      <c r="E10471">
        <f t="shared" si="163"/>
        <v>1.0668301601967152E-24</v>
      </c>
    </row>
    <row r="10472" spans="1:5" x14ac:dyDescent="0.25">
      <c r="A10472">
        <v>13</v>
      </c>
      <c r="B10472">
        <v>5</v>
      </c>
      <c r="C10472">
        <v>24</v>
      </c>
      <c r="D10472">
        <v>6</v>
      </c>
      <c r="E10472">
        <f t="shared" si="163"/>
        <v>6.878247085478818E-25</v>
      </c>
    </row>
    <row r="10473" spans="1:5" x14ac:dyDescent="0.25">
      <c r="A10473">
        <v>13</v>
      </c>
      <c r="B10473">
        <v>5</v>
      </c>
      <c r="C10473">
        <v>25</v>
      </c>
      <c r="D10473">
        <v>5</v>
      </c>
      <c r="E10473">
        <f t="shared" si="163"/>
        <v>3.3840975660555801E-25</v>
      </c>
    </row>
    <row r="10474" spans="1:5" x14ac:dyDescent="0.25">
      <c r="A10474">
        <v>13</v>
      </c>
      <c r="B10474">
        <v>5</v>
      </c>
      <c r="C10474">
        <v>26</v>
      </c>
      <c r="D10474">
        <v>4</v>
      </c>
      <c r="E10474">
        <f t="shared" si="163"/>
        <v>1.2395961780423363E-25</v>
      </c>
    </row>
    <row r="10475" spans="1:5" x14ac:dyDescent="0.25">
      <c r="A10475">
        <v>13</v>
      </c>
      <c r="B10475">
        <v>5</v>
      </c>
      <c r="C10475">
        <v>27</v>
      </c>
      <c r="D10475">
        <v>3</v>
      </c>
      <c r="E10475">
        <f t="shared" si="163"/>
        <v>3.2555051140505803E-26</v>
      </c>
    </row>
    <row r="10476" spans="1:5" x14ac:dyDescent="0.25">
      <c r="A10476">
        <v>13</v>
      </c>
      <c r="B10476">
        <v>5</v>
      </c>
      <c r="C10476">
        <v>28</v>
      </c>
      <c r="D10476">
        <v>2</v>
      </c>
      <c r="E10476">
        <f t="shared" si="163"/>
        <v>5.7628506677292886E-27</v>
      </c>
    </row>
    <row r="10477" spans="1:5" x14ac:dyDescent="0.25">
      <c r="A10477">
        <v>13</v>
      </c>
      <c r="B10477">
        <v>5</v>
      </c>
      <c r="C10477">
        <v>29</v>
      </c>
      <c r="D10477">
        <v>1</v>
      </c>
      <c r="E10477">
        <f t="shared" si="163"/>
        <v>6.1271688133903364E-28</v>
      </c>
    </row>
    <row r="10478" spans="1:5" x14ac:dyDescent="0.25">
      <c r="A10478">
        <v>13</v>
      </c>
      <c r="B10478">
        <v>5</v>
      </c>
      <c r="C10478">
        <v>30</v>
      </c>
      <c r="D10478">
        <v>0</v>
      </c>
      <c r="E10478">
        <f t="shared" si="163"/>
        <v>2.9410410304273609E-29</v>
      </c>
    </row>
    <row r="10479" spans="1:5" x14ac:dyDescent="0.25">
      <c r="A10479">
        <v>13</v>
      </c>
      <c r="B10479">
        <v>6</v>
      </c>
      <c r="C10479">
        <v>4</v>
      </c>
      <c r="D10479">
        <v>25</v>
      </c>
      <c r="E10479">
        <f t="shared" si="163"/>
        <v>3.1321674371878069E-40</v>
      </c>
    </row>
    <row r="10480" spans="1:5" x14ac:dyDescent="0.25">
      <c r="A10480">
        <v>13</v>
      </c>
      <c r="B10480">
        <v>6</v>
      </c>
      <c r="C10480">
        <v>5</v>
      </c>
      <c r="D10480">
        <v>24</v>
      </c>
      <c r="E10480">
        <f t="shared" si="163"/>
        <v>9.5531106834228103E-38</v>
      </c>
    </row>
    <row r="10481" spans="1:5" x14ac:dyDescent="0.25">
      <c r="A10481">
        <v>13</v>
      </c>
      <c r="B10481">
        <v>6</v>
      </c>
      <c r="C10481">
        <v>6</v>
      </c>
      <c r="D10481">
        <v>23</v>
      </c>
      <c r="E10481">
        <f t="shared" si="163"/>
        <v>1.1463732820107371E-35</v>
      </c>
    </row>
    <row r="10482" spans="1:5" x14ac:dyDescent="0.25">
      <c r="A10482">
        <v>13</v>
      </c>
      <c r="B10482">
        <v>6</v>
      </c>
      <c r="C10482">
        <v>7</v>
      </c>
      <c r="D10482">
        <v>22</v>
      </c>
      <c r="E10482">
        <f t="shared" si="163"/>
        <v>7.4077549699455732E-34</v>
      </c>
    </row>
    <row r="10483" spans="1:5" x14ac:dyDescent="0.25">
      <c r="A10483">
        <v>13</v>
      </c>
      <c r="B10483">
        <v>6</v>
      </c>
      <c r="C10483">
        <v>8</v>
      </c>
      <c r="D10483">
        <v>21</v>
      </c>
      <c r="E10483">
        <f t="shared" si="163"/>
        <v>2.9538422942657985E-32</v>
      </c>
    </row>
    <row r="10484" spans="1:5" x14ac:dyDescent="0.25">
      <c r="A10484">
        <v>13</v>
      </c>
      <c r="B10484">
        <v>6</v>
      </c>
      <c r="C10484">
        <v>9</v>
      </c>
      <c r="D10484">
        <v>20</v>
      </c>
      <c r="E10484">
        <f t="shared" si="163"/>
        <v>7.8572205027470199E-31</v>
      </c>
    </row>
    <row r="10485" spans="1:5" x14ac:dyDescent="0.25">
      <c r="A10485">
        <v>13</v>
      </c>
      <c r="B10485">
        <v>6</v>
      </c>
      <c r="C10485">
        <v>10</v>
      </c>
      <c r="D10485">
        <v>19</v>
      </c>
      <c r="E10485">
        <f t="shared" si="163"/>
        <v>1.4666811605127772E-29</v>
      </c>
    </row>
    <row r="10486" spans="1:5" x14ac:dyDescent="0.25">
      <c r="A10486">
        <v>13</v>
      </c>
      <c r="B10486">
        <v>6</v>
      </c>
      <c r="C10486">
        <v>11</v>
      </c>
      <c r="D10486">
        <v>18</v>
      </c>
      <c r="E10486">
        <f t="shared" si="163"/>
        <v>1.9904958606959129E-28</v>
      </c>
    </row>
    <row r="10487" spans="1:5" x14ac:dyDescent="0.25">
      <c r="A10487">
        <v>13</v>
      </c>
      <c r="B10487">
        <v>6</v>
      </c>
      <c r="C10487">
        <v>12</v>
      </c>
      <c r="D10487">
        <v>17</v>
      </c>
      <c r="E10487">
        <f t="shared" si="163"/>
        <v>2.0153770589546102E-27</v>
      </c>
    </row>
    <row r="10488" spans="1:5" x14ac:dyDescent="0.25">
      <c r="A10488">
        <v>13</v>
      </c>
      <c r="B10488">
        <v>6</v>
      </c>
      <c r="C10488">
        <v>13</v>
      </c>
      <c r="D10488">
        <v>16</v>
      </c>
      <c r="E10488">
        <f t="shared" si="163"/>
        <v>1.5520125898445339E-26</v>
      </c>
    </row>
    <row r="10489" spans="1:5" x14ac:dyDescent="0.25">
      <c r="A10489">
        <v>13</v>
      </c>
      <c r="B10489">
        <v>6</v>
      </c>
      <c r="C10489">
        <v>14</v>
      </c>
      <c r="D10489">
        <v>15</v>
      </c>
      <c r="E10489">
        <f t="shared" si="163"/>
        <v>9.2233891053618028E-26</v>
      </c>
    </row>
    <row r="10490" spans="1:5" x14ac:dyDescent="0.25">
      <c r="A10490">
        <v>13</v>
      </c>
      <c r="B10490">
        <v>6</v>
      </c>
      <c r="C10490">
        <v>15</v>
      </c>
      <c r="D10490">
        <v>14</v>
      </c>
      <c r="E10490">
        <f t="shared" si="163"/>
        <v>4.2762985852131981E-25</v>
      </c>
    </row>
    <row r="10491" spans="1:5" x14ac:dyDescent="0.25">
      <c r="A10491">
        <v>13</v>
      </c>
      <c r="B10491">
        <v>6</v>
      </c>
      <c r="C10491">
        <v>16</v>
      </c>
      <c r="D10491">
        <v>13</v>
      </c>
      <c r="E10491">
        <f t="shared" si="163"/>
        <v>1.5590671925256454E-24</v>
      </c>
    </row>
    <row r="10492" spans="1:5" x14ac:dyDescent="0.25">
      <c r="A10492">
        <v>13</v>
      </c>
      <c r="B10492">
        <v>6</v>
      </c>
      <c r="C10492">
        <v>17</v>
      </c>
      <c r="D10492">
        <v>12</v>
      </c>
      <c r="E10492">
        <f t="shared" si="163"/>
        <v>4.4937819078680399E-24</v>
      </c>
    </row>
    <row r="10493" spans="1:5" x14ac:dyDescent="0.25">
      <c r="A10493">
        <v>13</v>
      </c>
      <c r="B10493">
        <v>6</v>
      </c>
      <c r="C10493">
        <v>18</v>
      </c>
      <c r="D10493">
        <v>11</v>
      </c>
      <c r="E10493">
        <f t="shared" si="163"/>
        <v>1.0271501503698364E-23</v>
      </c>
    </row>
    <row r="10494" spans="1:5" x14ac:dyDescent="0.25">
      <c r="A10494">
        <v>13</v>
      </c>
      <c r="B10494">
        <v>6</v>
      </c>
      <c r="C10494">
        <v>19</v>
      </c>
      <c r="D10494">
        <v>10</v>
      </c>
      <c r="E10494">
        <f t="shared" si="163"/>
        <v>1.8632864131270369E-23</v>
      </c>
    </row>
    <row r="10495" spans="1:5" x14ac:dyDescent="0.25">
      <c r="A10495">
        <v>13</v>
      </c>
      <c r="B10495">
        <v>6</v>
      </c>
      <c r="C10495">
        <v>20</v>
      </c>
      <c r="D10495">
        <v>9</v>
      </c>
      <c r="E10495">
        <f t="shared" si="163"/>
        <v>2.6784742188701182E-23</v>
      </c>
    </row>
    <row r="10496" spans="1:5" x14ac:dyDescent="0.25">
      <c r="A10496">
        <v>13</v>
      </c>
      <c r="B10496">
        <v>6</v>
      </c>
      <c r="C10496">
        <v>21</v>
      </c>
      <c r="D10496">
        <v>8</v>
      </c>
      <c r="E10496">
        <f t="shared" si="163"/>
        <v>3.0386052062812229E-23</v>
      </c>
    </row>
    <row r="10497" spans="1:5" x14ac:dyDescent="0.25">
      <c r="A10497">
        <v>13</v>
      </c>
      <c r="B10497">
        <v>6</v>
      </c>
      <c r="C10497">
        <v>22</v>
      </c>
      <c r="D10497">
        <v>7</v>
      </c>
      <c r="E10497">
        <f t="shared" si="163"/>
        <v>2.700982405583312E-23</v>
      </c>
    </row>
    <row r="10498" spans="1:5" x14ac:dyDescent="0.25">
      <c r="A10498">
        <v>13</v>
      </c>
      <c r="B10498">
        <v>6</v>
      </c>
      <c r="C10498">
        <v>23</v>
      </c>
      <c r="D10498">
        <v>6</v>
      </c>
      <c r="E10498">
        <f t="shared" si="163"/>
        <v>1.8604020688342706E-23</v>
      </c>
    </row>
    <row r="10499" spans="1:5" x14ac:dyDescent="0.25">
      <c r="A10499">
        <v>13</v>
      </c>
      <c r="B10499">
        <v>6</v>
      </c>
      <c r="C10499">
        <v>24</v>
      </c>
      <c r="D10499">
        <v>5</v>
      </c>
      <c r="E10499">
        <f t="shared" si="163"/>
        <v>9.7671108613799207E-24</v>
      </c>
    </row>
    <row r="10500" spans="1:5" x14ac:dyDescent="0.25">
      <c r="A10500">
        <v>13</v>
      </c>
      <c r="B10500">
        <v>6</v>
      </c>
      <c r="C10500">
        <v>25</v>
      </c>
      <c r="D10500">
        <v>4</v>
      </c>
      <c r="E10500">
        <f t="shared" si="163"/>
        <v>3.813824241110258E-24</v>
      </c>
    </row>
    <row r="10501" spans="1:5" x14ac:dyDescent="0.25">
      <c r="A10501">
        <v>13</v>
      </c>
      <c r="B10501">
        <v>6</v>
      </c>
      <c r="C10501">
        <v>26</v>
      </c>
      <c r="D10501">
        <v>3</v>
      </c>
      <c r="E10501">
        <f t="shared" si="163"/>
        <v>1.0668039835273439E-24</v>
      </c>
    </row>
    <row r="10502" spans="1:5" x14ac:dyDescent="0.25">
      <c r="A10502">
        <v>13</v>
      </c>
      <c r="B10502">
        <v>6</v>
      </c>
      <c r="C10502">
        <v>27</v>
      </c>
      <c r="D10502">
        <v>2</v>
      </c>
      <c r="E10502">
        <f t="shared" si="163"/>
        <v>2.0099205486747057E-25</v>
      </c>
    </row>
    <row r="10503" spans="1:5" x14ac:dyDescent="0.25">
      <c r="A10503">
        <v>13</v>
      </c>
      <c r="B10503">
        <v>6</v>
      </c>
      <c r="C10503">
        <v>28</v>
      </c>
      <c r="D10503">
        <v>1</v>
      </c>
      <c r="E10503">
        <f t="shared" si="163"/>
        <v>2.2731244300487749E-26</v>
      </c>
    </row>
    <row r="10504" spans="1:5" x14ac:dyDescent="0.25">
      <c r="A10504">
        <v>13</v>
      </c>
      <c r="B10504">
        <v>6</v>
      </c>
      <c r="C10504">
        <v>29</v>
      </c>
      <c r="D10504">
        <v>0</v>
      </c>
      <c r="E10504">
        <f t="shared" si="163"/>
        <v>1.1600772953352371E-27</v>
      </c>
    </row>
    <row r="10505" spans="1:5" x14ac:dyDescent="0.25">
      <c r="A10505">
        <v>13</v>
      </c>
      <c r="B10505">
        <v>7</v>
      </c>
      <c r="C10505">
        <v>3</v>
      </c>
      <c r="D10505">
        <v>25</v>
      </c>
      <c r="E10505">
        <f t="shared" si="163"/>
        <v>8.1696164490705011E-40</v>
      </c>
    </row>
    <row r="10506" spans="1:5" x14ac:dyDescent="0.25">
      <c r="A10506">
        <v>13</v>
      </c>
      <c r="B10506">
        <v>7</v>
      </c>
      <c r="C10506">
        <v>4</v>
      </c>
      <c r="D10506">
        <v>24</v>
      </c>
      <c r="E10506">
        <f t="shared" si="163"/>
        <v>3.1657263740148195E-37</v>
      </c>
    </row>
    <row r="10507" spans="1:5" x14ac:dyDescent="0.25">
      <c r="A10507">
        <v>13</v>
      </c>
      <c r="B10507">
        <v>7</v>
      </c>
      <c r="C10507">
        <v>5</v>
      </c>
      <c r="D10507">
        <v>23</v>
      </c>
      <c r="E10507">
        <f t="shared" si="163"/>
        <v>4.634623411557696E-35</v>
      </c>
    </row>
    <row r="10508" spans="1:5" x14ac:dyDescent="0.25">
      <c r="A10508">
        <v>13</v>
      </c>
      <c r="B10508">
        <v>7</v>
      </c>
      <c r="C10508">
        <v>6</v>
      </c>
      <c r="D10508">
        <v>22</v>
      </c>
      <c r="E10508">
        <f t="shared" si="163"/>
        <v>3.5532112821942334E-33</v>
      </c>
    </row>
    <row r="10509" spans="1:5" x14ac:dyDescent="0.25">
      <c r="A10509">
        <v>13</v>
      </c>
      <c r="B10509">
        <v>7</v>
      </c>
      <c r="C10509">
        <v>7</v>
      </c>
      <c r="D10509">
        <v>21</v>
      </c>
      <c r="E10509">
        <f t="shared" si="163"/>
        <v>1.6471672301028983E-31</v>
      </c>
    </row>
    <row r="10510" spans="1:5" x14ac:dyDescent="0.25">
      <c r="A10510">
        <v>13</v>
      </c>
      <c r="B10510">
        <v>7</v>
      </c>
      <c r="C10510">
        <v>8</v>
      </c>
      <c r="D10510">
        <v>20</v>
      </c>
      <c r="E10510">
        <f t="shared" ref="E10510:E10573" si="164">COMBIN(A$4,A10510)*COMBIN(B$4,B10510)*COMBIN(C$4,C10510)*COMBIN(D$4,D10510)/COMBIN($G$4,$F$4)</f>
        <v>5.0156242156633255E-30</v>
      </c>
    </row>
    <row r="10511" spans="1:5" x14ac:dyDescent="0.25">
      <c r="A10511">
        <v>13</v>
      </c>
      <c r="B10511">
        <v>7</v>
      </c>
      <c r="C10511">
        <v>9</v>
      </c>
      <c r="D10511">
        <v>19</v>
      </c>
      <c r="E10511">
        <f t="shared" si="164"/>
        <v>1.0588540010844795E-28</v>
      </c>
    </row>
    <row r="10512" spans="1:5" x14ac:dyDescent="0.25">
      <c r="A10512">
        <v>13</v>
      </c>
      <c r="B10512">
        <v>7</v>
      </c>
      <c r="C10512">
        <v>10</v>
      </c>
      <c r="D10512">
        <v>18</v>
      </c>
      <c r="E10512">
        <f t="shared" si="164"/>
        <v>1.6094580816484099E-27</v>
      </c>
    </row>
    <row r="10513" spans="1:5" x14ac:dyDescent="0.25">
      <c r="A10513">
        <v>13</v>
      </c>
      <c r="B10513">
        <v>7</v>
      </c>
      <c r="C10513">
        <v>11</v>
      </c>
      <c r="D10513">
        <v>17</v>
      </c>
      <c r="E10513">
        <f t="shared" si="164"/>
        <v>1.8106403418544607E-26</v>
      </c>
    </row>
    <row r="10514" spans="1:5" x14ac:dyDescent="0.25">
      <c r="A10514">
        <v>13</v>
      </c>
      <c r="B10514">
        <v>7</v>
      </c>
      <c r="C10514">
        <v>12</v>
      </c>
      <c r="D10514">
        <v>16</v>
      </c>
      <c r="E10514">
        <f t="shared" si="164"/>
        <v>1.5390442905762907E-25</v>
      </c>
    </row>
    <row r="10515" spans="1:5" x14ac:dyDescent="0.25">
      <c r="A10515">
        <v>13</v>
      </c>
      <c r="B10515">
        <v>7</v>
      </c>
      <c r="C10515">
        <v>13</v>
      </c>
      <c r="D10515">
        <v>15</v>
      </c>
      <c r="E10515">
        <f t="shared" si="164"/>
        <v>1.0039304295451499E-24</v>
      </c>
    </row>
    <row r="10516" spans="1:5" x14ac:dyDescent="0.25">
      <c r="A10516">
        <v>13</v>
      </c>
      <c r="B10516">
        <v>7</v>
      </c>
      <c r="C10516">
        <v>14</v>
      </c>
      <c r="D10516">
        <v>14</v>
      </c>
      <c r="E10516">
        <f t="shared" si="164"/>
        <v>5.0848424353585524E-24</v>
      </c>
    </row>
    <row r="10517" spans="1:5" x14ac:dyDescent="0.25">
      <c r="A10517">
        <v>13</v>
      </c>
      <c r="B10517">
        <v>7</v>
      </c>
      <c r="C10517">
        <v>15</v>
      </c>
      <c r="D10517">
        <v>13</v>
      </c>
      <c r="E10517">
        <f t="shared" si="164"/>
        <v>2.0169874993588922E-23</v>
      </c>
    </row>
    <row r="10518" spans="1:5" x14ac:dyDescent="0.25">
      <c r="A10518">
        <v>13</v>
      </c>
      <c r="B10518">
        <v>7</v>
      </c>
      <c r="C10518">
        <v>16</v>
      </c>
      <c r="D10518">
        <v>12</v>
      </c>
      <c r="E10518">
        <f t="shared" si="164"/>
        <v>6.3030859354965391E-23</v>
      </c>
    </row>
    <row r="10519" spans="1:5" x14ac:dyDescent="0.25">
      <c r="A10519">
        <v>13</v>
      </c>
      <c r="B10519">
        <v>7</v>
      </c>
      <c r="C10519">
        <v>17</v>
      </c>
      <c r="D10519">
        <v>11</v>
      </c>
      <c r="E10519">
        <f t="shared" si="164"/>
        <v>1.5572329958285573E-22</v>
      </c>
    </row>
    <row r="10520" spans="1:5" x14ac:dyDescent="0.25">
      <c r="A10520">
        <v>13</v>
      </c>
      <c r="B10520">
        <v>7</v>
      </c>
      <c r="C10520">
        <v>18</v>
      </c>
      <c r="D10520">
        <v>10</v>
      </c>
      <c r="E10520">
        <f t="shared" si="164"/>
        <v>3.0452556362869533E-22</v>
      </c>
    </row>
    <row r="10521" spans="1:5" x14ac:dyDescent="0.25">
      <c r="A10521">
        <v>13</v>
      </c>
      <c r="B10521">
        <v>7</v>
      </c>
      <c r="C10521">
        <v>19</v>
      </c>
      <c r="D10521">
        <v>9</v>
      </c>
      <c r="E10521">
        <f t="shared" si="164"/>
        <v>4.7081254903120684E-22</v>
      </c>
    </row>
    <row r="10522" spans="1:5" x14ac:dyDescent="0.25">
      <c r="A10522">
        <v>13</v>
      </c>
      <c r="B10522">
        <v>7</v>
      </c>
      <c r="C10522">
        <v>20</v>
      </c>
      <c r="D10522">
        <v>8</v>
      </c>
      <c r="E10522">
        <f t="shared" si="164"/>
        <v>5.732835155850582E-22</v>
      </c>
    </row>
    <row r="10523" spans="1:5" x14ac:dyDescent="0.25">
      <c r="A10523">
        <v>13</v>
      </c>
      <c r="B10523">
        <v>7</v>
      </c>
      <c r="C10523">
        <v>21</v>
      </c>
      <c r="D10523">
        <v>7</v>
      </c>
      <c r="E10523">
        <f t="shared" si="164"/>
        <v>5.4598430055719777E-22</v>
      </c>
    </row>
    <row r="10524" spans="1:5" x14ac:dyDescent="0.25">
      <c r="A10524">
        <v>13</v>
      </c>
      <c r="B10524">
        <v>7</v>
      </c>
      <c r="C10524">
        <v>22</v>
      </c>
      <c r="D10524">
        <v>6</v>
      </c>
      <c r="E10524">
        <f t="shared" si="164"/>
        <v>4.0230422146319843E-22</v>
      </c>
    </row>
    <row r="10525" spans="1:5" x14ac:dyDescent="0.25">
      <c r="A10525">
        <v>13</v>
      </c>
      <c r="B10525">
        <v>7</v>
      </c>
      <c r="C10525">
        <v>23</v>
      </c>
      <c r="D10525">
        <v>5</v>
      </c>
      <c r="E10525">
        <f t="shared" si="164"/>
        <v>2.2564019377718516E-22</v>
      </c>
    </row>
    <row r="10526" spans="1:5" x14ac:dyDescent="0.25">
      <c r="A10526">
        <v>13</v>
      </c>
      <c r="B10526">
        <v>7</v>
      </c>
      <c r="C10526">
        <v>24</v>
      </c>
      <c r="D10526">
        <v>4</v>
      </c>
      <c r="E10526">
        <f t="shared" si="164"/>
        <v>9.4016747407160514E-23</v>
      </c>
    </row>
    <row r="10527" spans="1:5" x14ac:dyDescent="0.25">
      <c r="A10527">
        <v>13</v>
      </c>
      <c r="B10527">
        <v>7</v>
      </c>
      <c r="C10527">
        <v>25</v>
      </c>
      <c r="D10527">
        <v>3</v>
      </c>
      <c r="E10527">
        <f t="shared" si="164"/>
        <v>2.8034084681407867E-23</v>
      </c>
    </row>
    <row r="10528" spans="1:5" x14ac:dyDescent="0.25">
      <c r="A10528">
        <v>13</v>
      </c>
      <c r="B10528">
        <v>7</v>
      </c>
      <c r="C10528">
        <v>26</v>
      </c>
      <c r="D10528">
        <v>2</v>
      </c>
      <c r="E10528">
        <f t="shared" si="164"/>
        <v>5.6255688323895346E-24</v>
      </c>
    </row>
    <row r="10529" spans="1:5" x14ac:dyDescent="0.25">
      <c r="A10529">
        <v>13</v>
      </c>
      <c r="B10529">
        <v>7</v>
      </c>
      <c r="C10529">
        <v>27</v>
      </c>
      <c r="D10529">
        <v>1</v>
      </c>
      <c r="E10529">
        <f t="shared" si="164"/>
        <v>6.7715180389874035E-25</v>
      </c>
    </row>
    <row r="10530" spans="1:5" x14ac:dyDescent="0.25">
      <c r="A10530">
        <v>13</v>
      </c>
      <c r="B10530">
        <v>7</v>
      </c>
      <c r="C10530">
        <v>28</v>
      </c>
      <c r="D10530">
        <v>0</v>
      </c>
      <c r="E10530">
        <f t="shared" si="164"/>
        <v>3.6759669354503052E-26</v>
      </c>
    </row>
    <row r="10531" spans="1:5" x14ac:dyDescent="0.25">
      <c r="A10531">
        <v>13</v>
      </c>
      <c r="B10531">
        <v>8</v>
      </c>
      <c r="C10531">
        <v>2</v>
      </c>
      <c r="D10531">
        <v>25</v>
      </c>
      <c r="E10531">
        <f t="shared" si="164"/>
        <v>1.371328475379691E-39</v>
      </c>
    </row>
    <row r="10532" spans="1:5" x14ac:dyDescent="0.25">
      <c r="A10532">
        <v>13</v>
      </c>
      <c r="B10532">
        <v>8</v>
      </c>
      <c r="C10532">
        <v>3</v>
      </c>
      <c r="D10532">
        <v>24</v>
      </c>
      <c r="E10532">
        <f t="shared" si="164"/>
        <v>7.1994744957433776E-37</v>
      </c>
    </row>
    <row r="10533" spans="1:5" x14ac:dyDescent="0.25">
      <c r="A10533">
        <v>13</v>
      </c>
      <c r="B10533">
        <v>8</v>
      </c>
      <c r="C10533">
        <v>4</v>
      </c>
      <c r="D10533">
        <v>23</v>
      </c>
      <c r="E10533">
        <f t="shared" si="164"/>
        <v>1.3391022562082683E-34</v>
      </c>
    </row>
    <row r="10534" spans="1:5" x14ac:dyDescent="0.25">
      <c r="A10534">
        <v>13</v>
      </c>
      <c r="B10534">
        <v>8</v>
      </c>
      <c r="C10534">
        <v>5</v>
      </c>
      <c r="D10534">
        <v>22</v>
      </c>
      <c r="E10534">
        <f t="shared" si="164"/>
        <v>1.252506976973467E-32</v>
      </c>
    </row>
    <row r="10535" spans="1:5" x14ac:dyDescent="0.25">
      <c r="A10535">
        <v>13</v>
      </c>
      <c r="B10535">
        <v>8</v>
      </c>
      <c r="C10535">
        <v>6</v>
      </c>
      <c r="D10535">
        <v>21</v>
      </c>
      <c r="E10535">
        <f t="shared" si="164"/>
        <v>6.8887883733540699E-31</v>
      </c>
    </row>
    <row r="10536" spans="1:5" x14ac:dyDescent="0.25">
      <c r="A10536">
        <v>13</v>
      </c>
      <c r="B10536">
        <v>8</v>
      </c>
      <c r="C10536">
        <v>7</v>
      </c>
      <c r="D10536">
        <v>20</v>
      </c>
      <c r="E10536">
        <f t="shared" si="164"/>
        <v>2.4386310841673398E-29</v>
      </c>
    </row>
    <row r="10537" spans="1:5" x14ac:dyDescent="0.25">
      <c r="A10537">
        <v>13</v>
      </c>
      <c r="B10537">
        <v>8</v>
      </c>
      <c r="C10537">
        <v>8</v>
      </c>
      <c r="D10537">
        <v>19</v>
      </c>
      <c r="E10537">
        <f t="shared" si="164"/>
        <v>5.8933584534044057E-28</v>
      </c>
    </row>
    <row r="10538" spans="1:5" x14ac:dyDescent="0.25">
      <c r="A10538">
        <v>13</v>
      </c>
      <c r="B10538">
        <v>8</v>
      </c>
      <c r="C10538">
        <v>9</v>
      </c>
      <c r="D10538">
        <v>18</v>
      </c>
      <c r="E10538">
        <f t="shared" si="164"/>
        <v>1.0130963817519005E-26</v>
      </c>
    </row>
    <row r="10539" spans="1:5" x14ac:dyDescent="0.25">
      <c r="A10539">
        <v>13</v>
      </c>
      <c r="B10539">
        <v>8</v>
      </c>
      <c r="C10539">
        <v>10</v>
      </c>
      <c r="D10539">
        <v>17</v>
      </c>
      <c r="E10539">
        <f t="shared" si="164"/>
        <v>1.2765014410073943E-25</v>
      </c>
    </row>
    <row r="10540" spans="1:5" x14ac:dyDescent="0.25">
      <c r="A10540">
        <v>13</v>
      </c>
      <c r="B10540">
        <v>8</v>
      </c>
      <c r="C10540">
        <v>11</v>
      </c>
      <c r="D10540">
        <v>16</v>
      </c>
      <c r="E10540">
        <f t="shared" si="164"/>
        <v>1.2055846942847615E-24</v>
      </c>
    </row>
    <row r="10541" spans="1:5" x14ac:dyDescent="0.25">
      <c r="A10541">
        <v>13</v>
      </c>
      <c r="B10541">
        <v>8</v>
      </c>
      <c r="C10541">
        <v>12</v>
      </c>
      <c r="D10541">
        <v>15</v>
      </c>
      <c r="E10541">
        <f t="shared" si="164"/>
        <v>8.6802097988502743E-24</v>
      </c>
    </row>
    <row r="10542" spans="1:5" x14ac:dyDescent="0.25">
      <c r="A10542">
        <v>13</v>
      </c>
      <c r="B10542">
        <v>8</v>
      </c>
      <c r="C10542">
        <v>13</v>
      </c>
      <c r="D10542">
        <v>14</v>
      </c>
      <c r="E10542">
        <f t="shared" si="164"/>
        <v>4.8257110420181635E-23</v>
      </c>
    </row>
    <row r="10543" spans="1:5" x14ac:dyDescent="0.25">
      <c r="A10543">
        <v>13</v>
      </c>
      <c r="B10543">
        <v>8</v>
      </c>
      <c r="C10543">
        <v>14</v>
      </c>
      <c r="D10543">
        <v>13</v>
      </c>
      <c r="E10543">
        <f t="shared" si="164"/>
        <v>2.0911414515412047E-22</v>
      </c>
    </row>
    <row r="10544" spans="1:5" x14ac:dyDescent="0.25">
      <c r="A10544">
        <v>13</v>
      </c>
      <c r="B10544">
        <v>8</v>
      </c>
      <c r="C10544">
        <v>15</v>
      </c>
      <c r="D10544">
        <v>12</v>
      </c>
      <c r="E10544">
        <f t="shared" si="164"/>
        <v>7.1098809352400933E-22</v>
      </c>
    </row>
    <row r="10545" spans="1:5" x14ac:dyDescent="0.25">
      <c r="A10545">
        <v>13</v>
      </c>
      <c r="B10545">
        <v>8</v>
      </c>
      <c r="C10545">
        <v>16</v>
      </c>
      <c r="D10545">
        <v>11</v>
      </c>
      <c r="E10545">
        <f t="shared" si="164"/>
        <v>1.9044323933678821E-21</v>
      </c>
    </row>
    <row r="10546" spans="1:5" x14ac:dyDescent="0.25">
      <c r="A10546">
        <v>13</v>
      </c>
      <c r="B10546">
        <v>8</v>
      </c>
      <c r="C10546">
        <v>17</v>
      </c>
      <c r="D10546">
        <v>10</v>
      </c>
      <c r="E10546">
        <f t="shared" si="164"/>
        <v>4.0254472942168191E-21</v>
      </c>
    </row>
    <row r="10547" spans="1:5" x14ac:dyDescent="0.25">
      <c r="A10547">
        <v>13</v>
      </c>
      <c r="B10547">
        <v>8</v>
      </c>
      <c r="C10547">
        <v>18</v>
      </c>
      <c r="D10547">
        <v>9</v>
      </c>
      <c r="E10547">
        <f t="shared" si="164"/>
        <v>6.7090788236946932E-21</v>
      </c>
    </row>
    <row r="10548" spans="1:5" x14ac:dyDescent="0.25">
      <c r="A10548">
        <v>13</v>
      </c>
      <c r="B10548">
        <v>8</v>
      </c>
      <c r="C10548">
        <v>19</v>
      </c>
      <c r="D10548">
        <v>8</v>
      </c>
      <c r="E10548">
        <f t="shared" si="164"/>
        <v>8.7861930105970779E-21</v>
      </c>
    </row>
    <row r="10549" spans="1:5" x14ac:dyDescent="0.25">
      <c r="A10549">
        <v>13</v>
      </c>
      <c r="B10549">
        <v>8</v>
      </c>
      <c r="C10549">
        <v>20</v>
      </c>
      <c r="D10549">
        <v>7</v>
      </c>
      <c r="E10549">
        <f t="shared" si="164"/>
        <v>8.9814417441659102E-21</v>
      </c>
    </row>
    <row r="10550" spans="1:5" x14ac:dyDescent="0.25">
      <c r="A10550">
        <v>13</v>
      </c>
      <c r="B10550">
        <v>8</v>
      </c>
      <c r="C10550">
        <v>21</v>
      </c>
      <c r="D10550">
        <v>6</v>
      </c>
      <c r="E10550">
        <f t="shared" si="164"/>
        <v>7.0906119032888667E-21</v>
      </c>
    </row>
    <row r="10551" spans="1:5" x14ac:dyDescent="0.25">
      <c r="A10551">
        <v>13</v>
      </c>
      <c r="B10551">
        <v>8</v>
      </c>
      <c r="C10551">
        <v>22</v>
      </c>
      <c r="D10551">
        <v>5</v>
      </c>
      <c r="E10551">
        <f t="shared" si="164"/>
        <v>4.2543671419733232E-21</v>
      </c>
    </row>
    <row r="10552" spans="1:5" x14ac:dyDescent="0.25">
      <c r="A10552">
        <v>13</v>
      </c>
      <c r="B10552">
        <v>8</v>
      </c>
      <c r="C10552">
        <v>23</v>
      </c>
      <c r="D10552">
        <v>4</v>
      </c>
      <c r="E10552">
        <f t="shared" si="164"/>
        <v>1.8937659120585187E-21</v>
      </c>
    </row>
    <row r="10553" spans="1:5" x14ac:dyDescent="0.25">
      <c r="A10553">
        <v>13</v>
      </c>
      <c r="B10553">
        <v>8</v>
      </c>
      <c r="C10553">
        <v>24</v>
      </c>
      <c r="D10553">
        <v>3</v>
      </c>
      <c r="E10553">
        <f t="shared" si="164"/>
        <v>6.0256188110952844E-22</v>
      </c>
    </row>
    <row r="10554" spans="1:5" x14ac:dyDescent="0.25">
      <c r="A10554">
        <v>13</v>
      </c>
      <c r="B10554">
        <v>8</v>
      </c>
      <c r="C10554">
        <v>25</v>
      </c>
      <c r="D10554">
        <v>2</v>
      </c>
      <c r="E10554">
        <f t="shared" si="164"/>
        <v>1.2889584587212527E-22</v>
      </c>
    </row>
    <row r="10555" spans="1:5" x14ac:dyDescent="0.25">
      <c r="A10555">
        <v>13</v>
      </c>
      <c r="B10555">
        <v>8</v>
      </c>
      <c r="C10555">
        <v>26</v>
      </c>
      <c r="D10555">
        <v>1</v>
      </c>
      <c r="E10555">
        <f t="shared" si="164"/>
        <v>1.6525108445144254E-23</v>
      </c>
    </row>
    <row r="10556" spans="1:5" x14ac:dyDescent="0.25">
      <c r="A10556">
        <v>13</v>
      </c>
      <c r="B10556">
        <v>8</v>
      </c>
      <c r="C10556">
        <v>27</v>
      </c>
      <c r="D10556">
        <v>0</v>
      </c>
      <c r="E10556">
        <f t="shared" si="164"/>
        <v>9.5478404349722375E-25</v>
      </c>
    </row>
    <row r="10557" spans="1:5" x14ac:dyDescent="0.25">
      <c r="A10557">
        <v>13</v>
      </c>
      <c r="B10557">
        <v>9</v>
      </c>
      <c r="C10557">
        <v>1</v>
      </c>
      <c r="D10557">
        <v>25</v>
      </c>
      <c r="E10557">
        <f t="shared" si="164"/>
        <v>1.3379975749364348E-39</v>
      </c>
    </row>
    <row r="10558" spans="1:5" x14ac:dyDescent="0.25">
      <c r="A10558">
        <v>13</v>
      </c>
      <c r="B10558">
        <v>9</v>
      </c>
      <c r="C10558">
        <v>2</v>
      </c>
      <c r="D10558">
        <v>24</v>
      </c>
      <c r="E10558">
        <f t="shared" si="164"/>
        <v>1.0703980599491478E-36</v>
      </c>
    </row>
    <row r="10559" spans="1:5" x14ac:dyDescent="0.25">
      <c r="A10559">
        <v>13</v>
      </c>
      <c r="B10559">
        <v>9</v>
      </c>
      <c r="C10559">
        <v>3</v>
      </c>
      <c r="D10559">
        <v>23</v>
      </c>
      <c r="E10559">
        <f t="shared" si="164"/>
        <v>2.6974031110718525E-34</v>
      </c>
    </row>
    <row r="10560" spans="1:5" x14ac:dyDescent="0.25">
      <c r="A10560">
        <v>13</v>
      </c>
      <c r="B10560">
        <v>9</v>
      </c>
      <c r="C10560">
        <v>4</v>
      </c>
      <c r="D10560">
        <v>22</v>
      </c>
      <c r="E10560">
        <f t="shared" si="164"/>
        <v>3.205414030323718E-32</v>
      </c>
    </row>
    <row r="10561" spans="1:5" x14ac:dyDescent="0.25">
      <c r="A10561">
        <v>13</v>
      </c>
      <c r="B10561">
        <v>9</v>
      </c>
      <c r="C10561">
        <v>5</v>
      </c>
      <c r="D10561">
        <v>21</v>
      </c>
      <c r="E10561">
        <f t="shared" si="164"/>
        <v>2.1508328143472155E-30</v>
      </c>
    </row>
    <row r="10562" spans="1:5" x14ac:dyDescent="0.25">
      <c r="A10562">
        <v>13</v>
      </c>
      <c r="B10562">
        <v>9</v>
      </c>
      <c r="C10562">
        <v>6</v>
      </c>
      <c r="D10562">
        <v>20</v>
      </c>
      <c r="E10562">
        <f t="shared" si="164"/>
        <v>9.0334978202583018E-29</v>
      </c>
    </row>
    <row r="10563" spans="1:5" x14ac:dyDescent="0.25">
      <c r="A10563">
        <v>13</v>
      </c>
      <c r="B10563">
        <v>9</v>
      </c>
      <c r="C10563">
        <v>7</v>
      </c>
      <c r="D10563">
        <v>19</v>
      </c>
      <c r="E10563">
        <f t="shared" si="164"/>
        <v>2.5379827209297134E-27</v>
      </c>
    </row>
    <row r="10564" spans="1:5" x14ac:dyDescent="0.25">
      <c r="A10564">
        <v>13</v>
      </c>
      <c r="B10564">
        <v>9</v>
      </c>
      <c r="C10564">
        <v>8</v>
      </c>
      <c r="D10564">
        <v>18</v>
      </c>
      <c r="E10564">
        <f t="shared" si="164"/>
        <v>4.9943874258295456E-26</v>
      </c>
    </row>
    <row r="10565" spans="1:5" x14ac:dyDescent="0.25">
      <c r="A10565">
        <v>13</v>
      </c>
      <c r="B10565">
        <v>9</v>
      </c>
      <c r="C10565">
        <v>9</v>
      </c>
      <c r="D10565">
        <v>17</v>
      </c>
      <c r="E10565">
        <f t="shared" si="164"/>
        <v>7.1170020818070992E-25</v>
      </c>
    </row>
    <row r="10566" spans="1:5" x14ac:dyDescent="0.25">
      <c r="A10566">
        <v>13</v>
      </c>
      <c r="B10566">
        <v>9</v>
      </c>
      <c r="C10566">
        <v>10</v>
      </c>
      <c r="D10566">
        <v>16</v>
      </c>
      <c r="E10566">
        <f t="shared" si="164"/>
        <v>7.5282066465337332E-24</v>
      </c>
    </row>
    <row r="10567" spans="1:5" x14ac:dyDescent="0.25">
      <c r="A10567">
        <v>13</v>
      </c>
      <c r="B10567">
        <v>9</v>
      </c>
      <c r="C10567">
        <v>11</v>
      </c>
      <c r="D10567">
        <v>15</v>
      </c>
      <c r="E10567">
        <f t="shared" si="164"/>
        <v>6.0225653172269854E-23</v>
      </c>
    </row>
    <row r="10568" spans="1:5" x14ac:dyDescent="0.25">
      <c r="A10568">
        <v>13</v>
      </c>
      <c r="B10568">
        <v>9</v>
      </c>
      <c r="C10568">
        <v>12</v>
      </c>
      <c r="D10568">
        <v>14</v>
      </c>
      <c r="E10568">
        <f t="shared" si="164"/>
        <v>3.6956650810256493E-22</v>
      </c>
    </row>
    <row r="10569" spans="1:5" x14ac:dyDescent="0.25">
      <c r="A10569">
        <v>13</v>
      </c>
      <c r="B10569">
        <v>9</v>
      </c>
      <c r="C10569">
        <v>13</v>
      </c>
      <c r="D10569">
        <v>13</v>
      </c>
      <c r="E10569">
        <f t="shared" si="164"/>
        <v>1.7578099295647648E-21</v>
      </c>
    </row>
    <row r="10570" spans="1:5" x14ac:dyDescent="0.25">
      <c r="A10570">
        <v>13</v>
      </c>
      <c r="B10570">
        <v>9</v>
      </c>
      <c r="C10570">
        <v>14</v>
      </c>
      <c r="D10570">
        <v>12</v>
      </c>
      <c r="E10570">
        <f t="shared" si="164"/>
        <v>6.5290083098119851E-21</v>
      </c>
    </row>
    <row r="10571" spans="1:5" x14ac:dyDescent="0.25">
      <c r="A10571">
        <v>13</v>
      </c>
      <c r="B10571">
        <v>9</v>
      </c>
      <c r="C10571">
        <v>15</v>
      </c>
      <c r="D10571">
        <v>11</v>
      </c>
      <c r="E10571">
        <f t="shared" si="164"/>
        <v>1.9027395645737774E-20</v>
      </c>
    </row>
    <row r="10572" spans="1:5" x14ac:dyDescent="0.25">
      <c r="A10572">
        <v>13</v>
      </c>
      <c r="B10572">
        <v>9</v>
      </c>
      <c r="C10572">
        <v>16</v>
      </c>
      <c r="D10572">
        <v>10</v>
      </c>
      <c r="E10572">
        <f t="shared" si="164"/>
        <v>4.3604448354815735E-20</v>
      </c>
    </row>
    <row r="10573" spans="1:5" x14ac:dyDescent="0.25">
      <c r="A10573">
        <v>13</v>
      </c>
      <c r="B10573">
        <v>9</v>
      </c>
      <c r="C10573">
        <v>17</v>
      </c>
      <c r="D10573">
        <v>9</v>
      </c>
      <c r="E10573">
        <f t="shared" si="164"/>
        <v>7.8552131227425448E-20</v>
      </c>
    </row>
    <row r="10574" spans="1:5" x14ac:dyDescent="0.25">
      <c r="A10574">
        <v>13</v>
      </c>
      <c r="B10574">
        <v>9</v>
      </c>
      <c r="C10574">
        <v>18</v>
      </c>
      <c r="D10574">
        <v>8</v>
      </c>
      <c r="E10574">
        <f t="shared" ref="E10574:E10637" si="165">COMBIN(A$4,A10574)*COMBIN(B$4,B10574)*COMBIN(C$4,C10574)*COMBIN(D$4,D10574)/COMBIN($G$4,$F$4)</f>
        <v>1.1089712643871818E-19</v>
      </c>
    </row>
    <row r="10575" spans="1:5" x14ac:dyDescent="0.25">
      <c r="A10575">
        <v>13</v>
      </c>
      <c r="B10575">
        <v>9</v>
      </c>
      <c r="C10575">
        <v>19</v>
      </c>
      <c r="D10575">
        <v>7</v>
      </c>
      <c r="E10575">
        <f t="shared" si="165"/>
        <v>1.2192198696186568E-19</v>
      </c>
    </row>
    <row r="10576" spans="1:5" x14ac:dyDescent="0.25">
      <c r="A10576">
        <v>13</v>
      </c>
      <c r="B10576">
        <v>9</v>
      </c>
      <c r="C10576">
        <v>20</v>
      </c>
      <c r="D10576">
        <v>6</v>
      </c>
      <c r="E10576">
        <f t="shared" si="165"/>
        <v>1.0331284158347571E-19</v>
      </c>
    </row>
    <row r="10577" spans="1:5" x14ac:dyDescent="0.25">
      <c r="A10577">
        <v>13</v>
      </c>
      <c r="B10577">
        <v>9</v>
      </c>
      <c r="C10577">
        <v>21</v>
      </c>
      <c r="D10577">
        <v>5</v>
      </c>
      <c r="E10577">
        <f t="shared" si="165"/>
        <v>6.6415398160805733E-20</v>
      </c>
    </row>
    <row r="10578" spans="1:5" x14ac:dyDescent="0.25">
      <c r="A10578">
        <v>13</v>
      </c>
      <c r="B10578">
        <v>9</v>
      </c>
      <c r="C10578">
        <v>22</v>
      </c>
      <c r="D10578">
        <v>4</v>
      </c>
      <c r="E10578">
        <f t="shared" si="165"/>
        <v>3.1626380076574183E-20</v>
      </c>
    </row>
    <row r="10579" spans="1:5" x14ac:dyDescent="0.25">
      <c r="A10579">
        <v>13</v>
      </c>
      <c r="B10579">
        <v>9</v>
      </c>
      <c r="C10579">
        <v>23</v>
      </c>
      <c r="D10579">
        <v>3</v>
      </c>
      <c r="E10579">
        <f t="shared" si="165"/>
        <v>1.0750469116938256E-20</v>
      </c>
    </row>
    <row r="10580" spans="1:5" x14ac:dyDescent="0.25">
      <c r="A10580">
        <v>13</v>
      </c>
      <c r="B10580">
        <v>9</v>
      </c>
      <c r="C10580">
        <v>24</v>
      </c>
      <c r="D10580">
        <v>2</v>
      </c>
      <c r="E10580">
        <f t="shared" si="165"/>
        <v>2.4539114288663409E-21</v>
      </c>
    </row>
    <row r="10581" spans="1:5" x14ac:dyDescent="0.25">
      <c r="A10581">
        <v>13</v>
      </c>
      <c r="B10581">
        <v>9</v>
      </c>
      <c r="C10581">
        <v>25</v>
      </c>
      <c r="D10581">
        <v>1</v>
      </c>
      <c r="E10581">
        <f t="shared" si="165"/>
        <v>3.3536789527840005E-22</v>
      </c>
    </row>
    <row r="10582" spans="1:5" x14ac:dyDescent="0.25">
      <c r="A10582">
        <v>13</v>
      </c>
      <c r="B10582">
        <v>9</v>
      </c>
      <c r="C10582">
        <v>26</v>
      </c>
      <c r="D10582">
        <v>0</v>
      </c>
      <c r="E10582">
        <f t="shared" si="165"/>
        <v>2.0638024324824606E-23</v>
      </c>
    </row>
    <row r="10583" spans="1:5" x14ac:dyDescent="0.25">
      <c r="A10583">
        <v>13</v>
      </c>
      <c r="B10583">
        <v>10</v>
      </c>
      <c r="C10583">
        <v>0</v>
      </c>
      <c r="D10583">
        <v>25</v>
      </c>
      <c r="E10583">
        <f t="shared" si="165"/>
        <v>5.7636818612646433E-40</v>
      </c>
    </row>
    <row r="10584" spans="1:5" x14ac:dyDescent="0.25">
      <c r="A10584">
        <v>13</v>
      </c>
      <c r="B10584">
        <v>10</v>
      </c>
      <c r="C10584">
        <v>1</v>
      </c>
      <c r="D10584">
        <v>24</v>
      </c>
      <c r="E10584">
        <f t="shared" si="165"/>
        <v>9.3659830245550444E-37</v>
      </c>
    </row>
    <row r="10585" spans="1:5" x14ac:dyDescent="0.25">
      <c r="A10585">
        <v>13</v>
      </c>
      <c r="B10585">
        <v>10</v>
      </c>
      <c r="C10585">
        <v>2</v>
      </c>
      <c r="D10585">
        <v>23</v>
      </c>
      <c r="E10585">
        <f t="shared" si="165"/>
        <v>3.596537481429137E-34</v>
      </c>
    </row>
    <row r="10586" spans="1:5" x14ac:dyDescent="0.25">
      <c r="A10586">
        <v>13</v>
      </c>
      <c r="B10586">
        <v>10</v>
      </c>
      <c r="C10586">
        <v>3</v>
      </c>
      <c r="D10586">
        <v>22</v>
      </c>
      <c r="E10586">
        <f t="shared" si="165"/>
        <v>5.7904253451009105E-32</v>
      </c>
    </row>
    <row r="10587" spans="1:5" x14ac:dyDescent="0.25">
      <c r="A10587">
        <v>13</v>
      </c>
      <c r="B10587">
        <v>10</v>
      </c>
      <c r="C10587">
        <v>4</v>
      </c>
      <c r="D10587">
        <v>21</v>
      </c>
      <c r="E10587">
        <f t="shared" si="165"/>
        <v>4.9363376066985272E-30</v>
      </c>
    </row>
    <row r="10588" spans="1:5" x14ac:dyDescent="0.25">
      <c r="A10588">
        <v>13</v>
      </c>
      <c r="B10588">
        <v>10</v>
      </c>
      <c r="C10588">
        <v>5</v>
      </c>
      <c r="D10588">
        <v>20</v>
      </c>
      <c r="E10588">
        <f t="shared" si="165"/>
        <v>2.529379389672325E-28</v>
      </c>
    </row>
    <row r="10589" spans="1:5" x14ac:dyDescent="0.25">
      <c r="A10589">
        <v>13</v>
      </c>
      <c r="B10589">
        <v>10</v>
      </c>
      <c r="C10589">
        <v>6</v>
      </c>
      <c r="D10589">
        <v>19</v>
      </c>
      <c r="E10589">
        <f t="shared" si="165"/>
        <v>8.4312646322410816E-27</v>
      </c>
    </row>
    <row r="10590" spans="1:5" x14ac:dyDescent="0.25">
      <c r="A10590">
        <v>13</v>
      </c>
      <c r="B10590">
        <v>10</v>
      </c>
      <c r="C10590">
        <v>7</v>
      </c>
      <c r="D10590">
        <v>18</v>
      </c>
      <c r="E10590">
        <f t="shared" si="165"/>
        <v>1.928866867906583E-25</v>
      </c>
    </row>
    <row r="10591" spans="1:5" x14ac:dyDescent="0.25">
      <c r="A10591">
        <v>13</v>
      </c>
      <c r="B10591">
        <v>10</v>
      </c>
      <c r="C10591">
        <v>8</v>
      </c>
      <c r="D10591">
        <v>17</v>
      </c>
      <c r="E10591">
        <f t="shared" si="165"/>
        <v>3.146464078272613E-24</v>
      </c>
    </row>
    <row r="10592" spans="1:5" x14ac:dyDescent="0.25">
      <c r="A10592">
        <v>13</v>
      </c>
      <c r="B10592">
        <v>10</v>
      </c>
      <c r="C10592">
        <v>9</v>
      </c>
      <c r="D10592">
        <v>16</v>
      </c>
      <c r="E10592">
        <f t="shared" si="165"/>
        <v>3.7641033232668662E-23</v>
      </c>
    </row>
    <row r="10593" spans="1:5" x14ac:dyDescent="0.25">
      <c r="A10593">
        <v>13</v>
      </c>
      <c r="B10593">
        <v>10</v>
      </c>
      <c r="C10593">
        <v>10</v>
      </c>
      <c r="D10593">
        <v>15</v>
      </c>
      <c r="E10593">
        <f t="shared" si="165"/>
        <v>3.3726365776471127E-22</v>
      </c>
    </row>
    <row r="10594" spans="1:5" x14ac:dyDescent="0.25">
      <c r="A10594">
        <v>13</v>
      </c>
      <c r="B10594">
        <v>10</v>
      </c>
      <c r="C10594">
        <v>11</v>
      </c>
      <c r="D10594">
        <v>14</v>
      </c>
      <c r="E10594">
        <f t="shared" si="165"/>
        <v>2.2995249393048499E-21</v>
      </c>
    </row>
    <row r="10595" spans="1:5" x14ac:dyDescent="0.25">
      <c r="A10595">
        <v>13</v>
      </c>
      <c r="B10595">
        <v>10</v>
      </c>
      <c r="C10595">
        <v>12</v>
      </c>
      <c r="D10595">
        <v>13</v>
      </c>
      <c r="E10595">
        <f t="shared" si="165"/>
        <v>1.2072505931350456E-20</v>
      </c>
    </row>
    <row r="10596" spans="1:5" x14ac:dyDescent="0.25">
      <c r="A10596">
        <v>13</v>
      </c>
      <c r="B10596">
        <v>10</v>
      </c>
      <c r="C10596">
        <v>13</v>
      </c>
      <c r="D10596">
        <v>12</v>
      </c>
      <c r="E10596">
        <f t="shared" si="165"/>
        <v>4.9218678027813429E-20</v>
      </c>
    </row>
    <row r="10597" spans="1:5" x14ac:dyDescent="0.25">
      <c r="A10597">
        <v>13</v>
      </c>
      <c r="B10597">
        <v>10</v>
      </c>
      <c r="C10597">
        <v>14</v>
      </c>
      <c r="D10597">
        <v>11</v>
      </c>
      <c r="E10597">
        <f t="shared" si="165"/>
        <v>1.5669619943548765E-19</v>
      </c>
    </row>
    <row r="10598" spans="1:5" x14ac:dyDescent="0.25">
      <c r="A10598">
        <v>13</v>
      </c>
      <c r="B10598">
        <v>10</v>
      </c>
      <c r="C10598">
        <v>15</v>
      </c>
      <c r="D10598">
        <v>10</v>
      </c>
      <c r="E10598">
        <f t="shared" si="165"/>
        <v>3.9069585725914895E-19</v>
      </c>
    </row>
    <row r="10599" spans="1:5" x14ac:dyDescent="0.25">
      <c r="A10599">
        <v>13</v>
      </c>
      <c r="B10599">
        <v>10</v>
      </c>
      <c r="C10599">
        <v>16</v>
      </c>
      <c r="D10599">
        <v>9</v>
      </c>
      <c r="E10599">
        <f t="shared" si="165"/>
        <v>7.630778462092755E-19</v>
      </c>
    </row>
    <row r="10600" spans="1:5" x14ac:dyDescent="0.25">
      <c r="A10600">
        <v>13</v>
      </c>
      <c r="B10600">
        <v>10</v>
      </c>
      <c r="C10600">
        <v>17</v>
      </c>
      <c r="D10600">
        <v>8</v>
      </c>
      <c r="E10600">
        <f t="shared" si="165"/>
        <v>1.1644198276065419E-18</v>
      </c>
    </row>
    <row r="10601" spans="1:5" x14ac:dyDescent="0.25">
      <c r="A10601">
        <v>13</v>
      </c>
      <c r="B10601">
        <v>10</v>
      </c>
      <c r="C10601">
        <v>18</v>
      </c>
      <c r="D10601">
        <v>7</v>
      </c>
      <c r="E10601">
        <f t="shared" si="165"/>
        <v>1.3800531290151599E-18</v>
      </c>
    </row>
    <row r="10602" spans="1:5" x14ac:dyDescent="0.25">
      <c r="A10602">
        <v>13</v>
      </c>
      <c r="B10602">
        <v>10</v>
      </c>
      <c r="C10602">
        <v>19</v>
      </c>
      <c r="D10602">
        <v>6</v>
      </c>
      <c r="E10602">
        <f t="shared" si="165"/>
        <v>1.2577215497118772E-18</v>
      </c>
    </row>
    <row r="10603" spans="1:5" x14ac:dyDescent="0.25">
      <c r="A10603">
        <v>13</v>
      </c>
      <c r="B10603">
        <v>10</v>
      </c>
      <c r="C10603">
        <v>20</v>
      </c>
      <c r="D10603">
        <v>5</v>
      </c>
      <c r="E10603">
        <f t="shared" si="165"/>
        <v>8.6782786930119601E-19</v>
      </c>
    </row>
    <row r="10604" spans="1:5" x14ac:dyDescent="0.25">
      <c r="A10604">
        <v>13</v>
      </c>
      <c r="B10604">
        <v>10</v>
      </c>
      <c r="C10604">
        <v>21</v>
      </c>
      <c r="D10604">
        <v>4</v>
      </c>
      <c r="E10604">
        <f t="shared" si="165"/>
        <v>4.4276932107203831E-19</v>
      </c>
    </row>
    <row r="10605" spans="1:5" x14ac:dyDescent="0.25">
      <c r="A10605">
        <v>13</v>
      </c>
      <c r="B10605">
        <v>10</v>
      </c>
      <c r="C10605">
        <v>22</v>
      </c>
      <c r="D10605">
        <v>3</v>
      </c>
      <c r="E10605">
        <f t="shared" si="165"/>
        <v>1.6100702584437765E-19</v>
      </c>
    </row>
    <row r="10606" spans="1:5" x14ac:dyDescent="0.25">
      <c r="A10606">
        <v>13</v>
      </c>
      <c r="B10606">
        <v>10</v>
      </c>
      <c r="C10606">
        <v>23</v>
      </c>
      <c r="D10606">
        <v>2</v>
      </c>
      <c r="E10606">
        <f t="shared" si="165"/>
        <v>3.9262582861861455E-20</v>
      </c>
    </row>
    <row r="10607" spans="1:5" x14ac:dyDescent="0.25">
      <c r="A10607">
        <v>13</v>
      </c>
      <c r="B10607">
        <v>10</v>
      </c>
      <c r="C10607">
        <v>24</v>
      </c>
      <c r="D10607">
        <v>1</v>
      </c>
      <c r="E10607">
        <f t="shared" si="165"/>
        <v>5.7257933340214625E-21</v>
      </c>
    </row>
    <row r="10608" spans="1:5" x14ac:dyDescent="0.25">
      <c r="A10608">
        <v>13</v>
      </c>
      <c r="B10608">
        <v>10</v>
      </c>
      <c r="C10608">
        <v>25</v>
      </c>
      <c r="D10608">
        <v>0</v>
      </c>
      <c r="E10608">
        <f t="shared" si="165"/>
        <v>3.7561204271180808E-22</v>
      </c>
    </row>
    <row r="10609" spans="1:5" x14ac:dyDescent="0.25">
      <c r="A10609">
        <v>13</v>
      </c>
      <c r="B10609">
        <v>11</v>
      </c>
      <c r="C10609">
        <v>0</v>
      </c>
      <c r="D10609">
        <v>24</v>
      </c>
      <c r="E10609">
        <f t="shared" si="165"/>
        <v>3.6546982711200795E-37</v>
      </c>
    </row>
    <row r="10610" spans="1:5" x14ac:dyDescent="0.25">
      <c r="A10610">
        <v>13</v>
      </c>
      <c r="B10610">
        <v>11</v>
      </c>
      <c r="C10610">
        <v>1</v>
      </c>
      <c r="D10610">
        <v>23</v>
      </c>
      <c r="E10610">
        <f t="shared" si="165"/>
        <v>2.8506646514736618E-34</v>
      </c>
    </row>
    <row r="10611" spans="1:5" x14ac:dyDescent="0.25">
      <c r="A10611">
        <v>13</v>
      </c>
      <c r="B10611">
        <v>11</v>
      </c>
      <c r="C10611">
        <v>2</v>
      </c>
      <c r="D10611">
        <v>22</v>
      </c>
      <c r="E10611">
        <f t="shared" si="165"/>
        <v>6.9936306116153842E-32</v>
      </c>
    </row>
    <row r="10612" spans="1:5" x14ac:dyDescent="0.25">
      <c r="A10612">
        <v>13</v>
      </c>
      <c r="B10612">
        <v>11</v>
      </c>
      <c r="C10612">
        <v>3</v>
      </c>
      <c r="D10612">
        <v>21</v>
      </c>
      <c r="E10612">
        <f t="shared" si="165"/>
        <v>8.0776433564157691E-30</v>
      </c>
    </row>
    <row r="10613" spans="1:5" x14ac:dyDescent="0.25">
      <c r="A10613">
        <v>13</v>
      </c>
      <c r="B10613">
        <v>11</v>
      </c>
      <c r="C10613">
        <v>4</v>
      </c>
      <c r="D10613">
        <v>20</v>
      </c>
      <c r="E10613">
        <f t="shared" si="165"/>
        <v>5.2585458250266644E-28</v>
      </c>
    </row>
    <row r="10614" spans="1:5" x14ac:dyDescent="0.25">
      <c r="A10614">
        <v>13</v>
      </c>
      <c r="B10614">
        <v>11</v>
      </c>
      <c r="C10614">
        <v>5</v>
      </c>
      <c r="D10614">
        <v>19</v>
      </c>
      <c r="E10614">
        <f t="shared" si="165"/>
        <v>2.1384753021775103E-26</v>
      </c>
    </row>
    <row r="10615" spans="1:5" x14ac:dyDescent="0.25">
      <c r="A10615">
        <v>13</v>
      </c>
      <c r="B10615">
        <v>11</v>
      </c>
      <c r="C10615">
        <v>6</v>
      </c>
      <c r="D10615">
        <v>18</v>
      </c>
      <c r="E10615">
        <f t="shared" si="165"/>
        <v>5.804432963053245E-25</v>
      </c>
    </row>
    <row r="10616" spans="1:5" x14ac:dyDescent="0.25">
      <c r="A10616">
        <v>13</v>
      </c>
      <c r="B10616">
        <v>11</v>
      </c>
      <c r="C10616">
        <v>7</v>
      </c>
      <c r="D10616">
        <v>17</v>
      </c>
      <c r="E10616">
        <f t="shared" si="165"/>
        <v>1.1007692512075971E-23</v>
      </c>
    </row>
    <row r="10617" spans="1:5" x14ac:dyDescent="0.25">
      <c r="A10617">
        <v>13</v>
      </c>
      <c r="B10617">
        <v>11</v>
      </c>
      <c r="C10617">
        <v>8</v>
      </c>
      <c r="D10617">
        <v>16</v>
      </c>
      <c r="E10617">
        <f t="shared" si="165"/>
        <v>1.5074423356815154E-22</v>
      </c>
    </row>
    <row r="10618" spans="1:5" x14ac:dyDescent="0.25">
      <c r="A10618">
        <v>13</v>
      </c>
      <c r="B10618">
        <v>11</v>
      </c>
      <c r="C10618">
        <v>9</v>
      </c>
      <c r="D10618">
        <v>15</v>
      </c>
      <c r="E10618">
        <f t="shared" si="165"/>
        <v>1.527541566823935E-21</v>
      </c>
    </row>
    <row r="10619" spans="1:5" x14ac:dyDescent="0.25">
      <c r="A10619">
        <v>13</v>
      </c>
      <c r="B10619">
        <v>11</v>
      </c>
      <c r="C10619">
        <v>10</v>
      </c>
      <c r="D10619">
        <v>14</v>
      </c>
      <c r="E10619">
        <f t="shared" si="165"/>
        <v>1.1664862873928234E-20</v>
      </c>
    </row>
    <row r="10620" spans="1:5" x14ac:dyDescent="0.25">
      <c r="A10620">
        <v>13</v>
      </c>
      <c r="B10620">
        <v>11</v>
      </c>
      <c r="C10620">
        <v>11</v>
      </c>
      <c r="D10620">
        <v>13</v>
      </c>
      <c r="E10620">
        <f t="shared" si="165"/>
        <v>6.8045033431248048E-20</v>
      </c>
    </row>
    <row r="10621" spans="1:5" x14ac:dyDescent="0.25">
      <c r="A10621">
        <v>13</v>
      </c>
      <c r="B10621">
        <v>11</v>
      </c>
      <c r="C10621">
        <v>12</v>
      </c>
      <c r="D10621">
        <v>12</v>
      </c>
      <c r="E10621">
        <f t="shared" si="165"/>
        <v>3.0620265044061602E-19</v>
      </c>
    </row>
    <row r="10622" spans="1:5" x14ac:dyDescent="0.25">
      <c r="A10622">
        <v>13</v>
      </c>
      <c r="B10622">
        <v>11</v>
      </c>
      <c r="C10622">
        <v>13</v>
      </c>
      <c r="D10622">
        <v>11</v>
      </c>
      <c r="E10622">
        <f t="shared" si="165"/>
        <v>1.0700268443968785E-18</v>
      </c>
    </row>
    <row r="10623" spans="1:5" x14ac:dyDescent="0.25">
      <c r="A10623">
        <v>13</v>
      </c>
      <c r="B10623">
        <v>11</v>
      </c>
      <c r="C10623">
        <v>14</v>
      </c>
      <c r="D10623">
        <v>10</v>
      </c>
      <c r="E10623">
        <f t="shared" si="165"/>
        <v>2.9145493095000687E-18</v>
      </c>
    </row>
    <row r="10624" spans="1:5" x14ac:dyDescent="0.25">
      <c r="A10624">
        <v>13</v>
      </c>
      <c r="B10624">
        <v>11</v>
      </c>
      <c r="C10624">
        <v>15</v>
      </c>
      <c r="D10624">
        <v>9</v>
      </c>
      <c r="E10624">
        <f t="shared" si="165"/>
        <v>6.1934172826876443E-18</v>
      </c>
    </row>
    <row r="10625" spans="1:5" x14ac:dyDescent="0.25">
      <c r="A10625">
        <v>13</v>
      </c>
      <c r="B10625">
        <v>11</v>
      </c>
      <c r="C10625">
        <v>16</v>
      </c>
      <c r="D10625">
        <v>8</v>
      </c>
      <c r="E10625">
        <f t="shared" si="165"/>
        <v>1.0246462416211178E-17</v>
      </c>
    </row>
    <row r="10626" spans="1:5" x14ac:dyDescent="0.25">
      <c r="A10626">
        <v>13</v>
      </c>
      <c r="B10626">
        <v>11</v>
      </c>
      <c r="C10626">
        <v>17</v>
      </c>
      <c r="D10626">
        <v>7</v>
      </c>
      <c r="E10626">
        <f t="shared" si="165"/>
        <v>1.3126187147564656E-17</v>
      </c>
    </row>
    <row r="10627" spans="1:5" x14ac:dyDescent="0.25">
      <c r="A10627">
        <v>13</v>
      </c>
      <c r="B10627">
        <v>11</v>
      </c>
      <c r="C10627">
        <v>18</v>
      </c>
      <c r="D10627">
        <v>6</v>
      </c>
      <c r="E10627">
        <f t="shared" si="165"/>
        <v>1.2895903162519644E-17</v>
      </c>
    </row>
    <row r="10628" spans="1:5" x14ac:dyDescent="0.25">
      <c r="A10628">
        <v>13</v>
      </c>
      <c r="B10628">
        <v>11</v>
      </c>
      <c r="C10628">
        <v>19</v>
      </c>
      <c r="D10628">
        <v>5</v>
      </c>
      <c r="E10628">
        <f t="shared" si="165"/>
        <v>9.5701176100803712E-18</v>
      </c>
    </row>
    <row r="10629" spans="1:5" x14ac:dyDescent="0.25">
      <c r="A10629">
        <v>13</v>
      </c>
      <c r="B10629">
        <v>11</v>
      </c>
      <c r="C10629">
        <v>20</v>
      </c>
      <c r="D10629">
        <v>4</v>
      </c>
      <c r="E10629">
        <f t="shared" si="165"/>
        <v>5.2407786912344954E-18</v>
      </c>
    </row>
    <row r="10630" spans="1:5" x14ac:dyDescent="0.25">
      <c r="A10630">
        <v>13</v>
      </c>
      <c r="B10630">
        <v>11</v>
      </c>
      <c r="C10630">
        <v>21</v>
      </c>
      <c r="D10630">
        <v>3</v>
      </c>
      <c r="E10630">
        <f t="shared" si="165"/>
        <v>2.0418618277536966E-18</v>
      </c>
    </row>
    <row r="10631" spans="1:5" x14ac:dyDescent="0.25">
      <c r="A10631">
        <v>13</v>
      </c>
      <c r="B10631">
        <v>11</v>
      </c>
      <c r="C10631">
        <v>22</v>
      </c>
      <c r="D10631">
        <v>2</v>
      </c>
      <c r="E10631">
        <f t="shared" si="165"/>
        <v>5.3265960724009512E-19</v>
      </c>
    </row>
    <row r="10632" spans="1:5" x14ac:dyDescent="0.25">
      <c r="A10632">
        <v>13</v>
      </c>
      <c r="B10632">
        <v>11</v>
      </c>
      <c r="C10632">
        <v>23</v>
      </c>
      <c r="D10632">
        <v>1</v>
      </c>
      <c r="E10632">
        <f t="shared" si="165"/>
        <v>8.2986822867116245E-20</v>
      </c>
    </row>
    <row r="10633" spans="1:5" x14ac:dyDescent="0.25">
      <c r="A10633">
        <v>13</v>
      </c>
      <c r="B10633">
        <v>11</v>
      </c>
      <c r="C10633">
        <v>24</v>
      </c>
      <c r="D10633">
        <v>0</v>
      </c>
      <c r="E10633">
        <f t="shared" si="165"/>
        <v>5.8090776006981374E-21</v>
      </c>
    </row>
    <row r="10634" spans="1:5" x14ac:dyDescent="0.25">
      <c r="A10634">
        <v>13</v>
      </c>
      <c r="B10634">
        <v>12</v>
      </c>
      <c r="C10634">
        <v>0</v>
      </c>
      <c r="D10634">
        <v>23</v>
      </c>
      <c r="E10634">
        <f t="shared" si="165"/>
        <v>1.016006119371382E-34</v>
      </c>
    </row>
    <row r="10635" spans="1:5" x14ac:dyDescent="0.25">
      <c r="A10635">
        <v>13</v>
      </c>
      <c r="B10635">
        <v>12</v>
      </c>
      <c r="C10635">
        <v>1</v>
      </c>
      <c r="D10635">
        <v>22</v>
      </c>
      <c r="E10635">
        <f t="shared" si="165"/>
        <v>5.0630971615340542E-32</v>
      </c>
    </row>
    <row r="10636" spans="1:5" x14ac:dyDescent="0.25">
      <c r="A10636">
        <v>13</v>
      </c>
      <c r="B10636">
        <v>12</v>
      </c>
      <c r="C10636">
        <v>2</v>
      </c>
      <c r="D10636">
        <v>21</v>
      </c>
      <c r="E10636">
        <f t="shared" si="165"/>
        <v>8.9110510042999358E-30</v>
      </c>
    </row>
    <row r="10637" spans="1:5" x14ac:dyDescent="0.25">
      <c r="A10637">
        <v>13</v>
      </c>
      <c r="B10637">
        <v>12</v>
      </c>
      <c r="C10637">
        <v>3</v>
      </c>
      <c r="D10637">
        <v>20</v>
      </c>
      <c r="E10637">
        <f t="shared" si="165"/>
        <v>7.8595469857925419E-28</v>
      </c>
    </row>
    <row r="10638" spans="1:5" x14ac:dyDescent="0.25">
      <c r="A10638">
        <v>13</v>
      </c>
      <c r="B10638">
        <v>12</v>
      </c>
      <c r="C10638">
        <v>4</v>
      </c>
      <c r="D10638">
        <v>19</v>
      </c>
      <c r="E10638">
        <f t="shared" ref="E10638:E10701" si="166">COMBIN(A$4,A10638)*COMBIN(B$4,B10638)*COMBIN(C$4,C10638)*COMBIN(D$4,D10638)/COMBIN($G$4,$F$4)</f>
        <v>4.0607659426594794E-26</v>
      </c>
    </row>
    <row r="10639" spans="1:5" x14ac:dyDescent="0.25">
      <c r="A10639">
        <v>13</v>
      </c>
      <c r="B10639">
        <v>12</v>
      </c>
      <c r="C10639">
        <v>5</v>
      </c>
      <c r="D10639">
        <v>18</v>
      </c>
      <c r="E10639">
        <f t="shared" si="166"/>
        <v>1.3446936364406684E-24</v>
      </c>
    </row>
    <row r="10640" spans="1:5" x14ac:dyDescent="0.25">
      <c r="A10640">
        <v>13</v>
      </c>
      <c r="B10640">
        <v>12</v>
      </c>
      <c r="C10640">
        <v>6</v>
      </c>
      <c r="D10640">
        <v>17</v>
      </c>
      <c r="E10640">
        <f t="shared" si="166"/>
        <v>3.0255606819915029E-23</v>
      </c>
    </row>
    <row r="10641" spans="1:5" x14ac:dyDescent="0.25">
      <c r="A10641">
        <v>13</v>
      </c>
      <c r="B10641">
        <v>12</v>
      </c>
      <c r="C10641">
        <v>7</v>
      </c>
      <c r="D10641">
        <v>16</v>
      </c>
      <c r="E10641">
        <f t="shared" si="166"/>
        <v>4.816884704821393E-22</v>
      </c>
    </row>
    <row r="10642" spans="1:5" x14ac:dyDescent="0.25">
      <c r="A10642">
        <v>13</v>
      </c>
      <c r="B10642">
        <v>12</v>
      </c>
      <c r="C10642">
        <v>8</v>
      </c>
      <c r="D10642">
        <v>15</v>
      </c>
      <c r="E10642">
        <f t="shared" si="166"/>
        <v>5.5875862575928164E-21</v>
      </c>
    </row>
    <row r="10643" spans="1:5" x14ac:dyDescent="0.25">
      <c r="A10643">
        <v>13</v>
      </c>
      <c r="B10643">
        <v>12</v>
      </c>
      <c r="C10643">
        <v>9</v>
      </c>
      <c r="D10643">
        <v>14</v>
      </c>
      <c r="E10643">
        <f t="shared" si="166"/>
        <v>4.8256426770119771E-20</v>
      </c>
    </row>
    <row r="10644" spans="1:5" x14ac:dyDescent="0.25">
      <c r="A10644">
        <v>13</v>
      </c>
      <c r="B10644">
        <v>12</v>
      </c>
      <c r="C10644">
        <v>10</v>
      </c>
      <c r="D10644">
        <v>13</v>
      </c>
      <c r="E10644">
        <f t="shared" si="166"/>
        <v>3.1527532156478259E-19</v>
      </c>
    </row>
    <row r="10645" spans="1:5" x14ac:dyDescent="0.25">
      <c r="A10645">
        <v>13</v>
      </c>
      <c r="B10645">
        <v>12</v>
      </c>
      <c r="C10645">
        <v>11</v>
      </c>
      <c r="D10645">
        <v>12</v>
      </c>
      <c r="E10645">
        <f t="shared" si="166"/>
        <v>1.5763766078239133E-18</v>
      </c>
    </row>
    <row r="10646" spans="1:5" x14ac:dyDescent="0.25">
      <c r="A10646">
        <v>13</v>
      </c>
      <c r="B10646">
        <v>12</v>
      </c>
      <c r="C10646">
        <v>12</v>
      </c>
      <c r="D10646">
        <v>11</v>
      </c>
      <c r="E10646">
        <f t="shared" si="166"/>
        <v>6.0803097730350891E-18</v>
      </c>
    </row>
    <row r="10647" spans="1:5" x14ac:dyDescent="0.25">
      <c r="A10647">
        <v>13</v>
      </c>
      <c r="B10647">
        <v>12</v>
      </c>
      <c r="C10647">
        <v>13</v>
      </c>
      <c r="D10647">
        <v>10</v>
      </c>
      <c r="E10647">
        <f t="shared" si="166"/>
        <v>1.8178567167586965E-17</v>
      </c>
    </row>
    <row r="10648" spans="1:5" x14ac:dyDescent="0.25">
      <c r="A10648">
        <v>13</v>
      </c>
      <c r="B10648">
        <v>12</v>
      </c>
      <c r="C10648">
        <v>14</v>
      </c>
      <c r="D10648">
        <v>9</v>
      </c>
      <c r="E10648">
        <f t="shared" si="166"/>
        <v>4.2200245210469753E-17</v>
      </c>
    </row>
    <row r="10649" spans="1:5" x14ac:dyDescent="0.25">
      <c r="A10649">
        <v>13</v>
      </c>
      <c r="B10649">
        <v>12</v>
      </c>
      <c r="C10649">
        <v>15</v>
      </c>
      <c r="D10649">
        <v>8</v>
      </c>
      <c r="E10649">
        <f t="shared" si="166"/>
        <v>7.5960441378845515E-17</v>
      </c>
    </row>
    <row r="10650" spans="1:5" x14ac:dyDescent="0.25">
      <c r="A10650">
        <v>13</v>
      </c>
      <c r="B10650">
        <v>12</v>
      </c>
      <c r="C10650">
        <v>16</v>
      </c>
      <c r="D10650">
        <v>7</v>
      </c>
      <c r="E10650">
        <f t="shared" si="166"/>
        <v>1.0550061302617435E-16</v>
      </c>
    </row>
    <row r="10651" spans="1:5" x14ac:dyDescent="0.25">
      <c r="A10651">
        <v>13</v>
      </c>
      <c r="B10651">
        <v>12</v>
      </c>
      <c r="C10651">
        <v>17</v>
      </c>
      <c r="D10651">
        <v>6</v>
      </c>
      <c r="E10651">
        <f t="shared" si="166"/>
        <v>1.1203315872438952E-16</v>
      </c>
    </row>
    <row r="10652" spans="1:5" x14ac:dyDescent="0.25">
      <c r="A10652">
        <v>13</v>
      </c>
      <c r="B10652">
        <v>12</v>
      </c>
      <c r="C10652">
        <v>18</v>
      </c>
      <c r="D10652">
        <v>5</v>
      </c>
      <c r="E10652">
        <f t="shared" si="166"/>
        <v>8.9626526979511533E-17</v>
      </c>
    </row>
    <row r="10653" spans="1:5" x14ac:dyDescent="0.25">
      <c r="A10653">
        <v>13</v>
      </c>
      <c r="B10653">
        <v>12</v>
      </c>
      <c r="C10653">
        <v>19</v>
      </c>
      <c r="D10653">
        <v>4</v>
      </c>
      <c r="E10653">
        <f t="shared" si="166"/>
        <v>5.2787553484173492E-17</v>
      </c>
    </row>
    <row r="10654" spans="1:5" x14ac:dyDescent="0.25">
      <c r="A10654">
        <v>13</v>
      </c>
      <c r="B10654">
        <v>12</v>
      </c>
      <c r="C10654">
        <v>20</v>
      </c>
      <c r="D10654">
        <v>3</v>
      </c>
      <c r="E10654">
        <f t="shared" si="166"/>
        <v>2.2074795093381659E-17</v>
      </c>
    </row>
    <row r="10655" spans="1:5" x14ac:dyDescent="0.25">
      <c r="A10655">
        <v>13</v>
      </c>
      <c r="B10655">
        <v>12</v>
      </c>
      <c r="C10655">
        <v>21</v>
      </c>
      <c r="D10655">
        <v>2</v>
      </c>
      <c r="E10655">
        <f t="shared" si="166"/>
        <v>6.1699737838644316E-18</v>
      </c>
    </row>
    <row r="10656" spans="1:5" x14ac:dyDescent="0.25">
      <c r="A10656">
        <v>13</v>
      </c>
      <c r="B10656">
        <v>12</v>
      </c>
      <c r="C10656">
        <v>22</v>
      </c>
      <c r="D10656">
        <v>1</v>
      </c>
      <c r="E10656">
        <f t="shared" si="166"/>
        <v>1.0283289639774058E-18</v>
      </c>
    </row>
    <row r="10657" spans="1:5" x14ac:dyDescent="0.25">
      <c r="A10657">
        <v>13</v>
      </c>
      <c r="B10657">
        <v>12</v>
      </c>
      <c r="C10657">
        <v>23</v>
      </c>
      <c r="D10657">
        <v>0</v>
      </c>
      <c r="E10657">
        <f t="shared" si="166"/>
        <v>7.6901122523527724E-20</v>
      </c>
    </row>
    <row r="10658" spans="1:5" x14ac:dyDescent="0.25">
      <c r="A10658">
        <v>13</v>
      </c>
      <c r="B10658">
        <v>13</v>
      </c>
      <c r="C10658">
        <v>0</v>
      </c>
      <c r="D10658">
        <v>22</v>
      </c>
      <c r="E10658">
        <f t="shared" si="166"/>
        <v>1.6597371760295068E-32</v>
      </c>
    </row>
    <row r="10659" spans="1:5" x14ac:dyDescent="0.25">
      <c r="A10659">
        <v>13</v>
      </c>
      <c r="B10659">
        <v>13</v>
      </c>
      <c r="C10659">
        <v>1</v>
      </c>
      <c r="D10659">
        <v>21</v>
      </c>
      <c r="E10659">
        <f t="shared" si="166"/>
        <v>5.9335604043054872E-30</v>
      </c>
    </row>
    <row r="10660" spans="1:5" x14ac:dyDescent="0.25">
      <c r="A10660">
        <v>13</v>
      </c>
      <c r="B10660">
        <v>13</v>
      </c>
      <c r="C10660">
        <v>2</v>
      </c>
      <c r="D10660">
        <v>20</v>
      </c>
      <c r="E10660">
        <f t="shared" si="166"/>
        <v>7.9747051833865725E-28</v>
      </c>
    </row>
    <row r="10661" spans="1:5" x14ac:dyDescent="0.25">
      <c r="A10661">
        <v>13</v>
      </c>
      <c r="B10661">
        <v>13</v>
      </c>
      <c r="C10661">
        <v>3</v>
      </c>
      <c r="D10661">
        <v>19</v>
      </c>
      <c r="E10661">
        <f t="shared" si="166"/>
        <v>5.5822936283706014E-26</v>
      </c>
    </row>
    <row r="10662" spans="1:5" x14ac:dyDescent="0.25">
      <c r="A10662">
        <v>13</v>
      </c>
      <c r="B10662">
        <v>13</v>
      </c>
      <c r="C10662">
        <v>4</v>
      </c>
      <c r="D10662">
        <v>18</v>
      </c>
      <c r="E10662">
        <f t="shared" si="166"/>
        <v>2.3485506765073465E-24</v>
      </c>
    </row>
    <row r="10663" spans="1:5" x14ac:dyDescent="0.25">
      <c r="A10663">
        <v>13</v>
      </c>
      <c r="B10663">
        <v>13</v>
      </c>
      <c r="C10663">
        <v>5</v>
      </c>
      <c r="D10663">
        <v>17</v>
      </c>
      <c r="E10663">
        <f t="shared" si="166"/>
        <v>6.4467716070126657E-23</v>
      </c>
    </row>
    <row r="10664" spans="1:5" x14ac:dyDescent="0.25">
      <c r="A10664">
        <v>13</v>
      </c>
      <c r="B10664">
        <v>13</v>
      </c>
      <c r="C10664">
        <v>6</v>
      </c>
      <c r="D10664">
        <v>16</v>
      </c>
      <c r="E10664">
        <f t="shared" si="166"/>
        <v>1.2177235257690589E-21</v>
      </c>
    </row>
    <row r="10665" spans="1:5" x14ac:dyDescent="0.25">
      <c r="A10665">
        <v>13</v>
      </c>
      <c r="B10665">
        <v>13</v>
      </c>
      <c r="C10665">
        <v>7</v>
      </c>
      <c r="D10665">
        <v>15</v>
      </c>
      <c r="E10665">
        <f t="shared" si="166"/>
        <v>1.6421871547514165E-20</v>
      </c>
    </row>
    <row r="10666" spans="1:5" x14ac:dyDescent="0.25">
      <c r="A10666">
        <v>13</v>
      </c>
      <c r="B10666">
        <v>13</v>
      </c>
      <c r="C10666">
        <v>8</v>
      </c>
      <c r="D10666">
        <v>14</v>
      </c>
      <c r="E10666">
        <f t="shared" si="166"/>
        <v>1.6235259370837871E-19</v>
      </c>
    </row>
    <row r="10667" spans="1:5" x14ac:dyDescent="0.25">
      <c r="A10667">
        <v>13</v>
      </c>
      <c r="B10667">
        <v>13</v>
      </c>
      <c r="C10667">
        <v>9</v>
      </c>
      <c r="D10667">
        <v>13</v>
      </c>
      <c r="E10667">
        <f t="shared" si="166"/>
        <v>1.1996052757341316E-18</v>
      </c>
    </row>
    <row r="10668" spans="1:5" x14ac:dyDescent="0.25">
      <c r="A10668">
        <v>13</v>
      </c>
      <c r="B10668">
        <v>13</v>
      </c>
      <c r="C10668">
        <v>10</v>
      </c>
      <c r="D10668">
        <v>12</v>
      </c>
      <c r="E10668">
        <f t="shared" si="166"/>
        <v>6.7177895441111384E-18</v>
      </c>
    </row>
    <row r="10669" spans="1:5" x14ac:dyDescent="0.25">
      <c r="A10669">
        <v>13</v>
      </c>
      <c r="B10669">
        <v>13</v>
      </c>
      <c r="C10669">
        <v>11</v>
      </c>
      <c r="D10669">
        <v>11</v>
      </c>
      <c r="E10669">
        <f t="shared" si="166"/>
        <v>2.8790526617619159E-17</v>
      </c>
    </row>
    <row r="10670" spans="1:5" x14ac:dyDescent="0.25">
      <c r="A10670">
        <v>13</v>
      </c>
      <c r="B10670">
        <v>13</v>
      </c>
      <c r="C10670">
        <v>12</v>
      </c>
      <c r="D10670">
        <v>10</v>
      </c>
      <c r="E10670">
        <f t="shared" si="166"/>
        <v>9.5008737838143164E-17</v>
      </c>
    </row>
    <row r="10671" spans="1:5" x14ac:dyDescent="0.25">
      <c r="A10671">
        <v>13</v>
      </c>
      <c r="B10671">
        <v>13</v>
      </c>
      <c r="C10671">
        <v>13</v>
      </c>
      <c r="D10671">
        <v>9</v>
      </c>
      <c r="E10671">
        <f t="shared" si="166"/>
        <v>2.4208957237603804E-16</v>
      </c>
    </row>
    <row r="10672" spans="1:5" x14ac:dyDescent="0.25">
      <c r="A10672">
        <v>13</v>
      </c>
      <c r="B10672">
        <v>13</v>
      </c>
      <c r="C10672">
        <v>14</v>
      </c>
      <c r="D10672">
        <v>8</v>
      </c>
      <c r="E10672">
        <f t="shared" si="166"/>
        <v>4.7604168013439412E-16</v>
      </c>
    </row>
    <row r="10673" spans="1:5" x14ac:dyDescent="0.25">
      <c r="A10673">
        <v>13</v>
      </c>
      <c r="B10673">
        <v>13</v>
      </c>
      <c r="C10673">
        <v>15</v>
      </c>
      <c r="D10673">
        <v>7</v>
      </c>
      <c r="E10673">
        <f t="shared" si="166"/>
        <v>7.1935187220308429E-16</v>
      </c>
    </row>
    <row r="10674" spans="1:5" x14ac:dyDescent="0.25">
      <c r="A10674">
        <v>13</v>
      </c>
      <c r="B10674">
        <v>13</v>
      </c>
      <c r="C10674">
        <v>16</v>
      </c>
      <c r="D10674">
        <v>6</v>
      </c>
      <c r="E10674">
        <f t="shared" si="166"/>
        <v>8.2820116865486654E-16</v>
      </c>
    </row>
    <row r="10675" spans="1:5" x14ac:dyDescent="0.25">
      <c r="A10675">
        <v>13</v>
      </c>
      <c r="B10675">
        <v>13</v>
      </c>
      <c r="C10675">
        <v>17</v>
      </c>
      <c r="D10675">
        <v>5</v>
      </c>
      <c r="E10675">
        <f t="shared" si="166"/>
        <v>7.1615042230744392E-16</v>
      </c>
    </row>
    <row r="10676" spans="1:5" x14ac:dyDescent="0.25">
      <c r="A10676">
        <v>13</v>
      </c>
      <c r="B10676">
        <v>13</v>
      </c>
      <c r="C10676">
        <v>18</v>
      </c>
      <c r="D10676">
        <v>4</v>
      </c>
      <c r="E10676">
        <f t="shared" si="166"/>
        <v>4.5469868083012278E-16</v>
      </c>
    </row>
    <row r="10677" spans="1:5" x14ac:dyDescent="0.25">
      <c r="A10677">
        <v>13</v>
      </c>
      <c r="B10677">
        <v>13</v>
      </c>
      <c r="C10677">
        <v>19</v>
      </c>
      <c r="D10677">
        <v>3</v>
      </c>
      <c r="E10677">
        <f t="shared" si="166"/>
        <v>2.0450562678484E-16</v>
      </c>
    </row>
    <row r="10678" spans="1:5" x14ac:dyDescent="0.25">
      <c r="A10678">
        <v>13</v>
      </c>
      <c r="B10678">
        <v>13</v>
      </c>
      <c r="C10678">
        <v>20</v>
      </c>
      <c r="D10678">
        <v>2</v>
      </c>
      <c r="E10678">
        <f t="shared" si="166"/>
        <v>6.135168803545204E-17</v>
      </c>
    </row>
    <row r="10679" spans="1:5" x14ac:dyDescent="0.25">
      <c r="A10679">
        <v>13</v>
      </c>
      <c r="B10679">
        <v>13</v>
      </c>
      <c r="C10679">
        <v>21</v>
      </c>
      <c r="D10679">
        <v>1</v>
      </c>
      <c r="E10679">
        <f t="shared" si="166"/>
        <v>1.095565857775928E-17</v>
      </c>
    </row>
    <row r="10680" spans="1:5" x14ac:dyDescent="0.25">
      <c r="A10680">
        <v>13</v>
      </c>
      <c r="B10680">
        <v>13</v>
      </c>
      <c r="C10680">
        <v>22</v>
      </c>
      <c r="D10680">
        <v>0</v>
      </c>
      <c r="E10680">
        <f t="shared" si="166"/>
        <v>8.7645268622074302E-19</v>
      </c>
    </row>
    <row r="10681" spans="1:5" x14ac:dyDescent="0.25">
      <c r="A10681">
        <v>13</v>
      </c>
      <c r="B10681">
        <v>14</v>
      </c>
      <c r="C10681">
        <v>0</v>
      </c>
      <c r="D10681">
        <v>21</v>
      </c>
      <c r="E10681">
        <f t="shared" si="166"/>
        <v>1.7996293094377082E-30</v>
      </c>
    </row>
    <row r="10682" spans="1:5" x14ac:dyDescent="0.25">
      <c r="A10682">
        <v>13</v>
      </c>
      <c r="B10682">
        <v>14</v>
      </c>
      <c r="C10682">
        <v>1</v>
      </c>
      <c r="D10682">
        <v>20</v>
      </c>
      <c r="E10682">
        <f t="shared" si="166"/>
        <v>4.9129880147649421E-28</v>
      </c>
    </row>
    <row r="10683" spans="1:5" x14ac:dyDescent="0.25">
      <c r="A10683">
        <v>13</v>
      </c>
      <c r="B10683">
        <v>14</v>
      </c>
      <c r="C10683">
        <v>2</v>
      </c>
      <c r="D10683">
        <v>19</v>
      </c>
      <c r="E10683">
        <f t="shared" si="166"/>
        <v>5.2405205490826039E-26</v>
      </c>
    </row>
    <row r="10684" spans="1:5" x14ac:dyDescent="0.25">
      <c r="A10684">
        <v>13</v>
      </c>
      <c r="B10684">
        <v>14</v>
      </c>
      <c r="C10684">
        <v>3</v>
      </c>
      <c r="D10684">
        <v>18</v>
      </c>
      <c r="E10684">
        <f t="shared" si="166"/>
        <v>2.9870967129770857E-24</v>
      </c>
    </row>
    <row r="10685" spans="1:5" x14ac:dyDescent="0.25">
      <c r="A10685">
        <v>13</v>
      </c>
      <c r="B10685">
        <v>14</v>
      </c>
      <c r="C10685">
        <v>4</v>
      </c>
      <c r="D10685">
        <v>17</v>
      </c>
      <c r="E10685">
        <f t="shared" si="166"/>
        <v>1.0417499786507585E-22</v>
      </c>
    </row>
    <row r="10686" spans="1:5" x14ac:dyDescent="0.25">
      <c r="A10686">
        <v>13</v>
      </c>
      <c r="B10686">
        <v>14</v>
      </c>
      <c r="C10686">
        <v>5</v>
      </c>
      <c r="D10686">
        <v>16</v>
      </c>
      <c r="E10686">
        <f t="shared" si="166"/>
        <v>2.4006549508018587E-21</v>
      </c>
    </row>
    <row r="10687" spans="1:5" x14ac:dyDescent="0.25">
      <c r="A10687">
        <v>13</v>
      </c>
      <c r="B10687">
        <v>14</v>
      </c>
      <c r="C10687">
        <v>6</v>
      </c>
      <c r="D10687">
        <v>15</v>
      </c>
      <c r="E10687">
        <f t="shared" si="166"/>
        <v>3.8410479212829734E-20</v>
      </c>
    </row>
    <row r="10688" spans="1:5" x14ac:dyDescent="0.25">
      <c r="A10688">
        <v>13</v>
      </c>
      <c r="B10688">
        <v>14</v>
      </c>
      <c r="C10688">
        <v>7</v>
      </c>
      <c r="D10688">
        <v>14</v>
      </c>
      <c r="E10688">
        <f t="shared" si="166"/>
        <v>4.4147109225135478E-19</v>
      </c>
    </row>
    <row r="10689" spans="1:5" x14ac:dyDescent="0.25">
      <c r="A10689">
        <v>13</v>
      </c>
      <c r="B10689">
        <v>14</v>
      </c>
      <c r="C10689">
        <v>8</v>
      </c>
      <c r="D10689">
        <v>13</v>
      </c>
      <c r="E10689">
        <f t="shared" si="166"/>
        <v>3.7341096552927111E-18</v>
      </c>
    </row>
    <row r="10690" spans="1:5" x14ac:dyDescent="0.25">
      <c r="A10690">
        <v>13</v>
      </c>
      <c r="B10690">
        <v>14</v>
      </c>
      <c r="C10690">
        <v>9</v>
      </c>
      <c r="D10690">
        <v>12</v>
      </c>
      <c r="E10690">
        <f t="shared" si="166"/>
        <v>2.3649361150187165E-17</v>
      </c>
    </row>
    <row r="10691" spans="1:5" x14ac:dyDescent="0.25">
      <c r="A10691">
        <v>13</v>
      </c>
      <c r="B10691">
        <v>14</v>
      </c>
      <c r="C10691">
        <v>10</v>
      </c>
      <c r="D10691">
        <v>11</v>
      </c>
      <c r="E10691">
        <f t="shared" si="166"/>
        <v>1.135169335208984E-16</v>
      </c>
    </row>
    <row r="10692" spans="1:5" x14ac:dyDescent="0.25">
      <c r="A10692">
        <v>13</v>
      </c>
      <c r="B10692">
        <v>14</v>
      </c>
      <c r="C10692">
        <v>11</v>
      </c>
      <c r="D10692">
        <v>10</v>
      </c>
      <c r="E10692">
        <f t="shared" si="166"/>
        <v>4.1622875624329408E-16</v>
      </c>
    </row>
    <row r="10693" spans="1:5" x14ac:dyDescent="0.25">
      <c r="A10693">
        <v>13</v>
      </c>
      <c r="B10693">
        <v>14</v>
      </c>
      <c r="C10693">
        <v>12</v>
      </c>
      <c r="D10693">
        <v>9</v>
      </c>
      <c r="E10693">
        <f t="shared" si="166"/>
        <v>1.1706433769342641E-15</v>
      </c>
    </row>
    <row r="10694" spans="1:5" x14ac:dyDescent="0.25">
      <c r="A10694">
        <v>13</v>
      </c>
      <c r="B10694">
        <v>14</v>
      </c>
      <c r="C10694">
        <v>13</v>
      </c>
      <c r="D10694">
        <v>8</v>
      </c>
      <c r="E10694">
        <f t="shared" si="166"/>
        <v>2.5266827637902453E-15</v>
      </c>
    </row>
    <row r="10695" spans="1:5" x14ac:dyDescent="0.25">
      <c r="A10695">
        <v>13</v>
      </c>
      <c r="B10695">
        <v>14</v>
      </c>
      <c r="C10695">
        <v>14</v>
      </c>
      <c r="D10695">
        <v>7</v>
      </c>
      <c r="E10695">
        <f t="shared" si="166"/>
        <v>4.1710318640346921E-15</v>
      </c>
    </row>
    <row r="10696" spans="1:5" x14ac:dyDescent="0.25">
      <c r="A10696">
        <v>13</v>
      </c>
      <c r="B10696">
        <v>14</v>
      </c>
      <c r="C10696">
        <v>15</v>
      </c>
      <c r="D10696">
        <v>6</v>
      </c>
      <c r="E10696">
        <f t="shared" si="166"/>
        <v>5.2247662296855575E-15</v>
      </c>
    </row>
    <row r="10697" spans="1:5" x14ac:dyDescent="0.25">
      <c r="A10697">
        <v>13</v>
      </c>
      <c r="B10697">
        <v>14</v>
      </c>
      <c r="C10697">
        <v>16</v>
      </c>
      <c r="D10697">
        <v>5</v>
      </c>
      <c r="E10697">
        <f t="shared" si="166"/>
        <v>4.8982183403302113E-15</v>
      </c>
    </row>
    <row r="10698" spans="1:5" x14ac:dyDescent="0.25">
      <c r="A10698">
        <v>13</v>
      </c>
      <c r="B10698">
        <v>14</v>
      </c>
      <c r="C10698">
        <v>17</v>
      </c>
      <c r="D10698">
        <v>4</v>
      </c>
      <c r="E10698">
        <f t="shared" si="166"/>
        <v>3.3615223904226967E-15</v>
      </c>
    </row>
    <row r="10699" spans="1:5" x14ac:dyDescent="0.25">
      <c r="A10699">
        <v>13</v>
      </c>
      <c r="B10699">
        <v>14</v>
      </c>
      <c r="C10699">
        <v>18</v>
      </c>
      <c r="D10699">
        <v>3</v>
      </c>
      <c r="E10699">
        <f t="shared" si="166"/>
        <v>1.6298290377806997E-15</v>
      </c>
    </row>
    <row r="10700" spans="1:5" x14ac:dyDescent="0.25">
      <c r="A10700">
        <v>13</v>
      </c>
      <c r="B10700">
        <v>14</v>
      </c>
      <c r="C10700">
        <v>19</v>
      </c>
      <c r="D10700">
        <v>2</v>
      </c>
      <c r="E10700">
        <f t="shared" si="166"/>
        <v>5.2587161173244565E-16</v>
      </c>
    </row>
    <row r="10701" spans="1:5" x14ac:dyDescent="0.25">
      <c r="A10701">
        <v>13</v>
      </c>
      <c r="B10701">
        <v>14</v>
      </c>
      <c r="C10701">
        <v>20</v>
      </c>
      <c r="D10701">
        <v>1</v>
      </c>
      <c r="E10701">
        <f t="shared" si="166"/>
        <v>1.0079205891538551E-16</v>
      </c>
    </row>
    <row r="10702" spans="1:5" x14ac:dyDescent="0.25">
      <c r="A10702">
        <v>13</v>
      </c>
      <c r="B10702">
        <v>14</v>
      </c>
      <c r="C10702">
        <v>21</v>
      </c>
      <c r="D10702">
        <v>0</v>
      </c>
      <c r="E10702">
        <f t="shared" ref="E10702:E10765" si="167">COMBIN(A$4,A10702)*COMBIN(B$4,B10702)*COMBIN(C$4,C10702)*COMBIN(D$4,D10702)/COMBIN($G$4,$F$4)</f>
        <v>8.63931933560446E-18</v>
      </c>
    </row>
    <row r="10703" spans="1:5" x14ac:dyDescent="0.25">
      <c r="A10703">
        <v>13</v>
      </c>
      <c r="B10703">
        <v>15</v>
      </c>
      <c r="C10703">
        <v>0</v>
      </c>
      <c r="D10703">
        <v>20</v>
      </c>
      <c r="E10703">
        <f t="shared" si="167"/>
        <v>1.3857145682670347E-28</v>
      </c>
    </row>
    <row r="10704" spans="1:5" x14ac:dyDescent="0.25">
      <c r="A10704">
        <v>13</v>
      </c>
      <c r="B10704">
        <v>15</v>
      </c>
      <c r="C10704">
        <v>1</v>
      </c>
      <c r="D10704">
        <v>19</v>
      </c>
      <c r="E10704">
        <f t="shared" si="167"/>
        <v>3.0023815645785754E-26</v>
      </c>
    </row>
    <row r="10705" spans="1:5" x14ac:dyDescent="0.25">
      <c r="A10705">
        <v>13</v>
      </c>
      <c r="B10705">
        <v>15</v>
      </c>
      <c r="C10705">
        <v>2</v>
      </c>
      <c r="D10705">
        <v>18</v>
      </c>
      <c r="E10705">
        <f t="shared" si="167"/>
        <v>2.6077828446625353E-24</v>
      </c>
    </row>
    <row r="10706" spans="1:5" x14ac:dyDescent="0.25">
      <c r="A10706">
        <v>13</v>
      </c>
      <c r="B10706">
        <v>15</v>
      </c>
      <c r="C10706">
        <v>3</v>
      </c>
      <c r="D10706">
        <v>17</v>
      </c>
      <c r="E10706">
        <f t="shared" si="167"/>
        <v>1.2321773941030474E-22</v>
      </c>
    </row>
    <row r="10707" spans="1:5" x14ac:dyDescent="0.25">
      <c r="A10707">
        <v>13</v>
      </c>
      <c r="B10707">
        <v>15</v>
      </c>
      <c r="C10707">
        <v>4</v>
      </c>
      <c r="D10707">
        <v>16</v>
      </c>
      <c r="E10707">
        <f t="shared" si="167"/>
        <v>3.6075415927350336E-21</v>
      </c>
    </row>
    <row r="10708" spans="1:5" x14ac:dyDescent="0.25">
      <c r="A10708">
        <v>13</v>
      </c>
      <c r="B10708">
        <v>15</v>
      </c>
      <c r="C10708">
        <v>5</v>
      </c>
      <c r="D10708">
        <v>15</v>
      </c>
      <c r="E10708">
        <f t="shared" si="167"/>
        <v>7.0419211890187849E-20</v>
      </c>
    </row>
    <row r="10709" spans="1:5" x14ac:dyDescent="0.25">
      <c r="A10709">
        <v>13</v>
      </c>
      <c r="B10709">
        <v>15</v>
      </c>
      <c r="C10709">
        <v>6</v>
      </c>
      <c r="D10709">
        <v>14</v>
      </c>
      <c r="E10709">
        <f t="shared" si="167"/>
        <v>9.6026198032074351E-19</v>
      </c>
    </row>
    <row r="10710" spans="1:5" x14ac:dyDescent="0.25">
      <c r="A10710">
        <v>13</v>
      </c>
      <c r="B10710">
        <v>15</v>
      </c>
      <c r="C10710">
        <v>7</v>
      </c>
      <c r="D10710">
        <v>13</v>
      </c>
      <c r="E10710">
        <f t="shared" si="167"/>
        <v>9.4425761398206453E-18</v>
      </c>
    </row>
    <row r="10711" spans="1:5" x14ac:dyDescent="0.25">
      <c r="A10711">
        <v>13</v>
      </c>
      <c r="B10711">
        <v>15</v>
      </c>
      <c r="C10711">
        <v>8</v>
      </c>
      <c r="D10711">
        <v>12</v>
      </c>
      <c r="E10711">
        <f t="shared" si="167"/>
        <v>6.8458677013699705E-17</v>
      </c>
    </row>
    <row r="10712" spans="1:5" x14ac:dyDescent="0.25">
      <c r="A10712">
        <v>13</v>
      </c>
      <c r="B10712">
        <v>15</v>
      </c>
      <c r="C10712">
        <v>9</v>
      </c>
      <c r="D10712">
        <v>11</v>
      </c>
      <c r="E10712">
        <f t="shared" si="167"/>
        <v>3.7163281807436965E-16</v>
      </c>
    </row>
    <row r="10713" spans="1:5" x14ac:dyDescent="0.25">
      <c r="A10713">
        <v>13</v>
      </c>
      <c r="B10713">
        <v>15</v>
      </c>
      <c r="C10713">
        <v>10</v>
      </c>
      <c r="D10713">
        <v>10</v>
      </c>
      <c r="E10713">
        <f t="shared" si="167"/>
        <v>1.5261721062254113E-15</v>
      </c>
    </row>
    <row r="10714" spans="1:5" x14ac:dyDescent="0.25">
      <c r="A10714">
        <v>13</v>
      </c>
      <c r="B10714">
        <v>15</v>
      </c>
      <c r="C10714">
        <v>11</v>
      </c>
      <c r="D10714">
        <v>9</v>
      </c>
      <c r="E10714">
        <f t="shared" si="167"/>
        <v>4.7692878319544118E-15</v>
      </c>
    </row>
    <row r="10715" spans="1:5" x14ac:dyDescent="0.25">
      <c r="A10715">
        <v>13</v>
      </c>
      <c r="B10715">
        <v>15</v>
      </c>
      <c r="C10715">
        <v>12</v>
      </c>
      <c r="D10715">
        <v>8</v>
      </c>
      <c r="E10715">
        <f t="shared" si="167"/>
        <v>1.1362126893773739E-14</v>
      </c>
    </row>
    <row r="10716" spans="1:5" x14ac:dyDescent="0.25">
      <c r="A10716">
        <v>13</v>
      </c>
      <c r="B10716">
        <v>15</v>
      </c>
      <c r="C10716">
        <v>13</v>
      </c>
      <c r="D10716">
        <v>7</v>
      </c>
      <c r="E10716">
        <f t="shared" si="167"/>
        <v>2.0587785482735333E-14</v>
      </c>
    </row>
    <row r="10717" spans="1:5" x14ac:dyDescent="0.25">
      <c r="A10717">
        <v>13</v>
      </c>
      <c r="B10717">
        <v>15</v>
      </c>
      <c r="C10717">
        <v>14</v>
      </c>
      <c r="D10717">
        <v>6</v>
      </c>
      <c r="E10717">
        <f t="shared" si="167"/>
        <v>2.8172759081637817E-14</v>
      </c>
    </row>
    <row r="10718" spans="1:5" x14ac:dyDescent="0.25">
      <c r="A10718">
        <v>13</v>
      </c>
      <c r="B10718">
        <v>15</v>
      </c>
      <c r="C10718">
        <v>15</v>
      </c>
      <c r="D10718">
        <v>5</v>
      </c>
      <c r="E10718">
        <f t="shared" si="167"/>
        <v>2.8736214263270563E-14</v>
      </c>
    </row>
    <row r="10719" spans="1:5" x14ac:dyDescent="0.25">
      <c r="A10719">
        <v>13</v>
      </c>
      <c r="B10719">
        <v>15</v>
      </c>
      <c r="C10719">
        <v>16</v>
      </c>
      <c r="D10719">
        <v>4</v>
      </c>
      <c r="E10719">
        <f t="shared" si="167"/>
        <v>2.1381111803028703E-14</v>
      </c>
    </row>
    <row r="10720" spans="1:5" x14ac:dyDescent="0.25">
      <c r="A10720">
        <v>13</v>
      </c>
      <c r="B10720">
        <v>15</v>
      </c>
      <c r="C10720">
        <v>17</v>
      </c>
      <c r="D10720">
        <v>3</v>
      </c>
      <c r="E10720">
        <f t="shared" si="167"/>
        <v>1.120507463474232E-14</v>
      </c>
    </row>
    <row r="10721" spans="1:5" x14ac:dyDescent="0.25">
      <c r="A10721">
        <v>13</v>
      </c>
      <c r="B10721">
        <v>15</v>
      </c>
      <c r="C10721">
        <v>18</v>
      </c>
      <c r="D10721">
        <v>2</v>
      </c>
      <c r="E10721">
        <f t="shared" si="167"/>
        <v>3.8974172642581945E-15</v>
      </c>
    </row>
    <row r="10722" spans="1:5" x14ac:dyDescent="0.25">
      <c r="A10722">
        <v>13</v>
      </c>
      <c r="B10722">
        <v>15</v>
      </c>
      <c r="C10722">
        <v>19</v>
      </c>
      <c r="D10722">
        <v>1</v>
      </c>
      <c r="E10722">
        <f t="shared" si="167"/>
        <v>8.0341496236901405E-16</v>
      </c>
    </row>
    <row r="10723" spans="1:5" x14ac:dyDescent="0.25">
      <c r="A10723">
        <v>13</v>
      </c>
      <c r="B10723">
        <v>15</v>
      </c>
      <c r="C10723">
        <v>20</v>
      </c>
      <c r="D10723">
        <v>0</v>
      </c>
      <c r="E10723">
        <f t="shared" si="167"/>
        <v>7.3914176537949356E-17</v>
      </c>
    </row>
    <row r="10724" spans="1:5" x14ac:dyDescent="0.25">
      <c r="A10724">
        <v>13</v>
      </c>
      <c r="B10724">
        <v>16</v>
      </c>
      <c r="C10724">
        <v>0</v>
      </c>
      <c r="D10724">
        <v>19</v>
      </c>
      <c r="E10724">
        <f t="shared" si="167"/>
        <v>7.9101206605243224E-27</v>
      </c>
    </row>
    <row r="10725" spans="1:5" x14ac:dyDescent="0.25">
      <c r="A10725">
        <v>13</v>
      </c>
      <c r="B10725">
        <v>16</v>
      </c>
      <c r="C10725">
        <v>1</v>
      </c>
      <c r="D10725">
        <v>18</v>
      </c>
      <c r="E10725">
        <f t="shared" si="167"/>
        <v>1.3955712879639347E-24</v>
      </c>
    </row>
    <row r="10726" spans="1:5" x14ac:dyDescent="0.25">
      <c r="A10726">
        <v>13</v>
      </c>
      <c r="B10726">
        <v>16</v>
      </c>
      <c r="C10726">
        <v>2</v>
      </c>
      <c r="D10726">
        <v>17</v>
      </c>
      <c r="E10726">
        <f t="shared" si="167"/>
        <v>1.0048113273340328E-22</v>
      </c>
    </row>
    <row r="10727" spans="1:5" x14ac:dyDescent="0.25">
      <c r="A10727">
        <v>13</v>
      </c>
      <c r="B10727">
        <v>16</v>
      </c>
      <c r="C10727">
        <v>3</v>
      </c>
      <c r="D10727">
        <v>16</v>
      </c>
      <c r="E10727">
        <f t="shared" si="167"/>
        <v>3.9857515984249965E-21</v>
      </c>
    </row>
    <row r="10728" spans="1:5" x14ac:dyDescent="0.25">
      <c r="A10728">
        <v>13</v>
      </c>
      <c r="B10728">
        <v>16</v>
      </c>
      <c r="C10728">
        <v>4</v>
      </c>
      <c r="D10728">
        <v>15</v>
      </c>
      <c r="E10728">
        <f t="shared" si="167"/>
        <v>9.8846639640939906E-20</v>
      </c>
    </row>
    <row r="10729" spans="1:5" x14ac:dyDescent="0.25">
      <c r="A10729">
        <v>13</v>
      </c>
      <c r="B10729">
        <v>16</v>
      </c>
      <c r="C10729">
        <v>5</v>
      </c>
      <c r="D10729">
        <v>14</v>
      </c>
      <c r="E10729">
        <f t="shared" si="167"/>
        <v>1.6444486412992732E-18</v>
      </c>
    </row>
    <row r="10730" spans="1:5" x14ac:dyDescent="0.25">
      <c r="A10730">
        <v>13</v>
      </c>
      <c r="B10730">
        <v>16</v>
      </c>
      <c r="C10730">
        <v>6</v>
      </c>
      <c r="D10730">
        <v>13</v>
      </c>
      <c r="E10730">
        <f t="shared" si="167"/>
        <v>1.9185234148491523E-17</v>
      </c>
    </row>
    <row r="10731" spans="1:5" x14ac:dyDescent="0.25">
      <c r="A10731">
        <v>13</v>
      </c>
      <c r="B10731">
        <v>16</v>
      </c>
      <c r="C10731">
        <v>7</v>
      </c>
      <c r="D10731">
        <v>12</v>
      </c>
      <c r="E10731">
        <f t="shared" si="167"/>
        <v>1.6170411639442854E-16</v>
      </c>
    </row>
    <row r="10732" spans="1:5" x14ac:dyDescent="0.25">
      <c r="A10732">
        <v>13</v>
      </c>
      <c r="B10732">
        <v>16</v>
      </c>
      <c r="C10732">
        <v>8</v>
      </c>
      <c r="D10732">
        <v>11</v>
      </c>
      <c r="E10732">
        <f t="shared" si="167"/>
        <v>1.0048755804510916E-15</v>
      </c>
    </row>
    <row r="10733" spans="1:5" x14ac:dyDescent="0.25">
      <c r="A10733">
        <v>13</v>
      </c>
      <c r="B10733">
        <v>16</v>
      </c>
      <c r="C10733">
        <v>9</v>
      </c>
      <c r="D10733">
        <v>10</v>
      </c>
      <c r="E10733">
        <f t="shared" si="167"/>
        <v>4.6670888069839577E-15</v>
      </c>
    </row>
    <row r="10734" spans="1:5" x14ac:dyDescent="0.25">
      <c r="A10734">
        <v>13</v>
      </c>
      <c r="B10734">
        <v>16</v>
      </c>
      <c r="C10734">
        <v>10</v>
      </c>
      <c r="D10734">
        <v>9</v>
      </c>
      <c r="E10734">
        <f t="shared" si="167"/>
        <v>1.6334810824443855E-14</v>
      </c>
    </row>
    <row r="10735" spans="1:5" x14ac:dyDescent="0.25">
      <c r="A10735">
        <v>13</v>
      </c>
      <c r="B10735">
        <v>16</v>
      </c>
      <c r="C10735">
        <v>11</v>
      </c>
      <c r="D10735">
        <v>8</v>
      </c>
      <c r="E10735">
        <f t="shared" si="167"/>
        <v>4.323920512352786E-14</v>
      </c>
    </row>
    <row r="10736" spans="1:5" x14ac:dyDescent="0.25">
      <c r="A10736">
        <v>13</v>
      </c>
      <c r="B10736">
        <v>16</v>
      </c>
      <c r="C10736">
        <v>12</v>
      </c>
      <c r="D10736">
        <v>7</v>
      </c>
      <c r="E10736">
        <f t="shared" si="167"/>
        <v>8.6478410247055695E-14</v>
      </c>
    </row>
    <row r="10737" spans="1:5" x14ac:dyDescent="0.25">
      <c r="A10737">
        <v>13</v>
      </c>
      <c r="B10737">
        <v>16</v>
      </c>
      <c r="C10737">
        <v>13</v>
      </c>
      <c r="D10737">
        <v>6</v>
      </c>
      <c r="E10737">
        <f t="shared" si="167"/>
        <v>1.298926728812051E-13</v>
      </c>
    </row>
    <row r="10738" spans="1:5" x14ac:dyDescent="0.25">
      <c r="A10738">
        <v>13</v>
      </c>
      <c r="B10738">
        <v>16</v>
      </c>
      <c r="C10738">
        <v>14</v>
      </c>
      <c r="D10738">
        <v>5</v>
      </c>
      <c r="E10738">
        <f t="shared" si="167"/>
        <v>1.4473754978191429E-13</v>
      </c>
    </row>
    <row r="10739" spans="1:5" x14ac:dyDescent="0.25">
      <c r="A10739">
        <v>13</v>
      </c>
      <c r="B10739">
        <v>16</v>
      </c>
      <c r="C10739">
        <v>15</v>
      </c>
      <c r="D10739">
        <v>4</v>
      </c>
      <c r="E10739">
        <f t="shared" si="167"/>
        <v>1.1716849268059727E-13</v>
      </c>
    </row>
    <row r="10740" spans="1:5" x14ac:dyDescent="0.25">
      <c r="A10740">
        <v>13</v>
      </c>
      <c r="B10740">
        <v>16</v>
      </c>
      <c r="C10740">
        <v>16</v>
      </c>
      <c r="D10740">
        <v>3</v>
      </c>
      <c r="E10740">
        <f t="shared" si="167"/>
        <v>6.6573007204884818E-14</v>
      </c>
    </row>
    <row r="10741" spans="1:5" x14ac:dyDescent="0.25">
      <c r="A10741">
        <v>13</v>
      </c>
      <c r="B10741">
        <v>16</v>
      </c>
      <c r="C10741">
        <v>17</v>
      </c>
      <c r="D10741">
        <v>2</v>
      </c>
      <c r="E10741">
        <f t="shared" si="167"/>
        <v>2.5028726493908117E-14</v>
      </c>
    </row>
    <row r="10742" spans="1:5" x14ac:dyDescent="0.25">
      <c r="A10742">
        <v>13</v>
      </c>
      <c r="B10742">
        <v>16</v>
      </c>
      <c r="C10742">
        <v>18</v>
      </c>
      <c r="D10742">
        <v>1</v>
      </c>
      <c r="E10742">
        <f t="shared" si="167"/>
        <v>5.5619392208684648E-15</v>
      </c>
    </row>
    <row r="10743" spans="1:5" x14ac:dyDescent="0.25">
      <c r="A10743">
        <v>13</v>
      </c>
      <c r="B10743">
        <v>16</v>
      </c>
      <c r="C10743">
        <v>19</v>
      </c>
      <c r="D10743">
        <v>0</v>
      </c>
      <c r="E10743">
        <f t="shared" si="167"/>
        <v>5.5033924922277462E-16</v>
      </c>
    </row>
    <row r="10744" spans="1:5" x14ac:dyDescent="0.25">
      <c r="A10744">
        <v>13</v>
      </c>
      <c r="B10744">
        <v>17</v>
      </c>
      <c r="C10744">
        <v>0</v>
      </c>
      <c r="D10744">
        <v>18</v>
      </c>
      <c r="E10744">
        <f t="shared" si="167"/>
        <v>3.4478820055579574E-25</v>
      </c>
    </row>
    <row r="10745" spans="1:5" x14ac:dyDescent="0.25">
      <c r="A10745">
        <v>13</v>
      </c>
      <c r="B10745">
        <v>17</v>
      </c>
      <c r="C10745">
        <v>1</v>
      </c>
      <c r="D10745">
        <v>17</v>
      </c>
      <c r="E10745">
        <f t="shared" si="167"/>
        <v>5.0425274331285111E-23</v>
      </c>
    </row>
    <row r="10746" spans="1:5" x14ac:dyDescent="0.25">
      <c r="A10746">
        <v>13</v>
      </c>
      <c r="B10746">
        <v>17</v>
      </c>
      <c r="C10746">
        <v>2</v>
      </c>
      <c r="D10746">
        <v>16</v>
      </c>
      <c r="E10746">
        <f t="shared" si="167"/>
        <v>3.0479276929132332E-21</v>
      </c>
    </row>
    <row r="10747" spans="1:5" x14ac:dyDescent="0.25">
      <c r="A10747">
        <v>13</v>
      </c>
      <c r="B10747">
        <v>17</v>
      </c>
      <c r="C10747">
        <v>3</v>
      </c>
      <c r="D10747">
        <v>15</v>
      </c>
      <c r="E10747">
        <f t="shared" si="167"/>
        <v>1.0241037048188464E-19</v>
      </c>
    </row>
    <row r="10748" spans="1:5" x14ac:dyDescent="0.25">
      <c r="A10748">
        <v>13</v>
      </c>
      <c r="B10748">
        <v>17</v>
      </c>
      <c r="C10748">
        <v>4</v>
      </c>
      <c r="D10748">
        <v>14</v>
      </c>
      <c r="E10748">
        <f t="shared" si="167"/>
        <v>2.1645828306398346E-18</v>
      </c>
    </row>
    <row r="10749" spans="1:5" x14ac:dyDescent="0.25">
      <c r="A10749">
        <v>13</v>
      </c>
      <c r="B10749">
        <v>17</v>
      </c>
      <c r="C10749">
        <v>5</v>
      </c>
      <c r="D10749">
        <v>13</v>
      </c>
      <c r="E10749">
        <f t="shared" si="167"/>
        <v>3.0809228956106988E-17</v>
      </c>
    </row>
    <row r="10750" spans="1:5" x14ac:dyDescent="0.25">
      <c r="A10750">
        <v>13</v>
      </c>
      <c r="B10750">
        <v>17</v>
      </c>
      <c r="C10750">
        <v>6</v>
      </c>
      <c r="D10750">
        <v>12</v>
      </c>
      <c r="E10750">
        <f t="shared" si="167"/>
        <v>3.0809228956106988E-16</v>
      </c>
    </row>
    <row r="10751" spans="1:5" x14ac:dyDescent="0.25">
      <c r="A10751">
        <v>13</v>
      </c>
      <c r="B10751">
        <v>17</v>
      </c>
      <c r="C10751">
        <v>7</v>
      </c>
      <c r="D10751">
        <v>11</v>
      </c>
      <c r="E10751">
        <f t="shared" si="167"/>
        <v>2.2258096021350759E-15</v>
      </c>
    </row>
    <row r="10752" spans="1:5" x14ac:dyDescent="0.25">
      <c r="A10752">
        <v>13</v>
      </c>
      <c r="B10752">
        <v>17</v>
      </c>
      <c r="C10752">
        <v>8</v>
      </c>
      <c r="D10752">
        <v>10</v>
      </c>
      <c r="E10752">
        <f t="shared" si="167"/>
        <v>1.1833887718018153E-14</v>
      </c>
    </row>
    <row r="10753" spans="1:5" x14ac:dyDescent="0.25">
      <c r="A10753">
        <v>13</v>
      </c>
      <c r="B10753">
        <v>17</v>
      </c>
      <c r="C10753">
        <v>9</v>
      </c>
      <c r="D10753">
        <v>9</v>
      </c>
      <c r="E10753">
        <f t="shared" si="167"/>
        <v>4.684247221715519E-14</v>
      </c>
    </row>
    <row r="10754" spans="1:5" x14ac:dyDescent="0.25">
      <c r="A10754">
        <v>13</v>
      </c>
      <c r="B10754">
        <v>17</v>
      </c>
      <c r="C10754">
        <v>10</v>
      </c>
      <c r="D10754">
        <v>8</v>
      </c>
      <c r="E10754">
        <f t="shared" si="167"/>
        <v>1.3887415292615421E-13</v>
      </c>
    </row>
    <row r="10755" spans="1:5" x14ac:dyDescent="0.25">
      <c r="A10755">
        <v>13</v>
      </c>
      <c r="B10755">
        <v>17</v>
      </c>
      <c r="C10755">
        <v>11</v>
      </c>
      <c r="D10755">
        <v>7</v>
      </c>
      <c r="E10755">
        <f t="shared" si="167"/>
        <v>3.0860922872478722E-13</v>
      </c>
    </row>
    <row r="10756" spans="1:5" x14ac:dyDescent="0.25">
      <c r="A10756">
        <v>13</v>
      </c>
      <c r="B10756">
        <v>17</v>
      </c>
      <c r="C10756">
        <v>12</v>
      </c>
      <c r="D10756">
        <v>6</v>
      </c>
      <c r="E10756">
        <f t="shared" si="167"/>
        <v>5.1164161604372571E-13</v>
      </c>
    </row>
    <row r="10757" spans="1:5" x14ac:dyDescent="0.25">
      <c r="A10757">
        <v>13</v>
      </c>
      <c r="B10757">
        <v>17</v>
      </c>
      <c r="C10757">
        <v>13</v>
      </c>
      <c r="D10757">
        <v>5</v>
      </c>
      <c r="E10757">
        <f t="shared" si="167"/>
        <v>6.25777053468865E-13</v>
      </c>
    </row>
    <row r="10758" spans="1:5" x14ac:dyDescent="0.25">
      <c r="A10758">
        <v>13</v>
      </c>
      <c r="B10758">
        <v>17</v>
      </c>
      <c r="C10758">
        <v>14</v>
      </c>
      <c r="D10758">
        <v>4</v>
      </c>
      <c r="E10758">
        <f t="shared" si="167"/>
        <v>5.5340827857790792E-13</v>
      </c>
    </row>
    <row r="10759" spans="1:5" x14ac:dyDescent="0.25">
      <c r="A10759">
        <v>13</v>
      </c>
      <c r="B10759">
        <v>17</v>
      </c>
      <c r="C10759">
        <v>15</v>
      </c>
      <c r="D10759">
        <v>3</v>
      </c>
      <c r="E10759">
        <f t="shared" si="167"/>
        <v>3.4210693584816105E-13</v>
      </c>
    </row>
    <row r="10760" spans="1:5" x14ac:dyDescent="0.25">
      <c r="A10760">
        <v>13</v>
      </c>
      <c r="B10760">
        <v>17</v>
      </c>
      <c r="C10760">
        <v>16</v>
      </c>
      <c r="D10760">
        <v>2</v>
      </c>
      <c r="E10760">
        <f t="shared" si="167"/>
        <v>1.394457618946309E-13</v>
      </c>
    </row>
    <row r="10761" spans="1:5" x14ac:dyDescent="0.25">
      <c r="A10761">
        <v>13</v>
      </c>
      <c r="B10761">
        <v>17</v>
      </c>
      <c r="C10761">
        <v>17</v>
      </c>
      <c r="D10761">
        <v>1</v>
      </c>
      <c r="E10761">
        <f t="shared" si="167"/>
        <v>3.3494325160965277E-14</v>
      </c>
    </row>
    <row r="10762" spans="1:5" x14ac:dyDescent="0.25">
      <c r="A10762">
        <v>13</v>
      </c>
      <c r="B10762">
        <v>17</v>
      </c>
      <c r="C10762">
        <v>18</v>
      </c>
      <c r="D10762">
        <v>0</v>
      </c>
      <c r="E10762">
        <f t="shared" si="167"/>
        <v>3.5727280171696266E-15</v>
      </c>
    </row>
    <row r="10763" spans="1:5" x14ac:dyDescent="0.25">
      <c r="A10763">
        <v>13</v>
      </c>
      <c r="B10763">
        <v>18</v>
      </c>
      <c r="C10763">
        <v>0</v>
      </c>
      <c r="D10763">
        <v>17</v>
      </c>
      <c r="E10763">
        <f t="shared" si="167"/>
        <v>1.1722798818897051E-23</v>
      </c>
    </row>
    <row r="10764" spans="1:5" x14ac:dyDescent="0.25">
      <c r="A10764">
        <v>13</v>
      </c>
      <c r="B10764">
        <v>18</v>
      </c>
      <c r="C10764">
        <v>1</v>
      </c>
      <c r="D10764">
        <v>16</v>
      </c>
      <c r="E10764">
        <f t="shared" si="167"/>
        <v>1.4392991883201378E-21</v>
      </c>
    </row>
    <row r="10765" spans="1:5" x14ac:dyDescent="0.25">
      <c r="A10765">
        <v>13</v>
      </c>
      <c r="B10765">
        <v>18</v>
      </c>
      <c r="C10765">
        <v>2</v>
      </c>
      <c r="D10765">
        <v>15</v>
      </c>
      <c r="E10765">
        <f t="shared" si="167"/>
        <v>7.3692118441991062E-20</v>
      </c>
    </row>
    <row r="10766" spans="1:5" x14ac:dyDescent="0.25">
      <c r="A10766">
        <v>13</v>
      </c>
      <c r="B10766">
        <v>18</v>
      </c>
      <c r="C10766">
        <v>3</v>
      </c>
      <c r="D10766">
        <v>14</v>
      </c>
      <c r="E10766">
        <f t="shared" ref="E10766:E10829" si="168">COMBIN(A$4,A10766)*COMBIN(B$4,B10766)*COMBIN(C$4,C10766)*COMBIN(D$4,D10766)/COMBIN($G$4,$F$4)</f>
        <v>2.1102743008388349E-18</v>
      </c>
    </row>
    <row r="10767" spans="1:5" x14ac:dyDescent="0.25">
      <c r="A10767">
        <v>13</v>
      </c>
      <c r="B10767">
        <v>18</v>
      </c>
      <c r="C10767">
        <v>4</v>
      </c>
      <c r="D10767">
        <v>13</v>
      </c>
      <c r="E10767">
        <f t="shared" si="168"/>
        <v>3.8160793606835605E-17</v>
      </c>
    </row>
    <row r="10768" spans="1:5" x14ac:dyDescent="0.25">
      <c r="A10768">
        <v>13</v>
      </c>
      <c r="B10768">
        <v>18</v>
      </c>
      <c r="C10768">
        <v>5</v>
      </c>
      <c r="D10768">
        <v>12</v>
      </c>
      <c r="E10768">
        <f t="shared" si="168"/>
        <v>4.6556168200339442E-16</v>
      </c>
    </row>
    <row r="10769" spans="1:5" x14ac:dyDescent="0.25">
      <c r="A10769">
        <v>13</v>
      </c>
      <c r="B10769">
        <v>18</v>
      </c>
      <c r="C10769">
        <v>6</v>
      </c>
      <c r="D10769">
        <v>11</v>
      </c>
      <c r="E10769">
        <f t="shared" si="168"/>
        <v>3.990528702886237E-15</v>
      </c>
    </row>
    <row r="10770" spans="1:5" x14ac:dyDescent="0.25">
      <c r="A10770">
        <v>13</v>
      </c>
      <c r="B10770">
        <v>18</v>
      </c>
      <c r="C10770">
        <v>7</v>
      </c>
      <c r="D10770">
        <v>10</v>
      </c>
      <c r="E10770">
        <f t="shared" si="168"/>
        <v>2.46652678873635E-14</v>
      </c>
    </row>
    <row r="10771" spans="1:5" x14ac:dyDescent="0.25">
      <c r="A10771">
        <v>13</v>
      </c>
      <c r="B10771">
        <v>18</v>
      </c>
      <c r="C10771">
        <v>8</v>
      </c>
      <c r="D10771">
        <v>9</v>
      </c>
      <c r="E10771">
        <f t="shared" si="168"/>
        <v>1.1176449511461587E-13</v>
      </c>
    </row>
    <row r="10772" spans="1:5" x14ac:dyDescent="0.25">
      <c r="A10772">
        <v>13</v>
      </c>
      <c r="B10772">
        <v>18</v>
      </c>
      <c r="C10772">
        <v>9</v>
      </c>
      <c r="D10772">
        <v>8</v>
      </c>
      <c r="E10772">
        <f t="shared" si="168"/>
        <v>3.7473977773724142E-13</v>
      </c>
    </row>
    <row r="10773" spans="1:5" x14ac:dyDescent="0.25">
      <c r="A10773">
        <v>13</v>
      </c>
      <c r="B10773">
        <v>18</v>
      </c>
      <c r="C10773">
        <v>10</v>
      </c>
      <c r="D10773">
        <v>7</v>
      </c>
      <c r="E10773">
        <f t="shared" si="168"/>
        <v>9.3268566903491249E-13</v>
      </c>
    </row>
    <row r="10774" spans="1:5" x14ac:dyDescent="0.25">
      <c r="A10774">
        <v>13</v>
      </c>
      <c r="B10774">
        <v>18</v>
      </c>
      <c r="C10774">
        <v>11</v>
      </c>
      <c r="D10774">
        <v>6</v>
      </c>
      <c r="E10774">
        <f t="shared" si="168"/>
        <v>1.7181051798011541E-12</v>
      </c>
    </row>
    <row r="10775" spans="1:5" x14ac:dyDescent="0.25">
      <c r="A10775">
        <v>13</v>
      </c>
      <c r="B10775">
        <v>18</v>
      </c>
      <c r="C10775">
        <v>12</v>
      </c>
      <c r="D10775">
        <v>5</v>
      </c>
      <c r="E10775">
        <f t="shared" si="168"/>
        <v>2.3194419927315563E-12</v>
      </c>
    </row>
    <row r="10776" spans="1:5" x14ac:dyDescent="0.25">
      <c r="A10776">
        <v>13</v>
      </c>
      <c r="B10776">
        <v>18</v>
      </c>
      <c r="C10776">
        <v>13</v>
      </c>
      <c r="D10776">
        <v>4</v>
      </c>
      <c r="E10776">
        <f t="shared" si="168"/>
        <v>2.2514729966075566E-12</v>
      </c>
    </row>
    <row r="10777" spans="1:5" x14ac:dyDescent="0.25">
      <c r="A10777">
        <v>13</v>
      </c>
      <c r="B10777">
        <v>18</v>
      </c>
      <c r="C10777">
        <v>14</v>
      </c>
      <c r="D10777">
        <v>3</v>
      </c>
      <c r="E10777">
        <f t="shared" si="168"/>
        <v>1.5204752704362718E-12</v>
      </c>
    </row>
    <row r="10778" spans="1:5" x14ac:dyDescent="0.25">
      <c r="A10778">
        <v>13</v>
      </c>
      <c r="B10778">
        <v>18</v>
      </c>
      <c r="C10778">
        <v>15</v>
      </c>
      <c r="D10778">
        <v>2</v>
      </c>
      <c r="E10778">
        <f t="shared" si="168"/>
        <v>6.742977286282594E-13</v>
      </c>
    </row>
    <row r="10779" spans="1:5" x14ac:dyDescent="0.25">
      <c r="A10779">
        <v>13</v>
      </c>
      <c r="B10779">
        <v>18</v>
      </c>
      <c r="C10779">
        <v>16</v>
      </c>
      <c r="D10779">
        <v>1</v>
      </c>
      <c r="E10779">
        <f t="shared" si="168"/>
        <v>1.7559836683027591E-13</v>
      </c>
    </row>
    <row r="10780" spans="1:5" x14ac:dyDescent="0.25">
      <c r="A10780">
        <v>13</v>
      </c>
      <c r="B10780">
        <v>18</v>
      </c>
      <c r="C10780">
        <v>17</v>
      </c>
      <c r="D10780">
        <v>0</v>
      </c>
      <c r="E10780">
        <f t="shared" si="168"/>
        <v>2.0245458763961236E-14</v>
      </c>
    </row>
    <row r="10781" spans="1:5" x14ac:dyDescent="0.25">
      <c r="A10781">
        <v>13</v>
      </c>
      <c r="B10781">
        <v>19</v>
      </c>
      <c r="C10781">
        <v>0</v>
      </c>
      <c r="D10781">
        <v>16</v>
      </c>
      <c r="E10781">
        <f t="shared" si="168"/>
        <v>3.1583002431964155E-22</v>
      </c>
    </row>
    <row r="10782" spans="1:5" x14ac:dyDescent="0.25">
      <c r="A10782">
        <v>13</v>
      </c>
      <c r="B10782">
        <v>19</v>
      </c>
      <c r="C10782">
        <v>1</v>
      </c>
      <c r="D10782">
        <v>15</v>
      </c>
      <c r="E10782">
        <f t="shared" si="168"/>
        <v>3.2846322529242716E-20</v>
      </c>
    </row>
    <row r="10783" spans="1:5" x14ac:dyDescent="0.25">
      <c r="A10783">
        <v>13</v>
      </c>
      <c r="B10783">
        <v>19</v>
      </c>
      <c r="C10783">
        <v>2</v>
      </c>
      <c r="D10783">
        <v>14</v>
      </c>
      <c r="E10783">
        <f t="shared" si="168"/>
        <v>1.4332940740033188E-18</v>
      </c>
    </row>
    <row r="10784" spans="1:5" x14ac:dyDescent="0.25">
      <c r="A10784">
        <v>13</v>
      </c>
      <c r="B10784">
        <v>19</v>
      </c>
      <c r="C10784">
        <v>3</v>
      </c>
      <c r="D10784">
        <v>13</v>
      </c>
      <c r="E10784">
        <f t="shared" si="168"/>
        <v>3.5115704813081314E-17</v>
      </c>
    </row>
    <row r="10785" spans="1:5" x14ac:dyDescent="0.25">
      <c r="A10785">
        <v>13</v>
      </c>
      <c r="B10785">
        <v>19</v>
      </c>
      <c r="C10785">
        <v>4</v>
      </c>
      <c r="D10785">
        <v>12</v>
      </c>
      <c r="E10785">
        <f t="shared" si="168"/>
        <v>5.442934246027604E-16</v>
      </c>
    </row>
    <row r="10786" spans="1:5" x14ac:dyDescent="0.25">
      <c r="A10786">
        <v>13</v>
      </c>
      <c r="B10786">
        <v>19</v>
      </c>
      <c r="C10786">
        <v>5</v>
      </c>
      <c r="D10786">
        <v>11</v>
      </c>
      <c r="E10786">
        <f t="shared" si="168"/>
        <v>5.6917540972745797E-15</v>
      </c>
    </row>
    <row r="10787" spans="1:5" x14ac:dyDescent="0.25">
      <c r="A10787">
        <v>13</v>
      </c>
      <c r="B10787">
        <v>19</v>
      </c>
      <c r="C10787">
        <v>6</v>
      </c>
      <c r="D10787">
        <v>10</v>
      </c>
      <c r="E10787">
        <f t="shared" si="168"/>
        <v>4.1739530046680241E-14</v>
      </c>
    </row>
    <row r="10788" spans="1:5" x14ac:dyDescent="0.25">
      <c r="A10788">
        <v>13</v>
      </c>
      <c r="B10788">
        <v>19</v>
      </c>
      <c r="C10788">
        <v>7</v>
      </c>
      <c r="D10788">
        <v>9</v>
      </c>
      <c r="E10788">
        <f t="shared" si="168"/>
        <v>2.1987788149590489E-13</v>
      </c>
    </row>
    <row r="10789" spans="1:5" x14ac:dyDescent="0.25">
      <c r="A10789">
        <v>13</v>
      </c>
      <c r="B10789">
        <v>19</v>
      </c>
      <c r="C10789">
        <v>8</v>
      </c>
      <c r="D10789">
        <v>8</v>
      </c>
      <c r="E10789">
        <f t="shared" si="168"/>
        <v>8.4394304515339973E-13</v>
      </c>
    </row>
    <row r="10790" spans="1:5" x14ac:dyDescent="0.25">
      <c r="A10790">
        <v>13</v>
      </c>
      <c r="B10790">
        <v>19</v>
      </c>
      <c r="C10790">
        <v>9</v>
      </c>
      <c r="D10790">
        <v>7</v>
      </c>
      <c r="E10790">
        <f t="shared" si="168"/>
        <v>2.3755433863577182E-12</v>
      </c>
    </row>
    <row r="10791" spans="1:5" x14ac:dyDescent="0.25">
      <c r="A10791">
        <v>13</v>
      </c>
      <c r="B10791">
        <v>19</v>
      </c>
      <c r="C10791">
        <v>10</v>
      </c>
      <c r="D10791">
        <v>6</v>
      </c>
      <c r="E10791">
        <f t="shared" si="168"/>
        <v>4.9011210918538161E-12</v>
      </c>
    </row>
    <row r="10792" spans="1:5" x14ac:dyDescent="0.25">
      <c r="A10792">
        <v>13</v>
      </c>
      <c r="B10792">
        <v>19</v>
      </c>
      <c r="C10792">
        <v>11</v>
      </c>
      <c r="D10792">
        <v>5</v>
      </c>
      <c r="E10792">
        <f t="shared" si="168"/>
        <v>7.351681637780727E-12</v>
      </c>
    </row>
    <row r="10793" spans="1:5" x14ac:dyDescent="0.25">
      <c r="A10793">
        <v>13</v>
      </c>
      <c r="B10793">
        <v>19</v>
      </c>
      <c r="C10793">
        <v>12</v>
      </c>
      <c r="D10793">
        <v>4</v>
      </c>
      <c r="E10793">
        <f t="shared" si="168"/>
        <v>7.8768017547650611E-12</v>
      </c>
    </row>
    <row r="10794" spans="1:5" x14ac:dyDescent="0.25">
      <c r="A10794">
        <v>13</v>
      </c>
      <c r="B10794">
        <v>19</v>
      </c>
      <c r="C10794">
        <v>13</v>
      </c>
      <c r="D10794">
        <v>3</v>
      </c>
      <c r="E10794">
        <f t="shared" si="168"/>
        <v>5.8387481538817959E-12</v>
      </c>
    </row>
    <row r="10795" spans="1:5" x14ac:dyDescent="0.25">
      <c r="A10795">
        <v>13</v>
      </c>
      <c r="B10795">
        <v>19</v>
      </c>
      <c r="C10795">
        <v>14</v>
      </c>
      <c r="D10795">
        <v>2</v>
      </c>
      <c r="E10795">
        <f t="shared" si="168"/>
        <v>2.8287102857315538E-12</v>
      </c>
    </row>
    <row r="10796" spans="1:5" x14ac:dyDescent="0.25">
      <c r="A10796">
        <v>13</v>
      </c>
      <c r="B10796">
        <v>19</v>
      </c>
      <c r="C10796">
        <v>15</v>
      </c>
      <c r="D10796">
        <v>1</v>
      </c>
      <c r="E10796">
        <f t="shared" si="168"/>
        <v>8.0146791429060644E-13</v>
      </c>
    </row>
    <row r="10797" spans="1:5" x14ac:dyDescent="0.25">
      <c r="A10797">
        <v>13</v>
      </c>
      <c r="B10797">
        <v>19</v>
      </c>
      <c r="C10797">
        <v>16</v>
      </c>
      <c r="D10797">
        <v>0</v>
      </c>
      <c r="E10797">
        <f t="shared" si="168"/>
        <v>1.0018348928632583E-13</v>
      </c>
    </row>
    <row r="10798" spans="1:5" x14ac:dyDescent="0.25">
      <c r="A10798">
        <v>13</v>
      </c>
      <c r="B10798">
        <v>20</v>
      </c>
      <c r="C10798">
        <v>0</v>
      </c>
      <c r="D10798">
        <v>15</v>
      </c>
      <c r="E10798">
        <f t="shared" si="168"/>
        <v>6.8219285253042568E-21</v>
      </c>
    </row>
    <row r="10799" spans="1:5" x14ac:dyDescent="0.25">
      <c r="A10799">
        <v>13</v>
      </c>
      <c r="B10799">
        <v>20</v>
      </c>
      <c r="C10799">
        <v>1</v>
      </c>
      <c r="D10799">
        <v>14</v>
      </c>
      <c r="E10799">
        <f t="shared" si="168"/>
        <v>6.0467093747015009E-19</v>
      </c>
    </row>
    <row r="10800" spans="1:5" x14ac:dyDescent="0.25">
      <c r="A10800">
        <v>13</v>
      </c>
      <c r="B10800">
        <v>20</v>
      </c>
      <c r="C10800">
        <v>2</v>
      </c>
      <c r="D10800">
        <v>13</v>
      </c>
      <c r="E10800">
        <f t="shared" si="168"/>
        <v>2.2574381665552274E-17</v>
      </c>
    </row>
    <row r="10801" spans="1:5" x14ac:dyDescent="0.25">
      <c r="A10801">
        <v>13</v>
      </c>
      <c r="B10801">
        <v>20</v>
      </c>
      <c r="C10801">
        <v>3</v>
      </c>
      <c r="D10801">
        <v>12</v>
      </c>
      <c r="E10801">
        <f t="shared" si="168"/>
        <v>4.7406201497659774E-16</v>
      </c>
    </row>
    <row r="10802" spans="1:5" x14ac:dyDescent="0.25">
      <c r="A10802">
        <v>13</v>
      </c>
      <c r="B10802">
        <v>20</v>
      </c>
      <c r="C10802">
        <v>4</v>
      </c>
      <c r="D10802">
        <v>11</v>
      </c>
      <c r="E10802">
        <f t="shared" si="168"/>
        <v>6.2982524846890836E-15</v>
      </c>
    </row>
    <row r="10803" spans="1:5" x14ac:dyDescent="0.25">
      <c r="A10803">
        <v>13</v>
      </c>
      <c r="B10803">
        <v>20</v>
      </c>
      <c r="C10803">
        <v>5</v>
      </c>
      <c r="D10803">
        <v>10</v>
      </c>
      <c r="E10803">
        <f t="shared" si="168"/>
        <v>5.6348365563018332E-14</v>
      </c>
    </row>
    <row r="10804" spans="1:5" x14ac:dyDescent="0.25">
      <c r="A10804">
        <v>13</v>
      </c>
      <c r="B10804">
        <v>20</v>
      </c>
      <c r="C10804">
        <v>6</v>
      </c>
      <c r="D10804">
        <v>9</v>
      </c>
      <c r="E10804">
        <f t="shared" si="168"/>
        <v>3.5217728476886461E-13</v>
      </c>
    </row>
    <row r="10805" spans="1:5" x14ac:dyDescent="0.25">
      <c r="A10805">
        <v>13</v>
      </c>
      <c r="B10805">
        <v>20</v>
      </c>
      <c r="C10805">
        <v>7</v>
      </c>
      <c r="D10805">
        <v>8</v>
      </c>
      <c r="E10805">
        <f t="shared" si="168"/>
        <v>1.5714801530442613E-12</v>
      </c>
    </row>
    <row r="10806" spans="1:5" x14ac:dyDescent="0.25">
      <c r="A10806">
        <v>13</v>
      </c>
      <c r="B10806">
        <v>20</v>
      </c>
      <c r="C10806">
        <v>8</v>
      </c>
      <c r="D10806">
        <v>7</v>
      </c>
      <c r="E10806">
        <f t="shared" si="168"/>
        <v>5.0636582709203994E-12</v>
      </c>
    </row>
    <row r="10807" spans="1:5" x14ac:dyDescent="0.25">
      <c r="A10807">
        <v>13</v>
      </c>
      <c r="B10807">
        <v>20</v>
      </c>
      <c r="C10807">
        <v>9</v>
      </c>
      <c r="D10807">
        <v>6</v>
      </c>
      <c r="E10807">
        <f t="shared" si="168"/>
        <v>1.1815202632147592E-11</v>
      </c>
    </row>
    <row r="10808" spans="1:5" x14ac:dyDescent="0.25">
      <c r="A10808">
        <v>13</v>
      </c>
      <c r="B10808">
        <v>20</v>
      </c>
      <c r="C10808">
        <v>10</v>
      </c>
      <c r="D10808">
        <v>5</v>
      </c>
      <c r="E10808">
        <f t="shared" si="168"/>
        <v>1.9849540422007959E-11</v>
      </c>
    </row>
    <row r="10809" spans="1:5" x14ac:dyDescent="0.25">
      <c r="A10809">
        <v>13</v>
      </c>
      <c r="B10809">
        <v>20</v>
      </c>
      <c r="C10809">
        <v>11</v>
      </c>
      <c r="D10809">
        <v>4</v>
      </c>
      <c r="E10809">
        <f t="shared" si="168"/>
        <v>2.3630405264295199E-11</v>
      </c>
    </row>
    <row r="10810" spans="1:5" x14ac:dyDescent="0.25">
      <c r="A10810">
        <v>13</v>
      </c>
      <c r="B10810">
        <v>20</v>
      </c>
      <c r="C10810">
        <v>12</v>
      </c>
      <c r="D10810">
        <v>3</v>
      </c>
      <c r="E10810">
        <f t="shared" si="168"/>
        <v>1.9333967943514239E-11</v>
      </c>
    </row>
    <row r="10811" spans="1:5" x14ac:dyDescent="0.25">
      <c r="A10811">
        <v>13</v>
      </c>
      <c r="B10811">
        <v>20</v>
      </c>
      <c r="C10811">
        <v>13</v>
      </c>
      <c r="D10811">
        <v>2</v>
      </c>
      <c r="E10811">
        <f t="shared" si="168"/>
        <v>1.0281273923139684E-11</v>
      </c>
    </row>
    <row r="10812" spans="1:5" x14ac:dyDescent="0.25">
      <c r="A10812">
        <v>13</v>
      </c>
      <c r="B10812">
        <v>20</v>
      </c>
      <c r="C10812">
        <v>14</v>
      </c>
      <c r="D10812">
        <v>1</v>
      </c>
      <c r="E10812">
        <f t="shared" si="168"/>
        <v>3.1822990714479977E-12</v>
      </c>
    </row>
    <row r="10813" spans="1:5" x14ac:dyDescent="0.25">
      <c r="A10813">
        <v>13</v>
      </c>
      <c r="B10813">
        <v>20</v>
      </c>
      <c r="C10813">
        <v>15</v>
      </c>
      <c r="D10813">
        <v>0</v>
      </c>
      <c r="E10813">
        <f t="shared" si="168"/>
        <v>4.327926737169275E-13</v>
      </c>
    </row>
    <row r="10814" spans="1:5" x14ac:dyDescent="0.25">
      <c r="A10814">
        <v>13</v>
      </c>
      <c r="B10814">
        <v>21</v>
      </c>
      <c r="C10814">
        <v>0</v>
      </c>
      <c r="D10814">
        <v>14</v>
      </c>
      <c r="E10814">
        <f t="shared" si="168"/>
        <v>1.1916225800693804E-19</v>
      </c>
    </row>
    <row r="10815" spans="1:5" x14ac:dyDescent="0.25">
      <c r="A10815">
        <v>13</v>
      </c>
      <c r="B10815">
        <v>21</v>
      </c>
      <c r="C10815">
        <v>1</v>
      </c>
      <c r="D10815">
        <v>13</v>
      </c>
      <c r="E10815">
        <f t="shared" si="168"/>
        <v>9.0364712321928026E-18</v>
      </c>
    </row>
    <row r="10816" spans="1:5" x14ac:dyDescent="0.25">
      <c r="A10816">
        <v>13</v>
      </c>
      <c r="B10816">
        <v>21</v>
      </c>
      <c r="C10816">
        <v>2</v>
      </c>
      <c r="D10816">
        <v>12</v>
      </c>
      <c r="E10816">
        <f t="shared" si="168"/>
        <v>2.8916707943016968E-16</v>
      </c>
    </row>
    <row r="10817" spans="1:5" x14ac:dyDescent="0.25">
      <c r="A10817">
        <v>13</v>
      </c>
      <c r="B10817">
        <v>21</v>
      </c>
      <c r="C10817">
        <v>3</v>
      </c>
      <c r="D10817">
        <v>11</v>
      </c>
      <c r="E10817">
        <f t="shared" si="168"/>
        <v>5.2050074297430532E-15</v>
      </c>
    </row>
    <row r="10818" spans="1:5" x14ac:dyDescent="0.25">
      <c r="A10818">
        <v>13</v>
      </c>
      <c r="B10818">
        <v>21</v>
      </c>
      <c r="C10818">
        <v>4</v>
      </c>
      <c r="D10818">
        <v>10</v>
      </c>
      <c r="E10818">
        <f t="shared" si="168"/>
        <v>5.9163584451412711E-14</v>
      </c>
    </row>
    <row r="10819" spans="1:5" x14ac:dyDescent="0.25">
      <c r="A10819">
        <v>13</v>
      </c>
      <c r="B10819">
        <v>21</v>
      </c>
      <c r="C10819">
        <v>5</v>
      </c>
      <c r="D10819">
        <v>9</v>
      </c>
      <c r="E10819">
        <f t="shared" si="168"/>
        <v>4.5112233144202195E-13</v>
      </c>
    </row>
    <row r="10820" spans="1:5" x14ac:dyDescent="0.25">
      <c r="A10820">
        <v>13</v>
      </c>
      <c r="B10820">
        <v>21</v>
      </c>
      <c r="C10820">
        <v>6</v>
      </c>
      <c r="D10820">
        <v>8</v>
      </c>
      <c r="E10820">
        <f t="shared" si="168"/>
        <v>2.3882946958695273E-12</v>
      </c>
    </row>
    <row r="10821" spans="1:5" x14ac:dyDescent="0.25">
      <c r="A10821">
        <v>13</v>
      </c>
      <c r="B10821">
        <v>21</v>
      </c>
      <c r="C10821">
        <v>7</v>
      </c>
      <c r="D10821">
        <v>7</v>
      </c>
      <c r="E10821">
        <f t="shared" si="168"/>
        <v>8.9466277496064871E-12</v>
      </c>
    </row>
    <row r="10822" spans="1:5" x14ac:dyDescent="0.25">
      <c r="A10822">
        <v>13</v>
      </c>
      <c r="B10822">
        <v>21</v>
      </c>
      <c r="C10822">
        <v>8</v>
      </c>
      <c r="D10822">
        <v>6</v>
      </c>
      <c r="E10822">
        <f t="shared" si="168"/>
        <v>2.389691359434364E-11</v>
      </c>
    </row>
    <row r="10823" spans="1:5" x14ac:dyDescent="0.25">
      <c r="A10823">
        <v>13</v>
      </c>
      <c r="B10823">
        <v>21</v>
      </c>
      <c r="C10823">
        <v>9</v>
      </c>
      <c r="D10823">
        <v>5</v>
      </c>
      <c r="E10823">
        <f t="shared" si="168"/>
        <v>4.5404135829252909E-11</v>
      </c>
    </row>
    <row r="10824" spans="1:5" x14ac:dyDescent="0.25">
      <c r="A10824">
        <v>13</v>
      </c>
      <c r="B10824">
        <v>21</v>
      </c>
      <c r="C10824">
        <v>10</v>
      </c>
      <c r="D10824">
        <v>4</v>
      </c>
      <c r="E10824">
        <f t="shared" si="168"/>
        <v>6.0538847772337238E-11</v>
      </c>
    </row>
    <row r="10825" spans="1:5" x14ac:dyDescent="0.25">
      <c r="A10825">
        <v>13</v>
      </c>
      <c r="B10825">
        <v>21</v>
      </c>
      <c r="C10825">
        <v>11</v>
      </c>
      <c r="D10825">
        <v>3</v>
      </c>
      <c r="E10825">
        <f t="shared" si="168"/>
        <v>5.5035316156670207E-11</v>
      </c>
    </row>
    <row r="10826" spans="1:5" x14ac:dyDescent="0.25">
      <c r="A10826">
        <v>13</v>
      </c>
      <c r="B10826">
        <v>21</v>
      </c>
      <c r="C10826">
        <v>12</v>
      </c>
      <c r="D10826">
        <v>2</v>
      </c>
      <c r="E10826">
        <f t="shared" si="168"/>
        <v>3.2303337744132495E-11</v>
      </c>
    </row>
    <row r="10827" spans="1:5" x14ac:dyDescent="0.25">
      <c r="A10827">
        <v>13</v>
      </c>
      <c r="B10827">
        <v>21</v>
      </c>
      <c r="C10827">
        <v>13</v>
      </c>
      <c r="D10827">
        <v>1</v>
      </c>
      <c r="E10827">
        <f t="shared" si="168"/>
        <v>1.0974851925891175E-11</v>
      </c>
    </row>
    <row r="10828" spans="1:5" x14ac:dyDescent="0.25">
      <c r="A10828">
        <v>13</v>
      </c>
      <c r="B10828">
        <v>21</v>
      </c>
      <c r="C10828">
        <v>14</v>
      </c>
      <c r="D10828">
        <v>0</v>
      </c>
      <c r="E10828">
        <f t="shared" si="168"/>
        <v>1.630549428989546E-12</v>
      </c>
    </row>
    <row r="10829" spans="1:5" x14ac:dyDescent="0.25">
      <c r="A10829">
        <v>13</v>
      </c>
      <c r="B10829">
        <v>22</v>
      </c>
      <c r="C10829">
        <v>0</v>
      </c>
      <c r="D10829">
        <v>13</v>
      </c>
      <c r="E10829">
        <f t="shared" si="168"/>
        <v>1.6935484547046652E-18</v>
      </c>
    </row>
    <row r="10830" spans="1:5" x14ac:dyDescent="0.25">
      <c r="A10830">
        <v>13</v>
      </c>
      <c r="B10830">
        <v>22</v>
      </c>
      <c r="C10830">
        <v>1</v>
      </c>
      <c r="D10830">
        <v>12</v>
      </c>
      <c r="E10830">
        <f t="shared" ref="E10830:E10893" si="169">COMBIN(A$4,A10830)*COMBIN(B$4,B10830)*COMBIN(C$4,C10830)*COMBIN(D$4,D10830)/COMBIN($G$4,$F$4)</f>
        <v>1.1008064955580323E-16</v>
      </c>
    </row>
    <row r="10831" spans="1:5" x14ac:dyDescent="0.25">
      <c r="A10831">
        <v>13</v>
      </c>
      <c r="B10831">
        <v>22</v>
      </c>
      <c r="C10831">
        <v>2</v>
      </c>
      <c r="D10831">
        <v>11</v>
      </c>
      <c r="E10831">
        <f t="shared" si="169"/>
        <v>3.0193549592448877E-15</v>
      </c>
    </row>
    <row r="10832" spans="1:5" x14ac:dyDescent="0.25">
      <c r="A10832">
        <v>13</v>
      </c>
      <c r="B10832">
        <v>22</v>
      </c>
      <c r="C10832">
        <v>3</v>
      </c>
      <c r="D10832">
        <v>10</v>
      </c>
      <c r="E10832">
        <f t="shared" si="169"/>
        <v>4.6498066372371275E-14</v>
      </c>
    </row>
    <row r="10833" spans="1:5" x14ac:dyDescent="0.25">
      <c r="A10833">
        <v>13</v>
      </c>
      <c r="B10833">
        <v>22</v>
      </c>
      <c r="C10833">
        <v>4</v>
      </c>
      <c r="D10833">
        <v>9</v>
      </c>
      <c r="E10833">
        <f t="shared" si="169"/>
        <v>4.5045001798234678E-13</v>
      </c>
    </row>
    <row r="10834" spans="1:5" x14ac:dyDescent="0.25">
      <c r="A10834">
        <v>13</v>
      </c>
      <c r="B10834">
        <v>22</v>
      </c>
      <c r="C10834">
        <v>5</v>
      </c>
      <c r="D10834">
        <v>8</v>
      </c>
      <c r="E10834">
        <f t="shared" si="169"/>
        <v>2.9093771749683339E-12</v>
      </c>
    </row>
    <row r="10835" spans="1:5" x14ac:dyDescent="0.25">
      <c r="A10835">
        <v>13</v>
      </c>
      <c r="B10835">
        <v>22</v>
      </c>
      <c r="C10835">
        <v>6</v>
      </c>
      <c r="D10835">
        <v>7</v>
      </c>
      <c r="E10835">
        <f t="shared" si="169"/>
        <v>1.2930565222081487E-11</v>
      </c>
    </row>
    <row r="10836" spans="1:5" x14ac:dyDescent="0.25">
      <c r="A10836">
        <v>13</v>
      </c>
      <c r="B10836">
        <v>22</v>
      </c>
      <c r="C10836">
        <v>7</v>
      </c>
      <c r="D10836">
        <v>6</v>
      </c>
      <c r="E10836">
        <f t="shared" si="169"/>
        <v>4.0152807794884596E-11</v>
      </c>
    </row>
    <row r="10837" spans="1:5" x14ac:dyDescent="0.25">
      <c r="A10837">
        <v>13</v>
      </c>
      <c r="B10837">
        <v>22</v>
      </c>
      <c r="C10837">
        <v>8</v>
      </c>
      <c r="D10837">
        <v>5</v>
      </c>
      <c r="E10837">
        <f t="shared" si="169"/>
        <v>8.7332356953874012E-11</v>
      </c>
    </row>
    <row r="10838" spans="1:5" x14ac:dyDescent="0.25">
      <c r="A10838">
        <v>13</v>
      </c>
      <c r="B10838">
        <v>22</v>
      </c>
      <c r="C10838">
        <v>9</v>
      </c>
      <c r="D10838">
        <v>4</v>
      </c>
      <c r="E10838">
        <f t="shared" si="169"/>
        <v>1.316916493748894E-10</v>
      </c>
    </row>
    <row r="10839" spans="1:5" x14ac:dyDescent="0.25">
      <c r="A10839">
        <v>13</v>
      </c>
      <c r="B10839">
        <v>22</v>
      </c>
      <c r="C10839">
        <v>10</v>
      </c>
      <c r="D10839">
        <v>3</v>
      </c>
      <c r="E10839">
        <f t="shared" si="169"/>
        <v>1.340860429998874E-10</v>
      </c>
    </row>
    <row r="10840" spans="1:5" x14ac:dyDescent="0.25">
      <c r="A10840">
        <v>13</v>
      </c>
      <c r="B10840">
        <v>22</v>
      </c>
      <c r="C10840">
        <v>11</v>
      </c>
      <c r="D10840">
        <v>2</v>
      </c>
      <c r="E10840">
        <f t="shared" si="169"/>
        <v>8.744741934775267E-11</v>
      </c>
    </row>
    <row r="10841" spans="1:5" x14ac:dyDescent="0.25">
      <c r="A10841">
        <v>13</v>
      </c>
      <c r="B10841">
        <v>22</v>
      </c>
      <c r="C10841">
        <v>12</v>
      </c>
      <c r="D10841">
        <v>1</v>
      </c>
      <c r="E10841">
        <f t="shared" si="169"/>
        <v>3.2792782255407227E-11</v>
      </c>
    </row>
    <row r="10842" spans="1:5" x14ac:dyDescent="0.25">
      <c r="A10842">
        <v>13</v>
      </c>
      <c r="B10842">
        <v>22</v>
      </c>
      <c r="C10842">
        <v>13</v>
      </c>
      <c r="D10842">
        <v>0</v>
      </c>
      <c r="E10842">
        <f t="shared" si="169"/>
        <v>5.3477460293433346E-12</v>
      </c>
    </row>
    <row r="10843" spans="1:5" x14ac:dyDescent="0.25">
      <c r="A10843">
        <v>13</v>
      </c>
      <c r="B10843">
        <v>23</v>
      </c>
      <c r="C10843">
        <v>0</v>
      </c>
      <c r="D10843">
        <v>12</v>
      </c>
      <c r="E10843">
        <f t="shared" si="169"/>
        <v>1.9659888582875885E-17</v>
      </c>
    </row>
    <row r="10844" spans="1:5" x14ac:dyDescent="0.25">
      <c r="A10844">
        <v>13</v>
      </c>
      <c r="B10844">
        <v>23</v>
      </c>
      <c r="C10844">
        <v>1</v>
      </c>
      <c r="D10844">
        <v>11</v>
      </c>
      <c r="E10844">
        <f t="shared" si="169"/>
        <v>1.0953366496173705E-15</v>
      </c>
    </row>
    <row r="10845" spans="1:5" x14ac:dyDescent="0.25">
      <c r="A10845">
        <v>13</v>
      </c>
      <c r="B10845">
        <v>23</v>
      </c>
      <c r="C10845">
        <v>2</v>
      </c>
      <c r="D10845">
        <v>10</v>
      </c>
      <c r="E10845">
        <f t="shared" si="169"/>
        <v>2.570390004435429E-14</v>
      </c>
    </row>
    <row r="10846" spans="1:5" x14ac:dyDescent="0.25">
      <c r="A10846">
        <v>13</v>
      </c>
      <c r="B10846">
        <v>23</v>
      </c>
      <c r="C10846">
        <v>3</v>
      </c>
      <c r="D10846">
        <v>9</v>
      </c>
      <c r="E10846">
        <f t="shared" si="169"/>
        <v>3.3736368808215006E-13</v>
      </c>
    </row>
    <row r="10847" spans="1:5" x14ac:dyDescent="0.25">
      <c r="A10847">
        <v>13</v>
      </c>
      <c r="B10847">
        <v>23</v>
      </c>
      <c r="C10847">
        <v>4</v>
      </c>
      <c r="D10847">
        <v>8</v>
      </c>
      <c r="E10847">
        <f t="shared" si="169"/>
        <v>2.7683667345564669E-12</v>
      </c>
    </row>
    <row r="10848" spans="1:5" x14ac:dyDescent="0.25">
      <c r="A10848">
        <v>13</v>
      </c>
      <c r="B10848">
        <v>23</v>
      </c>
      <c r="C10848">
        <v>5</v>
      </c>
      <c r="D10848">
        <v>7</v>
      </c>
      <c r="E10848">
        <f t="shared" si="169"/>
        <v>1.5010699627372849E-11</v>
      </c>
    </row>
    <row r="10849" spans="1:5" x14ac:dyDescent="0.25">
      <c r="A10849">
        <v>13</v>
      </c>
      <c r="B10849">
        <v>23</v>
      </c>
      <c r="C10849">
        <v>6</v>
      </c>
      <c r="D10849">
        <v>6</v>
      </c>
      <c r="E10849">
        <f t="shared" si="169"/>
        <v>5.5302577574531517E-11</v>
      </c>
    </row>
    <row r="10850" spans="1:5" x14ac:dyDescent="0.25">
      <c r="A10850">
        <v>13</v>
      </c>
      <c r="B10850">
        <v>23</v>
      </c>
      <c r="C10850">
        <v>7</v>
      </c>
      <c r="D10850">
        <v>5</v>
      </c>
      <c r="E10850">
        <f t="shared" si="169"/>
        <v>1.3983651758131542E-10</v>
      </c>
    </row>
    <row r="10851" spans="1:5" x14ac:dyDescent="0.25">
      <c r="A10851">
        <v>13</v>
      </c>
      <c r="B10851">
        <v>23</v>
      </c>
      <c r="C10851">
        <v>8</v>
      </c>
      <c r="D10851">
        <v>4</v>
      </c>
      <c r="E10851">
        <f t="shared" si="169"/>
        <v>2.4138446487250886E-10</v>
      </c>
    </row>
    <row r="10852" spans="1:5" x14ac:dyDescent="0.25">
      <c r="A10852">
        <v>13</v>
      </c>
      <c r="B10852">
        <v>23</v>
      </c>
      <c r="C10852">
        <v>9</v>
      </c>
      <c r="D10852">
        <v>3</v>
      </c>
      <c r="E10852">
        <f t="shared" si="169"/>
        <v>2.7795786864107074E-10</v>
      </c>
    </row>
    <row r="10853" spans="1:5" x14ac:dyDescent="0.25">
      <c r="A10853">
        <v>13</v>
      </c>
      <c r="B10853">
        <v>23</v>
      </c>
      <c r="C10853">
        <v>10</v>
      </c>
      <c r="D10853">
        <v>2</v>
      </c>
      <c r="E10853">
        <f t="shared" si="169"/>
        <v>2.0303009535521695E-10</v>
      </c>
    </row>
    <row r="10854" spans="1:5" x14ac:dyDescent="0.25">
      <c r="A10854">
        <v>13</v>
      </c>
      <c r="B10854">
        <v>23</v>
      </c>
      <c r="C10854">
        <v>11</v>
      </c>
      <c r="D10854">
        <v>1</v>
      </c>
      <c r="E10854">
        <f t="shared" si="169"/>
        <v>8.4595873064673723E-11</v>
      </c>
    </row>
    <row r="10855" spans="1:5" x14ac:dyDescent="0.25">
      <c r="A10855">
        <v>13</v>
      </c>
      <c r="B10855">
        <v>23</v>
      </c>
      <c r="C10855">
        <v>12</v>
      </c>
      <c r="D10855">
        <v>0</v>
      </c>
      <c r="E10855">
        <f t="shared" si="169"/>
        <v>1.5227257151641262E-11</v>
      </c>
    </row>
    <row r="10856" spans="1:5" x14ac:dyDescent="0.25">
      <c r="A10856">
        <v>13</v>
      </c>
      <c r="B10856">
        <v>24</v>
      </c>
      <c r="C10856">
        <v>0</v>
      </c>
      <c r="D10856">
        <v>11</v>
      </c>
      <c r="E10856">
        <f t="shared" si="169"/>
        <v>1.8676894153732093E-16</v>
      </c>
    </row>
    <row r="10857" spans="1:5" x14ac:dyDescent="0.25">
      <c r="A10857">
        <v>13</v>
      </c>
      <c r="B10857">
        <v>24</v>
      </c>
      <c r="C10857">
        <v>1</v>
      </c>
      <c r="D10857">
        <v>10</v>
      </c>
      <c r="E10857">
        <f t="shared" si="169"/>
        <v>8.9026528799456324E-15</v>
      </c>
    </row>
    <row r="10858" spans="1:5" x14ac:dyDescent="0.25">
      <c r="A10858">
        <v>13</v>
      </c>
      <c r="B10858">
        <v>24</v>
      </c>
      <c r="C10858">
        <v>2</v>
      </c>
      <c r="D10858">
        <v>9</v>
      </c>
      <c r="E10858">
        <f t="shared" si="169"/>
        <v>1.7805305759891265E-13</v>
      </c>
    </row>
    <row r="10859" spans="1:5" x14ac:dyDescent="0.25">
      <c r="A10859">
        <v>13</v>
      </c>
      <c r="B10859">
        <v>24</v>
      </c>
      <c r="C10859">
        <v>3</v>
      </c>
      <c r="D10859">
        <v>8</v>
      </c>
      <c r="E10859">
        <f t="shared" si="169"/>
        <v>1.9795310521290877E-12</v>
      </c>
    </row>
    <row r="10860" spans="1:5" x14ac:dyDescent="0.25">
      <c r="A10860">
        <v>13</v>
      </c>
      <c r="B10860">
        <v>24</v>
      </c>
      <c r="C10860">
        <v>4</v>
      </c>
      <c r="D10860">
        <v>7</v>
      </c>
      <c r="E10860">
        <f t="shared" si="169"/>
        <v>1.3636769470222608E-11</v>
      </c>
    </row>
    <row r="10861" spans="1:5" x14ac:dyDescent="0.25">
      <c r="A10861">
        <v>13</v>
      </c>
      <c r="B10861">
        <v>24</v>
      </c>
      <c r="C10861">
        <v>5</v>
      </c>
      <c r="D10861">
        <v>6</v>
      </c>
      <c r="E10861">
        <f t="shared" si="169"/>
        <v>6.1293690145105794E-11</v>
      </c>
    </row>
    <row r="10862" spans="1:5" x14ac:dyDescent="0.25">
      <c r="A10862">
        <v>13</v>
      </c>
      <c r="B10862">
        <v>24</v>
      </c>
      <c r="C10862">
        <v>6</v>
      </c>
      <c r="D10862">
        <v>5</v>
      </c>
      <c r="E10862">
        <f t="shared" si="169"/>
        <v>1.8388107043531737E-10</v>
      </c>
    </row>
    <row r="10863" spans="1:5" x14ac:dyDescent="0.25">
      <c r="A10863">
        <v>13</v>
      </c>
      <c r="B10863">
        <v>24</v>
      </c>
      <c r="C10863">
        <v>7</v>
      </c>
      <c r="D10863">
        <v>4</v>
      </c>
      <c r="E10863">
        <f t="shared" si="169"/>
        <v>3.6901303250624926E-10</v>
      </c>
    </row>
    <row r="10864" spans="1:5" x14ac:dyDescent="0.25">
      <c r="A10864">
        <v>13</v>
      </c>
      <c r="B10864">
        <v>24</v>
      </c>
      <c r="C10864">
        <v>8</v>
      </c>
      <c r="D10864">
        <v>3</v>
      </c>
      <c r="E10864">
        <f t="shared" si="169"/>
        <v>4.8642627012187408E-10</v>
      </c>
    </row>
    <row r="10865" spans="1:5" x14ac:dyDescent="0.25">
      <c r="A10865">
        <v>13</v>
      </c>
      <c r="B10865">
        <v>24</v>
      </c>
      <c r="C10865">
        <v>9</v>
      </c>
      <c r="D10865">
        <v>2</v>
      </c>
      <c r="E10865">
        <f t="shared" si="169"/>
        <v>4.018303970572003E-10</v>
      </c>
    </row>
    <row r="10866" spans="1:5" x14ac:dyDescent="0.25">
      <c r="A10866">
        <v>13</v>
      </c>
      <c r="B10866">
        <v>24</v>
      </c>
      <c r="C10866">
        <v>10</v>
      </c>
      <c r="D10866">
        <v>1</v>
      </c>
      <c r="E10866">
        <f t="shared" si="169"/>
        <v>1.8752085196002682E-10</v>
      </c>
    </row>
    <row r="10867" spans="1:5" x14ac:dyDescent="0.25">
      <c r="A10867">
        <v>13</v>
      </c>
      <c r="B10867">
        <v>24</v>
      </c>
      <c r="C10867">
        <v>11</v>
      </c>
      <c r="D10867">
        <v>0</v>
      </c>
      <c r="E10867">
        <f t="shared" si="169"/>
        <v>3.7504170392005367E-11</v>
      </c>
    </row>
    <row r="10868" spans="1:5" x14ac:dyDescent="0.25">
      <c r="A10868">
        <v>13</v>
      </c>
      <c r="B10868">
        <v>25</v>
      </c>
      <c r="C10868">
        <v>0</v>
      </c>
      <c r="D10868">
        <v>10</v>
      </c>
      <c r="E10868">
        <f t="shared" si="169"/>
        <v>1.4518172388834418E-15</v>
      </c>
    </row>
    <row r="10869" spans="1:5" x14ac:dyDescent="0.25">
      <c r="A10869">
        <v>13</v>
      </c>
      <c r="B10869">
        <v>25</v>
      </c>
      <c r="C10869">
        <v>1</v>
      </c>
      <c r="D10869">
        <v>9</v>
      </c>
      <c r="E10869">
        <f t="shared" si="169"/>
        <v>5.8980075329639827E-14</v>
      </c>
    </row>
    <row r="10870" spans="1:5" x14ac:dyDescent="0.25">
      <c r="A10870">
        <v>13</v>
      </c>
      <c r="B10870">
        <v>25</v>
      </c>
      <c r="C10870">
        <v>2</v>
      </c>
      <c r="D10870">
        <v>8</v>
      </c>
      <c r="E10870">
        <f t="shared" si="169"/>
        <v>9.9919186440801585E-13</v>
      </c>
    </row>
    <row r="10871" spans="1:5" x14ac:dyDescent="0.25">
      <c r="A10871">
        <v>13</v>
      </c>
      <c r="B10871">
        <v>25</v>
      </c>
      <c r="C10871">
        <v>3</v>
      </c>
      <c r="D10871">
        <v>7</v>
      </c>
      <c r="E10871">
        <f t="shared" si="169"/>
        <v>9.3257907344748184E-12</v>
      </c>
    </row>
    <row r="10872" spans="1:5" x14ac:dyDescent="0.25">
      <c r="A10872">
        <v>13</v>
      </c>
      <c r="B10872">
        <v>25</v>
      </c>
      <c r="C10872">
        <v>4</v>
      </c>
      <c r="D10872">
        <v>6</v>
      </c>
      <c r="E10872">
        <f t="shared" si="169"/>
        <v>5.3255173404764074E-11</v>
      </c>
    </row>
    <row r="10873" spans="1:5" x14ac:dyDescent="0.25">
      <c r="A10873">
        <v>13</v>
      </c>
      <c r="B10873">
        <v>25</v>
      </c>
      <c r="C10873">
        <v>5</v>
      </c>
      <c r="D10873">
        <v>5</v>
      </c>
      <c r="E10873">
        <f t="shared" si="169"/>
        <v>1.9491393466143653E-10</v>
      </c>
    </row>
    <row r="10874" spans="1:5" x14ac:dyDescent="0.25">
      <c r="A10874">
        <v>13</v>
      </c>
      <c r="B10874">
        <v>25</v>
      </c>
      <c r="C10874">
        <v>6</v>
      </c>
      <c r="D10874">
        <v>4</v>
      </c>
      <c r="E10874">
        <f t="shared" si="169"/>
        <v>4.640807968129442E-10</v>
      </c>
    </row>
    <row r="10875" spans="1:5" x14ac:dyDescent="0.25">
      <c r="A10875">
        <v>13</v>
      </c>
      <c r="B10875">
        <v>25</v>
      </c>
      <c r="C10875">
        <v>7</v>
      </c>
      <c r="D10875">
        <v>3</v>
      </c>
      <c r="E10875">
        <f t="shared" si="169"/>
        <v>7.1118875355749879E-10</v>
      </c>
    </row>
    <row r="10876" spans="1:5" x14ac:dyDescent="0.25">
      <c r="A10876">
        <v>13</v>
      </c>
      <c r="B10876">
        <v>25</v>
      </c>
      <c r="C10876">
        <v>8</v>
      </c>
      <c r="D10876">
        <v>2</v>
      </c>
      <c r="E10876">
        <f t="shared" si="169"/>
        <v>6.7253719086415665E-10</v>
      </c>
    </row>
    <row r="10877" spans="1:5" x14ac:dyDescent="0.25">
      <c r="A10877">
        <v>13</v>
      </c>
      <c r="B10877">
        <v>25</v>
      </c>
      <c r="C10877">
        <v>9</v>
      </c>
      <c r="D10877">
        <v>1</v>
      </c>
      <c r="E10877">
        <f t="shared" si="169"/>
        <v>3.5495018406719374E-10</v>
      </c>
    </row>
    <row r="10878" spans="1:5" x14ac:dyDescent="0.25">
      <c r="A10878">
        <v>13</v>
      </c>
      <c r="B10878">
        <v>25</v>
      </c>
      <c r="C10878">
        <v>10</v>
      </c>
      <c r="D10878">
        <v>0</v>
      </c>
      <c r="E10878">
        <f t="shared" si="169"/>
        <v>7.9508841231051399E-11</v>
      </c>
    </row>
    <row r="10879" spans="1:5" x14ac:dyDescent="0.25">
      <c r="A10879">
        <v>13</v>
      </c>
      <c r="B10879">
        <v>26</v>
      </c>
      <c r="C10879">
        <v>0</v>
      </c>
      <c r="D10879">
        <v>9</v>
      </c>
      <c r="E10879">
        <f t="shared" si="169"/>
        <v>9.2134555544526075E-15</v>
      </c>
    </row>
    <row r="10880" spans="1:5" x14ac:dyDescent="0.25">
      <c r="A10880">
        <v>13</v>
      </c>
      <c r="B10880">
        <v>26</v>
      </c>
      <c r="C10880">
        <v>1</v>
      </c>
      <c r="D10880">
        <v>8</v>
      </c>
      <c r="E10880">
        <f t="shared" si="169"/>
        <v>3.1705126466792797E-13</v>
      </c>
    </row>
    <row r="10881" spans="1:5" x14ac:dyDescent="0.25">
      <c r="A10881">
        <v>13</v>
      </c>
      <c r="B10881">
        <v>26</v>
      </c>
      <c r="C10881">
        <v>2</v>
      </c>
      <c r="D10881">
        <v>7</v>
      </c>
      <c r="E10881">
        <f t="shared" si="169"/>
        <v>4.5091735419438645E-12</v>
      </c>
    </row>
    <row r="10882" spans="1:5" x14ac:dyDescent="0.25">
      <c r="A10882">
        <v>13</v>
      </c>
      <c r="B10882">
        <v>26</v>
      </c>
      <c r="C10882">
        <v>3</v>
      </c>
      <c r="D10882">
        <v>6</v>
      </c>
      <c r="E10882">
        <f t="shared" si="169"/>
        <v>3.4886763719249893E-11</v>
      </c>
    </row>
    <row r="10883" spans="1:5" x14ac:dyDescent="0.25">
      <c r="A10883">
        <v>13</v>
      </c>
      <c r="B10883">
        <v>26</v>
      </c>
      <c r="C10883">
        <v>4</v>
      </c>
      <c r="D10883">
        <v>5</v>
      </c>
      <c r="E10883">
        <f t="shared" si="169"/>
        <v>1.6222345129451199E-10</v>
      </c>
    </row>
    <row r="10884" spans="1:5" x14ac:dyDescent="0.25">
      <c r="A10884">
        <v>13</v>
      </c>
      <c r="B10884">
        <v>26</v>
      </c>
      <c r="C10884">
        <v>5</v>
      </c>
      <c r="D10884">
        <v>4</v>
      </c>
      <c r="E10884">
        <f t="shared" si="169"/>
        <v>4.71220501379297E-10</v>
      </c>
    </row>
    <row r="10885" spans="1:5" x14ac:dyDescent="0.25">
      <c r="A10885">
        <v>13</v>
      </c>
      <c r="B10885">
        <v>26</v>
      </c>
      <c r="C10885">
        <v>6</v>
      </c>
      <c r="D10885">
        <v>3</v>
      </c>
      <c r="E10885">
        <f t="shared" si="169"/>
        <v>8.5676454796235786E-10</v>
      </c>
    </row>
    <row r="10886" spans="1:5" x14ac:dyDescent="0.25">
      <c r="A10886">
        <v>13</v>
      </c>
      <c r="B10886">
        <v>26</v>
      </c>
      <c r="C10886">
        <v>7</v>
      </c>
      <c r="D10886">
        <v>2</v>
      </c>
      <c r="E10886">
        <f t="shared" si="169"/>
        <v>9.4190885086544945E-10</v>
      </c>
    </row>
    <row r="10887" spans="1:5" x14ac:dyDescent="0.25">
      <c r="A10887">
        <v>13</v>
      </c>
      <c r="B10887">
        <v>26</v>
      </c>
      <c r="C10887">
        <v>8</v>
      </c>
      <c r="D10887">
        <v>1</v>
      </c>
      <c r="E10887">
        <f t="shared" si="169"/>
        <v>5.6906993073120903E-10</v>
      </c>
    </row>
    <row r="10888" spans="1:5" x14ac:dyDescent="0.25">
      <c r="A10888">
        <v>13</v>
      </c>
      <c r="B10888">
        <v>26</v>
      </c>
      <c r="C10888">
        <v>9</v>
      </c>
      <c r="D10888">
        <v>0</v>
      </c>
      <c r="E10888">
        <f t="shared" si="169"/>
        <v>1.4416438245190627E-10</v>
      </c>
    </row>
    <row r="10889" spans="1:5" x14ac:dyDescent="0.25">
      <c r="A10889">
        <v>13</v>
      </c>
      <c r="B10889">
        <v>27</v>
      </c>
      <c r="C10889">
        <v>0</v>
      </c>
      <c r="D10889">
        <v>8</v>
      </c>
      <c r="E10889">
        <f t="shared" si="169"/>
        <v>4.7512525702373235E-14</v>
      </c>
    </row>
    <row r="10890" spans="1:5" x14ac:dyDescent="0.25">
      <c r="A10890">
        <v>13</v>
      </c>
      <c r="B10890">
        <v>27</v>
      </c>
      <c r="C10890">
        <v>1</v>
      </c>
      <c r="D10890">
        <v>7</v>
      </c>
      <c r="E10890">
        <f t="shared" si="169"/>
        <v>1.3725840758463382E-12</v>
      </c>
    </row>
    <row r="10891" spans="1:5" x14ac:dyDescent="0.25">
      <c r="A10891">
        <v>13</v>
      </c>
      <c r="B10891">
        <v>27</v>
      </c>
      <c r="C10891">
        <v>2</v>
      </c>
      <c r="D10891">
        <v>6</v>
      </c>
      <c r="E10891">
        <f t="shared" si="169"/>
        <v>1.618204384155682E-11</v>
      </c>
    </row>
    <row r="10892" spans="1:5" x14ac:dyDescent="0.25">
      <c r="A10892">
        <v>13</v>
      </c>
      <c r="B10892">
        <v>27</v>
      </c>
      <c r="C10892">
        <v>3</v>
      </c>
      <c r="D10892">
        <v>5</v>
      </c>
      <c r="E10892">
        <f t="shared" si="169"/>
        <v>1.0194687620180799E-10</v>
      </c>
    </row>
    <row r="10893" spans="1:5" x14ac:dyDescent="0.25">
      <c r="A10893">
        <v>13</v>
      </c>
      <c r="B10893">
        <v>27</v>
      </c>
      <c r="C10893">
        <v>4</v>
      </c>
      <c r="D10893">
        <v>4</v>
      </c>
      <c r="E10893">
        <f t="shared" si="169"/>
        <v>3.7623251931619622E-10</v>
      </c>
    </row>
    <row r="10894" spans="1:5" x14ac:dyDescent="0.25">
      <c r="A10894">
        <v>13</v>
      </c>
      <c r="B10894">
        <v>27</v>
      </c>
      <c r="C10894">
        <v>5</v>
      </c>
      <c r="D10894">
        <v>3</v>
      </c>
      <c r="E10894">
        <f t="shared" ref="E10894:E10957" si="170">COMBIN(A$4,A10894)*COMBIN(B$4,B10894)*COMBIN(C$4,C10894)*COMBIN(D$4,D10894)/COMBIN($G$4,$F$4)</f>
        <v>8.3455213375592633E-10</v>
      </c>
    </row>
    <row r="10895" spans="1:5" x14ac:dyDescent="0.25">
      <c r="A10895">
        <v>13</v>
      </c>
      <c r="B10895">
        <v>27</v>
      </c>
      <c r="C10895">
        <v>6</v>
      </c>
      <c r="D10895">
        <v>2</v>
      </c>
      <c r="E10895">
        <f t="shared" si="170"/>
        <v>1.0885462614207733E-9</v>
      </c>
    </row>
    <row r="10896" spans="1:5" x14ac:dyDescent="0.25">
      <c r="A10896">
        <v>13</v>
      </c>
      <c r="B10896">
        <v>27</v>
      </c>
      <c r="C10896">
        <v>7</v>
      </c>
      <c r="D10896">
        <v>1</v>
      </c>
      <c r="E10896">
        <f t="shared" si="170"/>
        <v>7.6457415980744786E-10</v>
      </c>
    </row>
    <row r="10897" spans="1:5" x14ac:dyDescent="0.25">
      <c r="A10897">
        <v>13</v>
      </c>
      <c r="B10897">
        <v>27</v>
      </c>
      <c r="C10897">
        <v>8</v>
      </c>
      <c r="D10897">
        <v>0</v>
      </c>
      <c r="E10897">
        <f t="shared" si="170"/>
        <v>2.217265063441599E-10</v>
      </c>
    </row>
    <row r="10898" spans="1:5" x14ac:dyDescent="0.25">
      <c r="A10898">
        <v>13</v>
      </c>
      <c r="B10898">
        <v>28</v>
      </c>
      <c r="C10898">
        <v>0</v>
      </c>
      <c r="D10898">
        <v>7</v>
      </c>
      <c r="E10898">
        <f t="shared" si="170"/>
        <v>1.9759177355590167E-13</v>
      </c>
    </row>
    <row r="10899" spans="1:5" x14ac:dyDescent="0.25">
      <c r="A10899">
        <v>13</v>
      </c>
      <c r="B10899">
        <v>28</v>
      </c>
      <c r="C10899">
        <v>1</v>
      </c>
      <c r="D10899">
        <v>6</v>
      </c>
      <c r="E10899">
        <f t="shared" si="170"/>
        <v>4.7318029983123793E-12</v>
      </c>
    </row>
    <row r="10900" spans="1:5" x14ac:dyDescent="0.25">
      <c r="A10900">
        <v>13</v>
      </c>
      <c r="B10900">
        <v>28</v>
      </c>
      <c r="C10900">
        <v>2</v>
      </c>
      <c r="D10900">
        <v>5</v>
      </c>
      <c r="E10900">
        <f t="shared" si="170"/>
        <v>4.5425308783798852E-11</v>
      </c>
    </row>
    <row r="10901" spans="1:5" x14ac:dyDescent="0.25">
      <c r="A10901">
        <v>13</v>
      </c>
      <c r="B10901">
        <v>28</v>
      </c>
      <c r="C10901">
        <v>3</v>
      </c>
      <c r="D10901">
        <v>4</v>
      </c>
      <c r="E10901">
        <f t="shared" si="170"/>
        <v>2.2712654391899427E-10</v>
      </c>
    </row>
    <row r="10902" spans="1:5" x14ac:dyDescent="0.25">
      <c r="A10902">
        <v>13</v>
      </c>
      <c r="B10902">
        <v>28</v>
      </c>
      <c r="C10902">
        <v>4</v>
      </c>
      <c r="D10902">
        <v>3</v>
      </c>
      <c r="E10902">
        <f t="shared" si="170"/>
        <v>6.4008389649898394E-10</v>
      </c>
    </row>
    <row r="10903" spans="1:5" x14ac:dyDescent="0.25">
      <c r="A10903">
        <v>13</v>
      </c>
      <c r="B10903">
        <v>28</v>
      </c>
      <c r="C10903">
        <v>5</v>
      </c>
      <c r="D10903">
        <v>2</v>
      </c>
      <c r="E10903">
        <f t="shared" si="170"/>
        <v>1.0185682874722961E-9</v>
      </c>
    </row>
    <row r="10904" spans="1:5" x14ac:dyDescent="0.25">
      <c r="A10904">
        <v>13</v>
      </c>
      <c r="B10904">
        <v>28</v>
      </c>
      <c r="C10904">
        <v>6</v>
      </c>
      <c r="D10904">
        <v>1</v>
      </c>
      <c r="E10904">
        <f t="shared" si="170"/>
        <v>8.4880690622691332E-10</v>
      </c>
    </row>
    <row r="10905" spans="1:5" x14ac:dyDescent="0.25">
      <c r="A10905">
        <v>13</v>
      </c>
      <c r="B10905">
        <v>28</v>
      </c>
      <c r="C10905">
        <v>7</v>
      </c>
      <c r="D10905">
        <v>0</v>
      </c>
      <c r="E10905">
        <f t="shared" si="170"/>
        <v>2.861691855279308E-10</v>
      </c>
    </row>
    <row r="10906" spans="1:5" x14ac:dyDescent="0.25">
      <c r="A10906">
        <v>13</v>
      </c>
      <c r="B10906">
        <v>29</v>
      </c>
      <c r="C10906">
        <v>0</v>
      </c>
      <c r="D10906">
        <v>6</v>
      </c>
      <c r="E10906">
        <f t="shared" si="170"/>
        <v>6.5517272284325184E-13</v>
      </c>
    </row>
    <row r="10907" spans="1:5" x14ac:dyDescent="0.25">
      <c r="A10907">
        <v>13</v>
      </c>
      <c r="B10907">
        <v>29</v>
      </c>
      <c r="C10907">
        <v>1</v>
      </c>
      <c r="D10907">
        <v>5</v>
      </c>
      <c r="E10907">
        <f t="shared" si="170"/>
        <v>1.2775868095443414E-11</v>
      </c>
    </row>
    <row r="10908" spans="1:5" x14ac:dyDescent="0.25">
      <c r="A10908">
        <v>13</v>
      </c>
      <c r="B10908">
        <v>29</v>
      </c>
      <c r="C10908">
        <v>2</v>
      </c>
      <c r="D10908">
        <v>4</v>
      </c>
      <c r="E10908">
        <f t="shared" si="170"/>
        <v>9.7339947393854603E-11</v>
      </c>
    </row>
    <row r="10909" spans="1:5" x14ac:dyDescent="0.25">
      <c r="A10909">
        <v>13</v>
      </c>
      <c r="B10909">
        <v>29</v>
      </c>
      <c r="C10909">
        <v>3</v>
      </c>
      <c r="D10909">
        <v>3</v>
      </c>
      <c r="E10909">
        <f t="shared" si="170"/>
        <v>3.7166161732199022E-10</v>
      </c>
    </row>
    <row r="10910" spans="1:5" x14ac:dyDescent="0.25">
      <c r="A10910">
        <v>13</v>
      </c>
      <c r="B10910">
        <v>29</v>
      </c>
      <c r="C10910">
        <v>4</v>
      </c>
      <c r="D10910">
        <v>2</v>
      </c>
      <c r="E10910">
        <f t="shared" si="170"/>
        <v>7.5140283502054554E-10</v>
      </c>
    </row>
    <row r="10911" spans="1:5" x14ac:dyDescent="0.25">
      <c r="A10911">
        <v>13</v>
      </c>
      <c r="B10911">
        <v>29</v>
      </c>
      <c r="C10911">
        <v>5</v>
      </c>
      <c r="D10911">
        <v>1</v>
      </c>
      <c r="E10911">
        <f t="shared" si="170"/>
        <v>7.6392621560422128E-10</v>
      </c>
    </row>
    <row r="10912" spans="1:5" x14ac:dyDescent="0.25">
      <c r="A10912">
        <v>13</v>
      </c>
      <c r="B10912">
        <v>29</v>
      </c>
      <c r="C10912">
        <v>6</v>
      </c>
      <c r="D10912">
        <v>0</v>
      </c>
      <c r="E10912">
        <f t="shared" si="170"/>
        <v>3.0557048624168852E-10</v>
      </c>
    </row>
    <row r="10913" spans="1:5" x14ac:dyDescent="0.25">
      <c r="A10913">
        <v>13</v>
      </c>
      <c r="B10913">
        <v>30</v>
      </c>
      <c r="C10913">
        <v>0</v>
      </c>
      <c r="D10913">
        <v>5</v>
      </c>
      <c r="E10913">
        <f t="shared" si="170"/>
        <v>1.7034490793924549E-12</v>
      </c>
    </row>
    <row r="10914" spans="1:5" x14ac:dyDescent="0.25">
      <c r="A10914">
        <v>13</v>
      </c>
      <c r="B10914">
        <v>30</v>
      </c>
      <c r="C10914">
        <v>1</v>
      </c>
      <c r="D10914">
        <v>4</v>
      </c>
      <c r="E10914">
        <f t="shared" si="170"/>
        <v>2.6362902419168949E-11</v>
      </c>
    </row>
    <row r="10915" spans="1:5" x14ac:dyDescent="0.25">
      <c r="A10915">
        <v>13</v>
      </c>
      <c r="B10915">
        <v>30</v>
      </c>
      <c r="C10915">
        <v>2</v>
      </c>
      <c r="D10915">
        <v>3</v>
      </c>
      <c r="E10915">
        <f t="shared" si="170"/>
        <v>1.5338415952971025E-10</v>
      </c>
    </row>
    <row r="10916" spans="1:5" x14ac:dyDescent="0.25">
      <c r="A10916">
        <v>13</v>
      </c>
      <c r="B10916">
        <v>30</v>
      </c>
      <c r="C10916">
        <v>3</v>
      </c>
      <c r="D10916">
        <v>2</v>
      </c>
      <c r="E10916">
        <f t="shared" si="170"/>
        <v>4.2013921958138028E-10</v>
      </c>
    </row>
    <row r="10917" spans="1:5" x14ac:dyDescent="0.25">
      <c r="A10917">
        <v>13</v>
      </c>
      <c r="B10917">
        <v>30</v>
      </c>
      <c r="C10917">
        <v>4</v>
      </c>
      <c r="D10917">
        <v>1</v>
      </c>
      <c r="E10917">
        <f t="shared" si="170"/>
        <v>5.4267982529261615E-10</v>
      </c>
    </row>
    <row r="10918" spans="1:5" x14ac:dyDescent="0.25">
      <c r="A10918">
        <v>13</v>
      </c>
      <c r="B10918">
        <v>30</v>
      </c>
      <c r="C10918">
        <v>5</v>
      </c>
      <c r="D10918">
        <v>0</v>
      </c>
      <c r="E10918">
        <f t="shared" si="170"/>
        <v>2.648277547427967E-10</v>
      </c>
    </row>
    <row r="10919" spans="1:5" x14ac:dyDescent="0.25">
      <c r="A10919">
        <v>13</v>
      </c>
      <c r="B10919">
        <v>31</v>
      </c>
      <c r="C10919">
        <v>0</v>
      </c>
      <c r="D10919">
        <v>4</v>
      </c>
      <c r="E10919">
        <f t="shared" si="170"/>
        <v>3.3885815020172533E-12</v>
      </c>
    </row>
    <row r="10920" spans="1:5" x14ac:dyDescent="0.25">
      <c r="A10920">
        <v>13</v>
      </c>
      <c r="B10920">
        <v>31</v>
      </c>
      <c r="C10920">
        <v>1</v>
      </c>
      <c r="D10920">
        <v>3</v>
      </c>
      <c r="E10920">
        <f t="shared" si="170"/>
        <v>4.0046872296567537E-11</v>
      </c>
    </row>
    <row r="10921" spans="1:5" x14ac:dyDescent="0.25">
      <c r="A10921">
        <v>13</v>
      </c>
      <c r="B10921">
        <v>31</v>
      </c>
      <c r="C10921">
        <v>2</v>
      </c>
      <c r="D10921">
        <v>2</v>
      </c>
      <c r="E10921">
        <f t="shared" si="170"/>
        <v>1.6715216262915143E-10</v>
      </c>
    </row>
    <row r="10922" spans="1:5" x14ac:dyDescent="0.25">
      <c r="A10922">
        <v>13</v>
      </c>
      <c r="B10922">
        <v>31</v>
      </c>
      <c r="C10922">
        <v>3</v>
      </c>
      <c r="D10922">
        <v>1</v>
      </c>
      <c r="E10922">
        <f t="shared" si="170"/>
        <v>2.9251628460101505E-10</v>
      </c>
    </row>
    <row r="10923" spans="1:5" x14ac:dyDescent="0.25">
      <c r="A10923">
        <v>13</v>
      </c>
      <c r="B10923">
        <v>31</v>
      </c>
      <c r="C10923">
        <v>4</v>
      </c>
      <c r="D10923">
        <v>0</v>
      </c>
      <c r="E10923">
        <f t="shared" si="170"/>
        <v>1.8136009645262931E-10</v>
      </c>
    </row>
    <row r="10924" spans="1:5" x14ac:dyDescent="0.25">
      <c r="A10924">
        <v>13</v>
      </c>
      <c r="B10924">
        <v>32</v>
      </c>
      <c r="C10924">
        <v>0</v>
      </c>
      <c r="D10924">
        <v>3</v>
      </c>
      <c r="E10924">
        <f t="shared" si="170"/>
        <v>4.9673524290934673E-12</v>
      </c>
    </row>
    <row r="10925" spans="1:5" x14ac:dyDescent="0.25">
      <c r="A10925">
        <v>13</v>
      </c>
      <c r="B10925">
        <v>32</v>
      </c>
      <c r="C10925">
        <v>1</v>
      </c>
      <c r="D10925">
        <v>2</v>
      </c>
      <c r="E10925">
        <f t="shared" si="170"/>
        <v>4.2114509724922874E-11</v>
      </c>
    </row>
    <row r="10926" spans="1:5" x14ac:dyDescent="0.25">
      <c r="A10926">
        <v>13</v>
      </c>
      <c r="B10926">
        <v>32</v>
      </c>
      <c r="C10926">
        <v>2</v>
      </c>
      <c r="D10926">
        <v>1</v>
      </c>
      <c r="E10926">
        <f t="shared" si="170"/>
        <v>1.1230535926646102E-10</v>
      </c>
    </row>
    <row r="10927" spans="1:5" x14ac:dyDescent="0.25">
      <c r="A10927">
        <v>13</v>
      </c>
      <c r="B10927">
        <v>32</v>
      </c>
      <c r="C10927">
        <v>3</v>
      </c>
      <c r="D10927">
        <v>0</v>
      </c>
      <c r="E10927">
        <f t="shared" si="170"/>
        <v>9.4336501783827247E-11</v>
      </c>
    </row>
    <row r="10928" spans="1:5" x14ac:dyDescent="0.25">
      <c r="A10928">
        <v>13</v>
      </c>
      <c r="B10928">
        <v>33</v>
      </c>
      <c r="C10928">
        <v>0</v>
      </c>
      <c r="D10928">
        <v>2</v>
      </c>
      <c r="E10928">
        <f t="shared" si="170"/>
        <v>5.0458876453637244E-12</v>
      </c>
    </row>
    <row r="10929" spans="1:5" x14ac:dyDescent="0.25">
      <c r="A10929">
        <v>13</v>
      </c>
      <c r="B10929">
        <v>33</v>
      </c>
      <c r="C10929">
        <v>1</v>
      </c>
      <c r="D10929">
        <v>1</v>
      </c>
      <c r="E10929">
        <f t="shared" si="170"/>
        <v>2.7331891412386843E-11</v>
      </c>
    </row>
    <row r="10930" spans="1:5" x14ac:dyDescent="0.25">
      <c r="A10930">
        <v>13</v>
      </c>
      <c r="B10930">
        <v>33</v>
      </c>
      <c r="C10930">
        <v>2</v>
      </c>
      <c r="D10930">
        <v>0</v>
      </c>
      <c r="E10930">
        <f t="shared" si="170"/>
        <v>3.4984821007855162E-11</v>
      </c>
    </row>
    <row r="10931" spans="1:5" x14ac:dyDescent="0.25">
      <c r="A10931">
        <v>13</v>
      </c>
      <c r="B10931">
        <v>34</v>
      </c>
      <c r="C10931">
        <v>0</v>
      </c>
      <c r="D10931">
        <v>1</v>
      </c>
      <c r="E10931">
        <f t="shared" si="170"/>
        <v>3.1660471500321399E-12</v>
      </c>
    </row>
    <row r="10932" spans="1:5" x14ac:dyDescent="0.25">
      <c r="A10932">
        <v>13</v>
      </c>
      <c r="B10932">
        <v>34</v>
      </c>
      <c r="C10932">
        <v>1</v>
      </c>
      <c r="D10932">
        <v>0</v>
      </c>
      <c r="E10932">
        <f t="shared" si="170"/>
        <v>8.2317225900835628E-12</v>
      </c>
    </row>
    <row r="10933" spans="1:5" x14ac:dyDescent="0.25">
      <c r="A10933">
        <v>13</v>
      </c>
      <c r="B10933">
        <v>35</v>
      </c>
      <c r="C10933">
        <v>0</v>
      </c>
      <c r="D10933">
        <v>0</v>
      </c>
      <c r="E10933">
        <f t="shared" si="170"/>
        <v>9.2267659800936635E-13</v>
      </c>
    </row>
    <row r="10934" spans="1:5" x14ac:dyDescent="0.25">
      <c r="A10934">
        <v>14</v>
      </c>
      <c r="B10934">
        <v>0</v>
      </c>
      <c r="C10934">
        <v>9</v>
      </c>
      <c r="D10934">
        <v>25</v>
      </c>
      <c r="E10934">
        <f t="shared" si="170"/>
        <v>1.1003278683982486E-47</v>
      </c>
    </row>
    <row r="10935" spans="1:5" x14ac:dyDescent="0.25">
      <c r="A10935">
        <v>14</v>
      </c>
      <c r="B10935">
        <v>0</v>
      </c>
      <c r="C10935">
        <v>10</v>
      </c>
      <c r="D10935">
        <v>24</v>
      </c>
      <c r="E10935">
        <f t="shared" si="170"/>
        <v>1.5404590157575485E-45</v>
      </c>
    </row>
    <row r="10936" spans="1:5" x14ac:dyDescent="0.25">
      <c r="A10936">
        <v>14</v>
      </c>
      <c r="B10936">
        <v>0</v>
      </c>
      <c r="C10936">
        <v>11</v>
      </c>
      <c r="D10936">
        <v>23</v>
      </c>
      <c r="E10936">
        <f t="shared" si="170"/>
        <v>9.2427540945452917E-44</v>
      </c>
    </row>
    <row r="10937" spans="1:5" x14ac:dyDescent="0.25">
      <c r="A10937">
        <v>14</v>
      </c>
      <c r="B10937">
        <v>0</v>
      </c>
      <c r="C10937">
        <v>12</v>
      </c>
      <c r="D10937">
        <v>22</v>
      </c>
      <c r="E10937">
        <f t="shared" si="170"/>
        <v>3.1887501626181236E-42</v>
      </c>
    </row>
    <row r="10938" spans="1:5" x14ac:dyDescent="0.25">
      <c r="A10938">
        <v>14</v>
      </c>
      <c r="B10938">
        <v>0</v>
      </c>
      <c r="C10938">
        <v>13</v>
      </c>
      <c r="D10938">
        <v>21</v>
      </c>
      <c r="E10938">
        <f t="shared" si="170"/>
        <v>7.1501590184860265E-41</v>
      </c>
    </row>
    <row r="10939" spans="1:5" x14ac:dyDescent="0.25">
      <c r="A10939">
        <v>14</v>
      </c>
      <c r="B10939">
        <v>0</v>
      </c>
      <c r="C10939">
        <v>14</v>
      </c>
      <c r="D10939">
        <v>20</v>
      </c>
      <c r="E10939">
        <f t="shared" si="170"/>
        <v>1.1154248068838201E-39</v>
      </c>
    </row>
    <row r="10940" spans="1:5" x14ac:dyDescent="0.25">
      <c r="A10940">
        <v>14</v>
      </c>
      <c r="B10940">
        <v>0</v>
      </c>
      <c r="C10940">
        <v>15</v>
      </c>
      <c r="D10940">
        <v>19</v>
      </c>
      <c r="E10940">
        <f t="shared" si="170"/>
        <v>1.2641481144683288E-38</v>
      </c>
    </row>
    <row r="10941" spans="1:5" x14ac:dyDescent="0.25">
      <c r="A10941">
        <v>14</v>
      </c>
      <c r="B10941">
        <v>0</v>
      </c>
      <c r="C10941">
        <v>16</v>
      </c>
      <c r="D10941">
        <v>18</v>
      </c>
      <c r="E10941">
        <f t="shared" si="170"/>
        <v>1.0722684899508153E-37</v>
      </c>
    </row>
    <row r="10942" spans="1:5" x14ac:dyDescent="0.25">
      <c r="A10942">
        <v>14</v>
      </c>
      <c r="B10942">
        <v>0</v>
      </c>
      <c r="C10942">
        <v>17</v>
      </c>
      <c r="D10942">
        <v>17</v>
      </c>
      <c r="E10942">
        <f t="shared" si="170"/>
        <v>6.9539765304163186E-37</v>
      </c>
    </row>
    <row r="10943" spans="1:5" x14ac:dyDescent="0.25">
      <c r="A10943">
        <v>14</v>
      </c>
      <c r="B10943">
        <v>0</v>
      </c>
      <c r="C10943">
        <v>18</v>
      </c>
      <c r="D10943">
        <v>16</v>
      </c>
      <c r="E10943">
        <f t="shared" si="170"/>
        <v>3.5027437338393273E-36</v>
      </c>
    </row>
    <row r="10944" spans="1:5" x14ac:dyDescent="0.25">
      <c r="A10944">
        <v>14</v>
      </c>
      <c r="B10944">
        <v>0</v>
      </c>
      <c r="C10944">
        <v>19</v>
      </c>
      <c r="D10944">
        <v>15</v>
      </c>
      <c r="E10944">
        <f t="shared" si="170"/>
        <v>1.3863490988669342E-35</v>
      </c>
    </row>
    <row r="10945" spans="1:5" x14ac:dyDescent="0.25">
      <c r="A10945">
        <v>14</v>
      </c>
      <c r="B10945">
        <v>0</v>
      </c>
      <c r="C10945">
        <v>20</v>
      </c>
      <c r="D10945">
        <v>14</v>
      </c>
      <c r="E10945">
        <f t="shared" si="170"/>
        <v>4.3480949009917528E-35</v>
      </c>
    </row>
    <row r="10946" spans="1:5" x14ac:dyDescent="0.25">
      <c r="A10946">
        <v>14</v>
      </c>
      <c r="B10946">
        <v>0</v>
      </c>
      <c r="C10946">
        <v>21</v>
      </c>
      <c r="D10946">
        <v>13</v>
      </c>
      <c r="E10946">
        <f t="shared" si="170"/>
        <v>1.087023725247937E-34</v>
      </c>
    </row>
    <row r="10947" spans="1:5" x14ac:dyDescent="0.25">
      <c r="A10947">
        <v>14</v>
      </c>
      <c r="B10947">
        <v>0</v>
      </c>
      <c r="C10947">
        <v>22</v>
      </c>
      <c r="D10947">
        <v>12</v>
      </c>
      <c r="E10947">
        <f t="shared" si="170"/>
        <v>2.1740474504958753E-34</v>
      </c>
    </row>
    <row r="10948" spans="1:5" x14ac:dyDescent="0.25">
      <c r="A10948">
        <v>14</v>
      </c>
      <c r="B10948">
        <v>0</v>
      </c>
      <c r="C10948">
        <v>23</v>
      </c>
      <c r="D10948">
        <v>11</v>
      </c>
      <c r="E10948">
        <f t="shared" si="170"/>
        <v>3.4838772809188542E-34</v>
      </c>
    </row>
    <row r="10949" spans="1:5" x14ac:dyDescent="0.25">
      <c r="A10949">
        <v>14</v>
      </c>
      <c r="B10949">
        <v>0</v>
      </c>
      <c r="C10949">
        <v>24</v>
      </c>
      <c r="D10949">
        <v>10</v>
      </c>
      <c r="E10949">
        <f t="shared" si="170"/>
        <v>4.4709758438458628E-34</v>
      </c>
    </row>
    <row r="10950" spans="1:5" x14ac:dyDescent="0.25">
      <c r="A10950">
        <v>14</v>
      </c>
      <c r="B10950">
        <v>0</v>
      </c>
      <c r="C10950">
        <v>25</v>
      </c>
      <c r="D10950">
        <v>9</v>
      </c>
      <c r="E10950">
        <f t="shared" si="170"/>
        <v>4.582750239942012E-34</v>
      </c>
    </row>
    <row r="10951" spans="1:5" x14ac:dyDescent="0.25">
      <c r="A10951">
        <v>14</v>
      </c>
      <c r="B10951">
        <v>0</v>
      </c>
      <c r="C10951">
        <v>26</v>
      </c>
      <c r="D10951">
        <v>8</v>
      </c>
      <c r="E10951">
        <f t="shared" si="170"/>
        <v>3.7325567565138531E-34</v>
      </c>
    </row>
    <row r="10952" spans="1:5" x14ac:dyDescent="0.25">
      <c r="A10952">
        <v>14</v>
      </c>
      <c r="B10952">
        <v>0</v>
      </c>
      <c r="C10952">
        <v>27</v>
      </c>
      <c r="D10952">
        <v>7</v>
      </c>
      <c r="E10952">
        <f t="shared" si="170"/>
        <v>2.3962092757866719E-34</v>
      </c>
    </row>
    <row r="10953" spans="1:5" x14ac:dyDescent="0.25">
      <c r="A10953">
        <v>14</v>
      </c>
      <c r="B10953">
        <v>0</v>
      </c>
      <c r="C10953">
        <v>28</v>
      </c>
      <c r="D10953">
        <v>6</v>
      </c>
      <c r="E10953">
        <f t="shared" si="170"/>
        <v>1.1981046378933357E-34</v>
      </c>
    </row>
    <row r="10954" spans="1:5" x14ac:dyDescent="0.25">
      <c r="A10954">
        <v>14</v>
      </c>
      <c r="B10954">
        <v>0</v>
      </c>
      <c r="C10954">
        <v>29</v>
      </c>
      <c r="D10954">
        <v>5</v>
      </c>
      <c r="E10954">
        <f t="shared" si="170"/>
        <v>4.58584878641932E-35</v>
      </c>
    </row>
    <row r="10955" spans="1:5" x14ac:dyDescent="0.25">
      <c r="A10955">
        <v>14</v>
      </c>
      <c r="B10955">
        <v>0</v>
      </c>
      <c r="C10955">
        <v>30</v>
      </c>
      <c r="D10955">
        <v>4</v>
      </c>
      <c r="E10955">
        <f t="shared" si="170"/>
        <v>1.3102425104055202E-35</v>
      </c>
    </row>
    <row r="10956" spans="1:5" x14ac:dyDescent="0.25">
      <c r="A10956">
        <v>14</v>
      </c>
      <c r="B10956">
        <v>0</v>
      </c>
      <c r="C10956">
        <v>31</v>
      </c>
      <c r="D10956">
        <v>3</v>
      </c>
      <c r="E10956">
        <f t="shared" si="170"/>
        <v>2.6896473820641175E-36</v>
      </c>
    </row>
    <row r="10957" spans="1:5" x14ac:dyDescent="0.25">
      <c r="A10957">
        <v>14</v>
      </c>
      <c r="B10957">
        <v>0</v>
      </c>
      <c r="C10957">
        <v>32</v>
      </c>
      <c r="D10957">
        <v>2</v>
      </c>
      <c r="E10957">
        <f t="shared" si="170"/>
        <v>3.7275004479692926E-37</v>
      </c>
    </row>
    <row r="10958" spans="1:5" x14ac:dyDescent="0.25">
      <c r="A10958">
        <v>14</v>
      </c>
      <c r="B10958">
        <v>0</v>
      </c>
      <c r="C10958">
        <v>33</v>
      </c>
      <c r="D10958">
        <v>1</v>
      </c>
      <c r="E10958">
        <f t="shared" ref="E10958:E11021" si="171">COMBIN(A$4,A10958)*COMBIN(B$4,B10958)*COMBIN(C$4,C10958)*COMBIN(D$4,D10958)/COMBIN($G$4,$F$4)</f>
        <v>3.1062503733077443E-38</v>
      </c>
    </row>
    <row r="10959" spans="1:5" x14ac:dyDescent="0.25">
      <c r="A10959">
        <v>14</v>
      </c>
      <c r="B10959">
        <v>0</v>
      </c>
      <c r="C10959">
        <v>34</v>
      </c>
      <c r="D10959">
        <v>0</v>
      </c>
      <c r="E10959">
        <f t="shared" si="171"/>
        <v>1.1694119052452686E-39</v>
      </c>
    </row>
    <row r="10960" spans="1:5" x14ac:dyDescent="0.25">
      <c r="A10960">
        <v>14</v>
      </c>
      <c r="B10960">
        <v>1</v>
      </c>
      <c r="C10960">
        <v>8</v>
      </c>
      <c r="D10960">
        <v>25</v>
      </c>
      <c r="E10960">
        <f t="shared" si="171"/>
        <v>5.0209697994804305E-46</v>
      </c>
    </row>
    <row r="10961" spans="1:5" x14ac:dyDescent="0.25">
      <c r="A10961">
        <v>14</v>
      </c>
      <c r="B10961">
        <v>1</v>
      </c>
      <c r="C10961">
        <v>9</v>
      </c>
      <c r="D10961">
        <v>24</v>
      </c>
      <c r="E10961">
        <f t="shared" si="171"/>
        <v>7.9498688491773457E-44</v>
      </c>
    </row>
    <row r="10962" spans="1:5" x14ac:dyDescent="0.25">
      <c r="A10962">
        <v>14</v>
      </c>
      <c r="B10962">
        <v>1</v>
      </c>
      <c r="C10962">
        <v>10</v>
      </c>
      <c r="D10962">
        <v>23</v>
      </c>
      <c r="E10962">
        <f t="shared" si="171"/>
        <v>5.3423118666471775E-42</v>
      </c>
    </row>
    <row r="10963" spans="1:5" x14ac:dyDescent="0.25">
      <c r="A10963">
        <v>14</v>
      </c>
      <c r="B10963">
        <v>1</v>
      </c>
      <c r="C10963">
        <v>11</v>
      </c>
      <c r="D10963">
        <v>22</v>
      </c>
      <c r="E10963">
        <f t="shared" si="171"/>
        <v>2.0478862155480849E-40</v>
      </c>
    </row>
    <row r="10964" spans="1:5" x14ac:dyDescent="0.25">
      <c r="A10964">
        <v>14</v>
      </c>
      <c r="B10964">
        <v>1</v>
      </c>
      <c r="C10964">
        <v>12</v>
      </c>
      <c r="D10964">
        <v>21</v>
      </c>
      <c r="E10964">
        <f t="shared" si="171"/>
        <v>5.0685183834815072E-39</v>
      </c>
    </row>
    <row r="10965" spans="1:5" x14ac:dyDescent="0.25">
      <c r="A10965">
        <v>14</v>
      </c>
      <c r="B10965">
        <v>1</v>
      </c>
      <c r="C10965">
        <v>13</v>
      </c>
      <c r="D10965">
        <v>20</v>
      </c>
      <c r="E10965">
        <f t="shared" si="171"/>
        <v>8.678863016638337E-38</v>
      </c>
    </row>
    <row r="10966" spans="1:5" x14ac:dyDescent="0.25">
      <c r="A10966">
        <v>14</v>
      </c>
      <c r="B10966">
        <v>1</v>
      </c>
      <c r="C10966">
        <v>14</v>
      </c>
      <c r="D10966">
        <v>19</v>
      </c>
      <c r="E10966">
        <f t="shared" si="171"/>
        <v>1.07452589729808E-36</v>
      </c>
    </row>
    <row r="10967" spans="1:5" x14ac:dyDescent="0.25">
      <c r="A10967">
        <v>14</v>
      </c>
      <c r="B10967">
        <v>1</v>
      </c>
      <c r="C10967">
        <v>15</v>
      </c>
      <c r="D10967">
        <v>18</v>
      </c>
      <c r="E10967">
        <f t="shared" si="171"/>
        <v>9.9163389950651372E-36</v>
      </c>
    </row>
    <row r="10968" spans="1:5" x14ac:dyDescent="0.25">
      <c r="A10968">
        <v>14</v>
      </c>
      <c r="B10968">
        <v>1</v>
      </c>
      <c r="C10968">
        <v>16</v>
      </c>
      <c r="D10968">
        <v>17</v>
      </c>
      <c r="E10968">
        <f t="shared" si="171"/>
        <v>6.9724258559051753E-35</v>
      </c>
    </row>
    <row r="10969" spans="1:5" x14ac:dyDescent="0.25">
      <c r="A10969">
        <v>14</v>
      </c>
      <c r="B10969">
        <v>1</v>
      </c>
      <c r="C10969">
        <v>17</v>
      </c>
      <c r="D10969">
        <v>16</v>
      </c>
      <c r="E10969">
        <f t="shared" si="171"/>
        <v>3.7960985215483751E-34</v>
      </c>
    </row>
    <row r="10970" spans="1:5" x14ac:dyDescent="0.25">
      <c r="A10970">
        <v>14</v>
      </c>
      <c r="B10970">
        <v>1</v>
      </c>
      <c r="C10970">
        <v>18</v>
      </c>
      <c r="D10970">
        <v>15</v>
      </c>
      <c r="E10970">
        <f t="shared" si="171"/>
        <v>1.6196687025273047E-33</v>
      </c>
    </row>
    <row r="10971" spans="1:5" x14ac:dyDescent="0.25">
      <c r="A10971">
        <v>14</v>
      </c>
      <c r="B10971">
        <v>1</v>
      </c>
      <c r="C10971">
        <v>19</v>
      </c>
      <c r="D10971">
        <v>14</v>
      </c>
      <c r="E10971">
        <f t="shared" si="171"/>
        <v>5.4634757668983288E-33</v>
      </c>
    </row>
    <row r="10972" spans="1:5" x14ac:dyDescent="0.25">
      <c r="A10972">
        <v>14</v>
      </c>
      <c r="B10972">
        <v>1</v>
      </c>
      <c r="C10972">
        <v>20</v>
      </c>
      <c r="D10972">
        <v>13</v>
      </c>
      <c r="E10972">
        <f t="shared" si="171"/>
        <v>1.4660326641177196E-32</v>
      </c>
    </row>
    <row r="10973" spans="1:5" x14ac:dyDescent="0.25">
      <c r="A10973">
        <v>14</v>
      </c>
      <c r="B10973">
        <v>1</v>
      </c>
      <c r="C10973">
        <v>21</v>
      </c>
      <c r="D10973">
        <v>12</v>
      </c>
      <c r="E10973">
        <f t="shared" si="171"/>
        <v>3.1414985659665383E-32</v>
      </c>
    </row>
    <row r="10974" spans="1:5" x14ac:dyDescent="0.25">
      <c r="A10974">
        <v>14</v>
      </c>
      <c r="B10974">
        <v>1</v>
      </c>
      <c r="C10974">
        <v>22</v>
      </c>
      <c r="D10974">
        <v>11</v>
      </c>
      <c r="E10974">
        <f t="shared" si="171"/>
        <v>5.385426113085496E-32</v>
      </c>
    </row>
    <row r="10975" spans="1:5" x14ac:dyDescent="0.25">
      <c r="A10975">
        <v>14</v>
      </c>
      <c r="B10975">
        <v>1</v>
      </c>
      <c r="C10975">
        <v>23</v>
      </c>
      <c r="D10975">
        <v>10</v>
      </c>
      <c r="E10975">
        <f t="shared" si="171"/>
        <v>7.3834972506940249E-32</v>
      </c>
    </row>
    <row r="10976" spans="1:5" x14ac:dyDescent="0.25">
      <c r="A10976">
        <v>14</v>
      </c>
      <c r="B10976">
        <v>1</v>
      </c>
      <c r="C10976">
        <v>24</v>
      </c>
      <c r="D10976">
        <v>9</v>
      </c>
      <c r="E10976">
        <f t="shared" si="171"/>
        <v>8.0757001179465912E-32</v>
      </c>
    </row>
    <row r="10977" spans="1:5" x14ac:dyDescent="0.25">
      <c r="A10977">
        <v>14</v>
      </c>
      <c r="B10977">
        <v>1</v>
      </c>
      <c r="C10977">
        <v>25</v>
      </c>
      <c r="D10977">
        <v>8</v>
      </c>
      <c r="E10977">
        <f t="shared" si="171"/>
        <v>7.0116078671112769E-32</v>
      </c>
    </row>
    <row r="10978" spans="1:5" x14ac:dyDescent="0.25">
      <c r="A10978">
        <v>14</v>
      </c>
      <c r="B10978">
        <v>1</v>
      </c>
      <c r="C10978">
        <v>26</v>
      </c>
      <c r="D10978">
        <v>7</v>
      </c>
      <c r="E10978">
        <f t="shared" si="171"/>
        <v>4.7942617894777953E-32</v>
      </c>
    </row>
    <row r="10979" spans="1:5" x14ac:dyDescent="0.25">
      <c r="A10979">
        <v>14</v>
      </c>
      <c r="B10979">
        <v>1</v>
      </c>
      <c r="C10979">
        <v>27</v>
      </c>
      <c r="D10979">
        <v>6</v>
      </c>
      <c r="E10979">
        <f t="shared" si="171"/>
        <v>2.5513322973244395E-32</v>
      </c>
    </row>
    <row r="10980" spans="1:5" x14ac:dyDescent="0.25">
      <c r="A10980">
        <v>14</v>
      </c>
      <c r="B10980">
        <v>1</v>
      </c>
      <c r="C10980">
        <v>28</v>
      </c>
      <c r="D10980">
        <v>5</v>
      </c>
      <c r="E10980">
        <f t="shared" si="171"/>
        <v>1.038756721053522E-32</v>
      </c>
    </row>
    <row r="10981" spans="1:5" x14ac:dyDescent="0.25">
      <c r="A10981">
        <v>14</v>
      </c>
      <c r="B10981">
        <v>1</v>
      </c>
      <c r="C10981">
        <v>29</v>
      </c>
      <c r="D10981">
        <v>4</v>
      </c>
      <c r="E10981">
        <f t="shared" si="171"/>
        <v>3.1555007125599611E-33</v>
      </c>
    </row>
    <row r="10982" spans="1:5" x14ac:dyDescent="0.25">
      <c r="A10982">
        <v>14</v>
      </c>
      <c r="B10982">
        <v>1</v>
      </c>
      <c r="C10982">
        <v>30</v>
      </c>
      <c r="D10982">
        <v>3</v>
      </c>
      <c r="E10982">
        <f t="shared" si="171"/>
        <v>6.8847288274035504E-34</v>
      </c>
    </row>
    <row r="10983" spans="1:5" x14ac:dyDescent="0.25">
      <c r="A10983">
        <v>14</v>
      </c>
      <c r="B10983">
        <v>1</v>
      </c>
      <c r="C10983">
        <v>31</v>
      </c>
      <c r="D10983">
        <v>2</v>
      </c>
      <c r="E10983">
        <f t="shared" si="171"/>
        <v>1.0138801218476477E-34</v>
      </c>
    </row>
    <row r="10984" spans="1:5" x14ac:dyDescent="0.25">
      <c r="A10984">
        <v>14</v>
      </c>
      <c r="B10984">
        <v>1</v>
      </c>
      <c r="C10984">
        <v>32</v>
      </c>
      <c r="D10984">
        <v>1</v>
      </c>
      <c r="E10984">
        <f t="shared" si="171"/>
        <v>8.9770635788593804E-36</v>
      </c>
    </row>
    <row r="10985" spans="1:5" x14ac:dyDescent="0.25">
      <c r="A10985">
        <v>14</v>
      </c>
      <c r="B10985">
        <v>1</v>
      </c>
      <c r="C10985">
        <v>33</v>
      </c>
      <c r="D10985">
        <v>0</v>
      </c>
      <c r="E10985">
        <f t="shared" si="171"/>
        <v>3.590825431543752E-37</v>
      </c>
    </row>
    <row r="10986" spans="1:5" x14ac:dyDescent="0.25">
      <c r="A10986">
        <v>14</v>
      </c>
      <c r="B10986">
        <v>2</v>
      </c>
      <c r="C10986">
        <v>7</v>
      </c>
      <c r="D10986">
        <v>25</v>
      </c>
      <c r="E10986">
        <f t="shared" si="171"/>
        <v>9.9726848431059559E-45</v>
      </c>
    </row>
    <row r="10987" spans="1:5" x14ac:dyDescent="0.25">
      <c r="A10987">
        <v>14</v>
      </c>
      <c r="B10987">
        <v>2</v>
      </c>
      <c r="C10987">
        <v>8</v>
      </c>
      <c r="D10987">
        <v>24</v>
      </c>
      <c r="E10987">
        <f t="shared" si="171"/>
        <v>1.8075491278129548E-42</v>
      </c>
    </row>
    <row r="10988" spans="1:5" x14ac:dyDescent="0.25">
      <c r="A10988">
        <v>14</v>
      </c>
      <c r="B10988">
        <v>2</v>
      </c>
      <c r="C10988">
        <v>9</v>
      </c>
      <c r="D10988">
        <v>23</v>
      </c>
      <c r="E10988">
        <f t="shared" si="171"/>
        <v>1.3737373371378453E-40</v>
      </c>
    </row>
    <row r="10989" spans="1:5" x14ac:dyDescent="0.25">
      <c r="A10989">
        <v>14</v>
      </c>
      <c r="B10989">
        <v>2</v>
      </c>
      <c r="C10989">
        <v>10</v>
      </c>
      <c r="D10989">
        <v>22</v>
      </c>
      <c r="E10989">
        <f t="shared" si="171"/>
        <v>5.8979123007784841E-39</v>
      </c>
    </row>
    <row r="10990" spans="1:5" x14ac:dyDescent="0.25">
      <c r="A10990">
        <v>14</v>
      </c>
      <c r="B10990">
        <v>2</v>
      </c>
      <c r="C10990">
        <v>11</v>
      </c>
      <c r="D10990">
        <v>21</v>
      </c>
      <c r="E10990">
        <f t="shared" si="171"/>
        <v>1.6219258827140835E-37</v>
      </c>
    </row>
    <row r="10991" spans="1:5" x14ac:dyDescent="0.25">
      <c r="A10991">
        <v>14</v>
      </c>
      <c r="B10991">
        <v>2</v>
      </c>
      <c r="C10991">
        <v>12</v>
      </c>
      <c r="D10991">
        <v>20</v>
      </c>
      <c r="E10991">
        <f t="shared" si="171"/>
        <v>3.0654399183296147E-36</v>
      </c>
    </row>
    <row r="10992" spans="1:5" x14ac:dyDescent="0.25">
      <c r="A10992">
        <v>14</v>
      </c>
      <c r="B10992">
        <v>2</v>
      </c>
      <c r="C10992">
        <v>13</v>
      </c>
      <c r="D10992">
        <v>19</v>
      </c>
      <c r="E10992">
        <f t="shared" si="171"/>
        <v>4.1658542479864017E-35</v>
      </c>
    </row>
    <row r="10993" spans="1:5" x14ac:dyDescent="0.25">
      <c r="A10993">
        <v>14</v>
      </c>
      <c r="B10993">
        <v>2</v>
      </c>
      <c r="C10993">
        <v>14</v>
      </c>
      <c r="D10993">
        <v>18</v>
      </c>
      <c r="E10993">
        <f t="shared" si="171"/>
        <v>4.1998612214393545E-34</v>
      </c>
    </row>
    <row r="10994" spans="1:5" x14ac:dyDescent="0.25">
      <c r="A10994">
        <v>14</v>
      </c>
      <c r="B10994">
        <v>2</v>
      </c>
      <c r="C10994">
        <v>15</v>
      </c>
      <c r="D10994">
        <v>17</v>
      </c>
      <c r="E10994">
        <f t="shared" si="171"/>
        <v>3.2128938344011038E-33</v>
      </c>
    </row>
    <row r="10995" spans="1:5" x14ac:dyDescent="0.25">
      <c r="A10995">
        <v>14</v>
      </c>
      <c r="B10995">
        <v>2</v>
      </c>
      <c r="C10995">
        <v>16</v>
      </c>
      <c r="D10995">
        <v>16</v>
      </c>
      <c r="E10995">
        <f t="shared" si="171"/>
        <v>1.8964998328062073E-32</v>
      </c>
    </row>
    <row r="10996" spans="1:5" x14ac:dyDescent="0.25">
      <c r="A10996">
        <v>14</v>
      </c>
      <c r="B10996">
        <v>2</v>
      </c>
      <c r="C10996">
        <v>17</v>
      </c>
      <c r="D10996">
        <v>15</v>
      </c>
      <c r="E10996">
        <f t="shared" si="171"/>
        <v>8.7462109936474542E-32</v>
      </c>
    </row>
    <row r="10997" spans="1:5" x14ac:dyDescent="0.25">
      <c r="A10997">
        <v>14</v>
      </c>
      <c r="B10997">
        <v>2</v>
      </c>
      <c r="C10997">
        <v>18</v>
      </c>
      <c r="D10997">
        <v>14</v>
      </c>
      <c r="E10997">
        <f t="shared" si="171"/>
        <v>3.1804403613263444E-31</v>
      </c>
    </row>
    <row r="10998" spans="1:5" x14ac:dyDescent="0.25">
      <c r="A10998">
        <v>14</v>
      </c>
      <c r="B10998">
        <v>2</v>
      </c>
      <c r="C10998">
        <v>19</v>
      </c>
      <c r="D10998">
        <v>13</v>
      </c>
      <c r="E10998">
        <f t="shared" si="171"/>
        <v>9.1786392883891936E-31</v>
      </c>
    </row>
    <row r="10999" spans="1:5" x14ac:dyDescent="0.25">
      <c r="A10999">
        <v>14</v>
      </c>
      <c r="B10999">
        <v>2</v>
      </c>
      <c r="C10999">
        <v>20</v>
      </c>
      <c r="D10999">
        <v>12</v>
      </c>
      <c r="E10999">
        <f t="shared" si="171"/>
        <v>2.1110870363295163E-30</v>
      </c>
    </row>
    <row r="11000" spans="1:5" x14ac:dyDescent="0.25">
      <c r="A11000">
        <v>14</v>
      </c>
      <c r="B11000">
        <v>2</v>
      </c>
      <c r="C11000">
        <v>21</v>
      </c>
      <c r="D11000">
        <v>11</v>
      </c>
      <c r="E11000">
        <f t="shared" si="171"/>
        <v>3.877506801421555E-30</v>
      </c>
    </row>
    <row r="11001" spans="1:5" x14ac:dyDescent="0.25">
      <c r="A11001">
        <v>14</v>
      </c>
      <c r="B11001">
        <v>2</v>
      </c>
      <c r="C11001">
        <v>22</v>
      </c>
      <c r="D11001">
        <v>10</v>
      </c>
      <c r="E11001">
        <f t="shared" si="171"/>
        <v>5.6870099754182837E-30</v>
      </c>
    </row>
    <row r="11002" spans="1:5" x14ac:dyDescent="0.25">
      <c r="A11002">
        <v>14</v>
      </c>
      <c r="B11002">
        <v>2</v>
      </c>
      <c r="C11002">
        <v>23</v>
      </c>
      <c r="D11002">
        <v>9</v>
      </c>
      <c r="E11002">
        <f t="shared" si="171"/>
        <v>6.6451475256246233E-30</v>
      </c>
    </row>
    <row r="11003" spans="1:5" x14ac:dyDescent="0.25">
      <c r="A11003">
        <v>14</v>
      </c>
      <c r="B11003">
        <v>2</v>
      </c>
      <c r="C11003">
        <v>24</v>
      </c>
      <c r="D11003">
        <v>8</v>
      </c>
      <c r="E11003">
        <f t="shared" si="171"/>
        <v>6.1565337369757542E-30</v>
      </c>
    </row>
    <row r="11004" spans="1:5" x14ac:dyDescent="0.25">
      <c r="A11004">
        <v>14</v>
      </c>
      <c r="B11004">
        <v>2</v>
      </c>
      <c r="C11004">
        <v>25</v>
      </c>
      <c r="D11004">
        <v>7</v>
      </c>
      <c r="E11004">
        <f t="shared" si="171"/>
        <v>4.4874290349512193E-30</v>
      </c>
    </row>
    <row r="11005" spans="1:5" x14ac:dyDescent="0.25">
      <c r="A11005">
        <v>14</v>
      </c>
      <c r="B11005">
        <v>2</v>
      </c>
      <c r="C11005">
        <v>26</v>
      </c>
      <c r="D11005">
        <v>6</v>
      </c>
      <c r="E11005">
        <f t="shared" si="171"/>
        <v>2.543482044101903E-30</v>
      </c>
    </row>
    <row r="11006" spans="1:5" x14ac:dyDescent="0.25">
      <c r="A11006">
        <v>14</v>
      </c>
      <c r="B11006">
        <v>2</v>
      </c>
      <c r="C11006">
        <v>27</v>
      </c>
      <c r="D11006">
        <v>5</v>
      </c>
      <c r="E11006">
        <f t="shared" si="171"/>
        <v>1.102175552444158E-30</v>
      </c>
    </row>
    <row r="11007" spans="1:5" x14ac:dyDescent="0.25">
      <c r="A11007">
        <v>14</v>
      </c>
      <c r="B11007">
        <v>2</v>
      </c>
      <c r="C11007">
        <v>28</v>
      </c>
      <c r="D11007">
        <v>4</v>
      </c>
      <c r="E11007">
        <f t="shared" si="171"/>
        <v>3.5614516150406481E-31</v>
      </c>
    </row>
    <row r="11008" spans="1:5" x14ac:dyDescent="0.25">
      <c r="A11008">
        <v>14</v>
      </c>
      <c r="B11008">
        <v>2</v>
      </c>
      <c r="C11008">
        <v>29</v>
      </c>
      <c r="D11008">
        <v>3</v>
      </c>
      <c r="E11008">
        <f t="shared" si="171"/>
        <v>8.2616745928842625E-32</v>
      </c>
    </row>
    <row r="11009" spans="1:5" x14ac:dyDescent="0.25">
      <c r="A11009">
        <v>14</v>
      </c>
      <c r="B11009">
        <v>2</v>
      </c>
      <c r="C11009">
        <v>30</v>
      </c>
      <c r="D11009">
        <v>2</v>
      </c>
      <c r="E11009">
        <f t="shared" si="171"/>
        <v>1.2931316754079712E-32</v>
      </c>
    </row>
    <row r="11010" spans="1:5" x14ac:dyDescent="0.25">
      <c r="A11010">
        <v>14</v>
      </c>
      <c r="B11010">
        <v>2</v>
      </c>
      <c r="C11010">
        <v>31</v>
      </c>
      <c r="D11010">
        <v>1</v>
      </c>
      <c r="E11010">
        <f t="shared" si="171"/>
        <v>1.2166561462171774E-33</v>
      </c>
    </row>
    <row r="11011" spans="1:5" x14ac:dyDescent="0.25">
      <c r="A11011">
        <v>14</v>
      </c>
      <c r="B11011">
        <v>2</v>
      </c>
      <c r="C11011">
        <v>32</v>
      </c>
      <c r="D11011">
        <v>0</v>
      </c>
      <c r="E11011">
        <f t="shared" si="171"/>
        <v>5.1707886214230024E-35</v>
      </c>
    </row>
    <row r="11012" spans="1:5" x14ac:dyDescent="0.25">
      <c r="A11012">
        <v>14</v>
      </c>
      <c r="B11012">
        <v>3</v>
      </c>
      <c r="C11012">
        <v>6</v>
      </c>
      <c r="D11012">
        <v>25</v>
      </c>
      <c r="E11012">
        <f t="shared" si="171"/>
        <v>1.1319279011186363E-43</v>
      </c>
    </row>
    <row r="11013" spans="1:5" x14ac:dyDescent="0.25">
      <c r="A11013">
        <v>14</v>
      </c>
      <c r="B11013">
        <v>3</v>
      </c>
      <c r="C11013">
        <v>7</v>
      </c>
      <c r="D11013">
        <v>24</v>
      </c>
      <c r="E11013">
        <f t="shared" si="171"/>
        <v>2.385133791642841E-41</v>
      </c>
    </row>
    <row r="11014" spans="1:5" x14ac:dyDescent="0.25">
      <c r="A11014">
        <v>14</v>
      </c>
      <c r="B11014">
        <v>3</v>
      </c>
      <c r="C11014">
        <v>8</v>
      </c>
      <c r="D11014">
        <v>23</v>
      </c>
      <c r="E11014">
        <f t="shared" si="171"/>
        <v>2.0750663987292724E-39</v>
      </c>
    </row>
    <row r="11015" spans="1:5" x14ac:dyDescent="0.25">
      <c r="A11015">
        <v>14</v>
      </c>
      <c r="B11015">
        <v>3</v>
      </c>
      <c r="C11015">
        <v>9</v>
      </c>
      <c r="D11015">
        <v>22</v>
      </c>
      <c r="E11015">
        <f t="shared" si="171"/>
        <v>1.0075600180496576E-37</v>
      </c>
    </row>
    <row r="11016" spans="1:5" x14ac:dyDescent="0.25">
      <c r="A11016">
        <v>14</v>
      </c>
      <c r="B11016">
        <v>3</v>
      </c>
      <c r="C11016">
        <v>10</v>
      </c>
      <c r="D11016">
        <v>21</v>
      </c>
      <c r="E11016">
        <f t="shared" si="171"/>
        <v>3.103284855592946E-36</v>
      </c>
    </row>
    <row r="11017" spans="1:5" x14ac:dyDescent="0.25">
      <c r="A11017">
        <v>14</v>
      </c>
      <c r="B11017">
        <v>3</v>
      </c>
      <c r="C11017">
        <v>11</v>
      </c>
      <c r="D11017">
        <v>20</v>
      </c>
      <c r="E11017">
        <f t="shared" si="171"/>
        <v>6.5168981967451852E-35</v>
      </c>
    </row>
    <row r="11018" spans="1:5" x14ac:dyDescent="0.25">
      <c r="A11018">
        <v>14</v>
      </c>
      <c r="B11018">
        <v>3</v>
      </c>
      <c r="C11018">
        <v>12</v>
      </c>
      <c r="D11018">
        <v>19</v>
      </c>
      <c r="E11018">
        <f t="shared" si="171"/>
        <v>9.7753472951177725E-34</v>
      </c>
    </row>
    <row r="11019" spans="1:5" x14ac:dyDescent="0.25">
      <c r="A11019">
        <v>14</v>
      </c>
      <c r="B11019">
        <v>3</v>
      </c>
      <c r="C11019">
        <v>13</v>
      </c>
      <c r="D11019">
        <v>18</v>
      </c>
      <c r="E11019">
        <f t="shared" si="171"/>
        <v>1.0817334863938027E-32</v>
      </c>
    </row>
    <row r="11020" spans="1:5" x14ac:dyDescent="0.25">
      <c r="A11020">
        <v>14</v>
      </c>
      <c r="B11020">
        <v>3</v>
      </c>
      <c r="C11020">
        <v>14</v>
      </c>
      <c r="D11020">
        <v>17</v>
      </c>
      <c r="E11020">
        <f t="shared" si="171"/>
        <v>9.040201279148209E-32</v>
      </c>
    </row>
    <row r="11021" spans="1:5" x14ac:dyDescent="0.25">
      <c r="A11021">
        <v>14</v>
      </c>
      <c r="B11021">
        <v>3</v>
      </c>
      <c r="C11021">
        <v>15</v>
      </c>
      <c r="D11021">
        <v>16</v>
      </c>
      <c r="E11021">
        <f t="shared" si="171"/>
        <v>5.8058181548307351E-31</v>
      </c>
    </row>
    <row r="11022" spans="1:5" x14ac:dyDescent="0.25">
      <c r="A11022">
        <v>14</v>
      </c>
      <c r="B11022">
        <v>3</v>
      </c>
      <c r="C11022">
        <v>16</v>
      </c>
      <c r="D11022">
        <v>15</v>
      </c>
      <c r="E11022">
        <f t="shared" ref="E11022:E11085" si="172">COMBIN(A$4,A11022)*COMBIN(B$4,B11022)*COMBIN(C$4,C11022)*COMBIN(D$4,D11022)/COMBIN($G$4,$F$4)</f>
        <v>2.9029090774153679E-30</v>
      </c>
    </row>
    <row r="11023" spans="1:5" x14ac:dyDescent="0.25">
      <c r="A11023">
        <v>14</v>
      </c>
      <c r="B11023">
        <v>3</v>
      </c>
      <c r="C11023">
        <v>17</v>
      </c>
      <c r="D11023">
        <v>14</v>
      </c>
      <c r="E11023">
        <f t="shared" si="172"/>
        <v>1.1409829796258271E-29</v>
      </c>
    </row>
    <row r="11024" spans="1:5" x14ac:dyDescent="0.25">
      <c r="A11024">
        <v>14</v>
      </c>
      <c r="B11024">
        <v>3</v>
      </c>
      <c r="C11024">
        <v>18</v>
      </c>
      <c r="D11024">
        <v>13</v>
      </c>
      <c r="E11024">
        <f t="shared" si="172"/>
        <v>3.5497248255025704E-29</v>
      </c>
    </row>
    <row r="11025" spans="1:5" x14ac:dyDescent="0.25">
      <c r="A11025">
        <v>14</v>
      </c>
      <c r="B11025">
        <v>3</v>
      </c>
      <c r="C11025">
        <v>19</v>
      </c>
      <c r="D11025">
        <v>12</v>
      </c>
      <c r="E11025">
        <f t="shared" si="172"/>
        <v>8.7808982525589963E-29</v>
      </c>
    </row>
    <row r="11026" spans="1:5" x14ac:dyDescent="0.25">
      <c r="A11026">
        <v>14</v>
      </c>
      <c r="B11026">
        <v>3</v>
      </c>
      <c r="C11026">
        <v>20</v>
      </c>
      <c r="D11026">
        <v>11</v>
      </c>
      <c r="E11026">
        <f t="shared" si="172"/>
        <v>1.731091369790203E-28</v>
      </c>
    </row>
    <row r="11027" spans="1:5" x14ac:dyDescent="0.25">
      <c r="A11027">
        <v>14</v>
      </c>
      <c r="B11027">
        <v>3</v>
      </c>
      <c r="C11027">
        <v>21</v>
      </c>
      <c r="D11027">
        <v>10</v>
      </c>
      <c r="E11027">
        <f t="shared" si="172"/>
        <v>2.7202864382417434E-28</v>
      </c>
    </row>
    <row r="11028" spans="1:5" x14ac:dyDescent="0.25">
      <c r="A11028">
        <v>14</v>
      </c>
      <c r="B11028">
        <v>3</v>
      </c>
      <c r="C11028">
        <v>22</v>
      </c>
      <c r="D11028">
        <v>9</v>
      </c>
      <c r="E11028">
        <f t="shared" si="172"/>
        <v>3.4003580478021823E-28</v>
      </c>
    </row>
    <row r="11029" spans="1:5" x14ac:dyDescent="0.25">
      <c r="A11029">
        <v>14</v>
      </c>
      <c r="B11029">
        <v>3</v>
      </c>
      <c r="C11029">
        <v>23</v>
      </c>
      <c r="D11029">
        <v>8</v>
      </c>
      <c r="E11029">
        <f t="shared" si="172"/>
        <v>3.3655717762134116E-28</v>
      </c>
    </row>
    <row r="11030" spans="1:5" x14ac:dyDescent="0.25">
      <c r="A11030">
        <v>14</v>
      </c>
      <c r="B11030">
        <v>3</v>
      </c>
      <c r="C11030">
        <v>24</v>
      </c>
      <c r="D11030">
        <v>7</v>
      </c>
      <c r="E11030">
        <f t="shared" si="172"/>
        <v>2.6176669370548769E-28</v>
      </c>
    </row>
    <row r="11031" spans="1:5" x14ac:dyDescent="0.25">
      <c r="A11031">
        <v>14</v>
      </c>
      <c r="B11031">
        <v>3</v>
      </c>
      <c r="C11031">
        <v>25</v>
      </c>
      <c r="D11031">
        <v>6</v>
      </c>
      <c r="E11031">
        <f t="shared" si="172"/>
        <v>1.5816219177573678E-28</v>
      </c>
    </row>
    <row r="11032" spans="1:5" x14ac:dyDescent="0.25">
      <c r="A11032">
        <v>14</v>
      </c>
      <c r="B11032">
        <v>3</v>
      </c>
      <c r="C11032">
        <v>26</v>
      </c>
      <c r="D11032">
        <v>5</v>
      </c>
      <c r="E11032">
        <f t="shared" si="172"/>
        <v>7.29979346657246E-29</v>
      </c>
    </row>
    <row r="11033" spans="1:5" x14ac:dyDescent="0.25">
      <c r="A11033">
        <v>14</v>
      </c>
      <c r="B11033">
        <v>3</v>
      </c>
      <c r="C11033">
        <v>27</v>
      </c>
      <c r="D11033">
        <v>4</v>
      </c>
      <c r="E11033">
        <f t="shared" si="172"/>
        <v>2.5105109805672491E-29</v>
      </c>
    </row>
    <row r="11034" spans="1:5" x14ac:dyDescent="0.25">
      <c r="A11034">
        <v>14</v>
      </c>
      <c r="B11034">
        <v>3</v>
      </c>
      <c r="C11034">
        <v>28</v>
      </c>
      <c r="D11034">
        <v>3</v>
      </c>
      <c r="E11034">
        <f t="shared" si="172"/>
        <v>6.1947673546464595E-30</v>
      </c>
    </row>
    <row r="11035" spans="1:5" x14ac:dyDescent="0.25">
      <c r="A11035">
        <v>14</v>
      </c>
      <c r="B11035">
        <v>3</v>
      </c>
      <c r="C11035">
        <v>29</v>
      </c>
      <c r="D11035">
        <v>2</v>
      </c>
      <c r="E11035">
        <f t="shared" si="172"/>
        <v>1.0309133078946883E-30</v>
      </c>
    </row>
    <row r="11036" spans="1:5" x14ac:dyDescent="0.25">
      <c r="A11036">
        <v>14</v>
      </c>
      <c r="B11036">
        <v>3</v>
      </c>
      <c r="C11036">
        <v>30</v>
      </c>
      <c r="D11036">
        <v>1</v>
      </c>
      <c r="E11036">
        <f t="shared" si="172"/>
        <v>1.0309133078946882E-31</v>
      </c>
    </row>
    <row r="11037" spans="1:5" x14ac:dyDescent="0.25">
      <c r="A11037">
        <v>14</v>
      </c>
      <c r="B11037">
        <v>3</v>
      </c>
      <c r="C11037">
        <v>31</v>
      </c>
      <c r="D11037">
        <v>0</v>
      </c>
      <c r="E11037">
        <f t="shared" si="172"/>
        <v>4.6557375195243985E-33</v>
      </c>
    </row>
    <row r="11038" spans="1:5" x14ac:dyDescent="0.25">
      <c r="A11038">
        <v>14</v>
      </c>
      <c r="B11038">
        <v>4</v>
      </c>
      <c r="C11038">
        <v>5</v>
      </c>
      <c r="D11038">
        <v>25</v>
      </c>
      <c r="E11038">
        <f t="shared" si="172"/>
        <v>8.0932844929982519E-43</v>
      </c>
    </row>
    <row r="11039" spans="1:5" x14ac:dyDescent="0.25">
      <c r="A11039">
        <v>14</v>
      </c>
      <c r="B11039">
        <v>4</v>
      </c>
      <c r="C11039">
        <v>6</v>
      </c>
      <c r="D11039">
        <v>24</v>
      </c>
      <c r="E11039">
        <f t="shared" si="172"/>
        <v>2.023321123249563E-40</v>
      </c>
    </row>
    <row r="11040" spans="1:5" x14ac:dyDescent="0.25">
      <c r="A11040">
        <v>14</v>
      </c>
      <c r="B11040">
        <v>4</v>
      </c>
      <c r="C11040">
        <v>7</v>
      </c>
      <c r="D11040">
        <v>23</v>
      </c>
      <c r="E11040">
        <f t="shared" si="172"/>
        <v>2.046444793229558E-38</v>
      </c>
    </row>
    <row r="11041" spans="1:5" x14ac:dyDescent="0.25">
      <c r="A11041">
        <v>14</v>
      </c>
      <c r="B11041">
        <v>4</v>
      </c>
      <c r="C11041">
        <v>8</v>
      </c>
      <c r="D11041">
        <v>22</v>
      </c>
      <c r="E11041">
        <f t="shared" si="172"/>
        <v>1.1374822309034293E-36</v>
      </c>
    </row>
    <row r="11042" spans="1:5" x14ac:dyDescent="0.25">
      <c r="A11042">
        <v>14</v>
      </c>
      <c r="B11042">
        <v>4</v>
      </c>
      <c r="C11042">
        <v>9</v>
      </c>
      <c r="D11042">
        <v>21</v>
      </c>
      <c r="E11042">
        <f t="shared" si="172"/>
        <v>3.9622297709802787E-35</v>
      </c>
    </row>
    <row r="11043" spans="1:5" x14ac:dyDescent="0.25">
      <c r="A11043">
        <v>14</v>
      </c>
      <c r="B11043">
        <v>4</v>
      </c>
      <c r="C11043">
        <v>10</v>
      </c>
      <c r="D11043">
        <v>20</v>
      </c>
      <c r="E11043">
        <f t="shared" si="172"/>
        <v>9.3191644213456148E-34</v>
      </c>
    </row>
    <row r="11044" spans="1:5" x14ac:dyDescent="0.25">
      <c r="A11044">
        <v>14</v>
      </c>
      <c r="B11044">
        <v>4</v>
      </c>
      <c r="C11044">
        <v>11</v>
      </c>
      <c r="D11044">
        <v>19</v>
      </c>
      <c r="E11044">
        <f t="shared" si="172"/>
        <v>1.5531940702242694E-32</v>
      </c>
    </row>
    <row r="11045" spans="1:5" x14ac:dyDescent="0.25">
      <c r="A11045">
        <v>14</v>
      </c>
      <c r="B11045">
        <v>4</v>
      </c>
      <c r="C11045">
        <v>12</v>
      </c>
      <c r="D11045">
        <v>18</v>
      </c>
      <c r="E11045">
        <f t="shared" si="172"/>
        <v>1.897115614345357E-31</v>
      </c>
    </row>
    <row r="11046" spans="1:5" x14ac:dyDescent="0.25">
      <c r="A11046">
        <v>14</v>
      </c>
      <c r="B11046">
        <v>4</v>
      </c>
      <c r="C11046">
        <v>13</v>
      </c>
      <c r="D11046">
        <v>17</v>
      </c>
      <c r="E11046">
        <f t="shared" si="172"/>
        <v>1.7402387462360298E-30</v>
      </c>
    </row>
    <row r="11047" spans="1:5" x14ac:dyDescent="0.25">
      <c r="A11047">
        <v>14</v>
      </c>
      <c r="B11047">
        <v>4</v>
      </c>
      <c r="C11047">
        <v>14</v>
      </c>
      <c r="D11047">
        <v>16</v>
      </c>
      <c r="E11047">
        <f t="shared" si="172"/>
        <v>1.2209294060894051E-29</v>
      </c>
    </row>
    <row r="11048" spans="1:5" x14ac:dyDescent="0.25">
      <c r="A11048">
        <v>14</v>
      </c>
      <c r="B11048">
        <v>4</v>
      </c>
      <c r="C11048">
        <v>15</v>
      </c>
      <c r="D11048">
        <v>15</v>
      </c>
      <c r="E11048">
        <f t="shared" si="172"/>
        <v>6.6418559691263608E-29</v>
      </c>
    </row>
    <row r="11049" spans="1:5" x14ac:dyDescent="0.25">
      <c r="A11049">
        <v>14</v>
      </c>
      <c r="B11049">
        <v>4</v>
      </c>
      <c r="C11049">
        <v>16</v>
      </c>
      <c r="D11049">
        <v>14</v>
      </c>
      <c r="E11049">
        <f t="shared" si="172"/>
        <v>2.830336350479984E-28</v>
      </c>
    </row>
    <row r="11050" spans="1:5" x14ac:dyDescent="0.25">
      <c r="A11050">
        <v>14</v>
      </c>
      <c r="B11050">
        <v>4</v>
      </c>
      <c r="C11050">
        <v>17</v>
      </c>
      <c r="D11050">
        <v>13</v>
      </c>
      <c r="E11050">
        <f t="shared" si="172"/>
        <v>9.5176996883787761E-28</v>
      </c>
    </row>
    <row r="11051" spans="1:5" x14ac:dyDescent="0.25">
      <c r="A11051">
        <v>14</v>
      </c>
      <c r="B11051">
        <v>4</v>
      </c>
      <c r="C11051">
        <v>18</v>
      </c>
      <c r="D11051">
        <v>12</v>
      </c>
      <c r="E11051">
        <f t="shared" si="172"/>
        <v>2.5380532502343384E-27</v>
      </c>
    </row>
    <row r="11052" spans="1:5" x14ac:dyDescent="0.25">
      <c r="A11052">
        <v>14</v>
      </c>
      <c r="B11052">
        <v>4</v>
      </c>
      <c r="C11052">
        <v>19</v>
      </c>
      <c r="D11052">
        <v>11</v>
      </c>
      <c r="E11052">
        <f t="shared" si="172"/>
        <v>5.3814362147825832E-27</v>
      </c>
    </row>
    <row r="11053" spans="1:5" x14ac:dyDescent="0.25">
      <c r="A11053">
        <v>14</v>
      </c>
      <c r="B11053">
        <v>4</v>
      </c>
      <c r="C11053">
        <v>20</v>
      </c>
      <c r="D11053">
        <v>10</v>
      </c>
      <c r="E11053">
        <f t="shared" si="172"/>
        <v>9.076689082266628E-27</v>
      </c>
    </row>
    <row r="11054" spans="1:5" x14ac:dyDescent="0.25">
      <c r="A11054">
        <v>14</v>
      </c>
      <c r="B11054">
        <v>4</v>
      </c>
      <c r="C11054">
        <v>21</v>
      </c>
      <c r="D11054">
        <v>9</v>
      </c>
      <c r="E11054">
        <f t="shared" si="172"/>
        <v>1.2156280020892794E-26</v>
      </c>
    </row>
    <row r="11055" spans="1:5" x14ac:dyDescent="0.25">
      <c r="A11055">
        <v>14</v>
      </c>
      <c r="B11055">
        <v>4</v>
      </c>
      <c r="C11055">
        <v>22</v>
      </c>
      <c r="D11055">
        <v>8</v>
      </c>
      <c r="E11055">
        <f t="shared" si="172"/>
        <v>1.2871355316239438E-26</v>
      </c>
    </row>
    <row r="11056" spans="1:5" x14ac:dyDescent="0.25">
      <c r="A11056">
        <v>14</v>
      </c>
      <c r="B11056">
        <v>4</v>
      </c>
      <c r="C11056">
        <v>23</v>
      </c>
      <c r="D11056">
        <v>7</v>
      </c>
      <c r="E11056">
        <f t="shared" si="172"/>
        <v>1.0695039199967069E-26</v>
      </c>
    </row>
    <row r="11057" spans="1:5" x14ac:dyDescent="0.25">
      <c r="A11057">
        <v>14</v>
      </c>
      <c r="B11057">
        <v>4</v>
      </c>
      <c r="C11057">
        <v>24</v>
      </c>
      <c r="D11057">
        <v>6</v>
      </c>
      <c r="E11057">
        <f t="shared" si="172"/>
        <v>6.8954857999787653E-27</v>
      </c>
    </row>
    <row r="11058" spans="1:5" x14ac:dyDescent="0.25">
      <c r="A11058">
        <v>14</v>
      </c>
      <c r="B11058">
        <v>4</v>
      </c>
      <c r="C11058">
        <v>25</v>
      </c>
      <c r="D11058">
        <v>5</v>
      </c>
      <c r="E11058">
        <f t="shared" si="172"/>
        <v>3.3925790135895535E-27</v>
      </c>
    </row>
    <row r="11059" spans="1:5" x14ac:dyDescent="0.25">
      <c r="A11059">
        <v>14</v>
      </c>
      <c r="B11059">
        <v>4</v>
      </c>
      <c r="C11059">
        <v>26</v>
      </c>
      <c r="D11059">
        <v>4</v>
      </c>
      <c r="E11059">
        <f t="shared" si="172"/>
        <v>1.2427029353807886E-27</v>
      </c>
    </row>
    <row r="11060" spans="1:5" x14ac:dyDescent="0.25">
      <c r="A11060">
        <v>14</v>
      </c>
      <c r="B11060">
        <v>4</v>
      </c>
      <c r="C11060">
        <v>27</v>
      </c>
      <c r="D11060">
        <v>3</v>
      </c>
      <c r="E11060">
        <f t="shared" si="172"/>
        <v>3.2636642747374232E-28</v>
      </c>
    </row>
    <row r="11061" spans="1:5" x14ac:dyDescent="0.25">
      <c r="A11061">
        <v>14</v>
      </c>
      <c r="B11061">
        <v>4</v>
      </c>
      <c r="C11061">
        <v>28</v>
      </c>
      <c r="D11061">
        <v>2</v>
      </c>
      <c r="E11061">
        <f t="shared" si="172"/>
        <v>5.7772939024855029E-29</v>
      </c>
    </row>
    <row r="11062" spans="1:5" x14ac:dyDescent="0.25">
      <c r="A11062">
        <v>14</v>
      </c>
      <c r="B11062">
        <v>4</v>
      </c>
      <c r="C11062">
        <v>29</v>
      </c>
      <c r="D11062">
        <v>1</v>
      </c>
      <c r="E11062">
        <f t="shared" si="172"/>
        <v>6.1425251262058518E-30</v>
      </c>
    </row>
    <row r="11063" spans="1:5" x14ac:dyDescent="0.25">
      <c r="A11063">
        <v>14</v>
      </c>
      <c r="B11063">
        <v>4</v>
      </c>
      <c r="C11063">
        <v>30</v>
      </c>
      <c r="D11063">
        <v>0</v>
      </c>
      <c r="E11063">
        <f t="shared" si="172"/>
        <v>2.9484120605788082E-31</v>
      </c>
    </row>
    <row r="11064" spans="1:5" x14ac:dyDescent="0.25">
      <c r="A11064">
        <v>14</v>
      </c>
      <c r="B11064">
        <v>5</v>
      </c>
      <c r="C11064">
        <v>4</v>
      </c>
      <c r="D11064">
        <v>25</v>
      </c>
      <c r="E11064">
        <f t="shared" si="172"/>
        <v>3.7812886565647565E-42</v>
      </c>
    </row>
    <row r="11065" spans="1:5" x14ac:dyDescent="0.25">
      <c r="A11065">
        <v>14</v>
      </c>
      <c r="B11065">
        <v>5</v>
      </c>
      <c r="C11065">
        <v>5</v>
      </c>
      <c r="D11065">
        <v>24</v>
      </c>
      <c r="E11065">
        <f t="shared" si="172"/>
        <v>1.1532930402522509E-39</v>
      </c>
    </row>
    <row r="11066" spans="1:5" x14ac:dyDescent="0.25">
      <c r="A11066">
        <v>14</v>
      </c>
      <c r="B11066">
        <v>5</v>
      </c>
      <c r="C11066">
        <v>6</v>
      </c>
      <c r="D11066">
        <v>23</v>
      </c>
      <c r="E11066">
        <f t="shared" si="172"/>
        <v>1.3839516483027007E-37</v>
      </c>
    </row>
    <row r="11067" spans="1:5" x14ac:dyDescent="0.25">
      <c r="A11067">
        <v>14</v>
      </c>
      <c r="B11067">
        <v>5</v>
      </c>
      <c r="C11067">
        <v>7</v>
      </c>
      <c r="D11067">
        <v>22</v>
      </c>
      <c r="E11067">
        <f t="shared" si="172"/>
        <v>8.9429637464131662E-36</v>
      </c>
    </row>
    <row r="11068" spans="1:5" x14ac:dyDescent="0.25">
      <c r="A11068">
        <v>14</v>
      </c>
      <c r="B11068">
        <v>5</v>
      </c>
      <c r="C11068">
        <v>8</v>
      </c>
      <c r="D11068">
        <v>21</v>
      </c>
      <c r="E11068">
        <f t="shared" si="172"/>
        <v>3.5660067938822516E-34</v>
      </c>
    </row>
    <row r="11069" spans="1:5" x14ac:dyDescent="0.25">
      <c r="A11069">
        <v>14</v>
      </c>
      <c r="B11069">
        <v>5</v>
      </c>
      <c r="C11069">
        <v>9</v>
      </c>
      <c r="D11069">
        <v>20</v>
      </c>
      <c r="E11069">
        <f t="shared" si="172"/>
        <v>9.4855780717267856E-33</v>
      </c>
    </row>
    <row r="11070" spans="1:5" x14ac:dyDescent="0.25">
      <c r="A11070">
        <v>14</v>
      </c>
      <c r="B11070">
        <v>5</v>
      </c>
      <c r="C11070">
        <v>10</v>
      </c>
      <c r="D11070">
        <v>19</v>
      </c>
      <c r="E11070">
        <f t="shared" si="172"/>
        <v>1.7706412400556668E-31</v>
      </c>
    </row>
    <row r="11071" spans="1:5" x14ac:dyDescent="0.25">
      <c r="A11071">
        <v>14</v>
      </c>
      <c r="B11071">
        <v>5</v>
      </c>
      <c r="C11071">
        <v>11</v>
      </c>
      <c r="D11071">
        <v>18</v>
      </c>
      <c r="E11071">
        <f t="shared" si="172"/>
        <v>2.4030131115041202E-30</v>
      </c>
    </row>
    <row r="11072" spans="1:5" x14ac:dyDescent="0.25">
      <c r="A11072">
        <v>14</v>
      </c>
      <c r="B11072">
        <v>5</v>
      </c>
      <c r="C11072">
        <v>12</v>
      </c>
      <c r="D11072">
        <v>17</v>
      </c>
      <c r="E11072">
        <f t="shared" si="172"/>
        <v>2.4330507753979198E-29</v>
      </c>
    </row>
    <row r="11073" spans="1:5" x14ac:dyDescent="0.25">
      <c r="A11073">
        <v>14</v>
      </c>
      <c r="B11073">
        <v>5</v>
      </c>
      <c r="C11073">
        <v>13</v>
      </c>
      <c r="D11073">
        <v>16</v>
      </c>
      <c r="E11073">
        <f t="shared" si="172"/>
        <v>1.8736570501141255E-28</v>
      </c>
    </row>
    <row r="11074" spans="1:5" x14ac:dyDescent="0.25">
      <c r="A11074">
        <v>14</v>
      </c>
      <c r="B11074">
        <v>5</v>
      </c>
      <c r="C11074">
        <v>14</v>
      </c>
      <c r="D11074">
        <v>15</v>
      </c>
      <c r="E11074">
        <f t="shared" si="172"/>
        <v>1.1134876183535374E-27</v>
      </c>
    </row>
    <row r="11075" spans="1:5" x14ac:dyDescent="0.25">
      <c r="A11075">
        <v>14</v>
      </c>
      <c r="B11075">
        <v>5</v>
      </c>
      <c r="C11075">
        <v>15</v>
      </c>
      <c r="D11075">
        <v>14</v>
      </c>
      <c r="E11075">
        <f t="shared" si="172"/>
        <v>5.1625335032754903E-27</v>
      </c>
    </row>
    <row r="11076" spans="1:5" x14ac:dyDescent="0.25">
      <c r="A11076">
        <v>14</v>
      </c>
      <c r="B11076">
        <v>5</v>
      </c>
      <c r="C11076">
        <v>16</v>
      </c>
      <c r="D11076">
        <v>13</v>
      </c>
      <c r="E11076">
        <f t="shared" si="172"/>
        <v>1.8821736730691896E-26</v>
      </c>
    </row>
    <row r="11077" spans="1:5" x14ac:dyDescent="0.25">
      <c r="A11077">
        <v>14</v>
      </c>
      <c r="B11077">
        <v>5</v>
      </c>
      <c r="C11077">
        <v>17</v>
      </c>
      <c r="D11077">
        <v>12</v>
      </c>
      <c r="E11077">
        <f t="shared" si="172"/>
        <v>5.4250888223759026E-26</v>
      </c>
    </row>
    <row r="11078" spans="1:5" x14ac:dyDescent="0.25">
      <c r="A11078">
        <v>14</v>
      </c>
      <c r="B11078">
        <v>5</v>
      </c>
      <c r="C11078">
        <v>18</v>
      </c>
      <c r="D11078">
        <v>11</v>
      </c>
      <c r="E11078">
        <f t="shared" si="172"/>
        <v>1.2400203022573477E-25</v>
      </c>
    </row>
    <row r="11079" spans="1:5" x14ac:dyDescent="0.25">
      <c r="A11079">
        <v>14</v>
      </c>
      <c r="B11079">
        <v>5</v>
      </c>
      <c r="C11079">
        <v>19</v>
      </c>
      <c r="D11079">
        <v>10</v>
      </c>
      <c r="E11079">
        <f t="shared" si="172"/>
        <v>2.2494403377791189E-25</v>
      </c>
    </row>
    <row r="11080" spans="1:5" x14ac:dyDescent="0.25">
      <c r="A11080">
        <v>14</v>
      </c>
      <c r="B11080">
        <v>5</v>
      </c>
      <c r="C11080">
        <v>20</v>
      </c>
      <c r="D11080">
        <v>9</v>
      </c>
      <c r="E11080">
        <f t="shared" si="172"/>
        <v>3.2335704855574872E-25</v>
      </c>
    </row>
    <row r="11081" spans="1:5" x14ac:dyDescent="0.25">
      <c r="A11081">
        <v>14</v>
      </c>
      <c r="B11081">
        <v>5</v>
      </c>
      <c r="C11081">
        <v>21</v>
      </c>
      <c r="D11081">
        <v>8</v>
      </c>
      <c r="E11081">
        <f t="shared" si="172"/>
        <v>3.6683362651282369E-25</v>
      </c>
    </row>
    <row r="11082" spans="1:5" x14ac:dyDescent="0.25">
      <c r="A11082">
        <v>14</v>
      </c>
      <c r="B11082">
        <v>5</v>
      </c>
      <c r="C11082">
        <v>22</v>
      </c>
      <c r="D11082">
        <v>7</v>
      </c>
      <c r="E11082">
        <f t="shared" si="172"/>
        <v>3.2607433467806578E-25</v>
      </c>
    </row>
    <row r="11083" spans="1:5" x14ac:dyDescent="0.25">
      <c r="A11083">
        <v>14</v>
      </c>
      <c r="B11083">
        <v>5</v>
      </c>
      <c r="C11083">
        <v>23</v>
      </c>
      <c r="D11083">
        <v>6</v>
      </c>
      <c r="E11083">
        <f t="shared" si="172"/>
        <v>2.2459582319930835E-25</v>
      </c>
    </row>
    <row r="11084" spans="1:5" x14ac:dyDescent="0.25">
      <c r="A11084">
        <v>14</v>
      </c>
      <c r="B11084">
        <v>5</v>
      </c>
      <c r="C11084">
        <v>24</v>
      </c>
      <c r="D11084">
        <v>5</v>
      </c>
      <c r="E11084">
        <f t="shared" si="172"/>
        <v>1.179128071796369E-25</v>
      </c>
    </row>
    <row r="11085" spans="1:5" x14ac:dyDescent="0.25">
      <c r="A11085">
        <v>14</v>
      </c>
      <c r="B11085">
        <v>5</v>
      </c>
      <c r="C11085">
        <v>25</v>
      </c>
      <c r="D11085">
        <v>4</v>
      </c>
      <c r="E11085">
        <f t="shared" si="172"/>
        <v>4.6042143755858238E-26</v>
      </c>
    </row>
    <row r="11086" spans="1:5" x14ac:dyDescent="0.25">
      <c r="A11086">
        <v>14</v>
      </c>
      <c r="B11086">
        <v>5</v>
      </c>
      <c r="C11086">
        <v>26</v>
      </c>
      <c r="D11086">
        <v>3</v>
      </c>
      <c r="E11086">
        <f t="shared" ref="E11086:E11149" si="173">COMBIN(A$4,A11086)*COMBIN(B$4,B11086)*COMBIN(C$4,C11086)*COMBIN(D$4,D11086)/COMBIN($G$4,$F$4)</f>
        <v>1.2878921330309987E-26</v>
      </c>
    </row>
    <row r="11087" spans="1:5" x14ac:dyDescent="0.25">
      <c r="A11087">
        <v>14</v>
      </c>
      <c r="B11087">
        <v>5</v>
      </c>
      <c r="C11087">
        <v>27</v>
      </c>
      <c r="D11087">
        <v>2</v>
      </c>
      <c r="E11087">
        <f t="shared" si="173"/>
        <v>2.4264634390439102E-27</v>
      </c>
    </row>
    <row r="11088" spans="1:5" x14ac:dyDescent="0.25">
      <c r="A11088">
        <v>14</v>
      </c>
      <c r="B11088">
        <v>5</v>
      </c>
      <c r="C11088">
        <v>28</v>
      </c>
      <c r="D11088">
        <v>1</v>
      </c>
      <c r="E11088">
        <f t="shared" si="173"/>
        <v>2.7442146036806136E-28</v>
      </c>
    </row>
    <row r="11089" spans="1:5" x14ac:dyDescent="0.25">
      <c r="A11089">
        <v>14</v>
      </c>
      <c r="B11089">
        <v>5</v>
      </c>
      <c r="C11089">
        <v>29</v>
      </c>
      <c r="D11089">
        <v>0</v>
      </c>
      <c r="E11089">
        <f t="shared" si="173"/>
        <v>1.400495728774934E-29</v>
      </c>
    </row>
    <row r="11090" spans="1:5" x14ac:dyDescent="0.25">
      <c r="A11090">
        <v>14</v>
      </c>
      <c r="B11090">
        <v>6</v>
      </c>
      <c r="C11090">
        <v>3</v>
      </c>
      <c r="D11090">
        <v>25</v>
      </c>
      <c r="E11090">
        <f t="shared" si="173"/>
        <v>1.1547161058756891E-41</v>
      </c>
    </row>
    <row r="11091" spans="1:5" x14ac:dyDescent="0.25">
      <c r="A11091">
        <v>14</v>
      </c>
      <c r="B11091">
        <v>6</v>
      </c>
      <c r="C11091">
        <v>4</v>
      </c>
      <c r="D11091">
        <v>24</v>
      </c>
      <c r="E11091">
        <f t="shared" si="173"/>
        <v>4.4745249102682953E-39</v>
      </c>
    </row>
    <row r="11092" spans="1:5" x14ac:dyDescent="0.25">
      <c r="A11092">
        <v>14</v>
      </c>
      <c r="B11092">
        <v>6</v>
      </c>
      <c r="C11092">
        <v>5</v>
      </c>
      <c r="D11092">
        <v>23</v>
      </c>
      <c r="E11092">
        <f t="shared" si="173"/>
        <v>6.5507044686327854E-37</v>
      </c>
    </row>
    <row r="11093" spans="1:5" x14ac:dyDescent="0.25">
      <c r="A11093">
        <v>14</v>
      </c>
      <c r="B11093">
        <v>6</v>
      </c>
      <c r="C11093">
        <v>6</v>
      </c>
      <c r="D11093">
        <v>22</v>
      </c>
      <c r="E11093">
        <f t="shared" si="173"/>
        <v>5.0222067592851343E-35</v>
      </c>
    </row>
    <row r="11094" spans="1:5" x14ac:dyDescent="0.25">
      <c r="A11094">
        <v>14</v>
      </c>
      <c r="B11094">
        <v>6</v>
      </c>
      <c r="C11094">
        <v>7</v>
      </c>
      <c r="D11094">
        <v>21</v>
      </c>
      <c r="E11094">
        <f t="shared" si="173"/>
        <v>2.3281515619828949E-33</v>
      </c>
    </row>
    <row r="11095" spans="1:5" x14ac:dyDescent="0.25">
      <c r="A11095">
        <v>14</v>
      </c>
      <c r="B11095">
        <v>6</v>
      </c>
      <c r="C11095">
        <v>8</v>
      </c>
      <c r="D11095">
        <v>20</v>
      </c>
      <c r="E11095">
        <f t="shared" si="173"/>
        <v>7.0892215062379143E-32</v>
      </c>
    </row>
    <row r="11096" spans="1:5" x14ac:dyDescent="0.25">
      <c r="A11096">
        <v>14</v>
      </c>
      <c r="B11096">
        <v>6</v>
      </c>
      <c r="C11096">
        <v>9</v>
      </c>
      <c r="D11096">
        <v>19</v>
      </c>
      <c r="E11096">
        <f t="shared" si="173"/>
        <v>1.4966134290946704E-30</v>
      </c>
    </row>
    <row r="11097" spans="1:5" x14ac:dyDescent="0.25">
      <c r="A11097">
        <v>14</v>
      </c>
      <c r="B11097">
        <v>6</v>
      </c>
      <c r="C11097">
        <v>10</v>
      </c>
      <c r="D11097">
        <v>18</v>
      </c>
      <c r="E11097">
        <f t="shared" si="173"/>
        <v>2.2748524122239006E-29</v>
      </c>
    </row>
    <row r="11098" spans="1:5" x14ac:dyDescent="0.25">
      <c r="A11098">
        <v>14</v>
      </c>
      <c r="B11098">
        <v>6</v>
      </c>
      <c r="C11098">
        <v>11</v>
      </c>
      <c r="D11098">
        <v>17</v>
      </c>
      <c r="E11098">
        <f t="shared" si="173"/>
        <v>2.5592089637518876E-28</v>
      </c>
    </row>
    <row r="11099" spans="1:5" x14ac:dyDescent="0.25">
      <c r="A11099">
        <v>14</v>
      </c>
      <c r="B11099">
        <v>6</v>
      </c>
      <c r="C11099">
        <v>12</v>
      </c>
      <c r="D11099">
        <v>16</v>
      </c>
      <c r="E11099">
        <f t="shared" si="173"/>
        <v>2.1753276191891026E-27</v>
      </c>
    </row>
    <row r="11100" spans="1:5" x14ac:dyDescent="0.25">
      <c r="A11100">
        <v>14</v>
      </c>
      <c r="B11100">
        <v>6</v>
      </c>
      <c r="C11100">
        <v>13</v>
      </c>
      <c r="D11100">
        <v>15</v>
      </c>
      <c r="E11100">
        <f t="shared" si="173"/>
        <v>1.4189829392864308E-26</v>
      </c>
    </row>
    <row r="11101" spans="1:5" x14ac:dyDescent="0.25">
      <c r="A11101">
        <v>14</v>
      </c>
      <c r="B11101">
        <v>6</v>
      </c>
      <c r="C11101">
        <v>14</v>
      </c>
      <c r="D11101">
        <v>14</v>
      </c>
      <c r="E11101">
        <f t="shared" si="173"/>
        <v>7.18705644573647E-26</v>
      </c>
    </row>
    <row r="11102" spans="1:5" x14ac:dyDescent="0.25">
      <c r="A11102">
        <v>14</v>
      </c>
      <c r="B11102">
        <v>6</v>
      </c>
      <c r="C11102">
        <v>15</v>
      </c>
      <c r="D11102">
        <v>13</v>
      </c>
      <c r="E11102">
        <f t="shared" si="173"/>
        <v>2.8508657234754654E-25</v>
      </c>
    </row>
    <row r="11103" spans="1:5" x14ac:dyDescent="0.25">
      <c r="A11103">
        <v>14</v>
      </c>
      <c r="B11103">
        <v>6</v>
      </c>
      <c r="C11103">
        <v>16</v>
      </c>
      <c r="D11103">
        <v>12</v>
      </c>
      <c r="E11103">
        <f t="shared" si="173"/>
        <v>8.9089553858608311E-25</v>
      </c>
    </row>
    <row r="11104" spans="1:5" x14ac:dyDescent="0.25">
      <c r="A11104">
        <v>14</v>
      </c>
      <c r="B11104">
        <v>6</v>
      </c>
      <c r="C11104">
        <v>17</v>
      </c>
      <c r="D11104">
        <v>11</v>
      </c>
      <c r="E11104">
        <f t="shared" si="173"/>
        <v>2.2010360365067944E-24</v>
      </c>
    </row>
    <row r="11105" spans="1:5" x14ac:dyDescent="0.25">
      <c r="A11105">
        <v>14</v>
      </c>
      <c r="B11105">
        <v>6</v>
      </c>
      <c r="C11105">
        <v>18</v>
      </c>
      <c r="D11105">
        <v>10</v>
      </c>
      <c r="E11105">
        <f t="shared" si="173"/>
        <v>4.304248249168838E-24</v>
      </c>
    </row>
    <row r="11106" spans="1:5" x14ac:dyDescent="0.25">
      <c r="A11106">
        <v>14</v>
      </c>
      <c r="B11106">
        <v>6</v>
      </c>
      <c r="C11106">
        <v>19</v>
      </c>
      <c r="D11106">
        <v>9</v>
      </c>
      <c r="E11106">
        <f t="shared" si="173"/>
        <v>6.6545943325965622E-24</v>
      </c>
    </row>
    <row r="11107" spans="1:5" x14ac:dyDescent="0.25">
      <c r="A11107">
        <v>14</v>
      </c>
      <c r="B11107">
        <v>6</v>
      </c>
      <c r="C11107">
        <v>20</v>
      </c>
      <c r="D11107">
        <v>8</v>
      </c>
      <c r="E11107">
        <f t="shared" si="173"/>
        <v>8.1029472167499366E-24</v>
      </c>
    </row>
    <row r="11108" spans="1:5" x14ac:dyDescent="0.25">
      <c r="A11108">
        <v>14</v>
      </c>
      <c r="B11108">
        <v>6</v>
      </c>
      <c r="C11108">
        <v>21</v>
      </c>
      <c r="D11108">
        <v>7</v>
      </c>
      <c r="E11108">
        <f t="shared" si="173"/>
        <v>7.7170925873808859E-24</v>
      </c>
    </row>
    <row r="11109" spans="1:5" x14ac:dyDescent="0.25">
      <c r="A11109">
        <v>14</v>
      </c>
      <c r="B11109">
        <v>6</v>
      </c>
      <c r="C11109">
        <v>22</v>
      </c>
      <c r="D11109">
        <v>6</v>
      </c>
      <c r="E11109">
        <f t="shared" si="173"/>
        <v>5.6862787485964434E-24</v>
      </c>
    </row>
    <row r="11110" spans="1:5" x14ac:dyDescent="0.25">
      <c r="A11110">
        <v>14</v>
      </c>
      <c r="B11110">
        <v>6</v>
      </c>
      <c r="C11110">
        <v>23</v>
      </c>
      <c r="D11110">
        <v>5</v>
      </c>
      <c r="E11110">
        <f t="shared" si="173"/>
        <v>3.1892606894301784E-24</v>
      </c>
    </row>
    <row r="11111" spans="1:5" x14ac:dyDescent="0.25">
      <c r="A11111">
        <v>14</v>
      </c>
      <c r="B11111">
        <v>6</v>
      </c>
      <c r="C11111">
        <v>24</v>
      </c>
      <c r="D11111">
        <v>4</v>
      </c>
      <c r="E11111">
        <f t="shared" si="173"/>
        <v>1.3288586205959082E-24</v>
      </c>
    </row>
    <row r="11112" spans="1:5" x14ac:dyDescent="0.25">
      <c r="A11112">
        <v>14</v>
      </c>
      <c r="B11112">
        <v>6</v>
      </c>
      <c r="C11112">
        <v>25</v>
      </c>
      <c r="D11112">
        <v>3</v>
      </c>
      <c r="E11112">
        <f t="shared" si="173"/>
        <v>3.9624147959587084E-25</v>
      </c>
    </row>
    <row r="11113" spans="1:5" x14ac:dyDescent="0.25">
      <c r="A11113">
        <v>14</v>
      </c>
      <c r="B11113">
        <v>6</v>
      </c>
      <c r="C11113">
        <v>26</v>
      </c>
      <c r="D11113">
        <v>2</v>
      </c>
      <c r="E11113">
        <f t="shared" si="173"/>
        <v>7.9513340387131222E-26</v>
      </c>
    </row>
    <row r="11114" spans="1:5" x14ac:dyDescent="0.25">
      <c r="A11114">
        <v>14</v>
      </c>
      <c r="B11114">
        <v>6</v>
      </c>
      <c r="C11114">
        <v>27</v>
      </c>
      <c r="D11114">
        <v>1</v>
      </c>
      <c r="E11114">
        <f t="shared" si="173"/>
        <v>9.5710502317843129E-27</v>
      </c>
    </row>
    <row r="11115" spans="1:5" x14ac:dyDescent="0.25">
      <c r="A11115">
        <v>14</v>
      </c>
      <c r="B11115">
        <v>6</v>
      </c>
      <c r="C11115">
        <v>28</v>
      </c>
      <c r="D11115">
        <v>0</v>
      </c>
      <c r="E11115">
        <f t="shared" si="173"/>
        <v>5.1957129829686283E-28</v>
      </c>
    </row>
    <row r="11116" spans="1:5" x14ac:dyDescent="0.25">
      <c r="A11116">
        <v>14</v>
      </c>
      <c r="B11116">
        <v>7</v>
      </c>
      <c r="C11116">
        <v>2</v>
      </c>
      <c r="D11116">
        <v>25</v>
      </c>
      <c r="E11116">
        <f t="shared" si="173"/>
        <v>2.2230248841008164E-41</v>
      </c>
    </row>
    <row r="11117" spans="1:5" x14ac:dyDescent="0.25">
      <c r="A11117">
        <v>14</v>
      </c>
      <c r="B11117">
        <v>7</v>
      </c>
      <c r="C11117">
        <v>3</v>
      </c>
      <c r="D11117">
        <v>24</v>
      </c>
      <c r="E11117">
        <f t="shared" si="173"/>
        <v>1.1670880641529287E-38</v>
      </c>
    </row>
    <row r="11118" spans="1:5" x14ac:dyDescent="0.25">
      <c r="A11118">
        <v>14</v>
      </c>
      <c r="B11118">
        <v>7</v>
      </c>
      <c r="C11118">
        <v>4</v>
      </c>
      <c r="D11118">
        <v>23</v>
      </c>
      <c r="E11118">
        <f t="shared" si="173"/>
        <v>2.1707837993244474E-36</v>
      </c>
    </row>
    <row r="11119" spans="1:5" x14ac:dyDescent="0.25">
      <c r="A11119">
        <v>14</v>
      </c>
      <c r="B11119">
        <v>7</v>
      </c>
      <c r="C11119">
        <v>5</v>
      </c>
      <c r="D11119">
        <v>22</v>
      </c>
      <c r="E11119">
        <f t="shared" si="173"/>
        <v>2.0304064469681334E-34</v>
      </c>
    </row>
    <row r="11120" spans="1:5" x14ac:dyDescent="0.25">
      <c r="A11120">
        <v>14</v>
      </c>
      <c r="B11120">
        <v>7</v>
      </c>
      <c r="C11120">
        <v>6</v>
      </c>
      <c r="D11120">
        <v>21</v>
      </c>
      <c r="E11120">
        <f t="shared" si="173"/>
        <v>1.1167235458324735E-32</v>
      </c>
    </row>
    <row r="11121" spans="1:5" x14ac:dyDescent="0.25">
      <c r="A11121">
        <v>14</v>
      </c>
      <c r="B11121">
        <v>7</v>
      </c>
      <c r="C11121">
        <v>7</v>
      </c>
      <c r="D11121">
        <v>20</v>
      </c>
      <c r="E11121">
        <f t="shared" si="173"/>
        <v>3.9532013522469544E-31</v>
      </c>
    </row>
    <row r="11122" spans="1:5" x14ac:dyDescent="0.25">
      <c r="A11122">
        <v>14</v>
      </c>
      <c r="B11122">
        <v>7</v>
      </c>
      <c r="C11122">
        <v>8</v>
      </c>
      <c r="D11122">
        <v>19</v>
      </c>
      <c r="E11122">
        <f t="shared" si="173"/>
        <v>9.5535699345968092E-30</v>
      </c>
    </row>
    <row r="11123" spans="1:5" x14ac:dyDescent="0.25">
      <c r="A11123">
        <v>14</v>
      </c>
      <c r="B11123">
        <v>7</v>
      </c>
      <c r="C11123">
        <v>9</v>
      </c>
      <c r="D11123">
        <v>18</v>
      </c>
      <c r="E11123">
        <f t="shared" si="173"/>
        <v>1.6423041649473565E-28</v>
      </c>
    </row>
    <row r="11124" spans="1:5" x14ac:dyDescent="0.25">
      <c r="A11124">
        <v>14</v>
      </c>
      <c r="B11124">
        <v>7</v>
      </c>
      <c r="C11124">
        <v>10</v>
      </c>
      <c r="D11124">
        <v>17</v>
      </c>
      <c r="E11124">
        <f t="shared" si="173"/>
        <v>2.0693032478336687E-27</v>
      </c>
    </row>
    <row r="11125" spans="1:5" x14ac:dyDescent="0.25">
      <c r="A11125">
        <v>14</v>
      </c>
      <c r="B11125">
        <v>7</v>
      </c>
      <c r="C11125">
        <v>11</v>
      </c>
      <c r="D11125">
        <v>16</v>
      </c>
      <c r="E11125">
        <f t="shared" si="173"/>
        <v>1.9543419562873547E-26</v>
      </c>
    </row>
    <row r="11126" spans="1:5" x14ac:dyDescent="0.25">
      <c r="A11126">
        <v>14</v>
      </c>
      <c r="B11126">
        <v>7</v>
      </c>
      <c r="C11126">
        <v>12</v>
      </c>
      <c r="D11126">
        <v>15</v>
      </c>
      <c r="E11126">
        <f t="shared" si="173"/>
        <v>1.407126208526894E-25</v>
      </c>
    </row>
    <row r="11127" spans="1:5" x14ac:dyDescent="0.25">
      <c r="A11127">
        <v>14</v>
      </c>
      <c r="B11127">
        <v>7</v>
      </c>
      <c r="C11127">
        <v>13</v>
      </c>
      <c r="D11127">
        <v>14</v>
      </c>
      <c r="E11127">
        <f t="shared" si="173"/>
        <v>7.822834515936234E-25</v>
      </c>
    </row>
    <row r="11128" spans="1:5" x14ac:dyDescent="0.25">
      <c r="A11128">
        <v>14</v>
      </c>
      <c r="B11128">
        <v>7</v>
      </c>
      <c r="C11128">
        <v>14</v>
      </c>
      <c r="D11128">
        <v>13</v>
      </c>
      <c r="E11128">
        <f t="shared" si="173"/>
        <v>3.3898949569057021E-24</v>
      </c>
    </row>
    <row r="11129" spans="1:5" x14ac:dyDescent="0.25">
      <c r="A11129">
        <v>14</v>
      </c>
      <c r="B11129">
        <v>7</v>
      </c>
      <c r="C11129">
        <v>15</v>
      </c>
      <c r="D11129">
        <v>12</v>
      </c>
      <c r="E11129">
        <f t="shared" si="173"/>
        <v>1.1525642853479386E-23</v>
      </c>
    </row>
    <row r="11130" spans="1:5" x14ac:dyDescent="0.25">
      <c r="A11130">
        <v>14</v>
      </c>
      <c r="B11130">
        <v>7</v>
      </c>
      <c r="C11130">
        <v>16</v>
      </c>
      <c r="D11130">
        <v>11</v>
      </c>
      <c r="E11130">
        <f t="shared" si="173"/>
        <v>3.087225764324835E-23</v>
      </c>
    </row>
    <row r="11131" spans="1:5" x14ac:dyDescent="0.25">
      <c r="A11131">
        <v>14</v>
      </c>
      <c r="B11131">
        <v>7</v>
      </c>
      <c r="C11131">
        <v>17</v>
      </c>
      <c r="D11131">
        <v>10</v>
      </c>
      <c r="E11131">
        <f t="shared" si="173"/>
        <v>6.5255477920434773E-23</v>
      </c>
    </row>
    <row r="11132" spans="1:5" x14ac:dyDescent="0.25">
      <c r="A11132">
        <v>14</v>
      </c>
      <c r="B11132">
        <v>7</v>
      </c>
      <c r="C11132">
        <v>18</v>
      </c>
      <c r="D11132">
        <v>9</v>
      </c>
      <c r="E11132">
        <f t="shared" si="173"/>
        <v>1.0875912986739119E-22</v>
      </c>
    </row>
    <row r="11133" spans="1:5" x14ac:dyDescent="0.25">
      <c r="A11133">
        <v>14</v>
      </c>
      <c r="B11133">
        <v>7</v>
      </c>
      <c r="C11133">
        <v>19</v>
      </c>
      <c r="D11133">
        <v>8</v>
      </c>
      <c r="E11133">
        <f t="shared" si="173"/>
        <v>1.4243068710187766E-22</v>
      </c>
    </row>
    <row r="11134" spans="1:5" x14ac:dyDescent="0.25">
      <c r="A11134">
        <v>14</v>
      </c>
      <c r="B11134">
        <v>7</v>
      </c>
      <c r="C11134">
        <v>20</v>
      </c>
      <c r="D11134">
        <v>7</v>
      </c>
      <c r="E11134">
        <f t="shared" si="173"/>
        <v>1.4559581348191959E-22</v>
      </c>
    </row>
    <row r="11135" spans="1:5" x14ac:dyDescent="0.25">
      <c r="A11135">
        <v>14</v>
      </c>
      <c r="B11135">
        <v>7</v>
      </c>
      <c r="C11135">
        <v>21</v>
      </c>
      <c r="D11135">
        <v>6</v>
      </c>
      <c r="E11135">
        <f t="shared" si="173"/>
        <v>1.1494406327519946E-22</v>
      </c>
    </row>
    <row r="11136" spans="1:5" x14ac:dyDescent="0.25">
      <c r="A11136">
        <v>14</v>
      </c>
      <c r="B11136">
        <v>7</v>
      </c>
      <c r="C11136">
        <v>22</v>
      </c>
      <c r="D11136">
        <v>5</v>
      </c>
      <c r="E11136">
        <f t="shared" si="173"/>
        <v>6.8966437965119728E-23</v>
      </c>
    </row>
    <row r="11137" spans="1:5" x14ac:dyDescent="0.25">
      <c r="A11137">
        <v>14</v>
      </c>
      <c r="B11137">
        <v>7</v>
      </c>
      <c r="C11137">
        <v>23</v>
      </c>
      <c r="D11137">
        <v>4</v>
      </c>
      <c r="E11137">
        <f t="shared" si="173"/>
        <v>3.0699346092134041E-23</v>
      </c>
    </row>
    <row r="11138" spans="1:5" x14ac:dyDescent="0.25">
      <c r="A11138">
        <v>14</v>
      </c>
      <c r="B11138">
        <v>7</v>
      </c>
      <c r="C11138">
        <v>24</v>
      </c>
      <c r="D11138">
        <v>3</v>
      </c>
      <c r="E11138">
        <f t="shared" si="173"/>
        <v>9.7679737565881029E-24</v>
      </c>
    </row>
    <row r="11139" spans="1:5" x14ac:dyDescent="0.25">
      <c r="A11139">
        <v>14</v>
      </c>
      <c r="B11139">
        <v>7</v>
      </c>
      <c r="C11139">
        <v>25</v>
      </c>
      <c r="D11139">
        <v>2</v>
      </c>
      <c r="E11139">
        <f t="shared" si="173"/>
        <v>2.0894969948875428E-24</v>
      </c>
    </row>
    <row r="11140" spans="1:5" x14ac:dyDescent="0.25">
      <c r="A11140">
        <v>14</v>
      </c>
      <c r="B11140">
        <v>7</v>
      </c>
      <c r="C11140">
        <v>26</v>
      </c>
      <c r="D11140">
        <v>1</v>
      </c>
      <c r="E11140">
        <f t="shared" si="173"/>
        <v>2.6788423011378737E-25</v>
      </c>
    </row>
    <row r="11141" spans="1:5" x14ac:dyDescent="0.25">
      <c r="A11141">
        <v>14</v>
      </c>
      <c r="B11141">
        <v>7</v>
      </c>
      <c r="C11141">
        <v>27</v>
      </c>
      <c r="D11141">
        <v>0</v>
      </c>
      <c r="E11141">
        <f t="shared" si="173"/>
        <v>1.5477755517685493E-26</v>
      </c>
    </row>
    <row r="11142" spans="1:5" x14ac:dyDescent="0.25">
      <c r="A11142">
        <v>14</v>
      </c>
      <c r="B11142">
        <v>8</v>
      </c>
      <c r="C11142">
        <v>1</v>
      </c>
      <c r="D11142">
        <v>25</v>
      </c>
      <c r="E11142">
        <f t="shared" si="173"/>
        <v>2.4488008488923056E-41</v>
      </c>
    </row>
    <row r="11143" spans="1:5" x14ac:dyDescent="0.25">
      <c r="A11143">
        <v>14</v>
      </c>
      <c r="B11143">
        <v>8</v>
      </c>
      <c r="C11143">
        <v>2</v>
      </c>
      <c r="D11143">
        <v>24</v>
      </c>
      <c r="E11143">
        <f t="shared" si="173"/>
        <v>1.9590406791138444E-38</v>
      </c>
    </row>
    <row r="11144" spans="1:5" x14ac:dyDescent="0.25">
      <c r="A11144">
        <v>14</v>
      </c>
      <c r="B11144">
        <v>8</v>
      </c>
      <c r="C11144">
        <v>3</v>
      </c>
      <c r="D11144">
        <v>23</v>
      </c>
      <c r="E11144">
        <f t="shared" si="173"/>
        <v>4.9367825113668878E-36</v>
      </c>
    </row>
    <row r="11145" spans="1:5" x14ac:dyDescent="0.25">
      <c r="A11145">
        <v>14</v>
      </c>
      <c r="B11145">
        <v>8</v>
      </c>
      <c r="C11145">
        <v>4</v>
      </c>
      <c r="D11145">
        <v>22</v>
      </c>
      <c r="E11145">
        <f t="shared" si="173"/>
        <v>5.8665432176743193E-34</v>
      </c>
    </row>
    <row r="11146" spans="1:5" x14ac:dyDescent="0.25">
      <c r="A11146">
        <v>14</v>
      </c>
      <c r="B11146">
        <v>8</v>
      </c>
      <c r="C11146">
        <v>5</v>
      </c>
      <c r="D11146">
        <v>21</v>
      </c>
      <c r="E11146">
        <f t="shared" si="173"/>
        <v>3.9364504990594685E-32</v>
      </c>
    </row>
    <row r="11147" spans="1:5" x14ac:dyDescent="0.25">
      <c r="A11147">
        <v>14</v>
      </c>
      <c r="B11147">
        <v>8</v>
      </c>
      <c r="C11147">
        <v>6</v>
      </c>
      <c r="D11147">
        <v>20</v>
      </c>
      <c r="E11147">
        <f t="shared" si="173"/>
        <v>1.6533092096049762E-30</v>
      </c>
    </row>
    <row r="11148" spans="1:5" x14ac:dyDescent="0.25">
      <c r="A11148">
        <v>14</v>
      </c>
      <c r="B11148">
        <v>8</v>
      </c>
      <c r="C11148">
        <v>7</v>
      </c>
      <c r="D11148">
        <v>19</v>
      </c>
      <c r="E11148">
        <f t="shared" si="173"/>
        <v>4.6450115888901713E-29</v>
      </c>
    </row>
    <row r="11149" spans="1:5" x14ac:dyDescent="0.25">
      <c r="A11149">
        <v>14</v>
      </c>
      <c r="B11149">
        <v>8</v>
      </c>
      <c r="C11149">
        <v>8</v>
      </c>
      <c r="D11149">
        <v>18</v>
      </c>
      <c r="E11149">
        <f t="shared" si="173"/>
        <v>9.1407192338517352E-28</v>
      </c>
    </row>
    <row r="11150" spans="1:5" x14ac:dyDescent="0.25">
      <c r="A11150">
        <v>14</v>
      </c>
      <c r="B11150">
        <v>8</v>
      </c>
      <c r="C11150">
        <v>9</v>
      </c>
      <c r="D11150">
        <v>17</v>
      </c>
      <c r="E11150">
        <f t="shared" ref="E11150:E11213" si="174">COMBIN(A$4,A11150)*COMBIN(B$4,B11150)*COMBIN(C$4,C11150)*COMBIN(D$4,D11150)/COMBIN($G$4,$F$4)</f>
        <v>1.3025524908238717E-26</v>
      </c>
    </row>
    <row r="11151" spans="1:5" x14ac:dyDescent="0.25">
      <c r="A11151">
        <v>14</v>
      </c>
      <c r="B11151">
        <v>8</v>
      </c>
      <c r="C11151">
        <v>10</v>
      </c>
      <c r="D11151">
        <v>16</v>
      </c>
      <c r="E11151">
        <f t="shared" si="174"/>
        <v>1.3778110791825847E-25</v>
      </c>
    </row>
    <row r="11152" spans="1:5" x14ac:dyDescent="0.25">
      <c r="A11152">
        <v>14</v>
      </c>
      <c r="B11152">
        <v>8</v>
      </c>
      <c r="C11152">
        <v>11</v>
      </c>
      <c r="D11152">
        <v>15</v>
      </c>
      <c r="E11152">
        <f t="shared" si="174"/>
        <v>1.1022488633460678E-24</v>
      </c>
    </row>
    <row r="11153" spans="1:5" x14ac:dyDescent="0.25">
      <c r="A11153">
        <v>14</v>
      </c>
      <c r="B11153">
        <v>8</v>
      </c>
      <c r="C11153">
        <v>12</v>
      </c>
      <c r="D11153">
        <v>14</v>
      </c>
      <c r="E11153">
        <f t="shared" si="174"/>
        <v>6.7637998432599562E-24</v>
      </c>
    </row>
    <row r="11154" spans="1:5" x14ac:dyDescent="0.25">
      <c r="A11154">
        <v>14</v>
      </c>
      <c r="B11154">
        <v>8</v>
      </c>
      <c r="C11154">
        <v>13</v>
      </c>
      <c r="D11154">
        <v>13</v>
      </c>
      <c r="E11154">
        <f t="shared" si="174"/>
        <v>3.2171406946787762E-23</v>
      </c>
    </row>
    <row r="11155" spans="1:5" x14ac:dyDescent="0.25">
      <c r="A11155">
        <v>14</v>
      </c>
      <c r="B11155">
        <v>8</v>
      </c>
      <c r="C11155">
        <v>14</v>
      </c>
      <c r="D11155">
        <v>12</v>
      </c>
      <c r="E11155">
        <f t="shared" si="174"/>
        <v>1.1949379723092601E-22</v>
      </c>
    </row>
    <row r="11156" spans="1:5" x14ac:dyDescent="0.25">
      <c r="A11156">
        <v>14</v>
      </c>
      <c r="B11156">
        <v>8</v>
      </c>
      <c r="C11156">
        <v>15</v>
      </c>
      <c r="D11156">
        <v>11</v>
      </c>
      <c r="E11156">
        <f t="shared" si="174"/>
        <v>3.4823906621584128E-22</v>
      </c>
    </row>
    <row r="11157" spans="1:5" x14ac:dyDescent="0.25">
      <c r="A11157">
        <v>14</v>
      </c>
      <c r="B11157">
        <v>8</v>
      </c>
      <c r="C11157">
        <v>16</v>
      </c>
      <c r="D11157">
        <v>10</v>
      </c>
      <c r="E11157">
        <f t="shared" si="174"/>
        <v>7.9804786007796969E-22</v>
      </c>
    </row>
    <row r="11158" spans="1:5" x14ac:dyDescent="0.25">
      <c r="A11158">
        <v>14</v>
      </c>
      <c r="B11158">
        <v>8</v>
      </c>
      <c r="C11158">
        <v>17</v>
      </c>
      <c r="D11158">
        <v>9</v>
      </c>
      <c r="E11158">
        <f t="shared" si="174"/>
        <v>1.4376597479345784E-21</v>
      </c>
    </row>
    <row r="11159" spans="1:5" x14ac:dyDescent="0.25">
      <c r="A11159">
        <v>14</v>
      </c>
      <c r="B11159">
        <v>8</v>
      </c>
      <c r="C11159">
        <v>18</v>
      </c>
      <c r="D11159">
        <v>8</v>
      </c>
      <c r="E11159">
        <f t="shared" si="174"/>
        <v>2.0296372912017562E-21</v>
      </c>
    </row>
    <row r="11160" spans="1:5" x14ac:dyDescent="0.25">
      <c r="A11160">
        <v>14</v>
      </c>
      <c r="B11160">
        <v>8</v>
      </c>
      <c r="C11160">
        <v>19</v>
      </c>
      <c r="D11160">
        <v>7</v>
      </c>
      <c r="E11160">
        <f t="shared" si="174"/>
        <v>2.2314140979294178E-21</v>
      </c>
    </row>
    <row r="11161" spans="1:5" x14ac:dyDescent="0.25">
      <c r="A11161">
        <v>14</v>
      </c>
      <c r="B11161">
        <v>8</v>
      </c>
      <c r="C11161">
        <v>20</v>
      </c>
      <c r="D11161">
        <v>6</v>
      </c>
      <c r="E11161">
        <f t="shared" si="174"/>
        <v>1.8908298408770334E-21</v>
      </c>
    </row>
    <row r="11162" spans="1:5" x14ac:dyDescent="0.25">
      <c r="A11162">
        <v>14</v>
      </c>
      <c r="B11162">
        <v>8</v>
      </c>
      <c r="C11162">
        <v>21</v>
      </c>
      <c r="D11162">
        <v>5</v>
      </c>
      <c r="E11162">
        <f t="shared" si="174"/>
        <v>1.2155334691352344E-21</v>
      </c>
    </row>
    <row r="11163" spans="1:5" x14ac:dyDescent="0.25">
      <c r="A11163">
        <v>14</v>
      </c>
      <c r="B11163">
        <v>8</v>
      </c>
      <c r="C11163">
        <v>22</v>
      </c>
      <c r="D11163">
        <v>4</v>
      </c>
      <c r="E11163">
        <f t="shared" si="174"/>
        <v>5.7882546149296924E-22</v>
      </c>
    </row>
    <row r="11164" spans="1:5" x14ac:dyDescent="0.25">
      <c r="A11164">
        <v>14</v>
      </c>
      <c r="B11164">
        <v>8</v>
      </c>
      <c r="C11164">
        <v>23</v>
      </c>
      <c r="D11164">
        <v>3</v>
      </c>
      <c r="E11164">
        <f t="shared" si="174"/>
        <v>1.9675489995413175E-22</v>
      </c>
    </row>
    <row r="11165" spans="1:5" x14ac:dyDescent="0.25">
      <c r="A11165">
        <v>14</v>
      </c>
      <c r="B11165">
        <v>8</v>
      </c>
      <c r="C11165">
        <v>24</v>
      </c>
      <c r="D11165">
        <v>2</v>
      </c>
      <c r="E11165">
        <f t="shared" si="174"/>
        <v>4.4911444554747475E-23</v>
      </c>
    </row>
    <row r="11166" spans="1:5" x14ac:dyDescent="0.25">
      <c r="A11166">
        <v>14</v>
      </c>
      <c r="B11166">
        <v>8</v>
      </c>
      <c r="C11166">
        <v>25</v>
      </c>
      <c r="D11166">
        <v>1</v>
      </c>
      <c r="E11166">
        <f t="shared" si="174"/>
        <v>6.1378974224821561E-24</v>
      </c>
    </row>
    <row r="11167" spans="1:5" x14ac:dyDescent="0.25">
      <c r="A11167">
        <v>14</v>
      </c>
      <c r="B11167">
        <v>8</v>
      </c>
      <c r="C11167">
        <v>26</v>
      </c>
      <c r="D11167">
        <v>0</v>
      </c>
      <c r="E11167">
        <f t="shared" si="174"/>
        <v>3.7771676446044016E-25</v>
      </c>
    </row>
    <row r="11168" spans="1:5" x14ac:dyDescent="0.25">
      <c r="A11168">
        <v>14</v>
      </c>
      <c r="B11168">
        <v>9</v>
      </c>
      <c r="C11168">
        <v>0</v>
      </c>
      <c r="D11168">
        <v>25</v>
      </c>
      <c r="E11168">
        <f t="shared" si="174"/>
        <v>1.1762616043397228E-41</v>
      </c>
    </row>
    <row r="11169" spans="1:5" x14ac:dyDescent="0.25">
      <c r="A11169">
        <v>14</v>
      </c>
      <c r="B11169">
        <v>9</v>
      </c>
      <c r="C11169">
        <v>1</v>
      </c>
      <c r="D11169">
        <v>24</v>
      </c>
      <c r="E11169">
        <f t="shared" si="174"/>
        <v>1.9114251070520497E-38</v>
      </c>
    </row>
    <row r="11170" spans="1:5" x14ac:dyDescent="0.25">
      <c r="A11170">
        <v>14</v>
      </c>
      <c r="B11170">
        <v>9</v>
      </c>
      <c r="C11170">
        <v>2</v>
      </c>
      <c r="D11170">
        <v>23</v>
      </c>
      <c r="E11170">
        <f t="shared" si="174"/>
        <v>7.3398724110798715E-36</v>
      </c>
    </row>
    <row r="11171" spans="1:5" x14ac:dyDescent="0.25">
      <c r="A11171">
        <v>14</v>
      </c>
      <c r="B11171">
        <v>9</v>
      </c>
      <c r="C11171">
        <v>3</v>
      </c>
      <c r="D11171">
        <v>22</v>
      </c>
      <c r="E11171">
        <f t="shared" si="174"/>
        <v>1.1817194581838591E-33</v>
      </c>
    </row>
    <row r="11172" spans="1:5" x14ac:dyDescent="0.25">
      <c r="A11172">
        <v>14</v>
      </c>
      <c r="B11172">
        <v>9</v>
      </c>
      <c r="C11172">
        <v>4</v>
      </c>
      <c r="D11172">
        <v>21</v>
      </c>
      <c r="E11172">
        <f t="shared" si="174"/>
        <v>1.0074158381017401E-31</v>
      </c>
    </row>
    <row r="11173" spans="1:5" x14ac:dyDescent="0.25">
      <c r="A11173">
        <v>14</v>
      </c>
      <c r="B11173">
        <v>9</v>
      </c>
      <c r="C11173">
        <v>5</v>
      </c>
      <c r="D11173">
        <v>20</v>
      </c>
      <c r="E11173">
        <f t="shared" si="174"/>
        <v>5.1619987544333153E-30</v>
      </c>
    </row>
    <row r="11174" spans="1:5" x14ac:dyDescent="0.25">
      <c r="A11174">
        <v>14</v>
      </c>
      <c r="B11174">
        <v>9</v>
      </c>
      <c r="C11174">
        <v>6</v>
      </c>
      <c r="D11174">
        <v>19</v>
      </c>
      <c r="E11174">
        <f t="shared" si="174"/>
        <v>1.7206662514777716E-28</v>
      </c>
    </row>
    <row r="11175" spans="1:5" x14ac:dyDescent="0.25">
      <c r="A11175">
        <v>14</v>
      </c>
      <c r="B11175">
        <v>9</v>
      </c>
      <c r="C11175">
        <v>7</v>
      </c>
      <c r="D11175">
        <v>18</v>
      </c>
      <c r="E11175">
        <f t="shared" si="174"/>
        <v>3.9364629957277196E-27</v>
      </c>
    </row>
    <row r="11176" spans="1:5" x14ac:dyDescent="0.25">
      <c r="A11176">
        <v>14</v>
      </c>
      <c r="B11176">
        <v>9</v>
      </c>
      <c r="C11176">
        <v>8</v>
      </c>
      <c r="D11176">
        <v>17</v>
      </c>
      <c r="E11176">
        <f t="shared" si="174"/>
        <v>6.4213552617808422E-26</v>
      </c>
    </row>
    <row r="11177" spans="1:5" x14ac:dyDescent="0.25">
      <c r="A11177">
        <v>14</v>
      </c>
      <c r="B11177">
        <v>9</v>
      </c>
      <c r="C11177">
        <v>9</v>
      </c>
      <c r="D11177">
        <v>16</v>
      </c>
      <c r="E11177">
        <f t="shared" si="174"/>
        <v>7.6818435168711544E-25</v>
      </c>
    </row>
    <row r="11178" spans="1:5" x14ac:dyDescent="0.25">
      <c r="A11178">
        <v>14</v>
      </c>
      <c r="B11178">
        <v>9</v>
      </c>
      <c r="C11178">
        <v>10</v>
      </c>
      <c r="D11178">
        <v>15</v>
      </c>
      <c r="E11178">
        <f t="shared" si="174"/>
        <v>6.8829317911165543E-24</v>
      </c>
    </row>
    <row r="11179" spans="1:5" x14ac:dyDescent="0.25">
      <c r="A11179">
        <v>14</v>
      </c>
      <c r="B11179">
        <v>9</v>
      </c>
      <c r="C11179">
        <v>11</v>
      </c>
      <c r="D11179">
        <v>14</v>
      </c>
      <c r="E11179">
        <f t="shared" si="174"/>
        <v>4.6929080393976521E-23</v>
      </c>
    </row>
    <row r="11180" spans="1:5" x14ac:dyDescent="0.25">
      <c r="A11180">
        <v>14</v>
      </c>
      <c r="B11180">
        <v>9</v>
      </c>
      <c r="C11180">
        <v>12</v>
      </c>
      <c r="D11180">
        <v>13</v>
      </c>
      <c r="E11180">
        <f t="shared" si="174"/>
        <v>2.4637767206837662E-22</v>
      </c>
    </row>
    <row r="11181" spans="1:5" x14ac:dyDescent="0.25">
      <c r="A11181">
        <v>14</v>
      </c>
      <c r="B11181">
        <v>9</v>
      </c>
      <c r="C11181">
        <v>13</v>
      </c>
      <c r="D11181">
        <v>12</v>
      </c>
      <c r="E11181">
        <f t="shared" si="174"/>
        <v>1.0044628168941512E-21</v>
      </c>
    </row>
    <row r="11182" spans="1:5" x14ac:dyDescent="0.25">
      <c r="A11182">
        <v>14</v>
      </c>
      <c r="B11182">
        <v>9</v>
      </c>
      <c r="C11182">
        <v>14</v>
      </c>
      <c r="D11182">
        <v>11</v>
      </c>
      <c r="E11182">
        <f t="shared" si="174"/>
        <v>3.1978816211323998E-21</v>
      </c>
    </row>
    <row r="11183" spans="1:5" x14ac:dyDescent="0.25">
      <c r="A11183">
        <v>14</v>
      </c>
      <c r="B11183">
        <v>9</v>
      </c>
      <c r="C11183">
        <v>15</v>
      </c>
      <c r="D11183">
        <v>10</v>
      </c>
      <c r="E11183">
        <f t="shared" si="174"/>
        <v>7.9733848420234466E-21</v>
      </c>
    </row>
    <row r="11184" spans="1:5" x14ac:dyDescent="0.25">
      <c r="A11184">
        <v>14</v>
      </c>
      <c r="B11184">
        <v>9</v>
      </c>
      <c r="C11184">
        <v>16</v>
      </c>
      <c r="D11184">
        <v>9</v>
      </c>
      <c r="E11184">
        <f t="shared" si="174"/>
        <v>1.5573017269577049E-20</v>
      </c>
    </row>
    <row r="11185" spans="1:5" x14ac:dyDescent="0.25">
      <c r="A11185">
        <v>14</v>
      </c>
      <c r="B11185">
        <v>9</v>
      </c>
      <c r="C11185">
        <v>17</v>
      </c>
      <c r="D11185">
        <v>8</v>
      </c>
      <c r="E11185">
        <f t="shared" si="174"/>
        <v>2.3763669951153918E-20</v>
      </c>
    </row>
    <row r="11186" spans="1:5" x14ac:dyDescent="0.25">
      <c r="A11186">
        <v>14</v>
      </c>
      <c r="B11186">
        <v>9</v>
      </c>
      <c r="C11186">
        <v>18</v>
      </c>
      <c r="D11186">
        <v>7</v>
      </c>
      <c r="E11186">
        <f t="shared" si="174"/>
        <v>2.8164349571737958E-20</v>
      </c>
    </row>
    <row r="11187" spans="1:5" x14ac:dyDescent="0.25">
      <c r="A11187">
        <v>14</v>
      </c>
      <c r="B11187">
        <v>9</v>
      </c>
      <c r="C11187">
        <v>19</v>
      </c>
      <c r="D11187">
        <v>6</v>
      </c>
      <c r="E11187">
        <f t="shared" si="174"/>
        <v>2.5667786728813814E-20</v>
      </c>
    </row>
    <row r="11188" spans="1:5" x14ac:dyDescent="0.25">
      <c r="A11188">
        <v>14</v>
      </c>
      <c r="B11188">
        <v>9</v>
      </c>
      <c r="C11188">
        <v>20</v>
      </c>
      <c r="D11188">
        <v>5</v>
      </c>
      <c r="E11188">
        <f t="shared" si="174"/>
        <v>1.7710772842881547E-20</v>
      </c>
    </row>
    <row r="11189" spans="1:5" x14ac:dyDescent="0.25">
      <c r="A11189">
        <v>14</v>
      </c>
      <c r="B11189">
        <v>9</v>
      </c>
      <c r="C11189">
        <v>21</v>
      </c>
      <c r="D11189">
        <v>4</v>
      </c>
      <c r="E11189">
        <f t="shared" si="174"/>
        <v>9.0361085933069044E-21</v>
      </c>
    </row>
    <row r="11190" spans="1:5" x14ac:dyDescent="0.25">
      <c r="A11190">
        <v>14</v>
      </c>
      <c r="B11190">
        <v>9</v>
      </c>
      <c r="C11190">
        <v>22</v>
      </c>
      <c r="D11190">
        <v>3</v>
      </c>
      <c r="E11190">
        <f t="shared" si="174"/>
        <v>3.2858576702934211E-21</v>
      </c>
    </row>
    <row r="11191" spans="1:5" x14ac:dyDescent="0.25">
      <c r="A11191">
        <v>14</v>
      </c>
      <c r="B11191">
        <v>9</v>
      </c>
      <c r="C11191">
        <v>23</v>
      </c>
      <c r="D11191">
        <v>2</v>
      </c>
      <c r="E11191">
        <f t="shared" si="174"/>
        <v>8.0127720126247862E-22</v>
      </c>
    </row>
    <row r="11192" spans="1:5" x14ac:dyDescent="0.25">
      <c r="A11192">
        <v>14</v>
      </c>
      <c r="B11192">
        <v>9</v>
      </c>
      <c r="C11192">
        <v>24</v>
      </c>
      <c r="D11192">
        <v>1</v>
      </c>
      <c r="E11192">
        <f t="shared" si="174"/>
        <v>1.1685292518411145E-22</v>
      </c>
    </row>
    <row r="11193" spans="1:5" x14ac:dyDescent="0.25">
      <c r="A11193">
        <v>14</v>
      </c>
      <c r="B11193">
        <v>9</v>
      </c>
      <c r="C11193">
        <v>25</v>
      </c>
      <c r="D11193">
        <v>0</v>
      </c>
      <c r="E11193">
        <f t="shared" si="174"/>
        <v>7.6655518920777147E-24</v>
      </c>
    </row>
    <row r="11194" spans="1:5" x14ac:dyDescent="0.25">
      <c r="A11194">
        <v>14</v>
      </c>
      <c r="B11194">
        <v>10</v>
      </c>
      <c r="C11194">
        <v>0</v>
      </c>
      <c r="D11194">
        <v>24</v>
      </c>
      <c r="E11194">
        <f t="shared" si="174"/>
        <v>8.2338312303780612E-39</v>
      </c>
    </row>
    <row r="11195" spans="1:5" x14ac:dyDescent="0.25">
      <c r="A11195">
        <v>14</v>
      </c>
      <c r="B11195">
        <v>10</v>
      </c>
      <c r="C11195">
        <v>1</v>
      </c>
      <c r="D11195">
        <v>23</v>
      </c>
      <c r="E11195">
        <f t="shared" si="174"/>
        <v>6.4223883596948874E-36</v>
      </c>
    </row>
    <row r="11196" spans="1:5" x14ac:dyDescent="0.25">
      <c r="A11196">
        <v>14</v>
      </c>
      <c r="B11196">
        <v>10</v>
      </c>
      <c r="C11196">
        <v>2</v>
      </c>
      <c r="D11196">
        <v>22</v>
      </c>
      <c r="E11196">
        <f t="shared" si="174"/>
        <v>1.5756259442451458E-33</v>
      </c>
    </row>
    <row r="11197" spans="1:5" x14ac:dyDescent="0.25">
      <c r="A11197">
        <v>14</v>
      </c>
      <c r="B11197">
        <v>10</v>
      </c>
      <c r="C11197">
        <v>3</v>
      </c>
      <c r="D11197">
        <v>21</v>
      </c>
      <c r="E11197">
        <f t="shared" si="174"/>
        <v>1.8198479656031433E-31</v>
      </c>
    </row>
    <row r="11198" spans="1:5" x14ac:dyDescent="0.25">
      <c r="A11198">
        <v>14</v>
      </c>
      <c r="B11198">
        <v>10</v>
      </c>
      <c r="C11198">
        <v>4</v>
      </c>
      <c r="D11198">
        <v>20</v>
      </c>
      <c r="E11198">
        <f t="shared" si="174"/>
        <v>1.184721025607646E-29</v>
      </c>
    </row>
    <row r="11199" spans="1:5" x14ac:dyDescent="0.25">
      <c r="A11199">
        <v>14</v>
      </c>
      <c r="B11199">
        <v>10</v>
      </c>
      <c r="C11199">
        <v>5</v>
      </c>
      <c r="D11199">
        <v>19</v>
      </c>
      <c r="E11199">
        <f t="shared" si="174"/>
        <v>4.8178655041377604E-28</v>
      </c>
    </row>
    <row r="11200" spans="1:5" x14ac:dyDescent="0.25">
      <c r="A11200">
        <v>14</v>
      </c>
      <c r="B11200">
        <v>10</v>
      </c>
      <c r="C11200">
        <v>6</v>
      </c>
      <c r="D11200">
        <v>18</v>
      </c>
      <c r="E11200">
        <f t="shared" si="174"/>
        <v>1.3077063511231069E-26</v>
      </c>
    </row>
    <row r="11201" spans="1:5" x14ac:dyDescent="0.25">
      <c r="A11201">
        <v>14</v>
      </c>
      <c r="B11201">
        <v>10</v>
      </c>
      <c r="C11201">
        <v>7</v>
      </c>
      <c r="D11201">
        <v>17</v>
      </c>
      <c r="E11201">
        <f t="shared" si="174"/>
        <v>2.4799716873084632E-25</v>
      </c>
    </row>
    <row r="11202" spans="1:5" x14ac:dyDescent="0.25">
      <c r="A11202">
        <v>14</v>
      </c>
      <c r="B11202">
        <v>10</v>
      </c>
      <c r="C11202">
        <v>8</v>
      </c>
      <c r="D11202">
        <v>16</v>
      </c>
      <c r="E11202">
        <f t="shared" si="174"/>
        <v>3.3961834495640902E-24</v>
      </c>
    </row>
    <row r="11203" spans="1:5" x14ac:dyDescent="0.25">
      <c r="A11203">
        <v>14</v>
      </c>
      <c r="B11203">
        <v>10</v>
      </c>
      <c r="C11203">
        <v>9</v>
      </c>
      <c r="D11203">
        <v>15</v>
      </c>
      <c r="E11203">
        <f t="shared" si="174"/>
        <v>3.4414658955582773E-23</v>
      </c>
    </row>
    <row r="11204" spans="1:5" x14ac:dyDescent="0.25">
      <c r="A11204">
        <v>14</v>
      </c>
      <c r="B11204">
        <v>10</v>
      </c>
      <c r="C11204">
        <v>10</v>
      </c>
      <c r="D11204">
        <v>14</v>
      </c>
      <c r="E11204">
        <f t="shared" si="174"/>
        <v>2.6280285020626851E-22</v>
      </c>
    </row>
    <row r="11205" spans="1:5" x14ac:dyDescent="0.25">
      <c r="A11205">
        <v>14</v>
      </c>
      <c r="B11205">
        <v>10</v>
      </c>
      <c r="C11205">
        <v>11</v>
      </c>
      <c r="D11205">
        <v>13</v>
      </c>
      <c r="E11205">
        <f t="shared" si="174"/>
        <v>1.5330166262032332E-21</v>
      </c>
    </row>
    <row r="11206" spans="1:5" x14ac:dyDescent="0.25">
      <c r="A11206">
        <v>14</v>
      </c>
      <c r="B11206">
        <v>10</v>
      </c>
      <c r="C11206">
        <v>12</v>
      </c>
      <c r="D11206">
        <v>12</v>
      </c>
      <c r="E11206">
        <f t="shared" si="174"/>
        <v>6.8985748179145468E-21</v>
      </c>
    </row>
    <row r="11207" spans="1:5" x14ac:dyDescent="0.25">
      <c r="A11207">
        <v>14</v>
      </c>
      <c r="B11207">
        <v>10</v>
      </c>
      <c r="C11207">
        <v>13</v>
      </c>
      <c r="D11207">
        <v>11</v>
      </c>
      <c r="E11207">
        <f t="shared" si="174"/>
        <v>2.4107107605459628E-20</v>
      </c>
    </row>
    <row r="11208" spans="1:5" x14ac:dyDescent="0.25">
      <c r="A11208">
        <v>14</v>
      </c>
      <c r="B11208">
        <v>10</v>
      </c>
      <c r="C11208">
        <v>14</v>
      </c>
      <c r="D11208">
        <v>10</v>
      </c>
      <c r="E11208">
        <f t="shared" si="174"/>
        <v>6.5663169287251938E-20</v>
      </c>
    </row>
    <row r="11209" spans="1:5" x14ac:dyDescent="0.25">
      <c r="A11209">
        <v>14</v>
      </c>
      <c r="B11209">
        <v>10</v>
      </c>
      <c r="C11209">
        <v>15</v>
      </c>
      <c r="D11209">
        <v>9</v>
      </c>
      <c r="E11209">
        <f t="shared" si="174"/>
        <v>1.3953423473541035E-19</v>
      </c>
    </row>
    <row r="11210" spans="1:5" x14ac:dyDescent="0.25">
      <c r="A11210">
        <v>14</v>
      </c>
      <c r="B11210">
        <v>10</v>
      </c>
      <c r="C11210">
        <v>16</v>
      </c>
      <c r="D11210">
        <v>8</v>
      </c>
      <c r="E11210">
        <f t="shared" si="174"/>
        <v>2.3084707952549505E-19</v>
      </c>
    </row>
    <row r="11211" spans="1:5" x14ac:dyDescent="0.25">
      <c r="A11211">
        <v>14</v>
      </c>
      <c r="B11211">
        <v>10</v>
      </c>
      <c r="C11211">
        <v>17</v>
      </c>
      <c r="D11211">
        <v>7</v>
      </c>
      <c r="E11211">
        <f t="shared" si="174"/>
        <v>2.9572567050324884E-19</v>
      </c>
    </row>
    <row r="11212" spans="1:5" x14ac:dyDescent="0.25">
      <c r="A11212">
        <v>14</v>
      </c>
      <c r="B11212">
        <v>10</v>
      </c>
      <c r="C11212">
        <v>18</v>
      </c>
      <c r="D11212">
        <v>6</v>
      </c>
      <c r="E11212">
        <f t="shared" si="174"/>
        <v>2.9053750084529672E-19</v>
      </c>
    </row>
    <row r="11213" spans="1:5" x14ac:dyDescent="0.25">
      <c r="A11213">
        <v>14</v>
      </c>
      <c r="B11213">
        <v>10</v>
      </c>
      <c r="C11213">
        <v>19</v>
      </c>
      <c r="D11213">
        <v>5</v>
      </c>
      <c r="E11213">
        <f t="shared" si="174"/>
        <v>2.1560940852203608E-19</v>
      </c>
    </row>
    <row r="11214" spans="1:5" x14ac:dyDescent="0.25">
      <c r="A11214">
        <v>14</v>
      </c>
      <c r="B11214">
        <v>10</v>
      </c>
      <c r="C11214">
        <v>20</v>
      </c>
      <c r="D11214">
        <v>4</v>
      </c>
      <c r="E11214">
        <f t="shared" ref="E11214:E11277" si="175">COMBIN(A$4,A11214)*COMBIN(B$4,B11214)*COMBIN(C$4,C11214)*COMBIN(D$4,D11214)/COMBIN($G$4,$F$4)</f>
        <v>1.1807181895254369E-19</v>
      </c>
    </row>
    <row r="11215" spans="1:5" x14ac:dyDescent="0.25">
      <c r="A11215">
        <v>14</v>
      </c>
      <c r="B11215">
        <v>10</v>
      </c>
      <c r="C11215">
        <v>21</v>
      </c>
      <c r="D11215">
        <v>3</v>
      </c>
      <c r="E11215">
        <f t="shared" si="175"/>
        <v>4.6002007384107872E-20</v>
      </c>
    </row>
    <row r="11216" spans="1:5" x14ac:dyDescent="0.25">
      <c r="A11216">
        <v>14</v>
      </c>
      <c r="B11216">
        <v>10</v>
      </c>
      <c r="C11216">
        <v>22</v>
      </c>
      <c r="D11216">
        <v>2</v>
      </c>
      <c r="E11216">
        <f t="shared" si="175"/>
        <v>1.200052366541945E-20</v>
      </c>
    </row>
    <row r="11217" spans="1:5" x14ac:dyDescent="0.25">
      <c r="A11217">
        <v>14</v>
      </c>
      <c r="B11217">
        <v>10</v>
      </c>
      <c r="C11217">
        <v>23</v>
      </c>
      <c r="D11217">
        <v>1</v>
      </c>
      <c r="E11217">
        <f t="shared" si="175"/>
        <v>1.869646802945784E-21</v>
      </c>
    </row>
    <row r="11218" spans="1:5" x14ac:dyDescent="0.25">
      <c r="A11218">
        <v>14</v>
      </c>
      <c r="B11218">
        <v>10</v>
      </c>
      <c r="C11218">
        <v>24</v>
      </c>
      <c r="D11218">
        <v>0</v>
      </c>
      <c r="E11218">
        <f t="shared" si="175"/>
        <v>1.3087527620620486E-22</v>
      </c>
    </row>
    <row r="11219" spans="1:5" x14ac:dyDescent="0.25">
      <c r="A11219">
        <v>14</v>
      </c>
      <c r="B11219">
        <v>11</v>
      </c>
      <c r="C11219">
        <v>0</v>
      </c>
      <c r="D11219">
        <v>23</v>
      </c>
      <c r="E11219">
        <f t="shared" si="175"/>
        <v>2.5060788144823403E-36</v>
      </c>
    </row>
    <row r="11220" spans="1:5" x14ac:dyDescent="0.25">
      <c r="A11220">
        <v>14</v>
      </c>
      <c r="B11220">
        <v>11</v>
      </c>
      <c r="C11220">
        <v>1</v>
      </c>
      <c r="D11220">
        <v>22</v>
      </c>
      <c r="E11220">
        <f t="shared" si="175"/>
        <v>1.2488626092170328E-33</v>
      </c>
    </row>
    <row r="11221" spans="1:5" x14ac:dyDescent="0.25">
      <c r="A11221">
        <v>14</v>
      </c>
      <c r="B11221">
        <v>11</v>
      </c>
      <c r="C11221">
        <v>2</v>
      </c>
      <c r="D11221">
        <v>21</v>
      </c>
      <c r="E11221">
        <f t="shared" si="175"/>
        <v>2.1979981922219778E-31</v>
      </c>
    </row>
    <row r="11222" spans="1:5" x14ac:dyDescent="0.25">
      <c r="A11222">
        <v>14</v>
      </c>
      <c r="B11222">
        <v>11</v>
      </c>
      <c r="C11222">
        <v>3</v>
      </c>
      <c r="D11222">
        <v>20</v>
      </c>
      <c r="E11222">
        <f t="shared" si="175"/>
        <v>1.9386344055397843E-29</v>
      </c>
    </row>
    <row r="11223" spans="1:5" x14ac:dyDescent="0.25">
      <c r="A11223">
        <v>14</v>
      </c>
      <c r="B11223">
        <v>11</v>
      </c>
      <c r="C11223">
        <v>4</v>
      </c>
      <c r="D11223">
        <v>19</v>
      </c>
      <c r="E11223">
        <f t="shared" si="175"/>
        <v>1.0016277761955551E-27</v>
      </c>
    </row>
    <row r="11224" spans="1:5" x14ac:dyDescent="0.25">
      <c r="A11224">
        <v>14</v>
      </c>
      <c r="B11224">
        <v>11</v>
      </c>
      <c r="C11224">
        <v>5</v>
      </c>
      <c r="D11224">
        <v>18</v>
      </c>
      <c r="E11224">
        <f t="shared" si="175"/>
        <v>3.3168188360304257E-26</v>
      </c>
    </row>
    <row r="11225" spans="1:5" x14ac:dyDescent="0.25">
      <c r="A11225">
        <v>14</v>
      </c>
      <c r="B11225">
        <v>11</v>
      </c>
      <c r="C11225">
        <v>6</v>
      </c>
      <c r="D11225">
        <v>17</v>
      </c>
      <c r="E11225">
        <f t="shared" si="175"/>
        <v>7.4628423810684546E-25</v>
      </c>
    </row>
    <row r="11226" spans="1:5" x14ac:dyDescent="0.25">
      <c r="A11226">
        <v>14</v>
      </c>
      <c r="B11226">
        <v>11</v>
      </c>
      <c r="C11226">
        <v>7</v>
      </c>
      <c r="D11226">
        <v>16</v>
      </c>
      <c r="E11226">
        <f t="shared" si="175"/>
        <v>1.188131890192327E-23</v>
      </c>
    </row>
    <row r="11227" spans="1:5" x14ac:dyDescent="0.25">
      <c r="A11227">
        <v>14</v>
      </c>
      <c r="B11227">
        <v>11</v>
      </c>
      <c r="C11227">
        <v>8</v>
      </c>
      <c r="D11227">
        <v>15</v>
      </c>
      <c r="E11227">
        <f t="shared" si="175"/>
        <v>1.3782329926230993E-22</v>
      </c>
    </row>
    <row r="11228" spans="1:5" x14ac:dyDescent="0.25">
      <c r="A11228">
        <v>14</v>
      </c>
      <c r="B11228">
        <v>11</v>
      </c>
      <c r="C11228">
        <v>9</v>
      </c>
      <c r="D11228">
        <v>14</v>
      </c>
      <c r="E11228">
        <f t="shared" si="175"/>
        <v>1.1902921299926769E-21</v>
      </c>
    </row>
    <row r="11229" spans="1:5" x14ac:dyDescent="0.25">
      <c r="A11229">
        <v>14</v>
      </c>
      <c r="B11229">
        <v>11</v>
      </c>
      <c r="C11229">
        <v>10</v>
      </c>
      <c r="D11229">
        <v>13</v>
      </c>
      <c r="E11229">
        <f t="shared" si="175"/>
        <v>7.7765752492854912E-21</v>
      </c>
    </row>
    <row r="11230" spans="1:5" x14ac:dyDescent="0.25">
      <c r="A11230">
        <v>14</v>
      </c>
      <c r="B11230">
        <v>11</v>
      </c>
      <c r="C11230">
        <v>11</v>
      </c>
      <c r="D11230">
        <v>12</v>
      </c>
      <c r="E11230">
        <f t="shared" si="175"/>
        <v>3.8882876246427462E-20</v>
      </c>
    </row>
    <row r="11231" spans="1:5" x14ac:dyDescent="0.25">
      <c r="A11231">
        <v>14</v>
      </c>
      <c r="B11231">
        <v>11</v>
      </c>
      <c r="C11231">
        <v>12</v>
      </c>
      <c r="D11231">
        <v>11</v>
      </c>
      <c r="E11231">
        <f t="shared" si="175"/>
        <v>1.499768083790772E-19</v>
      </c>
    </row>
    <row r="11232" spans="1:5" x14ac:dyDescent="0.25">
      <c r="A11232">
        <v>14</v>
      </c>
      <c r="B11232">
        <v>11</v>
      </c>
      <c r="C11232">
        <v>13</v>
      </c>
      <c r="D11232">
        <v>10</v>
      </c>
      <c r="E11232">
        <f t="shared" si="175"/>
        <v>4.4839220146154892E-19</v>
      </c>
    </row>
    <row r="11233" spans="1:5" x14ac:dyDescent="0.25">
      <c r="A11233">
        <v>14</v>
      </c>
      <c r="B11233">
        <v>11</v>
      </c>
      <c r="C11233">
        <v>14</v>
      </c>
      <c r="D11233">
        <v>9</v>
      </c>
      <c r="E11233">
        <f t="shared" si="175"/>
        <v>1.0409104676785961E-18</v>
      </c>
    </row>
    <row r="11234" spans="1:5" x14ac:dyDescent="0.25">
      <c r="A11234">
        <v>14</v>
      </c>
      <c r="B11234">
        <v>11</v>
      </c>
      <c r="C11234">
        <v>15</v>
      </c>
      <c r="D11234">
        <v>8</v>
      </c>
      <c r="E11234">
        <f t="shared" si="175"/>
        <v>1.8736388418214724E-18</v>
      </c>
    </row>
    <row r="11235" spans="1:5" x14ac:dyDescent="0.25">
      <c r="A11235">
        <v>14</v>
      </c>
      <c r="B11235">
        <v>11</v>
      </c>
      <c r="C11235">
        <v>16</v>
      </c>
      <c r="D11235">
        <v>7</v>
      </c>
      <c r="E11235">
        <f t="shared" si="175"/>
        <v>2.6022761691964903E-18</v>
      </c>
    </row>
    <row r="11236" spans="1:5" x14ac:dyDescent="0.25">
      <c r="A11236">
        <v>14</v>
      </c>
      <c r="B11236">
        <v>11</v>
      </c>
      <c r="C11236">
        <v>17</v>
      </c>
      <c r="D11236">
        <v>6</v>
      </c>
      <c r="E11236">
        <f t="shared" si="175"/>
        <v>2.7634078205399267E-18</v>
      </c>
    </row>
    <row r="11237" spans="1:5" x14ac:dyDescent="0.25">
      <c r="A11237">
        <v>14</v>
      </c>
      <c r="B11237">
        <v>11</v>
      </c>
      <c r="C11237">
        <v>18</v>
      </c>
      <c r="D11237">
        <v>5</v>
      </c>
      <c r="E11237">
        <f t="shared" si="175"/>
        <v>2.2107262564319393E-18</v>
      </c>
    </row>
    <row r="11238" spans="1:5" x14ac:dyDescent="0.25">
      <c r="A11238">
        <v>14</v>
      </c>
      <c r="B11238">
        <v>11</v>
      </c>
      <c r="C11238">
        <v>19</v>
      </c>
      <c r="D11238">
        <v>4</v>
      </c>
      <c r="E11238">
        <f t="shared" si="175"/>
        <v>1.3020568176980102E-18</v>
      </c>
    </row>
    <row r="11239" spans="1:5" x14ac:dyDescent="0.25">
      <c r="A11239">
        <v>14</v>
      </c>
      <c r="B11239">
        <v>11</v>
      </c>
      <c r="C11239">
        <v>20</v>
      </c>
      <c r="D11239">
        <v>3</v>
      </c>
      <c r="E11239">
        <f t="shared" si="175"/>
        <v>5.4449648740098649E-19</v>
      </c>
    </row>
    <row r="11240" spans="1:5" x14ac:dyDescent="0.25">
      <c r="A11240">
        <v>14</v>
      </c>
      <c r="B11240">
        <v>11</v>
      </c>
      <c r="C11240">
        <v>21</v>
      </c>
      <c r="D11240">
        <v>2</v>
      </c>
      <c r="E11240">
        <f t="shared" si="175"/>
        <v>1.5218845921145567E-19</v>
      </c>
    </row>
    <row r="11241" spans="1:5" x14ac:dyDescent="0.25">
      <c r="A11241">
        <v>14</v>
      </c>
      <c r="B11241">
        <v>11</v>
      </c>
      <c r="C11241">
        <v>22</v>
      </c>
      <c r="D11241">
        <v>1</v>
      </c>
      <c r="E11241">
        <f t="shared" si="175"/>
        <v>2.5364743201909291E-20</v>
      </c>
    </row>
    <row r="11242" spans="1:5" x14ac:dyDescent="0.25">
      <c r="A11242">
        <v>14</v>
      </c>
      <c r="B11242">
        <v>11</v>
      </c>
      <c r="C11242">
        <v>23</v>
      </c>
      <c r="D11242">
        <v>0</v>
      </c>
      <c r="E11242">
        <f t="shared" si="175"/>
        <v>1.8968416655340857E-21</v>
      </c>
    </row>
    <row r="11243" spans="1:5" x14ac:dyDescent="0.25">
      <c r="A11243">
        <v>14</v>
      </c>
      <c r="B11243">
        <v>12</v>
      </c>
      <c r="C11243">
        <v>0</v>
      </c>
      <c r="D11243">
        <v>22</v>
      </c>
      <c r="E11243">
        <f t="shared" si="175"/>
        <v>4.4510744277222448E-34</v>
      </c>
    </row>
    <row r="11244" spans="1:5" x14ac:dyDescent="0.25">
      <c r="A11244">
        <v>14</v>
      </c>
      <c r="B11244">
        <v>12</v>
      </c>
      <c r="C11244">
        <v>1</v>
      </c>
      <c r="D11244">
        <v>21</v>
      </c>
      <c r="E11244">
        <f t="shared" si="175"/>
        <v>1.5912591079107029E-31</v>
      </c>
    </row>
    <row r="11245" spans="1:5" x14ac:dyDescent="0.25">
      <c r="A11245">
        <v>14</v>
      </c>
      <c r="B11245">
        <v>12</v>
      </c>
      <c r="C11245">
        <v>2</v>
      </c>
      <c r="D11245">
        <v>20</v>
      </c>
      <c r="E11245">
        <f t="shared" si="175"/>
        <v>2.138652241031984E-29</v>
      </c>
    </row>
    <row r="11246" spans="1:5" x14ac:dyDescent="0.25">
      <c r="A11246">
        <v>14</v>
      </c>
      <c r="B11246">
        <v>12</v>
      </c>
      <c r="C11246">
        <v>3</v>
      </c>
      <c r="D11246">
        <v>19</v>
      </c>
      <c r="E11246">
        <f t="shared" si="175"/>
        <v>1.4970565687223887E-27</v>
      </c>
    </row>
    <row r="11247" spans="1:5" x14ac:dyDescent="0.25">
      <c r="A11247">
        <v>14</v>
      </c>
      <c r="B11247">
        <v>12</v>
      </c>
      <c r="C11247">
        <v>4</v>
      </c>
      <c r="D11247">
        <v>18</v>
      </c>
      <c r="E11247">
        <f t="shared" si="175"/>
        <v>6.2983308498391943E-26</v>
      </c>
    </row>
    <row r="11248" spans="1:5" x14ac:dyDescent="0.25">
      <c r="A11248">
        <v>14</v>
      </c>
      <c r="B11248">
        <v>12</v>
      </c>
      <c r="C11248">
        <v>5</v>
      </c>
      <c r="D11248">
        <v>17</v>
      </c>
      <c r="E11248">
        <f t="shared" si="175"/>
        <v>1.7288918182808591E-24</v>
      </c>
    </row>
    <row r="11249" spans="1:5" x14ac:dyDescent="0.25">
      <c r="A11249">
        <v>14</v>
      </c>
      <c r="B11249">
        <v>12</v>
      </c>
      <c r="C11249">
        <v>6</v>
      </c>
      <c r="D11249">
        <v>16</v>
      </c>
      <c r="E11249">
        <f t="shared" si="175"/>
        <v>3.2656845456416219E-23</v>
      </c>
    </row>
    <row r="11250" spans="1:5" x14ac:dyDescent="0.25">
      <c r="A11250">
        <v>14</v>
      </c>
      <c r="B11250">
        <v>12</v>
      </c>
      <c r="C11250">
        <v>7</v>
      </c>
      <c r="D11250">
        <v>15</v>
      </c>
      <c r="E11250">
        <f t="shared" si="175"/>
        <v>4.4040088729795587E-22</v>
      </c>
    </row>
    <row r="11251" spans="1:5" x14ac:dyDescent="0.25">
      <c r="A11251">
        <v>14</v>
      </c>
      <c r="B11251">
        <v>12</v>
      </c>
      <c r="C11251">
        <v>8</v>
      </c>
      <c r="D11251">
        <v>14</v>
      </c>
      <c r="E11251">
        <f t="shared" si="175"/>
        <v>4.3539633176047914E-21</v>
      </c>
    </row>
    <row r="11252" spans="1:5" x14ac:dyDescent="0.25">
      <c r="A11252">
        <v>14</v>
      </c>
      <c r="B11252">
        <v>12</v>
      </c>
      <c r="C11252">
        <v>9</v>
      </c>
      <c r="D11252">
        <v>13</v>
      </c>
      <c r="E11252">
        <f t="shared" si="175"/>
        <v>3.2170951180079849E-20</v>
      </c>
    </row>
    <row r="11253" spans="1:5" x14ac:dyDescent="0.25">
      <c r="A11253">
        <v>14</v>
      </c>
      <c r="B11253">
        <v>12</v>
      </c>
      <c r="C11253">
        <v>10</v>
      </c>
      <c r="D11253">
        <v>12</v>
      </c>
      <c r="E11253">
        <f t="shared" si="175"/>
        <v>1.8015732660844721E-19</v>
      </c>
    </row>
    <row r="11254" spans="1:5" x14ac:dyDescent="0.25">
      <c r="A11254">
        <v>14</v>
      </c>
      <c r="B11254">
        <v>12</v>
      </c>
      <c r="C11254">
        <v>11</v>
      </c>
      <c r="D11254">
        <v>11</v>
      </c>
      <c r="E11254">
        <f t="shared" si="175"/>
        <v>7.7210282832191652E-19</v>
      </c>
    </row>
    <row r="11255" spans="1:5" x14ac:dyDescent="0.25">
      <c r="A11255">
        <v>14</v>
      </c>
      <c r="B11255">
        <v>12</v>
      </c>
      <c r="C11255">
        <v>12</v>
      </c>
      <c r="D11255">
        <v>10</v>
      </c>
      <c r="E11255">
        <f t="shared" si="175"/>
        <v>2.5479393334623226E-18</v>
      </c>
    </row>
    <row r="11256" spans="1:5" x14ac:dyDescent="0.25">
      <c r="A11256">
        <v>14</v>
      </c>
      <c r="B11256">
        <v>12</v>
      </c>
      <c r="C11256">
        <v>13</v>
      </c>
      <c r="D11256">
        <v>9</v>
      </c>
      <c r="E11256">
        <f t="shared" si="175"/>
        <v>6.4923454169953451E-18</v>
      </c>
    </row>
    <row r="11257" spans="1:5" x14ac:dyDescent="0.25">
      <c r="A11257">
        <v>14</v>
      </c>
      <c r="B11257">
        <v>12</v>
      </c>
      <c r="C11257">
        <v>14</v>
      </c>
      <c r="D11257">
        <v>8</v>
      </c>
      <c r="E11257">
        <f t="shared" si="175"/>
        <v>1.2766460735940427E-17</v>
      </c>
    </row>
    <row r="11258" spans="1:5" x14ac:dyDescent="0.25">
      <c r="A11258">
        <v>14</v>
      </c>
      <c r="B11258">
        <v>12</v>
      </c>
      <c r="C11258">
        <v>15</v>
      </c>
      <c r="D11258">
        <v>7</v>
      </c>
      <c r="E11258">
        <f t="shared" si="175"/>
        <v>1.929154066764331E-17</v>
      </c>
    </row>
    <row r="11259" spans="1:5" x14ac:dyDescent="0.25">
      <c r="A11259">
        <v>14</v>
      </c>
      <c r="B11259">
        <v>12</v>
      </c>
      <c r="C11259">
        <v>16</v>
      </c>
      <c r="D11259">
        <v>6</v>
      </c>
      <c r="E11259">
        <f t="shared" si="175"/>
        <v>2.2210655373931437E-17</v>
      </c>
    </row>
    <row r="11260" spans="1:5" x14ac:dyDescent="0.25">
      <c r="A11260">
        <v>14</v>
      </c>
      <c r="B11260">
        <v>12</v>
      </c>
      <c r="C11260">
        <v>17</v>
      </c>
      <c r="D11260">
        <v>5</v>
      </c>
      <c r="E11260">
        <f t="shared" si="175"/>
        <v>1.9205684352752485E-17</v>
      </c>
    </row>
    <row r="11261" spans="1:5" x14ac:dyDescent="0.25">
      <c r="A11261">
        <v>14</v>
      </c>
      <c r="B11261">
        <v>12</v>
      </c>
      <c r="C11261">
        <v>18</v>
      </c>
      <c r="D11261">
        <v>4</v>
      </c>
      <c r="E11261">
        <f t="shared" si="175"/>
        <v>1.2194085303334905E-17</v>
      </c>
    </row>
    <row r="11262" spans="1:5" x14ac:dyDescent="0.25">
      <c r="A11262">
        <v>14</v>
      </c>
      <c r="B11262">
        <v>12</v>
      </c>
      <c r="C11262">
        <v>19</v>
      </c>
      <c r="D11262">
        <v>3</v>
      </c>
      <c r="E11262">
        <f t="shared" si="175"/>
        <v>5.4844211412128301E-18</v>
      </c>
    </row>
    <row r="11263" spans="1:5" x14ac:dyDescent="0.25">
      <c r="A11263">
        <v>14</v>
      </c>
      <c r="B11263">
        <v>12</v>
      </c>
      <c r="C11263">
        <v>20</v>
      </c>
      <c r="D11263">
        <v>2</v>
      </c>
      <c r="E11263">
        <f t="shared" si="175"/>
        <v>1.6453263423638501E-18</v>
      </c>
    </row>
    <row r="11264" spans="1:5" x14ac:dyDescent="0.25">
      <c r="A11264">
        <v>14</v>
      </c>
      <c r="B11264">
        <v>12</v>
      </c>
      <c r="C11264">
        <v>21</v>
      </c>
      <c r="D11264">
        <v>1</v>
      </c>
      <c r="E11264">
        <f t="shared" si="175"/>
        <v>2.9380827542211575E-19</v>
      </c>
    </row>
    <row r="11265" spans="1:5" x14ac:dyDescent="0.25">
      <c r="A11265">
        <v>14</v>
      </c>
      <c r="B11265">
        <v>12</v>
      </c>
      <c r="C11265">
        <v>22</v>
      </c>
      <c r="D11265">
        <v>0</v>
      </c>
      <c r="E11265">
        <f t="shared" si="175"/>
        <v>2.3504662033769276E-20</v>
      </c>
    </row>
    <row r="11266" spans="1:5" x14ac:dyDescent="0.25">
      <c r="A11266">
        <v>14</v>
      </c>
      <c r="B11266">
        <v>13</v>
      </c>
      <c r="C11266">
        <v>0</v>
      </c>
      <c r="D11266">
        <v>21</v>
      </c>
      <c r="E11266">
        <f t="shared" si="175"/>
        <v>5.216316838949879E-32</v>
      </c>
    </row>
    <row r="11267" spans="1:5" x14ac:dyDescent="0.25">
      <c r="A11267">
        <v>14</v>
      </c>
      <c r="B11267">
        <v>13</v>
      </c>
      <c r="C11267">
        <v>1</v>
      </c>
      <c r="D11267">
        <v>20</v>
      </c>
      <c r="E11267">
        <f t="shared" si="175"/>
        <v>1.4240544970333162E-29</v>
      </c>
    </row>
    <row r="11268" spans="1:5" x14ac:dyDescent="0.25">
      <c r="A11268">
        <v>14</v>
      </c>
      <c r="B11268">
        <v>13</v>
      </c>
      <c r="C11268">
        <v>2</v>
      </c>
      <c r="D11268">
        <v>19</v>
      </c>
      <c r="E11268">
        <f t="shared" si="175"/>
        <v>1.518991463502204E-27</v>
      </c>
    </row>
    <row r="11269" spans="1:5" x14ac:dyDescent="0.25">
      <c r="A11269">
        <v>14</v>
      </c>
      <c r="B11269">
        <v>13</v>
      </c>
      <c r="C11269">
        <v>3</v>
      </c>
      <c r="D11269">
        <v>18</v>
      </c>
      <c r="E11269">
        <f t="shared" si="175"/>
        <v>8.658251341962567E-26</v>
      </c>
    </row>
    <row r="11270" spans="1:5" x14ac:dyDescent="0.25">
      <c r="A11270">
        <v>14</v>
      </c>
      <c r="B11270">
        <v>13</v>
      </c>
      <c r="C11270">
        <v>4</v>
      </c>
      <c r="D11270">
        <v>17</v>
      </c>
      <c r="E11270">
        <f t="shared" si="175"/>
        <v>3.0195651555094448E-24</v>
      </c>
    </row>
    <row r="11271" spans="1:5" x14ac:dyDescent="0.25">
      <c r="A11271">
        <v>14</v>
      </c>
      <c r="B11271">
        <v>13</v>
      </c>
      <c r="C11271">
        <v>5</v>
      </c>
      <c r="D11271">
        <v>16</v>
      </c>
      <c r="E11271">
        <f t="shared" si="175"/>
        <v>6.9584201472517657E-23</v>
      </c>
    </row>
    <row r="11272" spans="1:5" x14ac:dyDescent="0.25">
      <c r="A11272">
        <v>14</v>
      </c>
      <c r="B11272">
        <v>13</v>
      </c>
      <c r="C11272">
        <v>6</v>
      </c>
      <c r="D11272">
        <v>15</v>
      </c>
      <c r="E11272">
        <f t="shared" si="175"/>
        <v>1.1133472235602823E-21</v>
      </c>
    </row>
    <row r="11273" spans="1:5" x14ac:dyDescent="0.25">
      <c r="A11273">
        <v>14</v>
      </c>
      <c r="B11273">
        <v>13</v>
      </c>
      <c r="C11273">
        <v>7</v>
      </c>
      <c r="D11273">
        <v>14</v>
      </c>
      <c r="E11273">
        <f t="shared" si="175"/>
        <v>1.2796263543517531E-20</v>
      </c>
    </row>
    <row r="11274" spans="1:5" x14ac:dyDescent="0.25">
      <c r="A11274">
        <v>14</v>
      </c>
      <c r="B11274">
        <v>13</v>
      </c>
      <c r="C11274">
        <v>8</v>
      </c>
      <c r="D11274">
        <v>13</v>
      </c>
      <c r="E11274">
        <f t="shared" si="175"/>
        <v>1.0823506247225249E-19</v>
      </c>
    </row>
    <row r="11275" spans="1:5" x14ac:dyDescent="0.25">
      <c r="A11275">
        <v>14</v>
      </c>
      <c r="B11275">
        <v>13</v>
      </c>
      <c r="C11275">
        <v>9</v>
      </c>
      <c r="D11275">
        <v>12</v>
      </c>
      <c r="E11275">
        <f t="shared" si="175"/>
        <v>6.8548872899093228E-19</v>
      </c>
    </row>
    <row r="11276" spans="1:5" x14ac:dyDescent="0.25">
      <c r="A11276">
        <v>14</v>
      </c>
      <c r="B11276">
        <v>13</v>
      </c>
      <c r="C11276">
        <v>10</v>
      </c>
      <c r="D11276">
        <v>11</v>
      </c>
      <c r="E11276">
        <f t="shared" si="175"/>
        <v>3.2903458991564746E-18</v>
      </c>
    </row>
    <row r="11277" spans="1:5" x14ac:dyDescent="0.25">
      <c r="A11277">
        <v>14</v>
      </c>
      <c r="B11277">
        <v>13</v>
      </c>
      <c r="C11277">
        <v>11</v>
      </c>
      <c r="D11277">
        <v>10</v>
      </c>
      <c r="E11277">
        <f t="shared" si="175"/>
        <v>1.2064601630240408E-17</v>
      </c>
    </row>
    <row r="11278" spans="1:5" x14ac:dyDescent="0.25">
      <c r="A11278">
        <v>14</v>
      </c>
      <c r="B11278">
        <v>13</v>
      </c>
      <c r="C11278">
        <v>12</v>
      </c>
      <c r="D11278">
        <v>9</v>
      </c>
      <c r="E11278">
        <f t="shared" ref="E11278:E11341" si="176">COMBIN(A$4,A11278)*COMBIN(B$4,B11278)*COMBIN(C$4,C11278)*COMBIN(D$4,D11278)/COMBIN($G$4,$F$4)</f>
        <v>3.3931692085051134E-17</v>
      </c>
    </row>
    <row r="11279" spans="1:5" x14ac:dyDescent="0.25">
      <c r="A11279">
        <v>14</v>
      </c>
      <c r="B11279">
        <v>13</v>
      </c>
      <c r="C11279">
        <v>13</v>
      </c>
      <c r="D11279">
        <v>8</v>
      </c>
      <c r="E11279">
        <f t="shared" si="176"/>
        <v>7.323718155913754E-17</v>
      </c>
    </row>
    <row r="11280" spans="1:5" x14ac:dyDescent="0.25">
      <c r="A11280">
        <v>14</v>
      </c>
      <c r="B11280">
        <v>13</v>
      </c>
      <c r="C11280">
        <v>14</v>
      </c>
      <c r="D11280">
        <v>7</v>
      </c>
      <c r="E11280">
        <f t="shared" si="176"/>
        <v>1.2089947431984615E-16</v>
      </c>
    </row>
    <row r="11281" spans="1:5" x14ac:dyDescent="0.25">
      <c r="A11281">
        <v>14</v>
      </c>
      <c r="B11281">
        <v>13</v>
      </c>
      <c r="C11281">
        <v>15</v>
      </c>
      <c r="D11281">
        <v>6</v>
      </c>
      <c r="E11281">
        <f t="shared" si="176"/>
        <v>1.514424994111756E-16</v>
      </c>
    </row>
    <row r="11282" spans="1:5" x14ac:dyDescent="0.25">
      <c r="A11282">
        <v>14</v>
      </c>
      <c r="B11282">
        <v>13</v>
      </c>
      <c r="C11282">
        <v>16</v>
      </c>
      <c r="D11282">
        <v>5</v>
      </c>
      <c r="E11282">
        <f t="shared" si="176"/>
        <v>1.4197734319797713E-16</v>
      </c>
    </row>
    <row r="11283" spans="1:5" x14ac:dyDescent="0.25">
      <c r="A11283">
        <v>14</v>
      </c>
      <c r="B11283">
        <v>13</v>
      </c>
      <c r="C11283">
        <v>17</v>
      </c>
      <c r="D11283">
        <v>4</v>
      </c>
      <c r="E11283">
        <f t="shared" si="176"/>
        <v>9.743543160645498E-17</v>
      </c>
    </row>
    <row r="11284" spans="1:5" x14ac:dyDescent="0.25">
      <c r="A11284">
        <v>14</v>
      </c>
      <c r="B11284">
        <v>13</v>
      </c>
      <c r="C11284">
        <v>18</v>
      </c>
      <c r="D11284">
        <v>3</v>
      </c>
      <c r="E11284">
        <f t="shared" si="176"/>
        <v>4.7241421384947817E-17</v>
      </c>
    </row>
    <row r="11285" spans="1:5" x14ac:dyDescent="0.25">
      <c r="A11285">
        <v>14</v>
      </c>
      <c r="B11285">
        <v>13</v>
      </c>
      <c r="C11285">
        <v>19</v>
      </c>
      <c r="D11285">
        <v>2</v>
      </c>
      <c r="E11285">
        <f t="shared" si="176"/>
        <v>1.5242655412534655E-17</v>
      </c>
    </row>
    <row r="11286" spans="1:5" x14ac:dyDescent="0.25">
      <c r="A11286">
        <v>14</v>
      </c>
      <c r="B11286">
        <v>13</v>
      </c>
      <c r="C11286">
        <v>20</v>
      </c>
      <c r="D11286">
        <v>1</v>
      </c>
      <c r="E11286">
        <f t="shared" si="176"/>
        <v>2.9215089540691451E-18</v>
      </c>
    </row>
    <row r="11287" spans="1:5" x14ac:dyDescent="0.25">
      <c r="A11287">
        <v>14</v>
      </c>
      <c r="B11287">
        <v>13</v>
      </c>
      <c r="C11287">
        <v>21</v>
      </c>
      <c r="D11287">
        <v>0</v>
      </c>
      <c r="E11287">
        <f t="shared" si="176"/>
        <v>2.5041505320592638E-19</v>
      </c>
    </row>
    <row r="11288" spans="1:5" x14ac:dyDescent="0.25">
      <c r="A11288">
        <v>14</v>
      </c>
      <c r="B11288">
        <v>14</v>
      </c>
      <c r="C11288">
        <v>0</v>
      </c>
      <c r="D11288">
        <v>20</v>
      </c>
      <c r="E11288">
        <f t="shared" si="176"/>
        <v>4.3191103426504987E-30</v>
      </c>
    </row>
    <row r="11289" spans="1:5" x14ac:dyDescent="0.25">
      <c r="A11289">
        <v>14</v>
      </c>
      <c r="B11289">
        <v>14</v>
      </c>
      <c r="C11289">
        <v>1</v>
      </c>
      <c r="D11289">
        <v>19</v>
      </c>
      <c r="E11289">
        <f t="shared" si="176"/>
        <v>9.3580724090760794E-28</v>
      </c>
    </row>
    <row r="11290" spans="1:5" x14ac:dyDescent="0.25">
      <c r="A11290">
        <v>14</v>
      </c>
      <c r="B11290">
        <v>14</v>
      </c>
      <c r="C11290">
        <v>2</v>
      </c>
      <c r="D11290">
        <v>18</v>
      </c>
      <c r="E11290">
        <f t="shared" si="176"/>
        <v>8.1281543210260829E-26</v>
      </c>
    </row>
    <row r="11291" spans="1:5" x14ac:dyDescent="0.25">
      <c r="A11291">
        <v>14</v>
      </c>
      <c r="B11291">
        <v>14</v>
      </c>
      <c r="C11291">
        <v>3</v>
      </c>
      <c r="D11291">
        <v>17</v>
      </c>
      <c r="E11291">
        <f t="shared" si="176"/>
        <v>3.8405529166848234E-24</v>
      </c>
    </row>
    <row r="11292" spans="1:5" x14ac:dyDescent="0.25">
      <c r="A11292">
        <v>14</v>
      </c>
      <c r="B11292">
        <v>14</v>
      </c>
      <c r="C11292">
        <v>4</v>
      </c>
      <c r="D11292">
        <v>16</v>
      </c>
      <c r="E11292">
        <f t="shared" si="176"/>
        <v>1.1244285483849455E-22</v>
      </c>
    </row>
    <row r="11293" spans="1:5" x14ac:dyDescent="0.25">
      <c r="A11293">
        <v>14</v>
      </c>
      <c r="B11293">
        <v>14</v>
      </c>
      <c r="C11293">
        <v>5</v>
      </c>
      <c r="D11293">
        <v>15</v>
      </c>
      <c r="E11293">
        <f t="shared" si="176"/>
        <v>2.1948845264474134E-21</v>
      </c>
    </row>
    <row r="11294" spans="1:5" x14ac:dyDescent="0.25">
      <c r="A11294">
        <v>14</v>
      </c>
      <c r="B11294">
        <v>14</v>
      </c>
      <c r="C11294">
        <v>6</v>
      </c>
      <c r="D11294">
        <v>14</v>
      </c>
      <c r="E11294">
        <f t="shared" si="176"/>
        <v>2.9930243542464732E-20</v>
      </c>
    </row>
    <row r="11295" spans="1:5" x14ac:dyDescent="0.25">
      <c r="A11295">
        <v>14</v>
      </c>
      <c r="B11295">
        <v>14</v>
      </c>
      <c r="C11295">
        <v>7</v>
      </c>
      <c r="D11295">
        <v>13</v>
      </c>
      <c r="E11295">
        <f t="shared" si="176"/>
        <v>2.9431406150090325E-19</v>
      </c>
    </row>
    <row r="11296" spans="1:5" x14ac:dyDescent="0.25">
      <c r="A11296">
        <v>14</v>
      </c>
      <c r="B11296">
        <v>14</v>
      </c>
      <c r="C11296">
        <v>8</v>
      </c>
      <c r="D11296">
        <v>12</v>
      </c>
      <c r="E11296">
        <f t="shared" si="176"/>
        <v>2.133776945881549E-18</v>
      </c>
    </row>
    <row r="11297" spans="1:5" x14ac:dyDescent="0.25">
      <c r="A11297">
        <v>14</v>
      </c>
      <c r="B11297">
        <v>14</v>
      </c>
      <c r="C11297">
        <v>9</v>
      </c>
      <c r="D11297">
        <v>11</v>
      </c>
      <c r="E11297">
        <f t="shared" si="176"/>
        <v>1.1583360563356976E-17</v>
      </c>
    </row>
    <row r="11298" spans="1:5" x14ac:dyDescent="0.25">
      <c r="A11298">
        <v>14</v>
      </c>
      <c r="B11298">
        <v>14</v>
      </c>
      <c r="C11298">
        <v>10</v>
      </c>
      <c r="D11298">
        <v>10</v>
      </c>
      <c r="E11298">
        <f t="shared" si="176"/>
        <v>4.7569000713519312E-17</v>
      </c>
    </row>
    <row r="11299" spans="1:5" x14ac:dyDescent="0.25">
      <c r="A11299">
        <v>14</v>
      </c>
      <c r="B11299">
        <v>14</v>
      </c>
      <c r="C11299">
        <v>11</v>
      </c>
      <c r="D11299">
        <v>9</v>
      </c>
      <c r="E11299">
        <f t="shared" si="176"/>
        <v>1.486531272297479E-16</v>
      </c>
    </row>
    <row r="11300" spans="1:5" x14ac:dyDescent="0.25">
      <c r="A11300">
        <v>14</v>
      </c>
      <c r="B11300">
        <v>14</v>
      </c>
      <c r="C11300">
        <v>12</v>
      </c>
      <c r="D11300">
        <v>8</v>
      </c>
      <c r="E11300">
        <f t="shared" si="176"/>
        <v>3.5414421487086978E-16</v>
      </c>
    </row>
    <row r="11301" spans="1:5" x14ac:dyDescent="0.25">
      <c r="A11301">
        <v>14</v>
      </c>
      <c r="B11301">
        <v>14</v>
      </c>
      <c r="C11301">
        <v>13</v>
      </c>
      <c r="D11301">
        <v>7</v>
      </c>
      <c r="E11301">
        <f t="shared" si="176"/>
        <v>6.4169720985149098E-16</v>
      </c>
    </row>
    <row r="11302" spans="1:5" x14ac:dyDescent="0.25">
      <c r="A11302">
        <v>14</v>
      </c>
      <c r="B11302">
        <v>14</v>
      </c>
      <c r="C11302">
        <v>14</v>
      </c>
      <c r="D11302">
        <v>6</v>
      </c>
      <c r="E11302">
        <f t="shared" si="176"/>
        <v>8.7811197137572424E-16</v>
      </c>
    </row>
    <row r="11303" spans="1:5" x14ac:dyDescent="0.25">
      <c r="A11303">
        <v>14</v>
      </c>
      <c r="B11303">
        <v>14</v>
      </c>
      <c r="C11303">
        <v>15</v>
      </c>
      <c r="D11303">
        <v>5</v>
      </c>
      <c r="E11303">
        <f t="shared" si="176"/>
        <v>8.9567421080323834E-16</v>
      </c>
    </row>
    <row r="11304" spans="1:5" x14ac:dyDescent="0.25">
      <c r="A11304">
        <v>14</v>
      </c>
      <c r="B11304">
        <v>14</v>
      </c>
      <c r="C11304">
        <v>16</v>
      </c>
      <c r="D11304">
        <v>4</v>
      </c>
      <c r="E11304">
        <f t="shared" si="176"/>
        <v>6.6642426399050506E-16</v>
      </c>
    </row>
    <row r="11305" spans="1:5" x14ac:dyDescent="0.25">
      <c r="A11305">
        <v>14</v>
      </c>
      <c r="B11305">
        <v>14</v>
      </c>
      <c r="C11305">
        <v>17</v>
      </c>
      <c r="D11305">
        <v>3</v>
      </c>
      <c r="E11305">
        <f t="shared" si="176"/>
        <v>3.4924907952443592E-16</v>
      </c>
    </row>
    <row r="11306" spans="1:5" x14ac:dyDescent="0.25">
      <c r="A11306">
        <v>14</v>
      </c>
      <c r="B11306">
        <v>14</v>
      </c>
      <c r="C11306">
        <v>18</v>
      </c>
      <c r="D11306">
        <v>2</v>
      </c>
      <c r="E11306">
        <f t="shared" si="176"/>
        <v>1.2147794070415152E-16</v>
      </c>
    </row>
    <row r="11307" spans="1:5" x14ac:dyDescent="0.25">
      <c r="A11307">
        <v>14</v>
      </c>
      <c r="B11307">
        <v>14</v>
      </c>
      <c r="C11307">
        <v>19</v>
      </c>
      <c r="D11307">
        <v>1</v>
      </c>
      <c r="E11307">
        <f t="shared" si="176"/>
        <v>2.5041505320592646E-17</v>
      </c>
    </row>
    <row r="11308" spans="1:5" x14ac:dyDescent="0.25">
      <c r="A11308">
        <v>14</v>
      </c>
      <c r="B11308">
        <v>14</v>
      </c>
      <c r="C11308">
        <v>20</v>
      </c>
      <c r="D11308">
        <v>0</v>
      </c>
      <c r="E11308">
        <f t="shared" si="176"/>
        <v>2.3038184894945254E-18</v>
      </c>
    </row>
    <row r="11309" spans="1:5" x14ac:dyDescent="0.25">
      <c r="A11309">
        <v>14</v>
      </c>
      <c r="B11309">
        <v>15</v>
      </c>
      <c r="C11309">
        <v>0</v>
      </c>
      <c r="D11309">
        <v>19</v>
      </c>
      <c r="E11309">
        <f t="shared" si="176"/>
        <v>2.6394563205086378E-28</v>
      </c>
    </row>
    <row r="11310" spans="1:5" x14ac:dyDescent="0.25">
      <c r="A11310">
        <v>14</v>
      </c>
      <c r="B11310">
        <v>15</v>
      </c>
      <c r="C11310">
        <v>1</v>
      </c>
      <c r="D11310">
        <v>18</v>
      </c>
      <c r="E11310">
        <f t="shared" si="176"/>
        <v>4.6567550797545265E-26</v>
      </c>
    </row>
    <row r="11311" spans="1:5" x14ac:dyDescent="0.25">
      <c r="A11311">
        <v>14</v>
      </c>
      <c r="B11311">
        <v>15</v>
      </c>
      <c r="C11311">
        <v>2</v>
      </c>
      <c r="D11311">
        <v>17</v>
      </c>
      <c r="E11311">
        <f t="shared" si="176"/>
        <v>3.3528636574232586E-24</v>
      </c>
    </row>
    <row r="11312" spans="1:5" x14ac:dyDescent="0.25">
      <c r="A11312">
        <v>14</v>
      </c>
      <c r="B11312">
        <v>15</v>
      </c>
      <c r="C11312">
        <v>3</v>
      </c>
      <c r="D11312">
        <v>16</v>
      </c>
      <c r="E11312">
        <f t="shared" si="176"/>
        <v>1.3299692507778924E-22</v>
      </c>
    </row>
    <row r="11313" spans="1:5" x14ac:dyDescent="0.25">
      <c r="A11313">
        <v>14</v>
      </c>
      <c r="B11313">
        <v>15</v>
      </c>
      <c r="C11313">
        <v>4</v>
      </c>
      <c r="D11313">
        <v>15</v>
      </c>
      <c r="E11313">
        <f t="shared" si="176"/>
        <v>3.2983237419291732E-21</v>
      </c>
    </row>
    <row r="11314" spans="1:5" x14ac:dyDescent="0.25">
      <c r="A11314">
        <v>14</v>
      </c>
      <c r="B11314">
        <v>15</v>
      </c>
      <c r="C11314">
        <v>5</v>
      </c>
      <c r="D11314">
        <v>14</v>
      </c>
      <c r="E11314">
        <f t="shared" si="176"/>
        <v>5.4872113161185348E-20</v>
      </c>
    </row>
    <row r="11315" spans="1:5" x14ac:dyDescent="0.25">
      <c r="A11315">
        <v>14</v>
      </c>
      <c r="B11315">
        <v>15</v>
      </c>
      <c r="C11315">
        <v>6</v>
      </c>
      <c r="D11315">
        <v>13</v>
      </c>
      <c r="E11315">
        <f t="shared" si="176"/>
        <v>6.401746535471624E-19</v>
      </c>
    </row>
    <row r="11316" spans="1:5" x14ac:dyDescent="0.25">
      <c r="A11316">
        <v>14</v>
      </c>
      <c r="B11316">
        <v>15</v>
      </c>
      <c r="C11316">
        <v>7</v>
      </c>
      <c r="D11316">
        <v>12</v>
      </c>
      <c r="E11316">
        <f t="shared" si="176"/>
        <v>5.3957577941832246E-18</v>
      </c>
    </row>
    <row r="11317" spans="1:5" x14ac:dyDescent="0.25">
      <c r="A11317">
        <v>14</v>
      </c>
      <c r="B11317">
        <v>15</v>
      </c>
      <c r="C11317">
        <v>8</v>
      </c>
      <c r="D11317">
        <v>11</v>
      </c>
      <c r="E11317">
        <f t="shared" si="176"/>
        <v>3.3530780578138618E-17</v>
      </c>
    </row>
    <row r="11318" spans="1:5" x14ac:dyDescent="0.25">
      <c r="A11318">
        <v>14</v>
      </c>
      <c r="B11318">
        <v>15</v>
      </c>
      <c r="C11318">
        <v>9</v>
      </c>
      <c r="D11318">
        <v>10</v>
      </c>
      <c r="E11318">
        <f t="shared" si="176"/>
        <v>1.5573184757402151E-16</v>
      </c>
    </row>
    <row r="11319" spans="1:5" x14ac:dyDescent="0.25">
      <c r="A11319">
        <v>14</v>
      </c>
      <c r="B11319">
        <v>15</v>
      </c>
      <c r="C11319">
        <v>10</v>
      </c>
      <c r="D11319">
        <v>9</v>
      </c>
      <c r="E11319">
        <f t="shared" si="176"/>
        <v>5.4506146650907549E-16</v>
      </c>
    </row>
    <row r="11320" spans="1:5" x14ac:dyDescent="0.25">
      <c r="A11320">
        <v>14</v>
      </c>
      <c r="B11320">
        <v>15</v>
      </c>
      <c r="C11320">
        <v>11</v>
      </c>
      <c r="D11320">
        <v>8</v>
      </c>
      <c r="E11320">
        <f t="shared" si="176"/>
        <v>1.4428097642887296E-15</v>
      </c>
    </row>
    <row r="11321" spans="1:5" x14ac:dyDescent="0.25">
      <c r="A11321">
        <v>14</v>
      </c>
      <c r="B11321">
        <v>15</v>
      </c>
      <c r="C11321">
        <v>12</v>
      </c>
      <c r="D11321">
        <v>7</v>
      </c>
      <c r="E11321">
        <f t="shared" si="176"/>
        <v>2.885619528577458E-15</v>
      </c>
    </row>
    <row r="11322" spans="1:5" x14ac:dyDescent="0.25">
      <c r="A11322">
        <v>14</v>
      </c>
      <c r="B11322">
        <v>15</v>
      </c>
      <c r="C11322">
        <v>13</v>
      </c>
      <c r="D11322">
        <v>6</v>
      </c>
      <c r="E11322">
        <f t="shared" si="176"/>
        <v>4.334270627944279E-15</v>
      </c>
    </row>
    <row r="11323" spans="1:5" x14ac:dyDescent="0.25">
      <c r="A11323">
        <v>14</v>
      </c>
      <c r="B11323">
        <v>15</v>
      </c>
      <c r="C11323">
        <v>14</v>
      </c>
      <c r="D11323">
        <v>5</v>
      </c>
      <c r="E11323">
        <f t="shared" si="176"/>
        <v>4.829615842566483E-15</v>
      </c>
    </row>
    <row r="11324" spans="1:5" x14ac:dyDescent="0.25">
      <c r="A11324">
        <v>14</v>
      </c>
      <c r="B11324">
        <v>15</v>
      </c>
      <c r="C11324">
        <v>15</v>
      </c>
      <c r="D11324">
        <v>4</v>
      </c>
      <c r="E11324">
        <f t="shared" si="176"/>
        <v>3.9096890154109618E-15</v>
      </c>
    </row>
    <row r="11325" spans="1:5" x14ac:dyDescent="0.25">
      <c r="A11325">
        <v>14</v>
      </c>
      <c r="B11325">
        <v>15</v>
      </c>
      <c r="C11325">
        <v>16</v>
      </c>
      <c r="D11325">
        <v>3</v>
      </c>
      <c r="E11325">
        <f t="shared" si="176"/>
        <v>2.221414213301683E-15</v>
      </c>
    </row>
    <row r="11326" spans="1:5" x14ac:dyDescent="0.25">
      <c r="A11326">
        <v>14</v>
      </c>
      <c r="B11326">
        <v>15</v>
      </c>
      <c r="C11326">
        <v>17</v>
      </c>
      <c r="D11326">
        <v>2</v>
      </c>
      <c r="E11326">
        <f t="shared" si="176"/>
        <v>8.3516084234104245E-16</v>
      </c>
    </row>
    <row r="11327" spans="1:5" x14ac:dyDescent="0.25">
      <c r="A11327">
        <v>14</v>
      </c>
      <c r="B11327">
        <v>15</v>
      </c>
      <c r="C11327">
        <v>18</v>
      </c>
      <c r="D11327">
        <v>1</v>
      </c>
      <c r="E11327">
        <f t="shared" si="176"/>
        <v>1.8559129829800926E-16</v>
      </c>
    </row>
    <row r="11328" spans="1:5" x14ac:dyDescent="0.25">
      <c r="A11328">
        <v>14</v>
      </c>
      <c r="B11328">
        <v>15</v>
      </c>
      <c r="C11328">
        <v>19</v>
      </c>
      <c r="D11328">
        <v>0</v>
      </c>
      <c r="E11328">
        <f t="shared" si="176"/>
        <v>1.8363770568434609E-17</v>
      </c>
    </row>
    <row r="11329" spans="1:5" x14ac:dyDescent="0.25">
      <c r="A11329">
        <v>14</v>
      </c>
      <c r="B11329">
        <v>16</v>
      </c>
      <c r="C11329">
        <v>0</v>
      </c>
      <c r="D11329">
        <v>18</v>
      </c>
      <c r="E11329">
        <f t="shared" si="176"/>
        <v>1.2268758575507118E-26</v>
      </c>
    </row>
    <row r="11330" spans="1:5" x14ac:dyDescent="0.25">
      <c r="A11330">
        <v>14</v>
      </c>
      <c r="B11330">
        <v>16</v>
      </c>
      <c r="C11330">
        <v>1</v>
      </c>
      <c r="D11330">
        <v>17</v>
      </c>
      <c r="E11330">
        <f t="shared" si="176"/>
        <v>1.7943059416679155E-24</v>
      </c>
    </row>
    <row r="11331" spans="1:5" x14ac:dyDescent="0.25">
      <c r="A11331">
        <v>14</v>
      </c>
      <c r="B11331">
        <v>16</v>
      </c>
      <c r="C11331">
        <v>2</v>
      </c>
      <c r="D11331">
        <v>16</v>
      </c>
      <c r="E11331">
        <f t="shared" si="176"/>
        <v>1.0845582580748289E-22</v>
      </c>
    </row>
    <row r="11332" spans="1:5" x14ac:dyDescent="0.25">
      <c r="A11332">
        <v>14</v>
      </c>
      <c r="B11332">
        <v>16</v>
      </c>
      <c r="C11332">
        <v>3</v>
      </c>
      <c r="D11332">
        <v>15</v>
      </c>
      <c r="E11332">
        <f t="shared" si="176"/>
        <v>3.6441157471314247E-21</v>
      </c>
    </row>
    <row r="11333" spans="1:5" x14ac:dyDescent="0.25">
      <c r="A11333">
        <v>14</v>
      </c>
      <c r="B11333">
        <v>16</v>
      </c>
      <c r="C11333">
        <v>4</v>
      </c>
      <c r="D11333">
        <v>14</v>
      </c>
      <c r="E11333">
        <f t="shared" si="176"/>
        <v>7.7023355564368746E-20</v>
      </c>
    </row>
    <row r="11334" spans="1:5" x14ac:dyDescent="0.25">
      <c r="A11334">
        <v>14</v>
      </c>
      <c r="B11334">
        <v>16</v>
      </c>
      <c r="C11334">
        <v>5</v>
      </c>
      <c r="D11334">
        <v>13</v>
      </c>
      <c r="E11334">
        <f t="shared" si="176"/>
        <v>1.0962990941995158E-18</v>
      </c>
    </row>
    <row r="11335" spans="1:5" x14ac:dyDescent="0.25">
      <c r="A11335">
        <v>14</v>
      </c>
      <c r="B11335">
        <v>16</v>
      </c>
      <c r="C11335">
        <v>6</v>
      </c>
      <c r="D11335">
        <v>12</v>
      </c>
      <c r="E11335">
        <f t="shared" si="176"/>
        <v>1.0962990941995155E-17</v>
      </c>
    </row>
    <row r="11336" spans="1:5" x14ac:dyDescent="0.25">
      <c r="A11336">
        <v>14</v>
      </c>
      <c r="B11336">
        <v>16</v>
      </c>
      <c r="C11336">
        <v>7</v>
      </c>
      <c r="D11336">
        <v>11</v>
      </c>
      <c r="E11336">
        <f t="shared" si="176"/>
        <v>7.9202016193189484E-17</v>
      </c>
    </row>
    <row r="11337" spans="1:5" x14ac:dyDescent="0.25">
      <c r="A11337">
        <v>14</v>
      </c>
      <c r="B11337">
        <v>16</v>
      </c>
      <c r="C11337">
        <v>8</v>
      </c>
      <c r="D11337">
        <v>10</v>
      </c>
      <c r="E11337">
        <f t="shared" si="176"/>
        <v>4.2109071942712406E-16</v>
      </c>
    </row>
    <row r="11338" spans="1:5" x14ac:dyDescent="0.25">
      <c r="A11338">
        <v>14</v>
      </c>
      <c r="B11338">
        <v>16</v>
      </c>
      <c r="C11338">
        <v>9</v>
      </c>
      <c r="D11338">
        <v>9</v>
      </c>
      <c r="E11338">
        <f t="shared" si="176"/>
        <v>1.6668174310656992E-15</v>
      </c>
    </row>
    <row r="11339" spans="1:5" x14ac:dyDescent="0.25">
      <c r="A11339">
        <v>14</v>
      </c>
      <c r="B11339">
        <v>16</v>
      </c>
      <c r="C11339">
        <v>10</v>
      </c>
      <c r="D11339">
        <v>8</v>
      </c>
      <c r="E11339">
        <f t="shared" si="176"/>
        <v>4.9416234426888981E-15</v>
      </c>
    </row>
    <row r="11340" spans="1:5" x14ac:dyDescent="0.25">
      <c r="A11340">
        <v>14</v>
      </c>
      <c r="B11340">
        <v>16</v>
      </c>
      <c r="C11340">
        <v>11</v>
      </c>
      <c r="D11340">
        <v>7</v>
      </c>
      <c r="E11340">
        <f t="shared" si="176"/>
        <v>1.0981385428197555E-14</v>
      </c>
    </row>
    <row r="11341" spans="1:5" x14ac:dyDescent="0.25">
      <c r="A11341">
        <v>14</v>
      </c>
      <c r="B11341">
        <v>16</v>
      </c>
      <c r="C11341">
        <v>12</v>
      </c>
      <c r="D11341">
        <v>6</v>
      </c>
      <c r="E11341">
        <f t="shared" si="176"/>
        <v>1.8205981104643295E-14</v>
      </c>
    </row>
    <row r="11342" spans="1:5" x14ac:dyDescent="0.25">
      <c r="A11342">
        <v>14</v>
      </c>
      <c r="B11342">
        <v>16</v>
      </c>
      <c r="C11342">
        <v>13</v>
      </c>
      <c r="D11342">
        <v>5</v>
      </c>
      <c r="E11342">
        <f t="shared" ref="E11342:E11405" si="177">COMBIN(A$4,A11342)*COMBIN(B$4,B11342)*COMBIN(C$4,C11342)*COMBIN(D$4,D11342)/COMBIN($G$4,$F$4)</f>
        <v>2.2267315351063733E-14</v>
      </c>
    </row>
    <row r="11343" spans="1:5" x14ac:dyDescent="0.25">
      <c r="A11343">
        <v>14</v>
      </c>
      <c r="B11343">
        <v>16</v>
      </c>
      <c r="C11343">
        <v>14</v>
      </c>
      <c r="D11343">
        <v>4</v>
      </c>
      <c r="E11343">
        <f t="shared" si="177"/>
        <v>1.9692183643797867E-14</v>
      </c>
    </row>
    <row r="11344" spans="1:5" x14ac:dyDescent="0.25">
      <c r="A11344">
        <v>14</v>
      </c>
      <c r="B11344">
        <v>16</v>
      </c>
      <c r="C11344">
        <v>15</v>
      </c>
      <c r="D11344">
        <v>3</v>
      </c>
      <c r="E11344">
        <f t="shared" si="177"/>
        <v>1.2173349888893222E-14</v>
      </c>
    </row>
    <row r="11345" spans="1:5" x14ac:dyDescent="0.25">
      <c r="A11345">
        <v>14</v>
      </c>
      <c r="B11345">
        <v>16</v>
      </c>
      <c r="C11345">
        <v>16</v>
      </c>
      <c r="D11345">
        <v>2</v>
      </c>
      <c r="E11345">
        <f t="shared" si="177"/>
        <v>4.9619632699293031E-15</v>
      </c>
    </row>
    <row r="11346" spans="1:5" x14ac:dyDescent="0.25">
      <c r="A11346">
        <v>14</v>
      </c>
      <c r="B11346">
        <v>16</v>
      </c>
      <c r="C11346">
        <v>17</v>
      </c>
      <c r="D11346">
        <v>1</v>
      </c>
      <c r="E11346">
        <f t="shared" si="177"/>
        <v>1.1918441187575292E-15</v>
      </c>
    </row>
    <row r="11347" spans="1:5" x14ac:dyDescent="0.25">
      <c r="A11347">
        <v>14</v>
      </c>
      <c r="B11347">
        <v>16</v>
      </c>
      <c r="C11347">
        <v>18</v>
      </c>
      <c r="D11347">
        <v>0</v>
      </c>
      <c r="E11347">
        <f t="shared" si="177"/>
        <v>1.2713003933413634E-16</v>
      </c>
    </row>
    <row r="11348" spans="1:5" x14ac:dyDescent="0.25">
      <c r="A11348">
        <v>14</v>
      </c>
      <c r="B11348">
        <v>17</v>
      </c>
      <c r="C11348">
        <v>0</v>
      </c>
      <c r="D11348">
        <v>17</v>
      </c>
      <c r="E11348">
        <f t="shared" si="177"/>
        <v>4.4329911500030871E-25</v>
      </c>
    </row>
    <row r="11349" spans="1:5" x14ac:dyDescent="0.25">
      <c r="A11349">
        <v>14</v>
      </c>
      <c r="B11349">
        <v>17</v>
      </c>
      <c r="C11349">
        <v>1</v>
      </c>
      <c r="D11349">
        <v>16</v>
      </c>
      <c r="E11349">
        <f t="shared" si="177"/>
        <v>5.442728023059346E-23</v>
      </c>
    </row>
    <row r="11350" spans="1:5" x14ac:dyDescent="0.25">
      <c r="A11350">
        <v>14</v>
      </c>
      <c r="B11350">
        <v>17</v>
      </c>
      <c r="C11350">
        <v>2</v>
      </c>
      <c r="D11350">
        <v>15</v>
      </c>
      <c r="E11350">
        <f t="shared" si="177"/>
        <v>2.7866767478063846E-21</v>
      </c>
    </row>
    <row r="11351" spans="1:5" x14ac:dyDescent="0.25">
      <c r="A11351">
        <v>14</v>
      </c>
      <c r="B11351">
        <v>17</v>
      </c>
      <c r="C11351">
        <v>3</v>
      </c>
      <c r="D11351">
        <v>14</v>
      </c>
      <c r="E11351">
        <f t="shared" si="177"/>
        <v>7.9800288687182854E-20</v>
      </c>
    </row>
    <row r="11352" spans="1:5" x14ac:dyDescent="0.25">
      <c r="A11352">
        <v>14</v>
      </c>
      <c r="B11352">
        <v>17</v>
      </c>
      <c r="C11352">
        <v>4</v>
      </c>
      <c r="D11352">
        <v>13</v>
      </c>
      <c r="E11352">
        <f t="shared" si="177"/>
        <v>1.4430552204265566E-18</v>
      </c>
    </row>
    <row r="11353" spans="1:5" x14ac:dyDescent="0.25">
      <c r="A11353">
        <v>14</v>
      </c>
      <c r="B11353">
        <v>17</v>
      </c>
      <c r="C11353">
        <v>5</v>
      </c>
      <c r="D11353">
        <v>12</v>
      </c>
      <c r="E11353">
        <f t="shared" si="177"/>
        <v>1.7605273689203995E-17</v>
      </c>
    </row>
    <row r="11354" spans="1:5" x14ac:dyDescent="0.25">
      <c r="A11354">
        <v>14</v>
      </c>
      <c r="B11354">
        <v>17</v>
      </c>
      <c r="C11354">
        <v>6</v>
      </c>
      <c r="D11354">
        <v>11</v>
      </c>
      <c r="E11354">
        <f t="shared" si="177"/>
        <v>1.5090234590746276E-16</v>
      </c>
    </row>
    <row r="11355" spans="1:5" x14ac:dyDescent="0.25">
      <c r="A11355">
        <v>14</v>
      </c>
      <c r="B11355">
        <v>17</v>
      </c>
      <c r="C11355">
        <v>7</v>
      </c>
      <c r="D11355">
        <v>10</v>
      </c>
      <c r="E11355">
        <f t="shared" si="177"/>
        <v>9.3272021422803162E-16</v>
      </c>
    </row>
    <row r="11356" spans="1:5" x14ac:dyDescent="0.25">
      <c r="A11356">
        <v>14</v>
      </c>
      <c r="B11356">
        <v>17</v>
      </c>
      <c r="C11356">
        <v>8</v>
      </c>
      <c r="D11356">
        <v>9</v>
      </c>
      <c r="E11356">
        <f t="shared" si="177"/>
        <v>4.2263884707207695E-15</v>
      </c>
    </row>
    <row r="11357" spans="1:5" x14ac:dyDescent="0.25">
      <c r="A11357">
        <v>14</v>
      </c>
      <c r="B11357">
        <v>17</v>
      </c>
      <c r="C11357">
        <v>9</v>
      </c>
      <c r="D11357">
        <v>8</v>
      </c>
      <c r="E11357">
        <f t="shared" si="177"/>
        <v>1.4170831931240225E-14</v>
      </c>
    </row>
    <row r="11358" spans="1:5" x14ac:dyDescent="0.25">
      <c r="A11358">
        <v>14</v>
      </c>
      <c r="B11358">
        <v>17</v>
      </c>
      <c r="C11358">
        <v>10</v>
      </c>
      <c r="D11358">
        <v>7</v>
      </c>
      <c r="E11358">
        <f t="shared" si="177"/>
        <v>3.5269626139975683E-14</v>
      </c>
    </row>
    <row r="11359" spans="1:5" x14ac:dyDescent="0.25">
      <c r="A11359">
        <v>14</v>
      </c>
      <c r="B11359">
        <v>17</v>
      </c>
      <c r="C11359">
        <v>11</v>
      </c>
      <c r="D11359">
        <v>6</v>
      </c>
      <c r="E11359">
        <f t="shared" si="177"/>
        <v>6.4970363942060448E-14</v>
      </c>
    </row>
    <row r="11360" spans="1:5" x14ac:dyDescent="0.25">
      <c r="A11360">
        <v>14</v>
      </c>
      <c r="B11360">
        <v>17</v>
      </c>
      <c r="C11360">
        <v>12</v>
      </c>
      <c r="D11360">
        <v>5</v>
      </c>
      <c r="E11360">
        <f t="shared" si="177"/>
        <v>8.7709991321781571E-14</v>
      </c>
    </row>
    <row r="11361" spans="1:5" x14ac:dyDescent="0.25">
      <c r="A11361">
        <v>14</v>
      </c>
      <c r="B11361">
        <v>17</v>
      </c>
      <c r="C11361">
        <v>13</v>
      </c>
      <c r="D11361">
        <v>4</v>
      </c>
      <c r="E11361">
        <f t="shared" si="177"/>
        <v>8.5139735165831974E-14</v>
      </c>
    </row>
    <row r="11362" spans="1:5" x14ac:dyDescent="0.25">
      <c r="A11362">
        <v>14</v>
      </c>
      <c r="B11362">
        <v>17</v>
      </c>
      <c r="C11362">
        <v>14</v>
      </c>
      <c r="D11362">
        <v>3</v>
      </c>
      <c r="E11362">
        <f t="shared" si="177"/>
        <v>5.7496964008094317E-14</v>
      </c>
    </row>
    <row r="11363" spans="1:5" x14ac:dyDescent="0.25">
      <c r="A11363">
        <v>14</v>
      </c>
      <c r="B11363">
        <v>17</v>
      </c>
      <c r="C11363">
        <v>15</v>
      </c>
      <c r="D11363">
        <v>2</v>
      </c>
      <c r="E11363">
        <f t="shared" si="177"/>
        <v>2.5498653603589643E-14</v>
      </c>
    </row>
    <row r="11364" spans="1:5" x14ac:dyDescent="0.25">
      <c r="A11364">
        <v>14</v>
      </c>
      <c r="B11364">
        <v>17</v>
      </c>
      <c r="C11364">
        <v>16</v>
      </c>
      <c r="D11364">
        <v>1</v>
      </c>
      <c r="E11364">
        <f t="shared" si="177"/>
        <v>6.640274375934805E-15</v>
      </c>
    </row>
    <row r="11365" spans="1:5" x14ac:dyDescent="0.25">
      <c r="A11365">
        <v>14</v>
      </c>
      <c r="B11365">
        <v>17</v>
      </c>
      <c r="C11365">
        <v>17</v>
      </c>
      <c r="D11365">
        <v>0</v>
      </c>
      <c r="E11365">
        <f t="shared" si="177"/>
        <v>7.655845751077779E-16</v>
      </c>
    </row>
    <row r="11366" spans="1:5" x14ac:dyDescent="0.25">
      <c r="A11366">
        <v>14</v>
      </c>
      <c r="B11366">
        <v>18</v>
      </c>
      <c r="C11366">
        <v>0</v>
      </c>
      <c r="D11366">
        <v>16</v>
      </c>
      <c r="E11366">
        <f t="shared" si="177"/>
        <v>1.2653179677539673E-23</v>
      </c>
    </row>
    <row r="11367" spans="1:5" x14ac:dyDescent="0.25">
      <c r="A11367">
        <v>14</v>
      </c>
      <c r="B11367">
        <v>18</v>
      </c>
      <c r="C11367">
        <v>1</v>
      </c>
      <c r="D11367">
        <v>15</v>
      </c>
      <c r="E11367">
        <f t="shared" si="177"/>
        <v>1.315930686464126E-21</v>
      </c>
    </row>
    <row r="11368" spans="1:5" x14ac:dyDescent="0.25">
      <c r="A11368">
        <v>14</v>
      </c>
      <c r="B11368">
        <v>18</v>
      </c>
      <c r="C11368">
        <v>2</v>
      </c>
      <c r="D11368">
        <v>14</v>
      </c>
      <c r="E11368">
        <f t="shared" si="177"/>
        <v>5.7422429954798236E-20</v>
      </c>
    </row>
    <row r="11369" spans="1:5" x14ac:dyDescent="0.25">
      <c r="A11369">
        <v>14</v>
      </c>
      <c r="B11369">
        <v>18</v>
      </c>
      <c r="C11369">
        <v>3</v>
      </c>
      <c r="D11369">
        <v>13</v>
      </c>
      <c r="E11369">
        <f t="shared" si="177"/>
        <v>1.406849533892557E-18</v>
      </c>
    </row>
    <row r="11370" spans="1:5" x14ac:dyDescent="0.25">
      <c r="A11370">
        <v>14</v>
      </c>
      <c r="B11370">
        <v>18</v>
      </c>
      <c r="C11370">
        <v>4</v>
      </c>
      <c r="D11370">
        <v>12</v>
      </c>
      <c r="E11370">
        <f t="shared" si="177"/>
        <v>2.180616777533463E-17</v>
      </c>
    </row>
    <row r="11371" spans="1:5" x14ac:dyDescent="0.25">
      <c r="A11371">
        <v>14</v>
      </c>
      <c r="B11371">
        <v>18</v>
      </c>
      <c r="C11371">
        <v>5</v>
      </c>
      <c r="D11371">
        <v>11</v>
      </c>
      <c r="E11371">
        <f t="shared" si="177"/>
        <v>2.2803021159349927E-16</v>
      </c>
    </row>
    <row r="11372" spans="1:5" x14ac:dyDescent="0.25">
      <c r="A11372">
        <v>14</v>
      </c>
      <c r="B11372">
        <v>18</v>
      </c>
      <c r="C11372">
        <v>6</v>
      </c>
      <c r="D11372">
        <v>10</v>
      </c>
      <c r="E11372">
        <f t="shared" si="177"/>
        <v>1.672221551685661E-15</v>
      </c>
    </row>
    <row r="11373" spans="1:5" x14ac:dyDescent="0.25">
      <c r="A11373">
        <v>14</v>
      </c>
      <c r="B11373">
        <v>18</v>
      </c>
      <c r="C11373">
        <v>7</v>
      </c>
      <c r="D11373">
        <v>9</v>
      </c>
      <c r="E11373">
        <f t="shared" si="177"/>
        <v>8.8090242454869659E-15</v>
      </c>
    </row>
    <row r="11374" spans="1:5" x14ac:dyDescent="0.25">
      <c r="A11374">
        <v>14</v>
      </c>
      <c r="B11374">
        <v>18</v>
      </c>
      <c r="C11374">
        <v>8</v>
      </c>
      <c r="D11374">
        <v>8</v>
      </c>
      <c r="E11374">
        <f t="shared" si="177"/>
        <v>3.3811107765766156E-14</v>
      </c>
    </row>
    <row r="11375" spans="1:5" x14ac:dyDescent="0.25">
      <c r="A11375">
        <v>14</v>
      </c>
      <c r="B11375">
        <v>18</v>
      </c>
      <c r="C11375">
        <v>9</v>
      </c>
      <c r="D11375">
        <v>7</v>
      </c>
      <c r="E11375">
        <f t="shared" si="177"/>
        <v>9.5172007044378801E-14</v>
      </c>
    </row>
    <row r="11376" spans="1:5" x14ac:dyDescent="0.25">
      <c r="A11376">
        <v>14</v>
      </c>
      <c r="B11376">
        <v>18</v>
      </c>
      <c r="C11376">
        <v>10</v>
      </c>
      <c r="D11376">
        <v>6</v>
      </c>
      <c r="E11376">
        <f t="shared" si="177"/>
        <v>1.9635487769156044E-13</v>
      </c>
    </row>
    <row r="11377" spans="1:5" x14ac:dyDescent="0.25">
      <c r="A11377">
        <v>14</v>
      </c>
      <c r="B11377">
        <v>18</v>
      </c>
      <c r="C11377">
        <v>11</v>
      </c>
      <c r="D11377">
        <v>5</v>
      </c>
      <c r="E11377">
        <f t="shared" si="177"/>
        <v>2.9453231653734072E-13</v>
      </c>
    </row>
    <row r="11378" spans="1:5" x14ac:dyDescent="0.25">
      <c r="A11378">
        <v>14</v>
      </c>
      <c r="B11378">
        <v>18</v>
      </c>
      <c r="C11378">
        <v>12</v>
      </c>
      <c r="D11378">
        <v>4</v>
      </c>
      <c r="E11378">
        <f t="shared" si="177"/>
        <v>3.1557033914715064E-13</v>
      </c>
    </row>
    <row r="11379" spans="1:5" x14ac:dyDescent="0.25">
      <c r="A11379">
        <v>14</v>
      </c>
      <c r="B11379">
        <v>18</v>
      </c>
      <c r="C11379">
        <v>13</v>
      </c>
      <c r="D11379">
        <v>3</v>
      </c>
      <c r="E11379">
        <f t="shared" si="177"/>
        <v>2.3391927237481102E-13</v>
      </c>
    </row>
    <row r="11380" spans="1:5" x14ac:dyDescent="0.25">
      <c r="A11380">
        <v>14</v>
      </c>
      <c r="B11380">
        <v>18</v>
      </c>
      <c r="C11380">
        <v>14</v>
      </c>
      <c r="D11380">
        <v>2</v>
      </c>
      <c r="E11380">
        <f t="shared" si="177"/>
        <v>1.1332734934928735E-13</v>
      </c>
    </row>
    <row r="11381" spans="1:5" x14ac:dyDescent="0.25">
      <c r="A11381">
        <v>14</v>
      </c>
      <c r="B11381">
        <v>18</v>
      </c>
      <c r="C11381">
        <v>15</v>
      </c>
      <c r="D11381">
        <v>1</v>
      </c>
      <c r="E11381">
        <f t="shared" si="177"/>
        <v>3.2109415648964735E-14</v>
      </c>
    </row>
    <row r="11382" spans="1:5" x14ac:dyDescent="0.25">
      <c r="A11382">
        <v>14</v>
      </c>
      <c r="B11382">
        <v>18</v>
      </c>
      <c r="C11382">
        <v>16</v>
      </c>
      <c r="D11382">
        <v>0</v>
      </c>
      <c r="E11382">
        <f t="shared" si="177"/>
        <v>4.0136769561205926E-15</v>
      </c>
    </row>
    <row r="11383" spans="1:5" x14ac:dyDescent="0.25">
      <c r="A11383">
        <v>14</v>
      </c>
      <c r="B11383">
        <v>19</v>
      </c>
      <c r="C11383">
        <v>0</v>
      </c>
      <c r="D11383">
        <v>15</v>
      </c>
      <c r="E11383">
        <f t="shared" si="177"/>
        <v>2.8875887937795794E-22</v>
      </c>
    </row>
    <row r="11384" spans="1:5" x14ac:dyDescent="0.25">
      <c r="A11384">
        <v>14</v>
      </c>
      <c r="B11384">
        <v>19</v>
      </c>
      <c r="C11384">
        <v>1</v>
      </c>
      <c r="D11384">
        <v>14</v>
      </c>
      <c r="E11384">
        <f t="shared" si="177"/>
        <v>2.5594537035773546E-20</v>
      </c>
    </row>
    <row r="11385" spans="1:5" x14ac:dyDescent="0.25">
      <c r="A11385">
        <v>14</v>
      </c>
      <c r="B11385">
        <v>19</v>
      </c>
      <c r="C11385">
        <v>2</v>
      </c>
      <c r="D11385">
        <v>13</v>
      </c>
      <c r="E11385">
        <f t="shared" si="177"/>
        <v>9.5552938266887927E-19</v>
      </c>
    </row>
    <row r="11386" spans="1:5" x14ac:dyDescent="0.25">
      <c r="A11386">
        <v>14</v>
      </c>
      <c r="B11386">
        <v>19</v>
      </c>
      <c r="C11386">
        <v>3</v>
      </c>
      <c r="D11386">
        <v>12</v>
      </c>
      <c r="E11386">
        <f t="shared" si="177"/>
        <v>2.0066117036046467E-17</v>
      </c>
    </row>
    <row r="11387" spans="1:5" x14ac:dyDescent="0.25">
      <c r="A11387">
        <v>14</v>
      </c>
      <c r="B11387">
        <v>19</v>
      </c>
      <c r="C11387">
        <v>4</v>
      </c>
      <c r="D11387">
        <v>11</v>
      </c>
      <c r="E11387">
        <f t="shared" si="177"/>
        <v>2.6659269776461729E-16</v>
      </c>
    </row>
    <row r="11388" spans="1:5" x14ac:dyDescent="0.25">
      <c r="A11388">
        <v>14</v>
      </c>
      <c r="B11388">
        <v>19</v>
      </c>
      <c r="C11388">
        <v>5</v>
      </c>
      <c r="D11388">
        <v>10</v>
      </c>
      <c r="E11388">
        <f t="shared" si="177"/>
        <v>2.3851160026674424E-15</v>
      </c>
    </row>
    <row r="11389" spans="1:5" x14ac:dyDescent="0.25">
      <c r="A11389">
        <v>14</v>
      </c>
      <c r="B11389">
        <v>19</v>
      </c>
      <c r="C11389">
        <v>6</v>
      </c>
      <c r="D11389">
        <v>9</v>
      </c>
      <c r="E11389">
        <f t="shared" si="177"/>
        <v>1.4906975016671513E-14</v>
      </c>
    </row>
    <row r="11390" spans="1:5" x14ac:dyDescent="0.25">
      <c r="A11390">
        <v>14</v>
      </c>
      <c r="B11390">
        <v>19</v>
      </c>
      <c r="C11390">
        <v>7</v>
      </c>
      <c r="D11390">
        <v>8</v>
      </c>
      <c r="E11390">
        <f t="shared" si="177"/>
        <v>6.6517678435735921E-14</v>
      </c>
    </row>
    <row r="11391" spans="1:5" x14ac:dyDescent="0.25">
      <c r="A11391">
        <v>14</v>
      </c>
      <c r="B11391">
        <v>19</v>
      </c>
      <c r="C11391">
        <v>8</v>
      </c>
      <c r="D11391">
        <v>7</v>
      </c>
      <c r="E11391">
        <f t="shared" si="177"/>
        <v>2.1433474162626029E-13</v>
      </c>
    </row>
    <row r="11392" spans="1:5" x14ac:dyDescent="0.25">
      <c r="A11392">
        <v>14</v>
      </c>
      <c r="B11392">
        <v>19</v>
      </c>
      <c r="C11392">
        <v>9</v>
      </c>
      <c r="D11392">
        <v>6</v>
      </c>
      <c r="E11392">
        <f t="shared" si="177"/>
        <v>5.0011439712794035E-13</v>
      </c>
    </row>
    <row r="11393" spans="1:5" x14ac:dyDescent="0.25">
      <c r="A11393">
        <v>14</v>
      </c>
      <c r="B11393">
        <v>19</v>
      </c>
      <c r="C11393">
        <v>10</v>
      </c>
      <c r="D11393">
        <v>5</v>
      </c>
      <c r="E11393">
        <f t="shared" si="177"/>
        <v>8.4019218717493996E-13</v>
      </c>
    </row>
    <row r="11394" spans="1:5" x14ac:dyDescent="0.25">
      <c r="A11394">
        <v>14</v>
      </c>
      <c r="B11394">
        <v>19</v>
      </c>
      <c r="C11394">
        <v>11</v>
      </c>
      <c r="D11394">
        <v>4</v>
      </c>
      <c r="E11394">
        <f t="shared" si="177"/>
        <v>1.0002287942558815E-12</v>
      </c>
    </row>
    <row r="11395" spans="1:5" x14ac:dyDescent="0.25">
      <c r="A11395">
        <v>14</v>
      </c>
      <c r="B11395">
        <v>19</v>
      </c>
      <c r="C11395">
        <v>12</v>
      </c>
      <c r="D11395">
        <v>3</v>
      </c>
      <c r="E11395">
        <f t="shared" si="177"/>
        <v>8.1836901348208403E-13</v>
      </c>
    </row>
    <row r="11396" spans="1:5" x14ac:dyDescent="0.25">
      <c r="A11396">
        <v>14</v>
      </c>
      <c r="B11396">
        <v>19</v>
      </c>
      <c r="C11396">
        <v>13</v>
      </c>
      <c r="D11396">
        <v>2</v>
      </c>
      <c r="E11396">
        <f t="shared" si="177"/>
        <v>4.3518619780485432E-13</v>
      </c>
    </row>
    <row r="11397" spans="1:5" x14ac:dyDescent="0.25">
      <c r="A11397">
        <v>14</v>
      </c>
      <c r="B11397">
        <v>19</v>
      </c>
      <c r="C11397">
        <v>14</v>
      </c>
      <c r="D11397">
        <v>1</v>
      </c>
      <c r="E11397">
        <f t="shared" si="177"/>
        <v>1.3470048979674063E-13</v>
      </c>
    </row>
    <row r="11398" spans="1:5" x14ac:dyDescent="0.25">
      <c r="A11398">
        <v>14</v>
      </c>
      <c r="B11398">
        <v>19</v>
      </c>
      <c r="C11398">
        <v>15</v>
      </c>
      <c r="D11398">
        <v>0</v>
      </c>
      <c r="E11398">
        <f t="shared" si="177"/>
        <v>1.8319266612356718E-14</v>
      </c>
    </row>
    <row r="11399" spans="1:5" x14ac:dyDescent="0.25">
      <c r="A11399">
        <v>14</v>
      </c>
      <c r="B11399">
        <v>20</v>
      </c>
      <c r="C11399">
        <v>0</v>
      </c>
      <c r="D11399">
        <v>14</v>
      </c>
      <c r="E11399">
        <f t="shared" si="177"/>
        <v>5.3157884612760449E-21</v>
      </c>
    </row>
    <row r="11400" spans="1:5" x14ac:dyDescent="0.25">
      <c r="A11400">
        <v>14</v>
      </c>
      <c r="B11400">
        <v>20</v>
      </c>
      <c r="C11400">
        <v>1</v>
      </c>
      <c r="D11400">
        <v>13</v>
      </c>
      <c r="E11400">
        <f t="shared" si="177"/>
        <v>4.0311395831343341E-19</v>
      </c>
    </row>
    <row r="11401" spans="1:5" x14ac:dyDescent="0.25">
      <c r="A11401">
        <v>14</v>
      </c>
      <c r="B11401">
        <v>20</v>
      </c>
      <c r="C11401">
        <v>2</v>
      </c>
      <c r="D11401">
        <v>12</v>
      </c>
      <c r="E11401">
        <f t="shared" si="177"/>
        <v>1.2899646666029869E-17</v>
      </c>
    </row>
    <row r="11402" spans="1:5" x14ac:dyDescent="0.25">
      <c r="A11402">
        <v>14</v>
      </c>
      <c r="B11402">
        <v>20</v>
      </c>
      <c r="C11402">
        <v>3</v>
      </c>
      <c r="D11402">
        <v>11</v>
      </c>
      <c r="E11402">
        <f t="shared" si="177"/>
        <v>2.3219363998853762E-16</v>
      </c>
    </row>
    <row r="11403" spans="1:5" x14ac:dyDescent="0.25">
      <c r="A11403">
        <v>14</v>
      </c>
      <c r="B11403">
        <v>20</v>
      </c>
      <c r="C11403">
        <v>4</v>
      </c>
      <c r="D11403">
        <v>10</v>
      </c>
      <c r="E11403">
        <f t="shared" si="177"/>
        <v>2.6392677078697107E-15</v>
      </c>
    </row>
    <row r="11404" spans="1:5" x14ac:dyDescent="0.25">
      <c r="A11404">
        <v>14</v>
      </c>
      <c r="B11404">
        <v>20</v>
      </c>
      <c r="C11404">
        <v>5</v>
      </c>
      <c r="D11404">
        <v>9</v>
      </c>
      <c r="E11404">
        <f t="shared" si="177"/>
        <v>2.0124416272506544E-14</v>
      </c>
    </row>
    <row r="11405" spans="1:5" x14ac:dyDescent="0.25">
      <c r="A11405">
        <v>14</v>
      </c>
      <c r="B11405">
        <v>20</v>
      </c>
      <c r="C11405">
        <v>6</v>
      </c>
      <c r="D11405">
        <v>8</v>
      </c>
      <c r="E11405">
        <f t="shared" si="177"/>
        <v>1.0654102732503465E-13</v>
      </c>
    </row>
    <row r="11406" spans="1:5" x14ac:dyDescent="0.25">
      <c r="A11406">
        <v>14</v>
      </c>
      <c r="B11406">
        <v>20</v>
      </c>
      <c r="C11406">
        <v>7</v>
      </c>
      <c r="D11406">
        <v>7</v>
      </c>
      <c r="E11406">
        <f t="shared" ref="E11406:E11469" si="178">COMBIN(A$4,A11406)*COMBIN(B$4,B11406)*COMBIN(C$4,C11406)*COMBIN(D$4,D11406)/COMBIN($G$4,$F$4)</f>
        <v>3.9910607061441563E-13</v>
      </c>
    </row>
    <row r="11407" spans="1:5" x14ac:dyDescent="0.25">
      <c r="A11407">
        <v>14</v>
      </c>
      <c r="B11407">
        <v>20</v>
      </c>
      <c r="C11407">
        <v>8</v>
      </c>
      <c r="D11407">
        <v>6</v>
      </c>
      <c r="E11407">
        <f t="shared" si="178"/>
        <v>1.066033320193768E-12</v>
      </c>
    </row>
    <row r="11408" spans="1:5" x14ac:dyDescent="0.25">
      <c r="A11408">
        <v>14</v>
      </c>
      <c r="B11408">
        <v>20</v>
      </c>
      <c r="C11408">
        <v>9</v>
      </c>
      <c r="D11408">
        <v>5</v>
      </c>
      <c r="E11408">
        <f t="shared" si="178"/>
        <v>2.0254633083681586E-12</v>
      </c>
    </row>
    <row r="11409" spans="1:5" x14ac:dyDescent="0.25">
      <c r="A11409">
        <v>14</v>
      </c>
      <c r="B11409">
        <v>20</v>
      </c>
      <c r="C11409">
        <v>10</v>
      </c>
      <c r="D11409">
        <v>4</v>
      </c>
      <c r="E11409">
        <f t="shared" si="178"/>
        <v>2.7006177444908791E-12</v>
      </c>
    </row>
    <row r="11410" spans="1:5" x14ac:dyDescent="0.25">
      <c r="A11410">
        <v>14</v>
      </c>
      <c r="B11410">
        <v>20</v>
      </c>
      <c r="C11410">
        <v>11</v>
      </c>
      <c r="D11410">
        <v>3</v>
      </c>
      <c r="E11410">
        <f t="shared" si="178"/>
        <v>2.4551070404462537E-12</v>
      </c>
    </row>
    <row r="11411" spans="1:5" x14ac:dyDescent="0.25">
      <c r="A11411">
        <v>14</v>
      </c>
      <c r="B11411">
        <v>20</v>
      </c>
      <c r="C11411">
        <v>12</v>
      </c>
      <c r="D11411">
        <v>2</v>
      </c>
      <c r="E11411">
        <f t="shared" si="178"/>
        <v>1.441041088957583E-12</v>
      </c>
    </row>
    <row r="11412" spans="1:5" x14ac:dyDescent="0.25">
      <c r="A11412">
        <v>14</v>
      </c>
      <c r="B11412">
        <v>20</v>
      </c>
      <c r="C11412">
        <v>13</v>
      </c>
      <c r="D11412">
        <v>1</v>
      </c>
      <c r="E11412">
        <f t="shared" si="178"/>
        <v>4.8958447253046115E-13</v>
      </c>
    </row>
    <row r="11413" spans="1:5" x14ac:dyDescent="0.25">
      <c r="A11413">
        <v>14</v>
      </c>
      <c r="B11413">
        <v>20</v>
      </c>
      <c r="C11413">
        <v>14</v>
      </c>
      <c r="D11413">
        <v>0</v>
      </c>
      <c r="E11413">
        <f t="shared" si="178"/>
        <v>7.2738264490239943E-14</v>
      </c>
    </row>
    <row r="11414" spans="1:5" x14ac:dyDescent="0.25">
      <c r="A11414">
        <v>14</v>
      </c>
      <c r="B11414">
        <v>21</v>
      </c>
      <c r="C11414">
        <v>0</v>
      </c>
      <c r="D11414">
        <v>13</v>
      </c>
      <c r="E11414">
        <f t="shared" si="178"/>
        <v>7.9441505337958698E-20</v>
      </c>
    </row>
    <row r="11415" spans="1:5" x14ac:dyDescent="0.25">
      <c r="A11415">
        <v>14</v>
      </c>
      <c r="B11415">
        <v>21</v>
      </c>
      <c r="C11415">
        <v>1</v>
      </c>
      <c r="D11415">
        <v>12</v>
      </c>
      <c r="E11415">
        <f t="shared" si="178"/>
        <v>5.1636978469673168E-18</v>
      </c>
    </row>
    <row r="11416" spans="1:5" x14ac:dyDescent="0.25">
      <c r="A11416">
        <v>14</v>
      </c>
      <c r="B11416">
        <v>21</v>
      </c>
      <c r="C11416">
        <v>2</v>
      </c>
      <c r="D11416">
        <v>11</v>
      </c>
      <c r="E11416">
        <f t="shared" si="178"/>
        <v>1.4163285523110351E-16</v>
      </c>
    </row>
    <row r="11417" spans="1:5" x14ac:dyDescent="0.25">
      <c r="A11417">
        <v>14</v>
      </c>
      <c r="B11417">
        <v>21</v>
      </c>
      <c r="C11417">
        <v>3</v>
      </c>
      <c r="D11417">
        <v>10</v>
      </c>
      <c r="E11417">
        <f t="shared" si="178"/>
        <v>2.1811459705589934E-15</v>
      </c>
    </row>
    <row r="11418" spans="1:5" x14ac:dyDescent="0.25">
      <c r="A11418">
        <v>14</v>
      </c>
      <c r="B11418">
        <v>21</v>
      </c>
      <c r="C11418">
        <v>4</v>
      </c>
      <c r="D11418">
        <v>9</v>
      </c>
      <c r="E11418">
        <f t="shared" si="178"/>
        <v>2.1129851589790252E-14</v>
      </c>
    </row>
    <row r="11419" spans="1:5" x14ac:dyDescent="0.25">
      <c r="A11419">
        <v>14</v>
      </c>
      <c r="B11419">
        <v>21</v>
      </c>
      <c r="C11419">
        <v>5</v>
      </c>
      <c r="D11419">
        <v>8</v>
      </c>
      <c r="E11419">
        <f t="shared" si="178"/>
        <v>1.3647398262111588E-13</v>
      </c>
    </row>
    <row r="11420" spans="1:5" x14ac:dyDescent="0.25">
      <c r="A11420">
        <v>14</v>
      </c>
      <c r="B11420">
        <v>21</v>
      </c>
      <c r="C11420">
        <v>6</v>
      </c>
      <c r="D11420">
        <v>7</v>
      </c>
      <c r="E11420">
        <f t="shared" si="178"/>
        <v>6.0655103387162613E-13</v>
      </c>
    </row>
    <row r="11421" spans="1:5" x14ac:dyDescent="0.25">
      <c r="A11421">
        <v>14</v>
      </c>
      <c r="B11421">
        <v>21</v>
      </c>
      <c r="C11421">
        <v>7</v>
      </c>
      <c r="D11421">
        <v>6</v>
      </c>
      <c r="E11421">
        <f t="shared" si="178"/>
        <v>1.8835005788645225E-12</v>
      </c>
    </row>
    <row r="11422" spans="1:5" x14ac:dyDescent="0.25">
      <c r="A11422">
        <v>14</v>
      </c>
      <c r="B11422">
        <v>21</v>
      </c>
      <c r="C11422">
        <v>8</v>
      </c>
      <c r="D11422">
        <v>5</v>
      </c>
      <c r="E11422">
        <f t="shared" si="178"/>
        <v>4.096613759030338E-12</v>
      </c>
    </row>
    <row r="11423" spans="1:5" x14ac:dyDescent="0.25">
      <c r="A11423">
        <v>14</v>
      </c>
      <c r="B11423">
        <v>21</v>
      </c>
      <c r="C11423">
        <v>9</v>
      </c>
      <c r="D11423">
        <v>4</v>
      </c>
      <c r="E11423">
        <f t="shared" si="178"/>
        <v>6.1774334461568589E-12</v>
      </c>
    </row>
    <row r="11424" spans="1:5" x14ac:dyDescent="0.25">
      <c r="A11424">
        <v>14</v>
      </c>
      <c r="B11424">
        <v>21</v>
      </c>
      <c r="C11424">
        <v>10</v>
      </c>
      <c r="D11424">
        <v>3</v>
      </c>
      <c r="E11424">
        <f t="shared" si="178"/>
        <v>6.2897504179051658E-12</v>
      </c>
    </row>
    <row r="11425" spans="1:5" x14ac:dyDescent="0.25">
      <c r="A11425">
        <v>14</v>
      </c>
      <c r="B11425">
        <v>21</v>
      </c>
      <c r="C11425">
        <v>11</v>
      </c>
      <c r="D11425">
        <v>2</v>
      </c>
      <c r="E11425">
        <f t="shared" si="178"/>
        <v>4.1020111421120655E-12</v>
      </c>
    </row>
    <row r="11426" spans="1:5" x14ac:dyDescent="0.25">
      <c r="A11426">
        <v>14</v>
      </c>
      <c r="B11426">
        <v>21</v>
      </c>
      <c r="C11426">
        <v>12</v>
      </c>
      <c r="D11426">
        <v>1</v>
      </c>
      <c r="E11426">
        <f t="shared" si="178"/>
        <v>1.5382541782920234E-12</v>
      </c>
    </row>
    <row r="11427" spans="1:5" x14ac:dyDescent="0.25">
      <c r="A11427">
        <v>14</v>
      </c>
      <c r="B11427">
        <v>21</v>
      </c>
      <c r="C11427">
        <v>13</v>
      </c>
      <c r="D11427">
        <v>0</v>
      </c>
      <c r="E11427">
        <f t="shared" si="178"/>
        <v>2.5085375830608397E-13</v>
      </c>
    </row>
    <row r="11428" spans="1:5" x14ac:dyDescent="0.25">
      <c r="A11428">
        <v>14</v>
      </c>
      <c r="B11428">
        <v>22</v>
      </c>
      <c r="C11428">
        <v>0</v>
      </c>
      <c r="D11428">
        <v>12</v>
      </c>
      <c r="E11428">
        <f t="shared" si="178"/>
        <v>9.6774197411695155E-19</v>
      </c>
    </row>
    <row r="11429" spans="1:5" x14ac:dyDescent="0.25">
      <c r="A11429">
        <v>14</v>
      </c>
      <c r="B11429">
        <v>22</v>
      </c>
      <c r="C11429">
        <v>1</v>
      </c>
      <c r="D11429">
        <v>11</v>
      </c>
      <c r="E11429">
        <f t="shared" si="178"/>
        <v>5.3917052843658721E-17</v>
      </c>
    </row>
    <row r="11430" spans="1:5" x14ac:dyDescent="0.25">
      <c r="A11430">
        <v>14</v>
      </c>
      <c r="B11430">
        <v>22</v>
      </c>
      <c r="C11430">
        <v>2</v>
      </c>
      <c r="D11430">
        <v>10</v>
      </c>
      <c r="E11430">
        <f t="shared" si="178"/>
        <v>1.2652535067311911E-15</v>
      </c>
    </row>
    <row r="11431" spans="1:5" x14ac:dyDescent="0.25">
      <c r="A11431">
        <v>14</v>
      </c>
      <c r="B11431">
        <v>22</v>
      </c>
      <c r="C11431">
        <v>3</v>
      </c>
      <c r="D11431">
        <v>9</v>
      </c>
      <c r="E11431">
        <f t="shared" si="178"/>
        <v>1.6606452275846883E-14</v>
      </c>
    </row>
    <row r="11432" spans="1:5" x14ac:dyDescent="0.25">
      <c r="A11432">
        <v>14</v>
      </c>
      <c r="B11432">
        <v>22</v>
      </c>
      <c r="C11432">
        <v>4</v>
      </c>
      <c r="D11432">
        <v>8</v>
      </c>
      <c r="E11432">
        <f t="shared" si="178"/>
        <v>1.3627059367533178E-13</v>
      </c>
    </row>
    <row r="11433" spans="1:5" x14ac:dyDescent="0.25">
      <c r="A11433">
        <v>14</v>
      </c>
      <c r="B11433">
        <v>22</v>
      </c>
      <c r="C11433">
        <v>5</v>
      </c>
      <c r="D11433">
        <v>7</v>
      </c>
      <c r="E11433">
        <f t="shared" si="178"/>
        <v>7.388894412617994E-13</v>
      </c>
    </row>
    <row r="11434" spans="1:5" x14ac:dyDescent="0.25">
      <c r="A11434">
        <v>14</v>
      </c>
      <c r="B11434">
        <v>22</v>
      </c>
      <c r="C11434">
        <v>6</v>
      </c>
      <c r="D11434">
        <v>6</v>
      </c>
      <c r="E11434">
        <f t="shared" si="178"/>
        <v>2.7222242572803115E-12</v>
      </c>
    </row>
    <row r="11435" spans="1:5" x14ac:dyDescent="0.25">
      <c r="A11435">
        <v>14</v>
      </c>
      <c r="B11435">
        <v>22</v>
      </c>
      <c r="C11435">
        <v>7</v>
      </c>
      <c r="D11435">
        <v>5</v>
      </c>
      <c r="E11435">
        <f t="shared" si="178"/>
        <v>6.883338479123074E-12</v>
      </c>
    </row>
    <row r="11436" spans="1:5" x14ac:dyDescent="0.25">
      <c r="A11436">
        <v>14</v>
      </c>
      <c r="B11436">
        <v>22</v>
      </c>
      <c r="C11436">
        <v>8</v>
      </c>
      <c r="D11436">
        <v>4</v>
      </c>
      <c r="E11436">
        <f t="shared" si="178"/>
        <v>1.1881953327057694E-11</v>
      </c>
    </row>
    <row r="11437" spans="1:5" x14ac:dyDescent="0.25">
      <c r="A11437">
        <v>14</v>
      </c>
      <c r="B11437">
        <v>22</v>
      </c>
      <c r="C11437">
        <v>9</v>
      </c>
      <c r="D11437">
        <v>3</v>
      </c>
      <c r="E11437">
        <f t="shared" si="178"/>
        <v>1.3682249285702793E-11</v>
      </c>
    </row>
    <row r="11438" spans="1:5" x14ac:dyDescent="0.25">
      <c r="A11438">
        <v>14</v>
      </c>
      <c r="B11438">
        <v>22</v>
      </c>
      <c r="C11438">
        <v>10</v>
      </c>
      <c r="D11438">
        <v>2</v>
      </c>
      <c r="E11438">
        <f t="shared" si="178"/>
        <v>9.9939907826003018E-12</v>
      </c>
    </row>
    <row r="11439" spans="1:5" x14ac:dyDescent="0.25">
      <c r="A11439">
        <v>14</v>
      </c>
      <c r="B11439">
        <v>22</v>
      </c>
      <c r="C11439">
        <v>11</v>
      </c>
      <c r="D11439">
        <v>1</v>
      </c>
      <c r="E11439">
        <f t="shared" si="178"/>
        <v>4.1641628260834603E-12</v>
      </c>
    </row>
    <row r="11440" spans="1:5" x14ac:dyDescent="0.25">
      <c r="A11440">
        <v>14</v>
      </c>
      <c r="B11440">
        <v>22</v>
      </c>
      <c r="C11440">
        <v>12</v>
      </c>
      <c r="D11440">
        <v>0</v>
      </c>
      <c r="E11440">
        <f t="shared" si="178"/>
        <v>7.4954930869502237E-13</v>
      </c>
    </row>
    <row r="11441" spans="1:5" x14ac:dyDescent="0.25">
      <c r="A11441">
        <v>14</v>
      </c>
      <c r="B11441">
        <v>23</v>
      </c>
      <c r="C11441">
        <v>0</v>
      </c>
      <c r="D11441">
        <v>11</v>
      </c>
      <c r="E11441">
        <f t="shared" si="178"/>
        <v>9.6293331834494103E-18</v>
      </c>
    </row>
    <row r="11442" spans="1:5" x14ac:dyDescent="0.25">
      <c r="A11442">
        <v>14</v>
      </c>
      <c r="B11442">
        <v>23</v>
      </c>
      <c r="C11442">
        <v>1</v>
      </c>
      <c r="D11442">
        <v>10</v>
      </c>
      <c r="E11442">
        <f t="shared" si="178"/>
        <v>4.5899821507775515E-16</v>
      </c>
    </row>
    <row r="11443" spans="1:5" x14ac:dyDescent="0.25">
      <c r="A11443">
        <v>14</v>
      </c>
      <c r="B11443">
        <v>23</v>
      </c>
      <c r="C11443">
        <v>2</v>
      </c>
      <c r="D11443">
        <v>9</v>
      </c>
      <c r="E11443">
        <f t="shared" si="178"/>
        <v>9.1799643015551038E-15</v>
      </c>
    </row>
    <row r="11444" spans="1:5" x14ac:dyDescent="0.25">
      <c r="A11444">
        <v>14</v>
      </c>
      <c r="B11444">
        <v>23</v>
      </c>
      <c r="C11444">
        <v>3</v>
      </c>
      <c r="D11444">
        <v>8</v>
      </c>
      <c r="E11444">
        <f t="shared" si="178"/>
        <v>1.020596031172891E-13</v>
      </c>
    </row>
    <row r="11445" spans="1:5" x14ac:dyDescent="0.25">
      <c r="A11445">
        <v>14</v>
      </c>
      <c r="B11445">
        <v>23</v>
      </c>
      <c r="C11445">
        <v>4</v>
      </c>
      <c r="D11445">
        <v>7</v>
      </c>
      <c r="E11445">
        <f t="shared" si="178"/>
        <v>7.030772659191028E-13</v>
      </c>
    </row>
    <row r="11446" spans="1:5" x14ac:dyDescent="0.25">
      <c r="A11446">
        <v>14</v>
      </c>
      <c r="B11446">
        <v>23</v>
      </c>
      <c r="C11446">
        <v>5</v>
      </c>
      <c r="D11446">
        <v>6</v>
      </c>
      <c r="E11446">
        <f t="shared" si="178"/>
        <v>3.1601472899732297E-12</v>
      </c>
    </row>
    <row r="11447" spans="1:5" x14ac:dyDescent="0.25">
      <c r="A11447">
        <v>14</v>
      </c>
      <c r="B11447">
        <v>23</v>
      </c>
      <c r="C11447">
        <v>6</v>
      </c>
      <c r="D11447">
        <v>5</v>
      </c>
      <c r="E11447">
        <f t="shared" si="178"/>
        <v>9.4804418699196891E-12</v>
      </c>
    </row>
    <row r="11448" spans="1:5" x14ac:dyDescent="0.25">
      <c r="A11448">
        <v>14</v>
      </c>
      <c r="B11448">
        <v>23</v>
      </c>
      <c r="C11448">
        <v>7</v>
      </c>
      <c r="D11448">
        <v>4</v>
      </c>
      <c r="E11448">
        <f t="shared" si="178"/>
        <v>1.902537654167557E-11</v>
      </c>
    </row>
    <row r="11449" spans="1:5" x14ac:dyDescent="0.25">
      <c r="A11449">
        <v>14</v>
      </c>
      <c r="B11449">
        <v>23</v>
      </c>
      <c r="C11449">
        <v>8</v>
      </c>
      <c r="D11449">
        <v>3</v>
      </c>
      <c r="E11449">
        <f t="shared" si="178"/>
        <v>2.5078905441299619E-11</v>
      </c>
    </row>
    <row r="11450" spans="1:5" x14ac:dyDescent="0.25">
      <c r="A11450">
        <v>14</v>
      </c>
      <c r="B11450">
        <v>23</v>
      </c>
      <c r="C11450">
        <v>9</v>
      </c>
      <c r="D11450">
        <v>2</v>
      </c>
      <c r="E11450">
        <f t="shared" si="178"/>
        <v>2.0717356668899683E-11</v>
      </c>
    </row>
    <row r="11451" spans="1:5" x14ac:dyDescent="0.25">
      <c r="A11451">
        <v>14</v>
      </c>
      <c r="B11451">
        <v>23</v>
      </c>
      <c r="C11451">
        <v>10</v>
      </c>
      <c r="D11451">
        <v>1</v>
      </c>
      <c r="E11451">
        <f t="shared" si="178"/>
        <v>9.6680997788198521E-12</v>
      </c>
    </row>
    <row r="11452" spans="1:5" x14ac:dyDescent="0.25">
      <c r="A11452">
        <v>14</v>
      </c>
      <c r="B11452">
        <v>23</v>
      </c>
      <c r="C11452">
        <v>11</v>
      </c>
      <c r="D11452">
        <v>0</v>
      </c>
      <c r="E11452">
        <f t="shared" si="178"/>
        <v>1.9336199557639706E-12</v>
      </c>
    </row>
    <row r="11453" spans="1:5" x14ac:dyDescent="0.25">
      <c r="A11453">
        <v>14</v>
      </c>
      <c r="B11453">
        <v>24</v>
      </c>
      <c r="C11453">
        <v>0</v>
      </c>
      <c r="D11453">
        <v>10</v>
      </c>
      <c r="E11453">
        <f t="shared" si="178"/>
        <v>7.826508026325829E-17</v>
      </c>
    </row>
    <row r="11454" spans="1:5" x14ac:dyDescent="0.25">
      <c r="A11454">
        <v>14</v>
      </c>
      <c r="B11454">
        <v>24</v>
      </c>
      <c r="C11454">
        <v>1</v>
      </c>
      <c r="D11454">
        <v>9</v>
      </c>
      <c r="E11454">
        <f t="shared" si="178"/>
        <v>3.1795188856948684E-15</v>
      </c>
    </row>
    <row r="11455" spans="1:5" x14ac:dyDescent="0.25">
      <c r="A11455">
        <v>14</v>
      </c>
      <c r="B11455">
        <v>24</v>
      </c>
      <c r="C11455">
        <v>2</v>
      </c>
      <c r="D11455">
        <v>8</v>
      </c>
      <c r="E11455">
        <f t="shared" si="178"/>
        <v>5.3864790534124838E-14</v>
      </c>
    </row>
    <row r="11456" spans="1:5" x14ac:dyDescent="0.25">
      <c r="A11456">
        <v>14</v>
      </c>
      <c r="B11456">
        <v>24</v>
      </c>
      <c r="C11456">
        <v>3</v>
      </c>
      <c r="D11456">
        <v>7</v>
      </c>
      <c r="E11456">
        <f t="shared" si="178"/>
        <v>5.0273804498516525E-13</v>
      </c>
    </row>
    <row r="11457" spans="1:5" x14ac:dyDescent="0.25">
      <c r="A11457">
        <v>14</v>
      </c>
      <c r="B11457">
        <v>24</v>
      </c>
      <c r="C11457">
        <v>4</v>
      </c>
      <c r="D11457">
        <v>6</v>
      </c>
      <c r="E11457">
        <f t="shared" si="178"/>
        <v>2.8708988358363374E-12</v>
      </c>
    </row>
    <row r="11458" spans="1:5" x14ac:dyDescent="0.25">
      <c r="A11458">
        <v>14</v>
      </c>
      <c r="B11458">
        <v>24</v>
      </c>
      <c r="C11458">
        <v>5</v>
      </c>
      <c r="D11458">
        <v>5</v>
      </c>
      <c r="E11458">
        <f t="shared" si="178"/>
        <v>1.0507489739160996E-11</v>
      </c>
    </row>
    <row r="11459" spans="1:5" x14ac:dyDescent="0.25">
      <c r="A11459">
        <v>14</v>
      </c>
      <c r="B11459">
        <v>24</v>
      </c>
      <c r="C11459">
        <v>6</v>
      </c>
      <c r="D11459">
        <v>4</v>
      </c>
      <c r="E11459">
        <f t="shared" si="178"/>
        <v>2.5017832712288088E-11</v>
      </c>
    </row>
    <row r="11460" spans="1:5" x14ac:dyDescent="0.25">
      <c r="A11460">
        <v>14</v>
      </c>
      <c r="B11460">
        <v>24</v>
      </c>
      <c r="C11460">
        <v>7</v>
      </c>
      <c r="D11460">
        <v>3</v>
      </c>
      <c r="E11460">
        <f t="shared" si="178"/>
        <v>3.8339016364285638E-11</v>
      </c>
    </row>
    <row r="11461" spans="1:5" x14ac:dyDescent="0.25">
      <c r="A11461">
        <v>14</v>
      </c>
      <c r="B11461">
        <v>24</v>
      </c>
      <c r="C11461">
        <v>8</v>
      </c>
      <c r="D11461">
        <v>2</v>
      </c>
      <c r="E11461">
        <f t="shared" si="178"/>
        <v>3.6255374170574476E-11</v>
      </c>
    </row>
    <row r="11462" spans="1:5" x14ac:dyDescent="0.25">
      <c r="A11462">
        <v>14</v>
      </c>
      <c r="B11462">
        <v>24</v>
      </c>
      <c r="C11462">
        <v>9</v>
      </c>
      <c r="D11462">
        <v>1</v>
      </c>
      <c r="E11462">
        <f t="shared" si="178"/>
        <v>1.913478081224763E-11</v>
      </c>
    </row>
    <row r="11463" spans="1:5" x14ac:dyDescent="0.25">
      <c r="A11463">
        <v>14</v>
      </c>
      <c r="B11463">
        <v>24</v>
      </c>
      <c r="C11463">
        <v>10</v>
      </c>
      <c r="D11463">
        <v>0</v>
      </c>
      <c r="E11463">
        <f t="shared" si="178"/>
        <v>4.2861909019434702E-12</v>
      </c>
    </row>
    <row r="11464" spans="1:5" x14ac:dyDescent="0.25">
      <c r="A11464">
        <v>14</v>
      </c>
      <c r="B11464">
        <v>25</v>
      </c>
      <c r="C11464">
        <v>0</v>
      </c>
      <c r="D11464">
        <v>9</v>
      </c>
      <c r="E11464">
        <f t="shared" si="178"/>
        <v>5.1850615674408648E-16</v>
      </c>
    </row>
    <row r="11465" spans="1:5" x14ac:dyDescent="0.25">
      <c r="A11465">
        <v>14</v>
      </c>
      <c r="B11465">
        <v>25</v>
      </c>
      <c r="C11465">
        <v>1</v>
      </c>
      <c r="D11465">
        <v>8</v>
      </c>
      <c r="E11465">
        <f t="shared" si="178"/>
        <v>1.7842711864428858E-14</v>
      </c>
    </row>
    <row r="11466" spans="1:5" x14ac:dyDescent="0.25">
      <c r="A11466">
        <v>14</v>
      </c>
      <c r="B11466">
        <v>25</v>
      </c>
      <c r="C11466">
        <v>2</v>
      </c>
      <c r="D11466">
        <v>7</v>
      </c>
      <c r="E11466">
        <f t="shared" si="178"/>
        <v>2.5376301318298824E-13</v>
      </c>
    </row>
    <row r="11467" spans="1:5" x14ac:dyDescent="0.25">
      <c r="A11467">
        <v>14</v>
      </c>
      <c r="B11467">
        <v>25</v>
      </c>
      <c r="C11467">
        <v>3</v>
      </c>
      <c r="D11467">
        <v>6</v>
      </c>
      <c r="E11467">
        <f t="shared" si="178"/>
        <v>1.9633243651525924E-12</v>
      </c>
    </row>
    <row r="11468" spans="1:5" x14ac:dyDescent="0.25">
      <c r="A11468">
        <v>14</v>
      </c>
      <c r="B11468">
        <v>25</v>
      </c>
      <c r="C11468">
        <v>4</v>
      </c>
      <c r="D11468">
        <v>5</v>
      </c>
      <c r="E11468">
        <f t="shared" si="178"/>
        <v>9.1294582979595562E-12</v>
      </c>
    </row>
    <row r="11469" spans="1:5" x14ac:dyDescent="0.25">
      <c r="A11469">
        <v>14</v>
      </c>
      <c r="B11469">
        <v>25</v>
      </c>
      <c r="C11469">
        <v>5</v>
      </c>
      <c r="D11469">
        <v>4</v>
      </c>
      <c r="E11469">
        <f t="shared" si="178"/>
        <v>2.6518902675025387E-11</v>
      </c>
    </row>
    <row r="11470" spans="1:5" x14ac:dyDescent="0.25">
      <c r="A11470">
        <v>14</v>
      </c>
      <c r="B11470">
        <v>25</v>
      </c>
      <c r="C11470">
        <v>6</v>
      </c>
      <c r="D11470">
        <v>3</v>
      </c>
      <c r="E11470">
        <f t="shared" ref="E11470:E11533" si="179">COMBIN(A$4,A11470)*COMBIN(B$4,B11470)*COMBIN(C$4,C11470)*COMBIN(D$4,D11470)/COMBIN($G$4,$F$4)</f>
        <v>4.8216186681864325E-11</v>
      </c>
    </row>
    <row r="11471" spans="1:5" x14ac:dyDescent="0.25">
      <c r="A11471">
        <v>14</v>
      </c>
      <c r="B11471">
        <v>25</v>
      </c>
      <c r="C11471">
        <v>7</v>
      </c>
      <c r="D11471">
        <v>2</v>
      </c>
      <c r="E11471">
        <f t="shared" si="179"/>
        <v>5.3007857408012334E-11</v>
      </c>
    </row>
    <row r="11472" spans="1:5" x14ac:dyDescent="0.25">
      <c r="A11472">
        <v>14</v>
      </c>
      <c r="B11472">
        <v>25</v>
      </c>
      <c r="C11472">
        <v>8</v>
      </c>
      <c r="D11472">
        <v>1</v>
      </c>
      <c r="E11472">
        <f t="shared" si="179"/>
        <v>3.2025580517340791E-11</v>
      </c>
    </row>
    <row r="11473" spans="1:5" x14ac:dyDescent="0.25">
      <c r="A11473">
        <v>14</v>
      </c>
      <c r="B11473">
        <v>25</v>
      </c>
      <c r="C11473">
        <v>9</v>
      </c>
      <c r="D11473">
        <v>0</v>
      </c>
      <c r="E11473">
        <f t="shared" si="179"/>
        <v>8.1131470643929983E-12</v>
      </c>
    </row>
    <row r="11474" spans="1:5" x14ac:dyDescent="0.25">
      <c r="A11474">
        <v>14</v>
      </c>
      <c r="B11474">
        <v>26</v>
      </c>
      <c r="C11474">
        <v>0</v>
      </c>
      <c r="D11474">
        <v>8</v>
      </c>
      <c r="E11474">
        <f t="shared" si="179"/>
        <v>2.7872638652125534E-15</v>
      </c>
    </row>
    <row r="11475" spans="1:5" x14ac:dyDescent="0.25">
      <c r="A11475">
        <v>14</v>
      </c>
      <c r="B11475">
        <v>26</v>
      </c>
      <c r="C11475">
        <v>1</v>
      </c>
      <c r="D11475">
        <v>7</v>
      </c>
      <c r="E11475">
        <f t="shared" si="179"/>
        <v>8.0520956106140451E-14</v>
      </c>
    </row>
    <row r="11476" spans="1:5" x14ac:dyDescent="0.25">
      <c r="A11476">
        <v>14</v>
      </c>
      <c r="B11476">
        <v>26</v>
      </c>
      <c r="C11476">
        <v>2</v>
      </c>
      <c r="D11476">
        <v>6</v>
      </c>
      <c r="E11476">
        <f t="shared" si="179"/>
        <v>9.4929969304081322E-13</v>
      </c>
    </row>
    <row r="11477" spans="1:5" x14ac:dyDescent="0.25">
      <c r="A11477">
        <v>14</v>
      </c>
      <c r="B11477">
        <v>26</v>
      </c>
      <c r="C11477">
        <v>3</v>
      </c>
      <c r="D11477">
        <v>5</v>
      </c>
      <c r="E11477">
        <f t="shared" si="179"/>
        <v>5.9805880661571244E-12</v>
      </c>
    </row>
    <row r="11478" spans="1:5" x14ac:dyDescent="0.25">
      <c r="A11478">
        <v>14</v>
      </c>
      <c r="B11478">
        <v>26</v>
      </c>
      <c r="C11478">
        <v>4</v>
      </c>
      <c r="D11478">
        <v>4</v>
      </c>
      <c r="E11478">
        <f t="shared" si="179"/>
        <v>2.2071217863198915E-11</v>
      </c>
    </row>
    <row r="11479" spans="1:5" x14ac:dyDescent="0.25">
      <c r="A11479">
        <v>14</v>
      </c>
      <c r="B11479">
        <v>26</v>
      </c>
      <c r="C11479">
        <v>5</v>
      </c>
      <c r="D11479">
        <v>3</v>
      </c>
      <c r="E11479">
        <f t="shared" si="179"/>
        <v>4.8957974169277593E-11</v>
      </c>
    </row>
    <row r="11480" spans="1:5" x14ac:dyDescent="0.25">
      <c r="A11480">
        <v>14</v>
      </c>
      <c r="B11480">
        <v>26</v>
      </c>
      <c r="C11480">
        <v>6</v>
      </c>
      <c r="D11480">
        <v>2</v>
      </c>
      <c r="E11480">
        <f t="shared" si="179"/>
        <v>6.3858227177318602E-11</v>
      </c>
    </row>
    <row r="11481" spans="1:5" x14ac:dyDescent="0.25">
      <c r="A11481">
        <v>14</v>
      </c>
      <c r="B11481">
        <v>26</v>
      </c>
      <c r="C11481">
        <v>7</v>
      </c>
      <c r="D11481">
        <v>1</v>
      </c>
      <c r="E11481">
        <f t="shared" si="179"/>
        <v>4.4852802422164254E-11</v>
      </c>
    </row>
    <row r="11482" spans="1:5" x14ac:dyDescent="0.25">
      <c r="A11482">
        <v>14</v>
      </c>
      <c r="B11482">
        <v>26</v>
      </c>
      <c r="C11482">
        <v>8</v>
      </c>
      <c r="D11482">
        <v>0</v>
      </c>
      <c r="E11482">
        <f t="shared" si="179"/>
        <v>1.3007312702427635E-11</v>
      </c>
    </row>
    <row r="11483" spans="1:5" x14ac:dyDescent="0.25">
      <c r="A11483">
        <v>14</v>
      </c>
      <c r="B11483">
        <v>27</v>
      </c>
      <c r="C11483">
        <v>0</v>
      </c>
      <c r="D11483">
        <v>7</v>
      </c>
      <c r="E11483">
        <f t="shared" si="179"/>
        <v>1.2066673194253524E-14</v>
      </c>
    </row>
    <row r="11484" spans="1:5" x14ac:dyDescent="0.25">
      <c r="A11484">
        <v>14</v>
      </c>
      <c r="B11484">
        <v>27</v>
      </c>
      <c r="C11484">
        <v>1</v>
      </c>
      <c r="D11484">
        <v>6</v>
      </c>
      <c r="E11484">
        <f t="shared" si="179"/>
        <v>2.8896506859922898E-13</v>
      </c>
    </row>
    <row r="11485" spans="1:5" x14ac:dyDescent="0.25">
      <c r="A11485">
        <v>14</v>
      </c>
      <c r="B11485">
        <v>27</v>
      </c>
      <c r="C11485">
        <v>2</v>
      </c>
      <c r="D11485">
        <v>5</v>
      </c>
      <c r="E11485">
        <f t="shared" si="179"/>
        <v>2.7740646585525983E-12</v>
      </c>
    </row>
    <row r="11486" spans="1:5" x14ac:dyDescent="0.25">
      <c r="A11486">
        <v>14</v>
      </c>
      <c r="B11486">
        <v>27</v>
      </c>
      <c r="C11486">
        <v>3</v>
      </c>
      <c r="D11486">
        <v>4</v>
      </c>
      <c r="E11486">
        <f t="shared" si="179"/>
        <v>1.3870323292762997E-11</v>
      </c>
    </row>
    <row r="11487" spans="1:5" x14ac:dyDescent="0.25">
      <c r="A11487">
        <v>14</v>
      </c>
      <c r="B11487">
        <v>27</v>
      </c>
      <c r="C11487">
        <v>4</v>
      </c>
      <c r="D11487">
        <v>3</v>
      </c>
      <c r="E11487">
        <f t="shared" si="179"/>
        <v>3.9089092915968438E-11</v>
      </c>
    </row>
    <row r="11488" spans="1:5" x14ac:dyDescent="0.25">
      <c r="A11488">
        <v>14</v>
      </c>
      <c r="B11488">
        <v>27</v>
      </c>
      <c r="C11488">
        <v>5</v>
      </c>
      <c r="D11488">
        <v>2</v>
      </c>
      <c r="E11488">
        <f t="shared" si="179"/>
        <v>6.2202643509758476E-11</v>
      </c>
    </row>
    <row r="11489" spans="1:5" x14ac:dyDescent="0.25">
      <c r="A11489">
        <v>14</v>
      </c>
      <c r="B11489">
        <v>27</v>
      </c>
      <c r="C11489">
        <v>6</v>
      </c>
      <c r="D11489">
        <v>1</v>
      </c>
      <c r="E11489">
        <f t="shared" si="179"/>
        <v>5.1835536258132057E-11</v>
      </c>
    </row>
    <row r="11490" spans="1:5" x14ac:dyDescent="0.25">
      <c r="A11490">
        <v>14</v>
      </c>
      <c r="B11490">
        <v>27</v>
      </c>
      <c r="C11490">
        <v>7</v>
      </c>
      <c r="D11490">
        <v>0</v>
      </c>
      <c r="E11490">
        <f t="shared" si="179"/>
        <v>1.7475980795598808E-11</v>
      </c>
    </row>
    <row r="11491" spans="1:5" x14ac:dyDescent="0.25">
      <c r="A11491">
        <v>14</v>
      </c>
      <c r="B11491">
        <v>28</v>
      </c>
      <c r="C11491">
        <v>0</v>
      </c>
      <c r="D11491">
        <v>6</v>
      </c>
      <c r="E11491">
        <f t="shared" si="179"/>
        <v>4.1598268117031911E-14</v>
      </c>
    </row>
    <row r="11492" spans="1:5" x14ac:dyDescent="0.25">
      <c r="A11492">
        <v>14</v>
      </c>
      <c r="B11492">
        <v>28</v>
      </c>
      <c r="C11492">
        <v>1</v>
      </c>
      <c r="D11492">
        <v>5</v>
      </c>
      <c r="E11492">
        <f t="shared" si="179"/>
        <v>8.1116622828212222E-13</v>
      </c>
    </row>
    <row r="11493" spans="1:5" x14ac:dyDescent="0.25">
      <c r="A11493">
        <v>14</v>
      </c>
      <c r="B11493">
        <v>28</v>
      </c>
      <c r="C11493">
        <v>2</v>
      </c>
      <c r="D11493">
        <v>4</v>
      </c>
      <c r="E11493">
        <f t="shared" si="179"/>
        <v>6.1803141202447425E-12</v>
      </c>
    </row>
    <row r="11494" spans="1:5" x14ac:dyDescent="0.25">
      <c r="A11494">
        <v>14</v>
      </c>
      <c r="B11494">
        <v>28</v>
      </c>
      <c r="C11494">
        <v>3</v>
      </c>
      <c r="D11494">
        <v>3</v>
      </c>
      <c r="E11494">
        <f t="shared" si="179"/>
        <v>2.3597563004570832E-11</v>
      </c>
    </row>
    <row r="11495" spans="1:5" x14ac:dyDescent="0.25">
      <c r="A11495">
        <v>14</v>
      </c>
      <c r="B11495">
        <v>28</v>
      </c>
      <c r="C11495">
        <v>4</v>
      </c>
      <c r="D11495">
        <v>2</v>
      </c>
      <c r="E11495">
        <f t="shared" si="179"/>
        <v>4.7708116509241027E-11</v>
      </c>
    </row>
    <row r="11496" spans="1:5" x14ac:dyDescent="0.25">
      <c r="A11496">
        <v>14</v>
      </c>
      <c r="B11496">
        <v>28</v>
      </c>
      <c r="C11496">
        <v>5</v>
      </c>
      <c r="D11496">
        <v>1</v>
      </c>
      <c r="E11496">
        <f t="shared" si="179"/>
        <v>4.8503251784395047E-11</v>
      </c>
    </row>
    <row r="11497" spans="1:5" x14ac:dyDescent="0.25">
      <c r="A11497">
        <v>14</v>
      </c>
      <c r="B11497">
        <v>28</v>
      </c>
      <c r="C11497">
        <v>6</v>
      </c>
      <c r="D11497">
        <v>0</v>
      </c>
      <c r="E11497">
        <f t="shared" si="179"/>
        <v>1.9401300713758017E-11</v>
      </c>
    </row>
    <row r="11498" spans="1:5" x14ac:dyDescent="0.25">
      <c r="A11498">
        <v>14</v>
      </c>
      <c r="B11498">
        <v>29</v>
      </c>
      <c r="C11498">
        <v>0</v>
      </c>
      <c r="D11498">
        <v>5</v>
      </c>
      <c r="E11498">
        <f t="shared" si="179"/>
        <v>1.1231532391598604E-13</v>
      </c>
    </row>
    <row r="11499" spans="1:5" x14ac:dyDescent="0.25">
      <c r="A11499">
        <v>14</v>
      </c>
      <c r="B11499">
        <v>29</v>
      </c>
      <c r="C11499">
        <v>1</v>
      </c>
      <c r="D11499">
        <v>4</v>
      </c>
      <c r="E11499">
        <f t="shared" si="179"/>
        <v>1.7382133463188316E-12</v>
      </c>
    </row>
    <row r="11500" spans="1:5" x14ac:dyDescent="0.25">
      <c r="A11500">
        <v>14</v>
      </c>
      <c r="B11500">
        <v>29</v>
      </c>
      <c r="C11500">
        <v>2</v>
      </c>
      <c r="D11500">
        <v>3</v>
      </c>
      <c r="E11500">
        <f t="shared" si="179"/>
        <v>1.0113241287673201E-11</v>
      </c>
    </row>
    <row r="11501" spans="1:5" x14ac:dyDescent="0.25">
      <c r="A11501">
        <v>14</v>
      </c>
      <c r="B11501">
        <v>29</v>
      </c>
      <c r="C11501">
        <v>3</v>
      </c>
      <c r="D11501">
        <v>2</v>
      </c>
      <c r="E11501">
        <f t="shared" si="179"/>
        <v>2.7701487005365731E-11</v>
      </c>
    </row>
    <row r="11502" spans="1:5" x14ac:dyDescent="0.25">
      <c r="A11502">
        <v>14</v>
      </c>
      <c r="B11502">
        <v>29</v>
      </c>
      <c r="C11502">
        <v>4</v>
      </c>
      <c r="D11502">
        <v>1</v>
      </c>
      <c r="E11502">
        <f t="shared" si="179"/>
        <v>3.5781087381930736E-11</v>
      </c>
    </row>
    <row r="11503" spans="1:5" x14ac:dyDescent="0.25">
      <c r="A11503">
        <v>14</v>
      </c>
      <c r="B11503">
        <v>29</v>
      </c>
      <c r="C11503">
        <v>5</v>
      </c>
      <c r="D11503">
        <v>0</v>
      </c>
      <c r="E11503">
        <f t="shared" si="179"/>
        <v>1.7461170642382199E-11</v>
      </c>
    </row>
    <row r="11504" spans="1:5" x14ac:dyDescent="0.25">
      <c r="A11504">
        <v>14</v>
      </c>
      <c r="B11504">
        <v>30</v>
      </c>
      <c r="C11504">
        <v>0</v>
      </c>
      <c r="D11504">
        <v>4</v>
      </c>
      <c r="E11504">
        <f t="shared" si="179"/>
        <v>2.3176177950917758E-13</v>
      </c>
    </row>
    <row r="11505" spans="1:5" x14ac:dyDescent="0.25">
      <c r="A11505">
        <v>14</v>
      </c>
      <c r="B11505">
        <v>30</v>
      </c>
      <c r="C11505">
        <v>1</v>
      </c>
      <c r="D11505">
        <v>3</v>
      </c>
      <c r="E11505">
        <f t="shared" si="179"/>
        <v>2.7390028487448253E-12</v>
      </c>
    </row>
    <row r="11506" spans="1:5" x14ac:dyDescent="0.25">
      <c r="A11506">
        <v>14</v>
      </c>
      <c r="B11506">
        <v>30</v>
      </c>
      <c r="C11506">
        <v>2</v>
      </c>
      <c r="D11506">
        <v>2</v>
      </c>
      <c r="E11506">
        <f t="shared" si="179"/>
        <v>1.1432359716500141E-11</v>
      </c>
    </row>
    <row r="11507" spans="1:5" x14ac:dyDescent="0.25">
      <c r="A11507">
        <v>14</v>
      </c>
      <c r="B11507">
        <v>30</v>
      </c>
      <c r="C11507">
        <v>3</v>
      </c>
      <c r="D11507">
        <v>1</v>
      </c>
      <c r="E11507">
        <f t="shared" si="179"/>
        <v>2.0006629503875248E-11</v>
      </c>
    </row>
    <row r="11508" spans="1:5" x14ac:dyDescent="0.25">
      <c r="A11508">
        <v>14</v>
      </c>
      <c r="B11508">
        <v>30</v>
      </c>
      <c r="C11508">
        <v>4</v>
      </c>
      <c r="D11508">
        <v>0</v>
      </c>
      <c r="E11508">
        <f t="shared" si="179"/>
        <v>1.2404110292402651E-11</v>
      </c>
    </row>
    <row r="11509" spans="1:5" x14ac:dyDescent="0.25">
      <c r="A11509">
        <v>14</v>
      </c>
      <c r="B11509">
        <v>31</v>
      </c>
      <c r="C11509">
        <v>0</v>
      </c>
      <c r="D11509">
        <v>3</v>
      </c>
      <c r="E11509">
        <f t="shared" si="179"/>
        <v>3.5206041579400026E-13</v>
      </c>
    </row>
    <row r="11510" spans="1:5" x14ac:dyDescent="0.25">
      <c r="A11510">
        <v>14</v>
      </c>
      <c r="B11510">
        <v>31</v>
      </c>
      <c r="C11510">
        <v>1</v>
      </c>
      <c r="D11510">
        <v>2</v>
      </c>
      <c r="E11510">
        <f t="shared" si="179"/>
        <v>2.9848600469491324E-12</v>
      </c>
    </row>
    <row r="11511" spans="1:5" x14ac:dyDescent="0.25">
      <c r="A11511">
        <v>14</v>
      </c>
      <c r="B11511">
        <v>31</v>
      </c>
      <c r="C11511">
        <v>2</v>
      </c>
      <c r="D11511">
        <v>1</v>
      </c>
      <c r="E11511">
        <f t="shared" si="179"/>
        <v>7.9596267918643542E-12</v>
      </c>
    </row>
    <row r="11512" spans="1:5" x14ac:dyDescent="0.25">
      <c r="A11512">
        <v>14</v>
      </c>
      <c r="B11512">
        <v>31</v>
      </c>
      <c r="C11512">
        <v>3</v>
      </c>
      <c r="D11512">
        <v>0</v>
      </c>
      <c r="E11512">
        <f t="shared" si="179"/>
        <v>6.6860865051660574E-12</v>
      </c>
    </row>
    <row r="11513" spans="1:5" x14ac:dyDescent="0.25">
      <c r="A11513">
        <v>14</v>
      </c>
      <c r="B11513">
        <v>32</v>
      </c>
      <c r="C11513">
        <v>0</v>
      </c>
      <c r="D11513">
        <v>2</v>
      </c>
      <c r="E11513">
        <f t="shared" si="179"/>
        <v>3.7023744813119017E-13</v>
      </c>
    </row>
    <row r="11514" spans="1:5" x14ac:dyDescent="0.25">
      <c r="A11514">
        <v>14</v>
      </c>
      <c r="B11514">
        <v>32</v>
      </c>
      <c r="C11514">
        <v>1</v>
      </c>
      <c r="D11514">
        <v>1</v>
      </c>
      <c r="E11514">
        <f t="shared" si="179"/>
        <v>2.0054528440439467E-12</v>
      </c>
    </row>
    <row r="11515" spans="1:5" x14ac:dyDescent="0.25">
      <c r="A11515">
        <v>14</v>
      </c>
      <c r="B11515">
        <v>32</v>
      </c>
      <c r="C11515">
        <v>2</v>
      </c>
      <c r="D11515">
        <v>0</v>
      </c>
      <c r="E11515">
        <f t="shared" si="179"/>
        <v>2.5669796403762518E-12</v>
      </c>
    </row>
    <row r="11516" spans="1:5" x14ac:dyDescent="0.25">
      <c r="A11516">
        <v>14</v>
      </c>
      <c r="B11516">
        <v>33</v>
      </c>
      <c r="C11516">
        <v>0</v>
      </c>
      <c r="D11516">
        <v>1</v>
      </c>
      <c r="E11516">
        <f t="shared" si="179"/>
        <v>2.4028036406493925E-13</v>
      </c>
    </row>
    <row r="11517" spans="1:5" x14ac:dyDescent="0.25">
      <c r="A11517">
        <v>14</v>
      </c>
      <c r="B11517">
        <v>33</v>
      </c>
      <c r="C11517">
        <v>1</v>
      </c>
      <c r="D11517">
        <v>0</v>
      </c>
      <c r="E11517">
        <f t="shared" si="179"/>
        <v>6.247289465688421E-13</v>
      </c>
    </row>
    <row r="11518" spans="1:5" x14ac:dyDescent="0.25">
      <c r="A11518">
        <v>14</v>
      </c>
      <c r="B11518">
        <v>34</v>
      </c>
      <c r="C11518">
        <v>0</v>
      </c>
      <c r="D11518">
        <v>0</v>
      </c>
      <c r="E11518">
        <f t="shared" si="179"/>
        <v>7.2366792000734621E-14</v>
      </c>
    </row>
    <row r="11519" spans="1:5" x14ac:dyDescent="0.25">
      <c r="A11519">
        <v>15</v>
      </c>
      <c r="B11519">
        <v>0</v>
      </c>
      <c r="C11519">
        <v>8</v>
      </c>
      <c r="D11519">
        <v>25</v>
      </c>
      <c r="E11519">
        <f t="shared" si="179"/>
        <v>8.1076790303028857E-49</v>
      </c>
    </row>
    <row r="11520" spans="1:5" x14ac:dyDescent="0.25">
      <c r="A11520">
        <v>15</v>
      </c>
      <c r="B11520">
        <v>0</v>
      </c>
      <c r="C11520">
        <v>9</v>
      </c>
      <c r="D11520">
        <v>24</v>
      </c>
      <c r="E11520">
        <f t="shared" si="179"/>
        <v>1.2837158464646235E-46</v>
      </c>
    </row>
    <row r="11521" spans="1:5" x14ac:dyDescent="0.25">
      <c r="A11521">
        <v>15</v>
      </c>
      <c r="B11521">
        <v>0</v>
      </c>
      <c r="C11521">
        <v>10</v>
      </c>
      <c r="D11521">
        <v>23</v>
      </c>
      <c r="E11521">
        <f t="shared" si="179"/>
        <v>8.6265704882422711E-45</v>
      </c>
    </row>
    <row r="11522" spans="1:5" x14ac:dyDescent="0.25">
      <c r="A11522">
        <v>15</v>
      </c>
      <c r="B11522">
        <v>0</v>
      </c>
      <c r="C11522">
        <v>11</v>
      </c>
      <c r="D11522">
        <v>22</v>
      </c>
      <c r="E11522">
        <f t="shared" si="179"/>
        <v>3.3068520204928707E-43</v>
      </c>
    </row>
    <row r="11523" spans="1:5" x14ac:dyDescent="0.25">
      <c r="A11523">
        <v>15</v>
      </c>
      <c r="B11523">
        <v>0</v>
      </c>
      <c r="C11523">
        <v>12</v>
      </c>
      <c r="D11523">
        <v>21</v>
      </c>
      <c r="E11523">
        <f t="shared" si="179"/>
        <v>8.184458750719852E-42</v>
      </c>
    </row>
    <row r="11524" spans="1:5" x14ac:dyDescent="0.25">
      <c r="A11524">
        <v>15</v>
      </c>
      <c r="B11524">
        <v>0</v>
      </c>
      <c r="C11524">
        <v>13</v>
      </c>
      <c r="D11524">
        <v>20</v>
      </c>
      <c r="E11524">
        <f t="shared" si="179"/>
        <v>1.4014311676232609E-40</v>
      </c>
    </row>
    <row r="11525" spans="1:5" x14ac:dyDescent="0.25">
      <c r="A11525">
        <v>15</v>
      </c>
      <c r="B11525">
        <v>0</v>
      </c>
      <c r="C11525">
        <v>14</v>
      </c>
      <c r="D11525">
        <v>19</v>
      </c>
      <c r="E11525">
        <f t="shared" si="179"/>
        <v>1.7351052551526089E-39</v>
      </c>
    </row>
    <row r="11526" spans="1:5" x14ac:dyDescent="0.25">
      <c r="A11526">
        <v>15</v>
      </c>
      <c r="B11526">
        <v>0</v>
      </c>
      <c r="C11526">
        <v>15</v>
      </c>
      <c r="D11526">
        <v>18</v>
      </c>
      <c r="E11526">
        <f t="shared" si="179"/>
        <v>1.6012542783265505E-38</v>
      </c>
    </row>
    <row r="11527" spans="1:5" x14ac:dyDescent="0.25">
      <c r="A11527">
        <v>15</v>
      </c>
      <c r="B11527">
        <v>0</v>
      </c>
      <c r="C11527">
        <v>16</v>
      </c>
      <c r="D11527">
        <v>17</v>
      </c>
      <c r="E11527">
        <f t="shared" si="179"/>
        <v>1.1258819144483558E-37</v>
      </c>
    </row>
    <row r="11528" spans="1:5" x14ac:dyDescent="0.25">
      <c r="A11528">
        <v>15</v>
      </c>
      <c r="B11528">
        <v>0</v>
      </c>
      <c r="C11528">
        <v>17</v>
      </c>
      <c r="D11528">
        <v>16</v>
      </c>
      <c r="E11528">
        <f t="shared" si="179"/>
        <v>6.129801534218829E-37</v>
      </c>
    </row>
    <row r="11529" spans="1:5" x14ac:dyDescent="0.25">
      <c r="A11529">
        <v>15</v>
      </c>
      <c r="B11529">
        <v>0</v>
      </c>
      <c r="C11529">
        <v>18</v>
      </c>
      <c r="D11529">
        <v>15</v>
      </c>
      <c r="E11529">
        <f t="shared" si="179"/>
        <v>2.6153819879333643E-36</v>
      </c>
    </row>
    <row r="11530" spans="1:5" x14ac:dyDescent="0.25">
      <c r="A11530">
        <v>15</v>
      </c>
      <c r="B11530">
        <v>0</v>
      </c>
      <c r="C11530">
        <v>19</v>
      </c>
      <c r="D11530">
        <v>14</v>
      </c>
      <c r="E11530">
        <f t="shared" si="179"/>
        <v>8.822221538244128E-36</v>
      </c>
    </row>
    <row r="11531" spans="1:5" x14ac:dyDescent="0.25">
      <c r="A11531">
        <v>15</v>
      </c>
      <c r="B11531">
        <v>0</v>
      </c>
      <c r="C11531">
        <v>20</v>
      </c>
      <c r="D11531">
        <v>13</v>
      </c>
      <c r="E11531">
        <f t="shared" si="179"/>
        <v>2.3672961127621768E-35</v>
      </c>
    </row>
    <row r="11532" spans="1:5" x14ac:dyDescent="0.25">
      <c r="A11532">
        <v>15</v>
      </c>
      <c r="B11532">
        <v>0</v>
      </c>
      <c r="C11532">
        <v>21</v>
      </c>
      <c r="D11532">
        <v>12</v>
      </c>
      <c r="E11532">
        <f t="shared" si="179"/>
        <v>5.0727773844903725E-35</v>
      </c>
    </row>
    <row r="11533" spans="1:5" x14ac:dyDescent="0.25">
      <c r="A11533">
        <v>15</v>
      </c>
      <c r="B11533">
        <v>0</v>
      </c>
      <c r="C11533">
        <v>22</v>
      </c>
      <c r="D11533">
        <v>11</v>
      </c>
      <c r="E11533">
        <f t="shared" si="179"/>
        <v>8.6961898019835002E-35</v>
      </c>
    </row>
    <row r="11534" spans="1:5" x14ac:dyDescent="0.25">
      <c r="A11534">
        <v>15</v>
      </c>
      <c r="B11534">
        <v>0</v>
      </c>
      <c r="C11534">
        <v>23</v>
      </c>
      <c r="D11534">
        <v>10</v>
      </c>
      <c r="E11534">
        <f t="shared" ref="E11534:E11597" si="180">COMBIN(A$4,A11534)*COMBIN(B$4,B11534)*COMBIN(C$4,C11534)*COMBIN(D$4,D11534)/COMBIN($G$4,$F$4)</f>
        <v>1.1922602250255633E-34</v>
      </c>
    </row>
    <row r="11535" spans="1:5" x14ac:dyDescent="0.25">
      <c r="A11535">
        <v>15</v>
      </c>
      <c r="B11535">
        <v>0</v>
      </c>
      <c r="C11535">
        <v>24</v>
      </c>
      <c r="D11535">
        <v>9</v>
      </c>
      <c r="E11535">
        <f t="shared" si="180"/>
        <v>1.30403462112171E-34</v>
      </c>
    </row>
    <row r="11536" spans="1:5" x14ac:dyDescent="0.25">
      <c r="A11536">
        <v>15</v>
      </c>
      <c r="B11536">
        <v>0</v>
      </c>
      <c r="C11536">
        <v>25</v>
      </c>
      <c r="D11536">
        <v>8</v>
      </c>
      <c r="E11536">
        <f t="shared" si="180"/>
        <v>1.132208882809203E-34</v>
      </c>
    </row>
    <row r="11537" spans="1:5" x14ac:dyDescent="0.25">
      <c r="A11537">
        <v>15</v>
      </c>
      <c r="B11537">
        <v>0</v>
      </c>
      <c r="C11537">
        <v>26</v>
      </c>
      <c r="D11537">
        <v>7</v>
      </c>
      <c r="E11537">
        <f t="shared" si="180"/>
        <v>7.7415991986954009E-35</v>
      </c>
    </row>
    <row r="11538" spans="1:5" x14ac:dyDescent="0.25">
      <c r="A11538">
        <v>15</v>
      </c>
      <c r="B11538">
        <v>0</v>
      </c>
      <c r="C11538">
        <v>27</v>
      </c>
      <c r="D11538">
        <v>6</v>
      </c>
      <c r="E11538">
        <f t="shared" si="180"/>
        <v>4.1197984039841008E-35</v>
      </c>
    </row>
    <row r="11539" spans="1:5" x14ac:dyDescent="0.25">
      <c r="A11539">
        <v>15</v>
      </c>
      <c r="B11539">
        <v>0</v>
      </c>
      <c r="C11539">
        <v>28</v>
      </c>
      <c r="D11539">
        <v>5</v>
      </c>
      <c r="E11539">
        <f t="shared" si="180"/>
        <v>1.6773464930506701E-35</v>
      </c>
    </row>
    <row r="11540" spans="1:5" x14ac:dyDescent="0.25">
      <c r="A11540">
        <v>15</v>
      </c>
      <c r="B11540">
        <v>0</v>
      </c>
      <c r="C11540">
        <v>29</v>
      </c>
      <c r="D11540">
        <v>4</v>
      </c>
      <c r="E11540">
        <f t="shared" si="180"/>
        <v>5.0953875404659122E-36</v>
      </c>
    </row>
    <row r="11541" spans="1:5" x14ac:dyDescent="0.25">
      <c r="A11541">
        <v>15</v>
      </c>
      <c r="B11541">
        <v>0</v>
      </c>
      <c r="C11541">
        <v>30</v>
      </c>
      <c r="D11541">
        <v>3</v>
      </c>
      <c r="E11541">
        <f t="shared" si="180"/>
        <v>1.1117209179198351E-36</v>
      </c>
    </row>
    <row r="11542" spans="1:5" x14ac:dyDescent="0.25">
      <c r="A11542">
        <v>15</v>
      </c>
      <c r="B11542">
        <v>0</v>
      </c>
      <c r="C11542">
        <v>31</v>
      </c>
      <c r="D11542">
        <v>2</v>
      </c>
      <c r="E11542">
        <f t="shared" si="180"/>
        <v>1.6371766673433757E-37</v>
      </c>
    </row>
    <row r="11543" spans="1:5" x14ac:dyDescent="0.25">
      <c r="A11543">
        <v>15</v>
      </c>
      <c r="B11543">
        <v>0</v>
      </c>
      <c r="C11543">
        <v>32</v>
      </c>
      <c r="D11543">
        <v>1</v>
      </c>
      <c r="E11543">
        <f t="shared" si="180"/>
        <v>1.4495835075436139E-38</v>
      </c>
    </row>
    <row r="11544" spans="1:5" x14ac:dyDescent="0.25">
      <c r="A11544">
        <v>15</v>
      </c>
      <c r="B11544">
        <v>0</v>
      </c>
      <c r="C11544">
        <v>33</v>
      </c>
      <c r="D11544">
        <v>0</v>
      </c>
      <c r="E11544">
        <f t="shared" si="180"/>
        <v>5.7983340301744555E-40</v>
      </c>
    </row>
    <row r="11545" spans="1:5" x14ac:dyDescent="0.25">
      <c r="A11545">
        <v>15</v>
      </c>
      <c r="B11545">
        <v>1</v>
      </c>
      <c r="C11545">
        <v>7</v>
      </c>
      <c r="D11545">
        <v>25</v>
      </c>
      <c r="E11545">
        <f t="shared" si="180"/>
        <v>3.2318886065621154E-47</v>
      </c>
    </row>
    <row r="11546" spans="1:5" x14ac:dyDescent="0.25">
      <c r="A11546">
        <v>15</v>
      </c>
      <c r="B11546">
        <v>1</v>
      </c>
      <c r="C11546">
        <v>8</v>
      </c>
      <c r="D11546">
        <v>24</v>
      </c>
      <c r="E11546">
        <f t="shared" si="180"/>
        <v>5.8577980993938353E-45</v>
      </c>
    </row>
    <row r="11547" spans="1:5" x14ac:dyDescent="0.25">
      <c r="A11547">
        <v>15</v>
      </c>
      <c r="B11547">
        <v>1</v>
      </c>
      <c r="C11547">
        <v>9</v>
      </c>
      <c r="D11547">
        <v>23</v>
      </c>
      <c r="E11547">
        <f t="shared" si="180"/>
        <v>4.4519265555393138E-43</v>
      </c>
    </row>
    <row r="11548" spans="1:5" x14ac:dyDescent="0.25">
      <c r="A11548">
        <v>15</v>
      </c>
      <c r="B11548">
        <v>1</v>
      </c>
      <c r="C11548">
        <v>10</v>
      </c>
      <c r="D11548">
        <v>22</v>
      </c>
      <c r="E11548">
        <f t="shared" si="180"/>
        <v>1.9113604678448789E-41</v>
      </c>
    </row>
    <row r="11549" spans="1:5" x14ac:dyDescent="0.25">
      <c r="A11549">
        <v>15</v>
      </c>
      <c r="B11549">
        <v>1</v>
      </c>
      <c r="C11549">
        <v>11</v>
      </c>
      <c r="D11549">
        <v>21</v>
      </c>
      <c r="E11549">
        <f t="shared" si="180"/>
        <v>5.2562412865734192E-40</v>
      </c>
    </row>
    <row r="11550" spans="1:5" x14ac:dyDescent="0.25">
      <c r="A11550">
        <v>15</v>
      </c>
      <c r="B11550">
        <v>1</v>
      </c>
      <c r="C11550">
        <v>12</v>
      </c>
      <c r="D11550">
        <v>20</v>
      </c>
      <c r="E11550">
        <f t="shared" si="180"/>
        <v>9.9342960316237513E-39</v>
      </c>
    </row>
    <row r="11551" spans="1:5" x14ac:dyDescent="0.25">
      <c r="A11551">
        <v>15</v>
      </c>
      <c r="B11551">
        <v>1</v>
      </c>
      <c r="C11551">
        <v>13</v>
      </c>
      <c r="D11551">
        <v>19</v>
      </c>
      <c r="E11551">
        <f t="shared" si="180"/>
        <v>1.3500453581437412E-37</v>
      </c>
    </row>
    <row r="11552" spans="1:5" x14ac:dyDescent="0.25">
      <c r="A11552">
        <v>15</v>
      </c>
      <c r="B11552">
        <v>1</v>
      </c>
      <c r="C11552">
        <v>14</v>
      </c>
      <c r="D11552">
        <v>18</v>
      </c>
      <c r="E11552">
        <f t="shared" si="180"/>
        <v>1.3610661365775687E-36</v>
      </c>
    </row>
    <row r="11553" spans="1:5" x14ac:dyDescent="0.25">
      <c r="A11553">
        <v>15</v>
      </c>
      <c r="B11553">
        <v>1</v>
      </c>
      <c r="C11553">
        <v>15</v>
      </c>
      <c r="D11553">
        <v>17</v>
      </c>
      <c r="E11553">
        <f t="shared" si="180"/>
        <v>1.0412155944818393E-35</v>
      </c>
    </row>
    <row r="11554" spans="1:5" x14ac:dyDescent="0.25">
      <c r="A11554">
        <v>15</v>
      </c>
      <c r="B11554">
        <v>1</v>
      </c>
      <c r="C11554">
        <v>16</v>
      </c>
      <c r="D11554">
        <v>16</v>
      </c>
      <c r="E11554">
        <f t="shared" si="180"/>
        <v>6.1460642729830793E-35</v>
      </c>
    </row>
    <row r="11555" spans="1:5" x14ac:dyDescent="0.25">
      <c r="A11555">
        <v>15</v>
      </c>
      <c r="B11555">
        <v>1</v>
      </c>
      <c r="C11555">
        <v>17</v>
      </c>
      <c r="D11555">
        <v>15</v>
      </c>
      <c r="E11555">
        <f t="shared" si="180"/>
        <v>2.8344202294227863E-34</v>
      </c>
    </row>
    <row r="11556" spans="1:5" x14ac:dyDescent="0.25">
      <c r="A11556">
        <v>15</v>
      </c>
      <c r="B11556">
        <v>1</v>
      </c>
      <c r="C11556">
        <v>18</v>
      </c>
      <c r="D11556">
        <v>14</v>
      </c>
      <c r="E11556">
        <f t="shared" si="180"/>
        <v>1.0306982652446486E-33</v>
      </c>
    </row>
    <row r="11557" spans="1:5" x14ac:dyDescent="0.25">
      <c r="A11557">
        <v>15</v>
      </c>
      <c r="B11557">
        <v>1</v>
      </c>
      <c r="C11557">
        <v>19</v>
      </c>
      <c r="D11557">
        <v>13</v>
      </c>
      <c r="E11557">
        <f t="shared" si="180"/>
        <v>2.9745590286446458E-33</v>
      </c>
    </row>
    <row r="11558" spans="1:5" x14ac:dyDescent="0.25">
      <c r="A11558">
        <v>15</v>
      </c>
      <c r="B11558">
        <v>1</v>
      </c>
      <c r="C11558">
        <v>20</v>
      </c>
      <c r="D11558">
        <v>12</v>
      </c>
      <c r="E11558">
        <f t="shared" si="180"/>
        <v>6.8414857658826901E-33</v>
      </c>
    </row>
    <row r="11559" spans="1:5" x14ac:dyDescent="0.25">
      <c r="A11559">
        <v>15</v>
      </c>
      <c r="B11559">
        <v>1</v>
      </c>
      <c r="C11559">
        <v>21</v>
      </c>
      <c r="D11559">
        <v>11</v>
      </c>
      <c r="E11559">
        <f t="shared" si="180"/>
        <v>1.2565994263866147E-32</v>
      </c>
    </row>
    <row r="11560" spans="1:5" x14ac:dyDescent="0.25">
      <c r="A11560">
        <v>15</v>
      </c>
      <c r="B11560">
        <v>1</v>
      </c>
      <c r="C11560">
        <v>22</v>
      </c>
      <c r="D11560">
        <v>10</v>
      </c>
      <c r="E11560">
        <f t="shared" si="180"/>
        <v>1.8430124920337026E-32</v>
      </c>
    </row>
    <row r="11561" spans="1:5" x14ac:dyDescent="0.25">
      <c r="A11561">
        <v>15</v>
      </c>
      <c r="B11561">
        <v>1</v>
      </c>
      <c r="C11561">
        <v>23</v>
      </c>
      <c r="D11561">
        <v>9</v>
      </c>
      <c r="E11561">
        <f t="shared" si="180"/>
        <v>2.1535200314524243E-32</v>
      </c>
    </row>
    <row r="11562" spans="1:5" x14ac:dyDescent="0.25">
      <c r="A11562">
        <v>15</v>
      </c>
      <c r="B11562">
        <v>1</v>
      </c>
      <c r="C11562">
        <v>24</v>
      </c>
      <c r="D11562">
        <v>8</v>
      </c>
      <c r="E11562">
        <f t="shared" si="180"/>
        <v>1.9951729703162164E-32</v>
      </c>
    </row>
    <row r="11563" spans="1:5" x14ac:dyDescent="0.25">
      <c r="A11563">
        <v>15</v>
      </c>
      <c r="B11563">
        <v>1</v>
      </c>
      <c r="C11563">
        <v>25</v>
      </c>
      <c r="D11563">
        <v>7</v>
      </c>
      <c r="E11563">
        <f t="shared" si="180"/>
        <v>1.4542594094749321E-32</v>
      </c>
    </row>
    <row r="11564" spans="1:5" x14ac:dyDescent="0.25">
      <c r="A11564">
        <v>15</v>
      </c>
      <c r="B11564">
        <v>1</v>
      </c>
      <c r="C11564">
        <v>26</v>
      </c>
      <c r="D11564">
        <v>6</v>
      </c>
      <c r="E11564">
        <f t="shared" si="180"/>
        <v>8.2427658836635752E-33</v>
      </c>
    </row>
    <row r="11565" spans="1:5" x14ac:dyDescent="0.25">
      <c r="A11565">
        <v>15</v>
      </c>
      <c r="B11565">
        <v>1</v>
      </c>
      <c r="C11565">
        <v>27</v>
      </c>
      <c r="D11565">
        <v>5</v>
      </c>
      <c r="E11565">
        <f t="shared" si="180"/>
        <v>3.5718652162542151E-33</v>
      </c>
    </row>
    <row r="11566" spans="1:5" x14ac:dyDescent="0.25">
      <c r="A11566">
        <v>15</v>
      </c>
      <c r="B11566">
        <v>1</v>
      </c>
      <c r="C11566">
        <v>28</v>
      </c>
      <c r="D11566">
        <v>4</v>
      </c>
      <c r="E11566">
        <f t="shared" si="180"/>
        <v>1.1541741345039138E-33</v>
      </c>
    </row>
    <row r="11567" spans="1:5" x14ac:dyDescent="0.25">
      <c r="A11567">
        <v>15</v>
      </c>
      <c r="B11567">
        <v>1</v>
      </c>
      <c r="C11567">
        <v>29</v>
      </c>
      <c r="D11567">
        <v>3</v>
      </c>
      <c r="E11567">
        <f t="shared" si="180"/>
        <v>2.6773945439902703E-34</v>
      </c>
    </row>
    <row r="11568" spans="1:5" x14ac:dyDescent="0.25">
      <c r="A11568">
        <v>15</v>
      </c>
      <c r="B11568">
        <v>1</v>
      </c>
      <c r="C11568">
        <v>30</v>
      </c>
      <c r="D11568">
        <v>2</v>
      </c>
      <c r="E11568">
        <f t="shared" si="180"/>
        <v>4.1907045036369437E-35</v>
      </c>
    </row>
    <row r="11569" spans="1:5" x14ac:dyDescent="0.25">
      <c r="A11569">
        <v>15</v>
      </c>
      <c r="B11569">
        <v>1</v>
      </c>
      <c r="C11569">
        <v>31</v>
      </c>
      <c r="D11569">
        <v>1</v>
      </c>
      <c r="E11569">
        <f t="shared" si="180"/>
        <v>3.9428671405186309E-36</v>
      </c>
    </row>
    <row r="11570" spans="1:5" x14ac:dyDescent="0.25">
      <c r="A11570">
        <v>15</v>
      </c>
      <c r="B11570">
        <v>1</v>
      </c>
      <c r="C11570">
        <v>32</v>
      </c>
      <c r="D11570">
        <v>0</v>
      </c>
      <c r="E11570">
        <f t="shared" si="180"/>
        <v>1.6757185347204175E-37</v>
      </c>
    </row>
    <row r="11571" spans="1:5" x14ac:dyDescent="0.25">
      <c r="A11571">
        <v>15</v>
      </c>
      <c r="B11571">
        <v>2</v>
      </c>
      <c r="C11571">
        <v>6</v>
      </c>
      <c r="D11571">
        <v>25</v>
      </c>
      <c r="E11571">
        <f t="shared" si="180"/>
        <v>5.5215995176518855E-46</v>
      </c>
    </row>
    <row r="11572" spans="1:5" x14ac:dyDescent="0.25">
      <c r="A11572">
        <v>15</v>
      </c>
      <c r="B11572">
        <v>2</v>
      </c>
      <c r="C11572">
        <v>7</v>
      </c>
      <c r="D11572">
        <v>24</v>
      </c>
      <c r="E11572">
        <f t="shared" si="180"/>
        <v>1.1634798983623614E-43</v>
      </c>
    </row>
    <row r="11573" spans="1:5" x14ac:dyDescent="0.25">
      <c r="A11573">
        <v>15</v>
      </c>
      <c r="B11573">
        <v>2</v>
      </c>
      <c r="C11573">
        <v>8</v>
      </c>
      <c r="D11573">
        <v>23</v>
      </c>
      <c r="E11573">
        <f t="shared" si="180"/>
        <v>1.0122275115752548E-41</v>
      </c>
    </row>
    <row r="11574" spans="1:5" x14ac:dyDescent="0.25">
      <c r="A11574">
        <v>15</v>
      </c>
      <c r="B11574">
        <v>2</v>
      </c>
      <c r="C11574">
        <v>9</v>
      </c>
      <c r="D11574">
        <v>22</v>
      </c>
      <c r="E11574">
        <f t="shared" si="180"/>
        <v>4.9149269173154026E-40</v>
      </c>
    </row>
    <row r="11575" spans="1:5" x14ac:dyDescent="0.25">
      <c r="A11575">
        <v>15</v>
      </c>
      <c r="B11575">
        <v>2</v>
      </c>
      <c r="C11575">
        <v>10</v>
      </c>
      <c r="D11575">
        <v>21</v>
      </c>
      <c r="E11575">
        <f t="shared" si="180"/>
        <v>1.5137974905331447E-38</v>
      </c>
    </row>
    <row r="11576" spans="1:5" x14ac:dyDescent="0.25">
      <c r="A11576">
        <v>15</v>
      </c>
      <c r="B11576">
        <v>2</v>
      </c>
      <c r="C11576">
        <v>11</v>
      </c>
      <c r="D11576">
        <v>20</v>
      </c>
      <c r="E11576">
        <f t="shared" si="180"/>
        <v>3.1789747301196029E-37</v>
      </c>
    </row>
    <row r="11577" spans="1:5" x14ac:dyDescent="0.25">
      <c r="A11577">
        <v>15</v>
      </c>
      <c r="B11577">
        <v>2</v>
      </c>
      <c r="C11577">
        <v>12</v>
      </c>
      <c r="D11577">
        <v>19</v>
      </c>
      <c r="E11577">
        <f t="shared" si="180"/>
        <v>4.7684620951794007E-36</v>
      </c>
    </row>
    <row r="11578" spans="1:5" x14ac:dyDescent="0.25">
      <c r="A11578">
        <v>15</v>
      </c>
      <c r="B11578">
        <v>2</v>
      </c>
      <c r="C11578">
        <v>13</v>
      </c>
      <c r="D11578">
        <v>18</v>
      </c>
      <c r="E11578">
        <f t="shared" si="180"/>
        <v>5.276748714116111E-35</v>
      </c>
    </row>
    <row r="11579" spans="1:5" x14ac:dyDescent="0.25">
      <c r="A11579">
        <v>15</v>
      </c>
      <c r="B11579">
        <v>2</v>
      </c>
      <c r="C11579">
        <v>14</v>
      </c>
      <c r="D11579">
        <v>17</v>
      </c>
      <c r="E11579">
        <f t="shared" si="180"/>
        <v>4.4098542825113212E-34</v>
      </c>
    </row>
    <row r="11580" spans="1:5" x14ac:dyDescent="0.25">
      <c r="A11580">
        <v>15</v>
      </c>
      <c r="B11580">
        <v>2</v>
      </c>
      <c r="C11580">
        <v>15</v>
      </c>
      <c r="D11580">
        <v>16</v>
      </c>
      <c r="E11580">
        <f t="shared" si="180"/>
        <v>2.8321064169906025E-33</v>
      </c>
    </row>
    <row r="11581" spans="1:5" x14ac:dyDescent="0.25">
      <c r="A11581">
        <v>15</v>
      </c>
      <c r="B11581">
        <v>2</v>
      </c>
      <c r="C11581">
        <v>16</v>
      </c>
      <c r="D11581">
        <v>15</v>
      </c>
      <c r="E11581">
        <f t="shared" si="180"/>
        <v>1.4160532084953015E-32</v>
      </c>
    </row>
    <row r="11582" spans="1:5" x14ac:dyDescent="0.25">
      <c r="A11582">
        <v>15</v>
      </c>
      <c r="B11582">
        <v>2</v>
      </c>
      <c r="C11582">
        <v>17</v>
      </c>
      <c r="D11582">
        <v>14</v>
      </c>
      <c r="E11582">
        <f t="shared" si="180"/>
        <v>5.5657706323211076E-32</v>
      </c>
    </row>
    <row r="11583" spans="1:5" x14ac:dyDescent="0.25">
      <c r="A11583">
        <v>15</v>
      </c>
      <c r="B11583">
        <v>2</v>
      </c>
      <c r="C11583">
        <v>18</v>
      </c>
      <c r="D11583">
        <v>13</v>
      </c>
      <c r="E11583">
        <f t="shared" si="180"/>
        <v>1.7315730856110099E-31</v>
      </c>
    </row>
    <row r="11584" spans="1:5" x14ac:dyDescent="0.25">
      <c r="A11584">
        <v>15</v>
      </c>
      <c r="B11584">
        <v>2</v>
      </c>
      <c r="C11584">
        <v>19</v>
      </c>
      <c r="D11584">
        <v>12</v>
      </c>
      <c r="E11584">
        <f t="shared" si="180"/>
        <v>4.2833650012482906E-31</v>
      </c>
    </row>
    <row r="11585" spans="1:5" x14ac:dyDescent="0.25">
      <c r="A11585">
        <v>15</v>
      </c>
      <c r="B11585">
        <v>2</v>
      </c>
      <c r="C11585">
        <v>20</v>
      </c>
      <c r="D11585">
        <v>11</v>
      </c>
      <c r="E11585">
        <f t="shared" si="180"/>
        <v>8.4443481453180633E-31</v>
      </c>
    </row>
    <row r="11586" spans="1:5" x14ac:dyDescent="0.25">
      <c r="A11586">
        <v>15</v>
      </c>
      <c r="B11586">
        <v>2</v>
      </c>
      <c r="C11586">
        <v>21</v>
      </c>
      <c r="D11586">
        <v>10</v>
      </c>
      <c r="E11586">
        <f t="shared" si="180"/>
        <v>1.3269689942642653E-30</v>
      </c>
    </row>
    <row r="11587" spans="1:5" x14ac:dyDescent="0.25">
      <c r="A11587">
        <v>15</v>
      </c>
      <c r="B11587">
        <v>2</v>
      </c>
      <c r="C11587">
        <v>22</v>
      </c>
      <c r="D11587">
        <v>9</v>
      </c>
      <c r="E11587">
        <f t="shared" si="180"/>
        <v>1.6587112428303331E-30</v>
      </c>
    </row>
    <row r="11588" spans="1:5" x14ac:dyDescent="0.25">
      <c r="A11588">
        <v>15</v>
      </c>
      <c r="B11588">
        <v>2</v>
      </c>
      <c r="C11588">
        <v>23</v>
      </c>
      <c r="D11588">
        <v>8</v>
      </c>
      <c r="E11588">
        <f t="shared" si="180"/>
        <v>1.6417423298602012E-30</v>
      </c>
    </row>
    <row r="11589" spans="1:5" x14ac:dyDescent="0.25">
      <c r="A11589">
        <v>15</v>
      </c>
      <c r="B11589">
        <v>2</v>
      </c>
      <c r="C11589">
        <v>24</v>
      </c>
      <c r="D11589">
        <v>7</v>
      </c>
      <c r="E11589">
        <f t="shared" si="180"/>
        <v>1.2769107010023788E-30</v>
      </c>
    </row>
    <row r="11590" spans="1:5" x14ac:dyDescent="0.25">
      <c r="A11590">
        <v>15</v>
      </c>
      <c r="B11590">
        <v>2</v>
      </c>
      <c r="C11590">
        <v>25</v>
      </c>
      <c r="D11590">
        <v>6</v>
      </c>
      <c r="E11590">
        <f t="shared" si="180"/>
        <v>7.7152288671091098E-31</v>
      </c>
    </row>
    <row r="11591" spans="1:5" x14ac:dyDescent="0.25">
      <c r="A11591">
        <v>15</v>
      </c>
      <c r="B11591">
        <v>2</v>
      </c>
      <c r="C11591">
        <v>26</v>
      </c>
      <c r="D11591">
        <v>5</v>
      </c>
      <c r="E11591">
        <f t="shared" si="180"/>
        <v>3.5608748617426641E-31</v>
      </c>
    </row>
    <row r="11592" spans="1:5" x14ac:dyDescent="0.25">
      <c r="A11592">
        <v>15</v>
      </c>
      <c r="B11592">
        <v>2</v>
      </c>
      <c r="C11592">
        <v>27</v>
      </c>
      <c r="D11592">
        <v>4</v>
      </c>
      <c r="E11592">
        <f t="shared" si="180"/>
        <v>1.2246395027157315E-31</v>
      </c>
    </row>
    <row r="11593" spans="1:5" x14ac:dyDescent="0.25">
      <c r="A11593">
        <v>15</v>
      </c>
      <c r="B11593">
        <v>2</v>
      </c>
      <c r="C11593">
        <v>28</v>
      </c>
      <c r="D11593">
        <v>3</v>
      </c>
      <c r="E11593">
        <f t="shared" si="180"/>
        <v>3.0218377339738823E-32</v>
      </c>
    </row>
    <row r="11594" spans="1:5" x14ac:dyDescent="0.25">
      <c r="A11594">
        <v>15</v>
      </c>
      <c r="B11594">
        <v>2</v>
      </c>
      <c r="C11594">
        <v>29</v>
      </c>
      <c r="D11594">
        <v>2</v>
      </c>
      <c r="E11594">
        <f t="shared" si="180"/>
        <v>5.0288454043643328E-33</v>
      </c>
    </row>
    <row r="11595" spans="1:5" x14ac:dyDescent="0.25">
      <c r="A11595">
        <v>15</v>
      </c>
      <c r="B11595">
        <v>2</v>
      </c>
      <c r="C11595">
        <v>30</v>
      </c>
      <c r="D11595">
        <v>1</v>
      </c>
      <c r="E11595">
        <f t="shared" si="180"/>
        <v>5.0288454043643327E-34</v>
      </c>
    </row>
    <row r="11596" spans="1:5" x14ac:dyDescent="0.25">
      <c r="A11596">
        <v>15</v>
      </c>
      <c r="B11596">
        <v>2</v>
      </c>
      <c r="C11596">
        <v>31</v>
      </c>
      <c r="D11596">
        <v>0</v>
      </c>
      <c r="E11596">
        <f t="shared" si="180"/>
        <v>2.271091472938731E-35</v>
      </c>
    </row>
    <row r="11597" spans="1:5" x14ac:dyDescent="0.25">
      <c r="A11597">
        <v>15</v>
      </c>
      <c r="B11597">
        <v>3</v>
      </c>
      <c r="C11597">
        <v>5</v>
      </c>
      <c r="D11597">
        <v>25</v>
      </c>
      <c r="E11597">
        <f t="shared" si="180"/>
        <v>5.282330205220304E-45</v>
      </c>
    </row>
    <row r="11598" spans="1:5" x14ac:dyDescent="0.25">
      <c r="A11598">
        <v>15</v>
      </c>
      <c r="B11598">
        <v>3</v>
      </c>
      <c r="C11598">
        <v>6</v>
      </c>
      <c r="D11598">
        <v>24</v>
      </c>
      <c r="E11598">
        <f t="shared" ref="E11598:E11661" si="181">COMBIN(A$4,A11598)*COMBIN(B$4,B11598)*COMBIN(C$4,C11598)*COMBIN(D$4,D11598)/COMBIN($G$4,$F$4)</f>
        <v>1.3205825513050758E-42</v>
      </c>
    </row>
    <row r="11599" spans="1:5" x14ac:dyDescent="0.25">
      <c r="A11599">
        <v>15</v>
      </c>
      <c r="B11599">
        <v>3</v>
      </c>
      <c r="C11599">
        <v>7</v>
      </c>
      <c r="D11599">
        <v>23</v>
      </c>
      <c r="E11599">
        <f t="shared" si="181"/>
        <v>1.3356749233199911E-40</v>
      </c>
    </row>
    <row r="11600" spans="1:5" x14ac:dyDescent="0.25">
      <c r="A11600">
        <v>15</v>
      </c>
      <c r="B11600">
        <v>3</v>
      </c>
      <c r="C11600">
        <v>8</v>
      </c>
      <c r="D11600">
        <v>22</v>
      </c>
      <c r="E11600">
        <f t="shared" si="181"/>
        <v>7.4241264487869502E-39</v>
      </c>
    </row>
    <row r="11601" spans="1:5" x14ac:dyDescent="0.25">
      <c r="A11601">
        <v>15</v>
      </c>
      <c r="B11601">
        <v>3</v>
      </c>
      <c r="C11601">
        <v>9</v>
      </c>
      <c r="D11601">
        <v>21</v>
      </c>
      <c r="E11601">
        <f t="shared" si="181"/>
        <v>2.5860707129941208E-37</v>
      </c>
    </row>
    <row r="11602" spans="1:5" x14ac:dyDescent="0.25">
      <c r="A11602">
        <v>15</v>
      </c>
      <c r="B11602">
        <v>3</v>
      </c>
      <c r="C11602">
        <v>10</v>
      </c>
      <c r="D11602">
        <v>20</v>
      </c>
      <c r="E11602">
        <f t="shared" si="181"/>
        <v>6.0824383169621731E-36</v>
      </c>
    </row>
    <row r="11603" spans="1:5" x14ac:dyDescent="0.25">
      <c r="A11603">
        <v>15</v>
      </c>
      <c r="B11603">
        <v>3</v>
      </c>
      <c r="C11603">
        <v>11</v>
      </c>
      <c r="D11603">
        <v>19</v>
      </c>
      <c r="E11603">
        <f t="shared" si="181"/>
        <v>1.0137397194936955E-34</v>
      </c>
    </row>
    <row r="11604" spans="1:5" x14ac:dyDescent="0.25">
      <c r="A11604">
        <v>15</v>
      </c>
      <c r="B11604">
        <v>3</v>
      </c>
      <c r="C11604">
        <v>12</v>
      </c>
      <c r="D11604">
        <v>18</v>
      </c>
      <c r="E11604">
        <f t="shared" si="181"/>
        <v>1.2382106573815851E-33</v>
      </c>
    </row>
    <row r="11605" spans="1:5" x14ac:dyDescent="0.25">
      <c r="A11605">
        <v>15</v>
      </c>
      <c r="B11605">
        <v>3</v>
      </c>
      <c r="C11605">
        <v>13</v>
      </c>
      <c r="D11605">
        <v>17</v>
      </c>
      <c r="E11605">
        <f t="shared" si="181"/>
        <v>1.1358201607134926E-32</v>
      </c>
    </row>
    <row r="11606" spans="1:5" x14ac:dyDescent="0.25">
      <c r="A11606">
        <v>15</v>
      </c>
      <c r="B11606">
        <v>3</v>
      </c>
      <c r="C11606">
        <v>14</v>
      </c>
      <c r="D11606">
        <v>16</v>
      </c>
      <c r="E11606">
        <f t="shared" si="181"/>
        <v>7.9687700164343452E-32</v>
      </c>
    </row>
    <row r="11607" spans="1:5" x14ac:dyDescent="0.25">
      <c r="A11607">
        <v>15</v>
      </c>
      <c r="B11607">
        <v>3</v>
      </c>
      <c r="C11607">
        <v>15</v>
      </c>
      <c r="D11607">
        <v>15</v>
      </c>
      <c r="E11607">
        <f t="shared" si="181"/>
        <v>4.3350108889402823E-31</v>
      </c>
    </row>
    <row r="11608" spans="1:5" x14ac:dyDescent="0.25">
      <c r="A11608">
        <v>15</v>
      </c>
      <c r="B11608">
        <v>3</v>
      </c>
      <c r="C11608">
        <v>16</v>
      </c>
      <c r="D11608">
        <v>14</v>
      </c>
      <c r="E11608">
        <f t="shared" si="181"/>
        <v>1.8473057765370527E-30</v>
      </c>
    </row>
    <row r="11609" spans="1:5" x14ac:dyDescent="0.25">
      <c r="A11609">
        <v>15</v>
      </c>
      <c r="B11609">
        <v>3</v>
      </c>
      <c r="C11609">
        <v>17</v>
      </c>
      <c r="D11609">
        <v>13</v>
      </c>
      <c r="E11609">
        <f t="shared" si="181"/>
        <v>6.2120184446295053E-30</v>
      </c>
    </row>
    <row r="11610" spans="1:5" x14ac:dyDescent="0.25">
      <c r="A11610">
        <v>15</v>
      </c>
      <c r="B11610">
        <v>3</v>
      </c>
      <c r="C11610">
        <v>18</v>
      </c>
      <c r="D11610">
        <v>12</v>
      </c>
      <c r="E11610">
        <f t="shared" si="181"/>
        <v>1.6565382519011995E-29</v>
      </c>
    </row>
    <row r="11611" spans="1:5" x14ac:dyDescent="0.25">
      <c r="A11611">
        <v>15</v>
      </c>
      <c r="B11611">
        <v>3</v>
      </c>
      <c r="C11611">
        <v>19</v>
      </c>
      <c r="D11611">
        <v>11</v>
      </c>
      <c r="E11611">
        <f t="shared" si="181"/>
        <v>3.5123593010235973E-29</v>
      </c>
    </row>
    <row r="11612" spans="1:5" x14ac:dyDescent="0.25">
      <c r="A11612">
        <v>15</v>
      </c>
      <c r="B11612">
        <v>3</v>
      </c>
      <c r="C11612">
        <v>20</v>
      </c>
      <c r="D11612">
        <v>10</v>
      </c>
      <c r="E11612">
        <f t="shared" si="181"/>
        <v>5.9241793543931383E-29</v>
      </c>
    </row>
    <row r="11613" spans="1:5" x14ac:dyDescent="0.25">
      <c r="A11613">
        <v>15</v>
      </c>
      <c r="B11613">
        <v>3</v>
      </c>
      <c r="C11613">
        <v>21</v>
      </c>
      <c r="D11613">
        <v>9</v>
      </c>
      <c r="E11613">
        <f t="shared" si="181"/>
        <v>7.934168778205087E-29</v>
      </c>
    </row>
    <row r="11614" spans="1:5" x14ac:dyDescent="0.25">
      <c r="A11614">
        <v>15</v>
      </c>
      <c r="B11614">
        <v>3</v>
      </c>
      <c r="C11614">
        <v>22</v>
      </c>
      <c r="D11614">
        <v>8</v>
      </c>
      <c r="E11614">
        <f t="shared" si="181"/>
        <v>8.4008845886877433E-29</v>
      </c>
    </row>
    <row r="11615" spans="1:5" x14ac:dyDescent="0.25">
      <c r="A11615">
        <v>15</v>
      </c>
      <c r="B11615">
        <v>3</v>
      </c>
      <c r="C11615">
        <v>23</v>
      </c>
      <c r="D11615">
        <v>7</v>
      </c>
      <c r="E11615">
        <f t="shared" si="181"/>
        <v>6.980445165479671E-29</v>
      </c>
    </row>
    <row r="11616" spans="1:5" x14ac:dyDescent="0.25">
      <c r="A11616">
        <v>15</v>
      </c>
      <c r="B11616">
        <v>3</v>
      </c>
      <c r="C11616">
        <v>24</v>
      </c>
      <c r="D11616">
        <v>6</v>
      </c>
      <c r="E11616">
        <f t="shared" si="181"/>
        <v>4.5005501724803126E-29</v>
      </c>
    </row>
    <row r="11617" spans="1:5" x14ac:dyDescent="0.25">
      <c r="A11617">
        <v>15</v>
      </c>
      <c r="B11617">
        <v>3</v>
      </c>
      <c r="C11617">
        <v>25</v>
      </c>
      <c r="D11617">
        <v>5</v>
      </c>
      <c r="E11617">
        <f t="shared" si="181"/>
        <v>2.2142706848603146E-29</v>
      </c>
    </row>
    <row r="11618" spans="1:5" x14ac:dyDescent="0.25">
      <c r="A11618">
        <v>15</v>
      </c>
      <c r="B11618">
        <v>3</v>
      </c>
      <c r="C11618">
        <v>26</v>
      </c>
      <c r="D11618">
        <v>4</v>
      </c>
      <c r="E11618">
        <f t="shared" si="181"/>
        <v>8.1108816295249591E-30</v>
      </c>
    </row>
    <row r="11619" spans="1:5" x14ac:dyDescent="0.25">
      <c r="A11619">
        <v>15</v>
      </c>
      <c r="B11619">
        <v>3</v>
      </c>
      <c r="C11619">
        <v>27</v>
      </c>
      <c r="D11619">
        <v>3</v>
      </c>
      <c r="E11619">
        <f t="shared" si="181"/>
        <v>2.1301305289661508E-30</v>
      </c>
    </row>
    <row r="11620" spans="1:5" x14ac:dyDescent="0.25">
      <c r="A11620">
        <v>15</v>
      </c>
      <c r="B11620">
        <v>3</v>
      </c>
      <c r="C11620">
        <v>28</v>
      </c>
      <c r="D11620">
        <v>2</v>
      </c>
      <c r="E11620">
        <f t="shared" si="181"/>
        <v>3.770727955002193E-31</v>
      </c>
    </row>
    <row r="11621" spans="1:5" x14ac:dyDescent="0.25">
      <c r="A11621">
        <v>15</v>
      </c>
      <c r="B11621">
        <v>3</v>
      </c>
      <c r="C11621">
        <v>29</v>
      </c>
      <c r="D11621">
        <v>1</v>
      </c>
      <c r="E11621">
        <f t="shared" si="181"/>
        <v>4.0091073084793434E-32</v>
      </c>
    </row>
    <row r="11622" spans="1:5" x14ac:dyDescent="0.25">
      <c r="A11622">
        <v>15</v>
      </c>
      <c r="B11622">
        <v>3</v>
      </c>
      <c r="C11622">
        <v>30</v>
      </c>
      <c r="D11622">
        <v>0</v>
      </c>
      <c r="E11622">
        <f t="shared" si="181"/>
        <v>1.9243715080700846E-33</v>
      </c>
    </row>
    <row r="11623" spans="1:5" x14ac:dyDescent="0.25">
      <c r="A11623">
        <v>15</v>
      </c>
      <c r="B11623">
        <v>4</v>
      </c>
      <c r="C11623">
        <v>4</v>
      </c>
      <c r="D11623">
        <v>25</v>
      </c>
      <c r="E11623">
        <f t="shared" si="181"/>
        <v>3.0957918825676373E-44</v>
      </c>
    </row>
    <row r="11624" spans="1:5" x14ac:dyDescent="0.25">
      <c r="A11624">
        <v>15</v>
      </c>
      <c r="B11624">
        <v>4</v>
      </c>
      <c r="C11624">
        <v>5</v>
      </c>
      <c r="D11624">
        <v>24</v>
      </c>
      <c r="E11624">
        <f t="shared" si="181"/>
        <v>9.4421652418312931E-42</v>
      </c>
    </row>
    <row r="11625" spans="1:5" x14ac:dyDescent="0.25">
      <c r="A11625">
        <v>15</v>
      </c>
      <c r="B11625">
        <v>4</v>
      </c>
      <c r="C11625">
        <v>6</v>
      </c>
      <c r="D11625">
        <v>23</v>
      </c>
      <c r="E11625">
        <f t="shared" si="181"/>
        <v>1.133059829019755E-39</v>
      </c>
    </row>
    <row r="11626" spans="1:5" x14ac:dyDescent="0.25">
      <c r="A11626">
        <v>15</v>
      </c>
      <c r="B11626">
        <v>4</v>
      </c>
      <c r="C11626">
        <v>7</v>
      </c>
      <c r="D11626">
        <v>22</v>
      </c>
      <c r="E11626">
        <f t="shared" si="181"/>
        <v>7.3217247046657507E-38</v>
      </c>
    </row>
    <row r="11627" spans="1:5" x14ac:dyDescent="0.25">
      <c r="A11627">
        <v>15</v>
      </c>
      <c r="B11627">
        <v>4</v>
      </c>
      <c r="C11627">
        <v>8</v>
      </c>
      <c r="D11627">
        <v>21</v>
      </c>
      <c r="E11627">
        <f t="shared" si="181"/>
        <v>2.9195377259854694E-36</v>
      </c>
    </row>
    <row r="11628" spans="1:5" x14ac:dyDescent="0.25">
      <c r="A11628">
        <v>15</v>
      </c>
      <c r="B11628">
        <v>4</v>
      </c>
      <c r="C11628">
        <v>9</v>
      </c>
      <c r="D11628">
        <v>20</v>
      </c>
      <c r="E11628">
        <f t="shared" si="181"/>
        <v>7.7659703511213446E-35</v>
      </c>
    </row>
    <row r="11629" spans="1:5" x14ac:dyDescent="0.25">
      <c r="A11629">
        <v>15</v>
      </c>
      <c r="B11629">
        <v>4</v>
      </c>
      <c r="C11629">
        <v>10</v>
      </c>
      <c r="D11629">
        <v>19</v>
      </c>
      <c r="E11629">
        <f t="shared" si="181"/>
        <v>1.4496477988759843E-33</v>
      </c>
    </row>
    <row r="11630" spans="1:5" x14ac:dyDescent="0.25">
      <c r="A11630">
        <v>15</v>
      </c>
      <c r="B11630">
        <v>4</v>
      </c>
      <c r="C11630">
        <v>11</v>
      </c>
      <c r="D11630">
        <v>18</v>
      </c>
      <c r="E11630">
        <f t="shared" si="181"/>
        <v>1.9673791556174084E-32</v>
      </c>
    </row>
    <row r="11631" spans="1:5" x14ac:dyDescent="0.25">
      <c r="A11631">
        <v>15</v>
      </c>
      <c r="B11631">
        <v>4</v>
      </c>
      <c r="C11631">
        <v>12</v>
      </c>
      <c r="D11631">
        <v>17</v>
      </c>
      <c r="E11631">
        <f t="shared" si="181"/>
        <v>1.9919713950626242E-31</v>
      </c>
    </row>
    <row r="11632" spans="1:5" x14ac:dyDescent="0.25">
      <c r="A11632">
        <v>15</v>
      </c>
      <c r="B11632">
        <v>4</v>
      </c>
      <c r="C11632">
        <v>13</v>
      </c>
      <c r="D11632">
        <v>16</v>
      </c>
      <c r="E11632">
        <f t="shared" si="181"/>
        <v>1.5339882281636115E-30</v>
      </c>
    </row>
    <row r="11633" spans="1:5" x14ac:dyDescent="0.25">
      <c r="A11633">
        <v>15</v>
      </c>
      <c r="B11633">
        <v>4</v>
      </c>
      <c r="C11633">
        <v>14</v>
      </c>
      <c r="D11633">
        <v>15</v>
      </c>
      <c r="E11633">
        <f t="shared" si="181"/>
        <v>9.1162728988008895E-30</v>
      </c>
    </row>
    <row r="11634" spans="1:5" x14ac:dyDescent="0.25">
      <c r="A11634">
        <v>15</v>
      </c>
      <c r="B11634">
        <v>4</v>
      </c>
      <c r="C11634">
        <v>15</v>
      </c>
      <c r="D11634">
        <v>14</v>
      </c>
      <c r="E11634">
        <f t="shared" si="181"/>
        <v>4.2266356167167755E-29</v>
      </c>
    </row>
    <row r="11635" spans="1:5" x14ac:dyDescent="0.25">
      <c r="A11635">
        <v>15</v>
      </c>
      <c r="B11635">
        <v>4</v>
      </c>
      <c r="C11635">
        <v>16</v>
      </c>
      <c r="D11635">
        <v>13</v>
      </c>
      <c r="E11635">
        <f t="shared" si="181"/>
        <v>1.5409609019279917E-28</v>
      </c>
    </row>
    <row r="11636" spans="1:5" x14ac:dyDescent="0.25">
      <c r="A11636">
        <v>15</v>
      </c>
      <c r="B11636">
        <v>4</v>
      </c>
      <c r="C11636">
        <v>17</v>
      </c>
      <c r="D11636">
        <v>12</v>
      </c>
      <c r="E11636">
        <f t="shared" si="181"/>
        <v>4.4415931879100961E-28</v>
      </c>
    </row>
    <row r="11637" spans="1:5" x14ac:dyDescent="0.25">
      <c r="A11637">
        <v>15</v>
      </c>
      <c r="B11637">
        <v>4</v>
      </c>
      <c r="C11637">
        <v>18</v>
      </c>
      <c r="D11637">
        <v>11</v>
      </c>
      <c r="E11637">
        <f t="shared" si="181"/>
        <v>1.0152213000937351E-27</v>
      </c>
    </row>
    <row r="11638" spans="1:5" x14ac:dyDescent="0.25">
      <c r="A11638">
        <v>15</v>
      </c>
      <c r="B11638">
        <v>4</v>
      </c>
      <c r="C11638">
        <v>19</v>
      </c>
      <c r="D11638">
        <v>10</v>
      </c>
      <c r="E11638">
        <f t="shared" si="181"/>
        <v>1.8416470601700392E-27</v>
      </c>
    </row>
    <row r="11639" spans="1:5" x14ac:dyDescent="0.25">
      <c r="A11639">
        <v>15</v>
      </c>
      <c r="B11639">
        <v>4</v>
      </c>
      <c r="C11639">
        <v>20</v>
      </c>
      <c r="D11639">
        <v>9</v>
      </c>
      <c r="E11639">
        <f t="shared" si="181"/>
        <v>2.6473676489944344E-27</v>
      </c>
    </row>
    <row r="11640" spans="1:5" x14ac:dyDescent="0.25">
      <c r="A11640">
        <v>15</v>
      </c>
      <c r="B11640">
        <v>4</v>
      </c>
      <c r="C11640">
        <v>21</v>
      </c>
      <c r="D11640">
        <v>8</v>
      </c>
      <c r="E11640">
        <f t="shared" si="181"/>
        <v>3.0033162404558665E-27</v>
      </c>
    </row>
    <row r="11641" spans="1:5" x14ac:dyDescent="0.25">
      <c r="A11641">
        <v>15</v>
      </c>
      <c r="B11641">
        <v>4</v>
      </c>
      <c r="C11641">
        <v>22</v>
      </c>
      <c r="D11641">
        <v>7</v>
      </c>
      <c r="E11641">
        <f t="shared" si="181"/>
        <v>2.6696144359607727E-27</v>
      </c>
    </row>
    <row r="11642" spans="1:5" x14ac:dyDescent="0.25">
      <c r="A11642">
        <v>15</v>
      </c>
      <c r="B11642">
        <v>4</v>
      </c>
      <c r="C11642">
        <v>23</v>
      </c>
      <c r="D11642">
        <v>6</v>
      </c>
      <c r="E11642">
        <f t="shared" si="181"/>
        <v>1.8387962133276707E-27</v>
      </c>
    </row>
    <row r="11643" spans="1:5" x14ac:dyDescent="0.25">
      <c r="A11643">
        <v>15</v>
      </c>
      <c r="B11643">
        <v>4</v>
      </c>
      <c r="C11643">
        <v>24</v>
      </c>
      <c r="D11643">
        <v>5</v>
      </c>
      <c r="E11643">
        <f t="shared" si="181"/>
        <v>9.6536801199702714E-28</v>
      </c>
    </row>
    <row r="11644" spans="1:5" x14ac:dyDescent="0.25">
      <c r="A11644">
        <v>15</v>
      </c>
      <c r="B11644">
        <v>4</v>
      </c>
      <c r="C11644">
        <v>25</v>
      </c>
      <c r="D11644">
        <v>4</v>
      </c>
      <c r="E11644">
        <f t="shared" si="181"/>
        <v>3.7695322373217274E-28</v>
      </c>
    </row>
    <row r="11645" spans="1:5" x14ac:dyDescent="0.25">
      <c r="A11645">
        <v>15</v>
      </c>
      <c r="B11645">
        <v>4</v>
      </c>
      <c r="C11645">
        <v>26</v>
      </c>
      <c r="D11645">
        <v>3</v>
      </c>
      <c r="E11645">
        <f t="shared" si="181"/>
        <v>1.0544146118382446E-28</v>
      </c>
    </row>
    <row r="11646" spans="1:5" x14ac:dyDescent="0.25">
      <c r="A11646">
        <v>15</v>
      </c>
      <c r="B11646">
        <v>4</v>
      </c>
      <c r="C11646">
        <v>27</v>
      </c>
      <c r="D11646">
        <v>2</v>
      </c>
      <c r="E11646">
        <f t="shared" si="181"/>
        <v>1.9865782541879971E-29</v>
      </c>
    </row>
    <row r="11647" spans="1:5" x14ac:dyDescent="0.25">
      <c r="A11647">
        <v>15</v>
      </c>
      <c r="B11647">
        <v>4</v>
      </c>
      <c r="C11647">
        <v>28</v>
      </c>
      <c r="D11647">
        <v>1</v>
      </c>
      <c r="E11647">
        <f t="shared" si="181"/>
        <v>2.24672540652214E-30</v>
      </c>
    </row>
    <row r="11648" spans="1:5" x14ac:dyDescent="0.25">
      <c r="A11648">
        <v>15</v>
      </c>
      <c r="B11648">
        <v>4</v>
      </c>
      <c r="C11648">
        <v>29</v>
      </c>
      <c r="D11648">
        <v>0</v>
      </c>
      <c r="E11648">
        <f t="shared" si="181"/>
        <v>1.1466046902250924E-31</v>
      </c>
    </row>
    <row r="11649" spans="1:5" x14ac:dyDescent="0.25">
      <c r="A11649">
        <v>15</v>
      </c>
      <c r="B11649">
        <v>5</v>
      </c>
      <c r="C11649">
        <v>3</v>
      </c>
      <c r="D11649">
        <v>25</v>
      </c>
      <c r="E11649">
        <f t="shared" si="181"/>
        <v>1.1384524987506794E-43</v>
      </c>
    </row>
    <row r="11650" spans="1:5" x14ac:dyDescent="0.25">
      <c r="A11650">
        <v>15</v>
      </c>
      <c r="B11650">
        <v>5</v>
      </c>
      <c r="C11650">
        <v>4</v>
      </c>
      <c r="D11650">
        <v>24</v>
      </c>
      <c r="E11650">
        <f t="shared" si="181"/>
        <v>4.4115034326588824E-41</v>
      </c>
    </row>
    <row r="11651" spans="1:5" x14ac:dyDescent="0.25">
      <c r="A11651">
        <v>15</v>
      </c>
      <c r="B11651">
        <v>5</v>
      </c>
      <c r="C11651">
        <v>5</v>
      </c>
      <c r="D11651">
        <v>23</v>
      </c>
      <c r="E11651">
        <f t="shared" si="181"/>
        <v>6.458441025412605E-39</v>
      </c>
    </row>
    <row r="11652" spans="1:5" x14ac:dyDescent="0.25">
      <c r="A11652">
        <v>15</v>
      </c>
      <c r="B11652">
        <v>5</v>
      </c>
      <c r="C11652">
        <v>6</v>
      </c>
      <c r="D11652">
        <v>22</v>
      </c>
      <c r="E11652">
        <f t="shared" si="181"/>
        <v>4.9514714528163292E-37</v>
      </c>
    </row>
    <row r="11653" spans="1:5" x14ac:dyDescent="0.25">
      <c r="A11653">
        <v>15</v>
      </c>
      <c r="B11653">
        <v>5</v>
      </c>
      <c r="C11653">
        <v>7</v>
      </c>
      <c r="D11653">
        <v>21</v>
      </c>
      <c r="E11653">
        <f t="shared" si="181"/>
        <v>2.2953606949127131E-35</v>
      </c>
    </row>
    <row r="11654" spans="1:5" x14ac:dyDescent="0.25">
      <c r="A11654">
        <v>15</v>
      </c>
      <c r="B11654">
        <v>5</v>
      </c>
      <c r="C11654">
        <v>8</v>
      </c>
      <c r="D11654">
        <v>20</v>
      </c>
      <c r="E11654">
        <f t="shared" si="181"/>
        <v>6.9893733160092115E-34</v>
      </c>
    </row>
    <row r="11655" spans="1:5" x14ac:dyDescent="0.25">
      <c r="A11655">
        <v>15</v>
      </c>
      <c r="B11655">
        <v>5</v>
      </c>
      <c r="C11655">
        <v>9</v>
      </c>
      <c r="D11655">
        <v>19</v>
      </c>
      <c r="E11655">
        <f t="shared" si="181"/>
        <v>1.4755343667130553E-32</v>
      </c>
    </row>
    <row r="11656" spans="1:5" x14ac:dyDescent="0.25">
      <c r="A11656">
        <v>15</v>
      </c>
      <c r="B11656">
        <v>5</v>
      </c>
      <c r="C11656">
        <v>10</v>
      </c>
      <c r="D11656">
        <v>18</v>
      </c>
      <c r="E11656">
        <f t="shared" si="181"/>
        <v>2.2428122374038455E-31</v>
      </c>
    </row>
    <row r="11657" spans="1:5" x14ac:dyDescent="0.25">
      <c r="A11657">
        <v>15</v>
      </c>
      <c r="B11657">
        <v>5</v>
      </c>
      <c r="C11657">
        <v>11</v>
      </c>
      <c r="D11657">
        <v>17</v>
      </c>
      <c r="E11657">
        <f t="shared" si="181"/>
        <v>2.5231637670793256E-30</v>
      </c>
    </row>
    <row r="11658" spans="1:5" x14ac:dyDescent="0.25">
      <c r="A11658">
        <v>15</v>
      </c>
      <c r="B11658">
        <v>5</v>
      </c>
      <c r="C11658">
        <v>12</v>
      </c>
      <c r="D11658">
        <v>16</v>
      </c>
      <c r="E11658">
        <f t="shared" si="181"/>
        <v>2.1446892020174255E-29</v>
      </c>
    </row>
    <row r="11659" spans="1:5" x14ac:dyDescent="0.25">
      <c r="A11659">
        <v>15</v>
      </c>
      <c r="B11659">
        <v>5</v>
      </c>
      <c r="C11659">
        <v>13</v>
      </c>
      <c r="D11659">
        <v>15</v>
      </c>
      <c r="E11659">
        <f t="shared" si="181"/>
        <v>1.3989972640852134E-28</v>
      </c>
    </row>
    <row r="11660" spans="1:5" x14ac:dyDescent="0.25">
      <c r="A11660">
        <v>15</v>
      </c>
      <c r="B11660">
        <v>5</v>
      </c>
      <c r="C11660">
        <v>14</v>
      </c>
      <c r="D11660">
        <v>14</v>
      </c>
      <c r="E11660">
        <f t="shared" si="181"/>
        <v>7.0858302986134201E-28</v>
      </c>
    </row>
    <row r="11661" spans="1:5" x14ac:dyDescent="0.25">
      <c r="A11661">
        <v>15</v>
      </c>
      <c r="B11661">
        <v>5</v>
      </c>
      <c r="C11661">
        <v>15</v>
      </c>
      <c r="D11661">
        <v>13</v>
      </c>
      <c r="E11661">
        <f t="shared" si="181"/>
        <v>2.8107126851166565E-27</v>
      </c>
    </row>
    <row r="11662" spans="1:5" x14ac:dyDescent="0.25">
      <c r="A11662">
        <v>15</v>
      </c>
      <c r="B11662">
        <v>5</v>
      </c>
      <c r="C11662">
        <v>16</v>
      </c>
      <c r="D11662">
        <v>12</v>
      </c>
      <c r="E11662">
        <f t="shared" ref="E11662:E11725" si="182">COMBIN(A$4,A11662)*COMBIN(B$4,B11662)*COMBIN(C$4,C11662)*COMBIN(D$4,D11662)/COMBIN($G$4,$F$4)</f>
        <v>8.7834771409895521E-27</v>
      </c>
    </row>
    <row r="11663" spans="1:5" x14ac:dyDescent="0.25">
      <c r="A11663">
        <v>15</v>
      </c>
      <c r="B11663">
        <v>5</v>
      </c>
      <c r="C11663">
        <v>17</v>
      </c>
      <c r="D11663">
        <v>11</v>
      </c>
      <c r="E11663">
        <f t="shared" si="182"/>
        <v>2.1700355289503609E-26</v>
      </c>
    </row>
    <row r="11664" spans="1:5" x14ac:dyDescent="0.25">
      <c r="A11664">
        <v>15</v>
      </c>
      <c r="B11664">
        <v>5</v>
      </c>
      <c r="C11664">
        <v>18</v>
      </c>
      <c r="D11664">
        <v>10</v>
      </c>
      <c r="E11664">
        <f t="shared" si="182"/>
        <v>4.2436250343918121E-26</v>
      </c>
    </row>
    <row r="11665" spans="1:5" x14ac:dyDescent="0.25">
      <c r="A11665">
        <v>15</v>
      </c>
      <c r="B11665">
        <v>5</v>
      </c>
      <c r="C11665">
        <v>19</v>
      </c>
      <c r="D11665">
        <v>9</v>
      </c>
      <c r="E11665">
        <f t="shared" si="182"/>
        <v>6.5608676518557645E-26</v>
      </c>
    </row>
    <row r="11666" spans="1:5" x14ac:dyDescent="0.25">
      <c r="A11666">
        <v>15</v>
      </c>
      <c r="B11666">
        <v>5</v>
      </c>
      <c r="C11666">
        <v>20</v>
      </c>
      <c r="D11666">
        <v>8</v>
      </c>
      <c r="E11666">
        <f t="shared" si="182"/>
        <v>7.9888211996126159E-26</v>
      </c>
    </row>
    <row r="11667" spans="1:5" x14ac:dyDescent="0.25">
      <c r="A11667">
        <v>15</v>
      </c>
      <c r="B11667">
        <v>5</v>
      </c>
      <c r="C11667">
        <v>21</v>
      </c>
      <c r="D11667">
        <v>7</v>
      </c>
      <c r="E11667">
        <f t="shared" si="182"/>
        <v>7.6084011424881976E-26</v>
      </c>
    </row>
    <row r="11668" spans="1:5" x14ac:dyDescent="0.25">
      <c r="A11668">
        <v>15</v>
      </c>
      <c r="B11668">
        <v>5</v>
      </c>
      <c r="C11668">
        <v>22</v>
      </c>
      <c r="D11668">
        <v>6</v>
      </c>
      <c r="E11668">
        <f t="shared" si="182"/>
        <v>5.6061903155176211E-26</v>
      </c>
    </row>
    <row r="11669" spans="1:5" x14ac:dyDescent="0.25">
      <c r="A11669">
        <v>15</v>
      </c>
      <c r="B11669">
        <v>5</v>
      </c>
      <c r="C11669">
        <v>23</v>
      </c>
      <c r="D11669">
        <v>5</v>
      </c>
      <c r="E11669">
        <f t="shared" si="182"/>
        <v>3.1443415247903171E-26</v>
      </c>
    </row>
    <row r="11670" spans="1:5" x14ac:dyDescent="0.25">
      <c r="A11670">
        <v>15</v>
      </c>
      <c r="B11670">
        <v>5</v>
      </c>
      <c r="C11670">
        <v>24</v>
      </c>
      <c r="D11670">
        <v>4</v>
      </c>
      <c r="E11670">
        <f t="shared" si="182"/>
        <v>1.310142301995966E-26</v>
      </c>
    </row>
    <row r="11671" spans="1:5" x14ac:dyDescent="0.25">
      <c r="A11671">
        <v>15</v>
      </c>
      <c r="B11671">
        <v>5</v>
      </c>
      <c r="C11671">
        <v>25</v>
      </c>
      <c r="D11671">
        <v>3</v>
      </c>
      <c r="E11671">
        <f t="shared" si="182"/>
        <v>3.9066061368606988E-27</v>
      </c>
    </row>
    <row r="11672" spans="1:5" x14ac:dyDescent="0.25">
      <c r="A11672">
        <v>15</v>
      </c>
      <c r="B11672">
        <v>5</v>
      </c>
      <c r="C11672">
        <v>26</v>
      </c>
      <c r="D11672">
        <v>2</v>
      </c>
      <c r="E11672">
        <f t="shared" si="182"/>
        <v>7.839343418449557E-28</v>
      </c>
    </row>
    <row r="11673" spans="1:5" x14ac:dyDescent="0.25">
      <c r="A11673">
        <v>15</v>
      </c>
      <c r="B11673">
        <v>5</v>
      </c>
      <c r="C11673">
        <v>27</v>
      </c>
      <c r="D11673">
        <v>1</v>
      </c>
      <c r="E11673">
        <f t="shared" si="182"/>
        <v>9.4362467073929867E-29</v>
      </c>
    </row>
    <row r="11674" spans="1:5" x14ac:dyDescent="0.25">
      <c r="A11674">
        <v>15</v>
      </c>
      <c r="B11674">
        <v>5</v>
      </c>
      <c r="C11674">
        <v>28</v>
      </c>
      <c r="D11674">
        <v>0</v>
      </c>
      <c r="E11674">
        <f t="shared" si="182"/>
        <v>5.1225339268704787E-30</v>
      </c>
    </row>
    <row r="11675" spans="1:5" x14ac:dyDescent="0.25">
      <c r="A11675">
        <v>15</v>
      </c>
      <c r="B11675">
        <v>6</v>
      </c>
      <c r="C11675">
        <v>2</v>
      </c>
      <c r="D11675">
        <v>25</v>
      </c>
      <c r="E11675">
        <f t="shared" si="182"/>
        <v>2.5660357908348646E-43</v>
      </c>
    </row>
    <row r="11676" spans="1:5" x14ac:dyDescent="0.25">
      <c r="A11676">
        <v>15</v>
      </c>
      <c r="B11676">
        <v>6</v>
      </c>
      <c r="C11676">
        <v>3</v>
      </c>
      <c r="D11676">
        <v>24</v>
      </c>
      <c r="E11676">
        <f t="shared" si="182"/>
        <v>1.3471687901883039E-40</v>
      </c>
    </row>
    <row r="11677" spans="1:5" x14ac:dyDescent="0.25">
      <c r="A11677">
        <v>15</v>
      </c>
      <c r="B11677">
        <v>6</v>
      </c>
      <c r="C11677">
        <v>4</v>
      </c>
      <c r="D11677">
        <v>23</v>
      </c>
      <c r="E11677">
        <f t="shared" si="182"/>
        <v>2.5057339497502455E-38</v>
      </c>
    </row>
    <row r="11678" spans="1:5" x14ac:dyDescent="0.25">
      <c r="A11678">
        <v>15</v>
      </c>
      <c r="B11678">
        <v>6</v>
      </c>
      <c r="C11678">
        <v>5</v>
      </c>
      <c r="D11678">
        <v>22</v>
      </c>
      <c r="E11678">
        <f t="shared" si="182"/>
        <v>2.3436964876663966E-36</v>
      </c>
    </row>
    <row r="11679" spans="1:5" x14ac:dyDescent="0.25">
      <c r="A11679">
        <v>15</v>
      </c>
      <c r="B11679">
        <v>6</v>
      </c>
      <c r="C11679">
        <v>6</v>
      </c>
      <c r="D11679">
        <v>21</v>
      </c>
      <c r="E11679">
        <f t="shared" si="182"/>
        <v>1.2890330682165179E-34</v>
      </c>
    </row>
    <row r="11680" spans="1:5" x14ac:dyDescent="0.25">
      <c r="A11680">
        <v>15</v>
      </c>
      <c r="B11680">
        <v>6</v>
      </c>
      <c r="C11680">
        <v>7</v>
      </c>
      <c r="D11680">
        <v>20</v>
      </c>
      <c r="E11680">
        <f t="shared" si="182"/>
        <v>4.5631770614864733E-33</v>
      </c>
    </row>
    <row r="11681" spans="1:5" x14ac:dyDescent="0.25">
      <c r="A11681">
        <v>15</v>
      </c>
      <c r="B11681">
        <v>6</v>
      </c>
      <c r="C11681">
        <v>8</v>
      </c>
      <c r="D11681">
        <v>19</v>
      </c>
      <c r="E11681">
        <f t="shared" si="182"/>
        <v>1.1027677898592311E-31</v>
      </c>
    </row>
    <row r="11682" spans="1:5" x14ac:dyDescent="0.25">
      <c r="A11682">
        <v>15</v>
      </c>
      <c r="B11682">
        <v>6</v>
      </c>
      <c r="C11682">
        <v>9</v>
      </c>
      <c r="D11682">
        <v>18</v>
      </c>
      <c r="E11682">
        <f t="shared" si="182"/>
        <v>1.8957103435199165E-30</v>
      </c>
    </row>
    <row r="11683" spans="1:5" x14ac:dyDescent="0.25">
      <c r="A11683">
        <v>15</v>
      </c>
      <c r="B11683">
        <v>6</v>
      </c>
      <c r="C11683">
        <v>10</v>
      </c>
      <c r="D11683">
        <v>17</v>
      </c>
      <c r="E11683">
        <f t="shared" si="182"/>
        <v>2.3885950328350946E-29</v>
      </c>
    </row>
    <row r="11684" spans="1:5" x14ac:dyDescent="0.25">
      <c r="A11684">
        <v>15</v>
      </c>
      <c r="B11684">
        <v>6</v>
      </c>
      <c r="C11684">
        <v>11</v>
      </c>
      <c r="D11684">
        <v>16</v>
      </c>
      <c r="E11684">
        <f t="shared" si="182"/>
        <v>2.2558953087887009E-28</v>
      </c>
    </row>
    <row r="11685" spans="1:5" x14ac:dyDescent="0.25">
      <c r="A11685">
        <v>15</v>
      </c>
      <c r="B11685">
        <v>6</v>
      </c>
      <c r="C11685">
        <v>12</v>
      </c>
      <c r="D11685">
        <v>15</v>
      </c>
      <c r="E11685">
        <f t="shared" si="182"/>
        <v>1.6242446223278632E-27</v>
      </c>
    </row>
    <row r="11686" spans="1:5" x14ac:dyDescent="0.25">
      <c r="A11686">
        <v>15</v>
      </c>
      <c r="B11686">
        <v>6</v>
      </c>
      <c r="C11686">
        <v>13</v>
      </c>
      <c r="D11686">
        <v>14</v>
      </c>
      <c r="E11686">
        <f t="shared" si="182"/>
        <v>9.0298914318227433E-27</v>
      </c>
    </row>
    <row r="11687" spans="1:5" x14ac:dyDescent="0.25">
      <c r="A11687">
        <v>15</v>
      </c>
      <c r="B11687">
        <v>6</v>
      </c>
      <c r="C11687">
        <v>14</v>
      </c>
      <c r="D11687">
        <v>13</v>
      </c>
      <c r="E11687">
        <f t="shared" si="182"/>
        <v>3.9129529537898569E-26</v>
      </c>
    </row>
    <row r="11688" spans="1:5" x14ac:dyDescent="0.25">
      <c r="A11688">
        <v>15</v>
      </c>
      <c r="B11688">
        <v>6</v>
      </c>
      <c r="C11688">
        <v>15</v>
      </c>
      <c r="D11688">
        <v>12</v>
      </c>
      <c r="E11688">
        <f t="shared" si="182"/>
        <v>1.3304040042885508E-25</v>
      </c>
    </row>
    <row r="11689" spans="1:5" x14ac:dyDescent="0.25">
      <c r="A11689">
        <v>15</v>
      </c>
      <c r="B11689">
        <v>6</v>
      </c>
      <c r="C11689">
        <v>16</v>
      </c>
      <c r="D11689">
        <v>11</v>
      </c>
      <c r="E11689">
        <f t="shared" si="182"/>
        <v>3.5635821543443317E-25</v>
      </c>
    </row>
    <row r="11690" spans="1:5" x14ac:dyDescent="0.25">
      <c r="A11690">
        <v>15</v>
      </c>
      <c r="B11690">
        <v>6</v>
      </c>
      <c r="C11690">
        <v>17</v>
      </c>
      <c r="D11690">
        <v>10</v>
      </c>
      <c r="E11690">
        <f t="shared" si="182"/>
        <v>7.5324344360454729E-25</v>
      </c>
    </row>
    <row r="11691" spans="1:5" x14ac:dyDescent="0.25">
      <c r="A11691">
        <v>15</v>
      </c>
      <c r="B11691">
        <v>6</v>
      </c>
      <c r="C11691">
        <v>18</v>
      </c>
      <c r="D11691">
        <v>9</v>
      </c>
      <c r="E11691">
        <f t="shared" si="182"/>
        <v>1.2554057393409111E-24</v>
      </c>
    </row>
    <row r="11692" spans="1:5" x14ac:dyDescent="0.25">
      <c r="A11692">
        <v>15</v>
      </c>
      <c r="B11692">
        <v>6</v>
      </c>
      <c r="C11692">
        <v>19</v>
      </c>
      <c r="D11692">
        <v>8</v>
      </c>
      <c r="E11692">
        <f t="shared" si="182"/>
        <v>1.6440762468767977E-24</v>
      </c>
    </row>
    <row r="11693" spans="1:5" x14ac:dyDescent="0.25">
      <c r="A11693">
        <v>15</v>
      </c>
      <c r="B11693">
        <v>6</v>
      </c>
      <c r="C11693">
        <v>20</v>
      </c>
      <c r="D11693">
        <v>7</v>
      </c>
      <c r="E11693">
        <f t="shared" si="182"/>
        <v>1.6806112745851729E-24</v>
      </c>
    </row>
    <row r="11694" spans="1:5" x14ac:dyDescent="0.25">
      <c r="A11694">
        <v>15</v>
      </c>
      <c r="B11694">
        <v>6</v>
      </c>
      <c r="C11694">
        <v>21</v>
      </c>
      <c r="D11694">
        <v>6</v>
      </c>
      <c r="E11694">
        <f t="shared" si="182"/>
        <v>1.3267983746725026E-24</v>
      </c>
    </row>
    <row r="11695" spans="1:5" x14ac:dyDescent="0.25">
      <c r="A11695">
        <v>15</v>
      </c>
      <c r="B11695">
        <v>6</v>
      </c>
      <c r="C11695">
        <v>22</v>
      </c>
      <c r="D11695">
        <v>5</v>
      </c>
      <c r="E11695">
        <f t="shared" si="182"/>
        <v>7.9607902480350205E-25</v>
      </c>
    </row>
    <row r="11696" spans="1:5" x14ac:dyDescent="0.25">
      <c r="A11696">
        <v>15</v>
      </c>
      <c r="B11696">
        <v>6</v>
      </c>
      <c r="C11696">
        <v>23</v>
      </c>
      <c r="D11696">
        <v>4</v>
      </c>
      <c r="E11696">
        <f t="shared" si="182"/>
        <v>3.5436229882557549E-25</v>
      </c>
    </row>
    <row r="11697" spans="1:5" x14ac:dyDescent="0.25">
      <c r="A11697">
        <v>15</v>
      </c>
      <c r="B11697">
        <v>6</v>
      </c>
      <c r="C11697">
        <v>24</v>
      </c>
      <c r="D11697">
        <v>3</v>
      </c>
      <c r="E11697">
        <f t="shared" si="182"/>
        <v>1.1275164053541038E-25</v>
      </c>
    </row>
    <row r="11698" spans="1:5" x14ac:dyDescent="0.25">
      <c r="A11698">
        <v>15</v>
      </c>
      <c r="B11698">
        <v>6</v>
      </c>
      <c r="C11698">
        <v>25</v>
      </c>
      <c r="D11698">
        <v>2</v>
      </c>
      <c r="E11698">
        <f t="shared" si="182"/>
        <v>2.4119046584096491E-26</v>
      </c>
    </row>
    <row r="11699" spans="1:5" x14ac:dyDescent="0.25">
      <c r="A11699">
        <v>15</v>
      </c>
      <c r="B11699">
        <v>6</v>
      </c>
      <c r="C11699">
        <v>26</v>
      </c>
      <c r="D11699">
        <v>1</v>
      </c>
      <c r="E11699">
        <f t="shared" si="182"/>
        <v>3.0921854594995476E-27</v>
      </c>
    </row>
    <row r="11700" spans="1:5" x14ac:dyDescent="0.25">
      <c r="A11700">
        <v>15</v>
      </c>
      <c r="B11700">
        <v>6</v>
      </c>
      <c r="C11700">
        <v>27</v>
      </c>
      <c r="D11700">
        <v>0</v>
      </c>
      <c r="E11700">
        <f t="shared" si="182"/>
        <v>1.7865960432664054E-28</v>
      </c>
    </row>
    <row r="11701" spans="1:5" x14ac:dyDescent="0.25">
      <c r="A11701">
        <v>15</v>
      </c>
      <c r="B11701">
        <v>7</v>
      </c>
      <c r="C11701">
        <v>1</v>
      </c>
      <c r="D11701">
        <v>25</v>
      </c>
      <c r="E11701">
        <f t="shared" si="182"/>
        <v>3.2419112893136908E-43</v>
      </c>
    </row>
    <row r="11702" spans="1:5" x14ac:dyDescent="0.25">
      <c r="A11702">
        <v>15</v>
      </c>
      <c r="B11702">
        <v>7</v>
      </c>
      <c r="C11702">
        <v>2</v>
      </c>
      <c r="D11702">
        <v>24</v>
      </c>
      <c r="E11702">
        <f t="shared" si="182"/>
        <v>2.593529031450953E-40</v>
      </c>
    </row>
    <row r="11703" spans="1:5" x14ac:dyDescent="0.25">
      <c r="A11703">
        <v>15</v>
      </c>
      <c r="B11703">
        <v>7</v>
      </c>
      <c r="C11703">
        <v>3</v>
      </c>
      <c r="D11703">
        <v>23</v>
      </c>
      <c r="E11703">
        <f t="shared" si="182"/>
        <v>6.5356931592564009E-38</v>
      </c>
    </row>
    <row r="11704" spans="1:5" x14ac:dyDescent="0.25">
      <c r="A11704">
        <v>15</v>
      </c>
      <c r="B11704">
        <v>7</v>
      </c>
      <c r="C11704">
        <v>4</v>
      </c>
      <c r="D11704">
        <v>22</v>
      </c>
      <c r="E11704">
        <f t="shared" si="182"/>
        <v>7.7665820375830236E-36</v>
      </c>
    </row>
    <row r="11705" spans="1:5" x14ac:dyDescent="0.25">
      <c r="A11705">
        <v>15</v>
      </c>
      <c r="B11705">
        <v>7</v>
      </c>
      <c r="C11705">
        <v>5</v>
      </c>
      <c r="D11705">
        <v>21</v>
      </c>
      <c r="E11705">
        <f t="shared" si="182"/>
        <v>5.2113765472182099E-34</v>
      </c>
    </row>
    <row r="11706" spans="1:5" x14ac:dyDescent="0.25">
      <c r="A11706">
        <v>15</v>
      </c>
      <c r="B11706">
        <v>7</v>
      </c>
      <c r="C11706">
        <v>6</v>
      </c>
      <c r="D11706">
        <v>20</v>
      </c>
      <c r="E11706">
        <f t="shared" si="182"/>
        <v>2.1887781498316472E-32</v>
      </c>
    </row>
    <row r="11707" spans="1:5" x14ac:dyDescent="0.25">
      <c r="A11707">
        <v>15</v>
      </c>
      <c r="B11707">
        <v>7</v>
      </c>
      <c r="C11707">
        <v>7</v>
      </c>
      <c r="D11707">
        <v>19</v>
      </c>
      <c r="E11707">
        <f t="shared" si="182"/>
        <v>6.1494243257174842E-31</v>
      </c>
    </row>
    <row r="11708" spans="1:5" x14ac:dyDescent="0.25">
      <c r="A11708">
        <v>15</v>
      </c>
      <c r="B11708">
        <v>7</v>
      </c>
      <c r="C11708">
        <v>8</v>
      </c>
      <c r="D11708">
        <v>18</v>
      </c>
      <c r="E11708">
        <f t="shared" si="182"/>
        <v>1.2101188583822631E-29</v>
      </c>
    </row>
    <row r="11709" spans="1:5" x14ac:dyDescent="0.25">
      <c r="A11709">
        <v>15</v>
      </c>
      <c r="B11709">
        <v>7</v>
      </c>
      <c r="C11709">
        <v>9</v>
      </c>
      <c r="D11709">
        <v>17</v>
      </c>
      <c r="E11709">
        <f t="shared" si="182"/>
        <v>1.7244193731947236E-28</v>
      </c>
    </row>
    <row r="11710" spans="1:5" x14ac:dyDescent="0.25">
      <c r="A11710">
        <v>15</v>
      </c>
      <c r="B11710">
        <v>7</v>
      </c>
      <c r="C11710">
        <v>10</v>
      </c>
      <c r="D11710">
        <v>16</v>
      </c>
      <c r="E11710">
        <f t="shared" si="182"/>
        <v>1.8240524925348638E-27</v>
      </c>
    </row>
    <row r="11711" spans="1:5" x14ac:dyDescent="0.25">
      <c r="A11711">
        <v>15</v>
      </c>
      <c r="B11711">
        <v>7</v>
      </c>
      <c r="C11711">
        <v>11</v>
      </c>
      <c r="D11711">
        <v>15</v>
      </c>
      <c r="E11711">
        <f t="shared" si="182"/>
        <v>1.4592419940278911E-26</v>
      </c>
    </row>
    <row r="11712" spans="1:5" x14ac:dyDescent="0.25">
      <c r="A11712">
        <v>15</v>
      </c>
      <c r="B11712">
        <v>7</v>
      </c>
      <c r="C11712">
        <v>12</v>
      </c>
      <c r="D11712">
        <v>14</v>
      </c>
      <c r="E11712">
        <f t="shared" si="182"/>
        <v>8.9544395088075079E-26</v>
      </c>
    </row>
    <row r="11713" spans="1:5" x14ac:dyDescent="0.25">
      <c r="A11713">
        <v>15</v>
      </c>
      <c r="B11713">
        <v>7</v>
      </c>
      <c r="C11713">
        <v>13</v>
      </c>
      <c r="D11713">
        <v>13</v>
      </c>
      <c r="E11713">
        <f t="shared" si="182"/>
        <v>4.2590987920097279E-25</v>
      </c>
    </row>
    <row r="11714" spans="1:5" x14ac:dyDescent="0.25">
      <c r="A11714">
        <v>15</v>
      </c>
      <c r="B11714">
        <v>7</v>
      </c>
      <c r="C11714">
        <v>14</v>
      </c>
      <c r="D11714">
        <v>12</v>
      </c>
      <c r="E11714">
        <f t="shared" si="182"/>
        <v>1.5819509798893279E-24</v>
      </c>
    </row>
    <row r="11715" spans="1:5" x14ac:dyDescent="0.25">
      <c r="A11715">
        <v>15</v>
      </c>
      <c r="B11715">
        <v>7</v>
      </c>
      <c r="C11715">
        <v>15</v>
      </c>
      <c r="D11715">
        <v>11</v>
      </c>
      <c r="E11715">
        <f t="shared" si="182"/>
        <v>4.6102571413917526E-24</v>
      </c>
    </row>
    <row r="11716" spans="1:5" x14ac:dyDescent="0.25">
      <c r="A11716">
        <v>15</v>
      </c>
      <c r="B11716">
        <v>7</v>
      </c>
      <c r="C11716">
        <v>16</v>
      </c>
      <c r="D11716">
        <v>10</v>
      </c>
      <c r="E11716">
        <f t="shared" si="182"/>
        <v>1.0565172615689432E-23</v>
      </c>
    </row>
    <row r="11717" spans="1:5" x14ac:dyDescent="0.25">
      <c r="A11717">
        <v>15</v>
      </c>
      <c r="B11717">
        <v>7</v>
      </c>
      <c r="C11717">
        <v>17</v>
      </c>
      <c r="D11717">
        <v>9</v>
      </c>
      <c r="E11717">
        <f t="shared" si="182"/>
        <v>1.9032847726793476E-23</v>
      </c>
    </row>
    <row r="11718" spans="1:5" x14ac:dyDescent="0.25">
      <c r="A11718">
        <v>15</v>
      </c>
      <c r="B11718">
        <v>7</v>
      </c>
      <c r="C11718">
        <v>18</v>
      </c>
      <c r="D11718">
        <v>8</v>
      </c>
      <c r="E11718">
        <f t="shared" si="182"/>
        <v>2.6869902673120179E-23</v>
      </c>
    </row>
    <row r="11719" spans="1:5" x14ac:dyDescent="0.25">
      <c r="A11719">
        <v>15</v>
      </c>
      <c r="B11719">
        <v>7</v>
      </c>
      <c r="C11719">
        <v>19</v>
      </c>
      <c r="D11719">
        <v>7</v>
      </c>
      <c r="E11719">
        <f t="shared" si="182"/>
        <v>2.9541179547056122E-23</v>
      </c>
    </row>
    <row r="11720" spans="1:5" x14ac:dyDescent="0.25">
      <c r="A11720">
        <v>15</v>
      </c>
      <c r="B11720">
        <v>7</v>
      </c>
      <c r="C11720">
        <v>20</v>
      </c>
      <c r="D11720">
        <v>6</v>
      </c>
      <c r="E11720">
        <f t="shared" si="182"/>
        <v>2.5032262668821247E-23</v>
      </c>
    </row>
    <row r="11721" spans="1:5" x14ac:dyDescent="0.25">
      <c r="A11721">
        <v>15</v>
      </c>
      <c r="B11721">
        <v>7</v>
      </c>
      <c r="C11721">
        <v>21</v>
      </c>
      <c r="D11721">
        <v>5</v>
      </c>
      <c r="E11721">
        <f t="shared" si="182"/>
        <v>1.6092168858527925E-23</v>
      </c>
    </row>
    <row r="11722" spans="1:5" x14ac:dyDescent="0.25">
      <c r="A11722">
        <v>15</v>
      </c>
      <c r="B11722">
        <v>7</v>
      </c>
      <c r="C11722">
        <v>22</v>
      </c>
      <c r="D11722">
        <v>4</v>
      </c>
      <c r="E11722">
        <f t="shared" si="182"/>
        <v>7.6629375516799718E-24</v>
      </c>
    </row>
    <row r="11723" spans="1:5" x14ac:dyDescent="0.25">
      <c r="A11723">
        <v>15</v>
      </c>
      <c r="B11723">
        <v>7</v>
      </c>
      <c r="C11723">
        <v>23</v>
      </c>
      <c r="D11723">
        <v>3</v>
      </c>
      <c r="E11723">
        <f t="shared" si="182"/>
        <v>2.6047930017568279E-24</v>
      </c>
    </row>
    <row r="11724" spans="1:5" x14ac:dyDescent="0.25">
      <c r="A11724">
        <v>15</v>
      </c>
      <c r="B11724">
        <v>7</v>
      </c>
      <c r="C11724">
        <v>24</v>
      </c>
      <c r="D11724">
        <v>2</v>
      </c>
      <c r="E11724">
        <f t="shared" si="182"/>
        <v>5.9457231561840611E-25</v>
      </c>
    </row>
    <row r="11725" spans="1:5" x14ac:dyDescent="0.25">
      <c r="A11725">
        <v>15</v>
      </c>
      <c r="B11725">
        <v>7</v>
      </c>
      <c r="C11725">
        <v>25</v>
      </c>
      <c r="D11725">
        <v>1</v>
      </c>
      <c r="E11725">
        <f t="shared" si="182"/>
        <v>8.1258216467848894E-26</v>
      </c>
    </row>
    <row r="11726" spans="1:5" x14ac:dyDescent="0.25">
      <c r="A11726">
        <v>15</v>
      </c>
      <c r="B11726">
        <v>7</v>
      </c>
      <c r="C11726">
        <v>26</v>
      </c>
      <c r="D11726">
        <v>0</v>
      </c>
      <c r="E11726">
        <f t="shared" ref="E11726:E11789" si="183">COMBIN(A$4,A11726)*COMBIN(B$4,B11726)*COMBIN(C$4,C11726)*COMBIN(D$4,D11726)/COMBIN($G$4,$F$4)</f>
        <v>5.0005056287906976E-27</v>
      </c>
    </row>
    <row r="11727" spans="1:5" x14ac:dyDescent="0.25">
      <c r="A11727">
        <v>15</v>
      </c>
      <c r="B11727">
        <v>8</v>
      </c>
      <c r="C11727">
        <v>0</v>
      </c>
      <c r="D11727">
        <v>25</v>
      </c>
      <c r="E11727">
        <f t="shared" si="183"/>
        <v>1.7581134299739632E-43</v>
      </c>
    </row>
    <row r="11728" spans="1:5" x14ac:dyDescent="0.25">
      <c r="A11728">
        <v>15</v>
      </c>
      <c r="B11728">
        <v>8</v>
      </c>
      <c r="C11728">
        <v>1</v>
      </c>
      <c r="D11728">
        <v>24</v>
      </c>
      <c r="E11728">
        <f t="shared" si="183"/>
        <v>2.8569343237076904E-40</v>
      </c>
    </row>
    <row r="11729" spans="1:5" x14ac:dyDescent="0.25">
      <c r="A11729">
        <v>15</v>
      </c>
      <c r="B11729">
        <v>8</v>
      </c>
      <c r="C11729">
        <v>2</v>
      </c>
      <c r="D11729">
        <v>23</v>
      </c>
      <c r="E11729">
        <f t="shared" si="183"/>
        <v>1.0970627803037531E-37</v>
      </c>
    </row>
    <row r="11730" spans="1:5" x14ac:dyDescent="0.25">
      <c r="A11730">
        <v>15</v>
      </c>
      <c r="B11730">
        <v>8</v>
      </c>
      <c r="C11730">
        <v>3</v>
      </c>
      <c r="D11730">
        <v>22</v>
      </c>
      <c r="E11730">
        <f t="shared" si="183"/>
        <v>1.7662710762890421E-35</v>
      </c>
    </row>
    <row r="11731" spans="1:5" x14ac:dyDescent="0.25">
      <c r="A11731">
        <v>15</v>
      </c>
      <c r="B11731">
        <v>8</v>
      </c>
      <c r="C11731">
        <v>4</v>
      </c>
      <c r="D11731">
        <v>21</v>
      </c>
      <c r="E11731">
        <f t="shared" si="183"/>
        <v>1.5057460925364088E-33</v>
      </c>
    </row>
    <row r="11732" spans="1:5" x14ac:dyDescent="0.25">
      <c r="A11732">
        <v>15</v>
      </c>
      <c r="B11732">
        <v>8</v>
      </c>
      <c r="C11732">
        <v>5</v>
      </c>
      <c r="D11732">
        <v>20</v>
      </c>
      <c r="E11732">
        <f t="shared" si="183"/>
        <v>7.7154429781565579E-32</v>
      </c>
    </row>
    <row r="11733" spans="1:5" x14ac:dyDescent="0.25">
      <c r="A11733">
        <v>15</v>
      </c>
      <c r="B11733">
        <v>8</v>
      </c>
      <c r="C11733">
        <v>6</v>
      </c>
      <c r="D11733">
        <v>19</v>
      </c>
      <c r="E11733">
        <f t="shared" si="183"/>
        <v>2.5718143260521852E-30</v>
      </c>
    </row>
    <row r="11734" spans="1:5" x14ac:dyDescent="0.25">
      <c r="A11734">
        <v>15</v>
      </c>
      <c r="B11734">
        <v>8</v>
      </c>
      <c r="C11734">
        <v>7</v>
      </c>
      <c r="D11734">
        <v>18</v>
      </c>
      <c r="E11734">
        <f t="shared" si="183"/>
        <v>5.8836813459275531E-29</v>
      </c>
    </row>
    <row r="11735" spans="1:5" x14ac:dyDescent="0.25">
      <c r="A11735">
        <v>15</v>
      </c>
      <c r="B11735">
        <v>8</v>
      </c>
      <c r="C11735">
        <v>8</v>
      </c>
      <c r="D11735">
        <v>17</v>
      </c>
      <c r="E11735">
        <f t="shared" si="183"/>
        <v>9.5977551955443193E-28</v>
      </c>
    </row>
    <row r="11736" spans="1:5" x14ac:dyDescent="0.25">
      <c r="A11736">
        <v>15</v>
      </c>
      <c r="B11736">
        <v>8</v>
      </c>
      <c r="C11736">
        <v>9</v>
      </c>
      <c r="D11736">
        <v>16</v>
      </c>
      <c r="E11736">
        <f t="shared" si="183"/>
        <v>1.1481758993188203E-26</v>
      </c>
    </row>
    <row r="11737" spans="1:5" x14ac:dyDescent="0.25">
      <c r="A11737">
        <v>15</v>
      </c>
      <c r="B11737">
        <v>8</v>
      </c>
      <c r="C11737">
        <v>10</v>
      </c>
      <c r="D11737">
        <v>15</v>
      </c>
      <c r="E11737">
        <f t="shared" si="183"/>
        <v>1.028765605789663E-25</v>
      </c>
    </row>
    <row r="11738" spans="1:5" x14ac:dyDescent="0.25">
      <c r="A11738">
        <v>15</v>
      </c>
      <c r="B11738">
        <v>8</v>
      </c>
      <c r="C11738">
        <v>11</v>
      </c>
      <c r="D11738">
        <v>14</v>
      </c>
      <c r="E11738">
        <f t="shared" si="183"/>
        <v>7.0143109485658862E-25</v>
      </c>
    </row>
    <row r="11739" spans="1:5" x14ac:dyDescent="0.25">
      <c r="A11739">
        <v>15</v>
      </c>
      <c r="B11739">
        <v>8</v>
      </c>
      <c r="C11739">
        <v>12</v>
      </c>
      <c r="D11739">
        <v>13</v>
      </c>
      <c r="E11739">
        <f t="shared" si="183"/>
        <v>3.6825132479970889E-24</v>
      </c>
    </row>
    <row r="11740" spans="1:5" x14ac:dyDescent="0.25">
      <c r="A11740">
        <v>15</v>
      </c>
      <c r="B11740">
        <v>8</v>
      </c>
      <c r="C11740">
        <v>13</v>
      </c>
      <c r="D11740">
        <v>12</v>
      </c>
      <c r="E11740">
        <f t="shared" si="183"/>
        <v>1.5013323241834289E-23</v>
      </c>
    </row>
    <row r="11741" spans="1:5" x14ac:dyDescent="0.25">
      <c r="A11741">
        <v>15</v>
      </c>
      <c r="B11741">
        <v>8</v>
      </c>
      <c r="C11741">
        <v>14</v>
      </c>
      <c r="D11741">
        <v>11</v>
      </c>
      <c r="E11741">
        <f t="shared" si="183"/>
        <v>4.7797518892370398E-23</v>
      </c>
    </row>
    <row r="11742" spans="1:5" x14ac:dyDescent="0.25">
      <c r="A11742">
        <v>15</v>
      </c>
      <c r="B11742">
        <v>8</v>
      </c>
      <c r="C11742">
        <v>15</v>
      </c>
      <c r="D11742">
        <v>10</v>
      </c>
      <c r="E11742">
        <f t="shared" si="183"/>
        <v>1.1917514710497679E-22</v>
      </c>
    </row>
    <row r="11743" spans="1:5" x14ac:dyDescent="0.25">
      <c r="A11743">
        <v>15</v>
      </c>
      <c r="B11743">
        <v>8</v>
      </c>
      <c r="C11743">
        <v>16</v>
      </c>
      <c r="D11743">
        <v>9</v>
      </c>
      <c r="E11743">
        <f t="shared" si="183"/>
        <v>2.3276395918940781E-22</v>
      </c>
    </row>
    <row r="11744" spans="1:5" x14ac:dyDescent="0.25">
      <c r="A11744">
        <v>15</v>
      </c>
      <c r="B11744">
        <v>8</v>
      </c>
      <c r="C11744">
        <v>17</v>
      </c>
      <c r="D11744">
        <v>8</v>
      </c>
      <c r="E11744">
        <f t="shared" si="183"/>
        <v>3.5518652596030767E-22</v>
      </c>
    </row>
    <row r="11745" spans="1:5" x14ac:dyDescent="0.25">
      <c r="A11745">
        <v>15</v>
      </c>
      <c r="B11745">
        <v>8</v>
      </c>
      <c r="C11745">
        <v>18</v>
      </c>
      <c r="D11745">
        <v>7</v>
      </c>
      <c r="E11745">
        <f t="shared" si="183"/>
        <v>4.2096180854554956E-22</v>
      </c>
    </row>
    <row r="11746" spans="1:5" x14ac:dyDescent="0.25">
      <c r="A11746">
        <v>15</v>
      </c>
      <c r="B11746">
        <v>8</v>
      </c>
      <c r="C11746">
        <v>19</v>
      </c>
      <c r="D11746">
        <v>6</v>
      </c>
      <c r="E11746">
        <f t="shared" si="183"/>
        <v>3.8364663438084712E-22</v>
      </c>
    </row>
    <row r="11747" spans="1:5" x14ac:dyDescent="0.25">
      <c r="A11747">
        <v>15</v>
      </c>
      <c r="B11747">
        <v>8</v>
      </c>
      <c r="C11747">
        <v>20</v>
      </c>
      <c r="D11747">
        <v>5</v>
      </c>
      <c r="E11747">
        <f t="shared" si="183"/>
        <v>2.6471617772278474E-22</v>
      </c>
    </row>
    <row r="11748" spans="1:5" x14ac:dyDescent="0.25">
      <c r="A11748">
        <v>15</v>
      </c>
      <c r="B11748">
        <v>8</v>
      </c>
      <c r="C11748">
        <v>21</v>
      </c>
      <c r="D11748">
        <v>4</v>
      </c>
      <c r="E11748">
        <f t="shared" si="183"/>
        <v>1.3505927434835941E-22</v>
      </c>
    </row>
    <row r="11749" spans="1:5" x14ac:dyDescent="0.25">
      <c r="A11749">
        <v>15</v>
      </c>
      <c r="B11749">
        <v>8</v>
      </c>
      <c r="C11749">
        <v>22</v>
      </c>
      <c r="D11749">
        <v>3</v>
      </c>
      <c r="E11749">
        <f t="shared" si="183"/>
        <v>4.9112463399403451E-23</v>
      </c>
    </row>
    <row r="11750" spans="1:5" x14ac:dyDescent="0.25">
      <c r="A11750">
        <v>15</v>
      </c>
      <c r="B11750">
        <v>8</v>
      </c>
      <c r="C11750">
        <v>23</v>
      </c>
      <c r="D11750">
        <v>2</v>
      </c>
      <c r="E11750">
        <f t="shared" si="183"/>
        <v>1.1976385214599325E-23</v>
      </c>
    </row>
    <row r="11751" spans="1:5" x14ac:dyDescent="0.25">
      <c r="A11751">
        <v>15</v>
      </c>
      <c r="B11751">
        <v>8</v>
      </c>
      <c r="C11751">
        <v>24</v>
      </c>
      <c r="D11751">
        <v>1</v>
      </c>
      <c r="E11751">
        <f t="shared" si="183"/>
        <v>1.7465561771290684E-24</v>
      </c>
    </row>
    <row r="11752" spans="1:5" x14ac:dyDescent="0.25">
      <c r="A11752">
        <v>15</v>
      </c>
      <c r="B11752">
        <v>8</v>
      </c>
      <c r="C11752">
        <v>25</v>
      </c>
      <c r="D11752">
        <v>0</v>
      </c>
      <c r="E11752">
        <f t="shared" si="183"/>
        <v>1.1457408521966692E-25</v>
      </c>
    </row>
    <row r="11753" spans="1:5" x14ac:dyDescent="0.25">
      <c r="A11753">
        <v>15</v>
      </c>
      <c r="B11753">
        <v>9</v>
      </c>
      <c r="C11753">
        <v>0</v>
      </c>
      <c r="D11753">
        <v>24</v>
      </c>
      <c r="E11753">
        <f t="shared" si="183"/>
        <v>1.3723052050630099E-40</v>
      </c>
    </row>
    <row r="11754" spans="1:5" x14ac:dyDescent="0.25">
      <c r="A11754">
        <v>15</v>
      </c>
      <c r="B11754">
        <v>9</v>
      </c>
      <c r="C11754">
        <v>1</v>
      </c>
      <c r="D11754">
        <v>23</v>
      </c>
      <c r="E11754">
        <f t="shared" si="183"/>
        <v>1.0703980599491478E-37</v>
      </c>
    </row>
    <row r="11755" spans="1:5" x14ac:dyDescent="0.25">
      <c r="A11755">
        <v>15</v>
      </c>
      <c r="B11755">
        <v>9</v>
      </c>
      <c r="C11755">
        <v>2</v>
      </c>
      <c r="D11755">
        <v>22</v>
      </c>
      <c r="E11755">
        <f t="shared" si="183"/>
        <v>2.6260432404085759E-35</v>
      </c>
    </row>
    <row r="11756" spans="1:5" x14ac:dyDescent="0.25">
      <c r="A11756">
        <v>15</v>
      </c>
      <c r="B11756">
        <v>9</v>
      </c>
      <c r="C11756">
        <v>3</v>
      </c>
      <c r="D11756">
        <v>21</v>
      </c>
      <c r="E11756">
        <f t="shared" si="183"/>
        <v>3.0330799426719058E-33</v>
      </c>
    </row>
    <row r="11757" spans="1:5" x14ac:dyDescent="0.25">
      <c r="A11757">
        <v>15</v>
      </c>
      <c r="B11757">
        <v>9</v>
      </c>
      <c r="C11757">
        <v>4</v>
      </c>
      <c r="D11757">
        <v>20</v>
      </c>
      <c r="E11757">
        <f t="shared" si="183"/>
        <v>1.9745350426794095E-31</v>
      </c>
    </row>
    <row r="11758" spans="1:5" x14ac:dyDescent="0.25">
      <c r="A11758">
        <v>15</v>
      </c>
      <c r="B11758">
        <v>9</v>
      </c>
      <c r="C11758">
        <v>5</v>
      </c>
      <c r="D11758">
        <v>19</v>
      </c>
      <c r="E11758">
        <f t="shared" si="183"/>
        <v>8.0297758402296021E-30</v>
      </c>
    </row>
    <row r="11759" spans="1:5" x14ac:dyDescent="0.25">
      <c r="A11759">
        <v>15</v>
      </c>
      <c r="B11759">
        <v>9</v>
      </c>
      <c r="C11759">
        <v>6</v>
      </c>
      <c r="D11759">
        <v>18</v>
      </c>
      <c r="E11759">
        <f t="shared" si="183"/>
        <v>2.1795105852051779E-28</v>
      </c>
    </row>
    <row r="11760" spans="1:5" x14ac:dyDescent="0.25">
      <c r="A11760">
        <v>15</v>
      </c>
      <c r="B11760">
        <v>9</v>
      </c>
      <c r="C11760">
        <v>7</v>
      </c>
      <c r="D11760">
        <v>17</v>
      </c>
      <c r="E11760">
        <f t="shared" si="183"/>
        <v>4.1332861455141039E-27</v>
      </c>
    </row>
    <row r="11761" spans="1:5" x14ac:dyDescent="0.25">
      <c r="A11761">
        <v>15</v>
      </c>
      <c r="B11761">
        <v>9</v>
      </c>
      <c r="C11761">
        <v>8</v>
      </c>
      <c r="D11761">
        <v>16</v>
      </c>
      <c r="E11761">
        <f t="shared" si="183"/>
        <v>5.6603057492734833E-26</v>
      </c>
    </row>
    <row r="11762" spans="1:5" x14ac:dyDescent="0.25">
      <c r="A11762">
        <v>15</v>
      </c>
      <c r="B11762">
        <v>9</v>
      </c>
      <c r="C11762">
        <v>9</v>
      </c>
      <c r="D11762">
        <v>15</v>
      </c>
      <c r="E11762">
        <f t="shared" si="183"/>
        <v>5.735776492597127E-25</v>
      </c>
    </row>
    <row r="11763" spans="1:5" x14ac:dyDescent="0.25">
      <c r="A11763">
        <v>15</v>
      </c>
      <c r="B11763">
        <v>9</v>
      </c>
      <c r="C11763">
        <v>10</v>
      </c>
      <c r="D11763">
        <v>14</v>
      </c>
      <c r="E11763">
        <f t="shared" si="183"/>
        <v>4.3800475034378083E-24</v>
      </c>
    </row>
    <row r="11764" spans="1:5" x14ac:dyDescent="0.25">
      <c r="A11764">
        <v>15</v>
      </c>
      <c r="B11764">
        <v>9</v>
      </c>
      <c r="C11764">
        <v>11</v>
      </c>
      <c r="D11764">
        <v>13</v>
      </c>
      <c r="E11764">
        <f t="shared" si="183"/>
        <v>2.5550277103387218E-23</v>
      </c>
    </row>
    <row r="11765" spans="1:5" x14ac:dyDescent="0.25">
      <c r="A11765">
        <v>15</v>
      </c>
      <c r="B11765">
        <v>9</v>
      </c>
      <c r="C11765">
        <v>12</v>
      </c>
      <c r="D11765">
        <v>12</v>
      </c>
      <c r="E11765">
        <f t="shared" si="183"/>
        <v>1.1497624696524241E-22</v>
      </c>
    </row>
    <row r="11766" spans="1:5" x14ac:dyDescent="0.25">
      <c r="A11766">
        <v>15</v>
      </c>
      <c r="B11766">
        <v>9</v>
      </c>
      <c r="C11766">
        <v>13</v>
      </c>
      <c r="D11766">
        <v>11</v>
      </c>
      <c r="E11766">
        <f t="shared" si="183"/>
        <v>4.0178512675766045E-22</v>
      </c>
    </row>
    <row r="11767" spans="1:5" x14ac:dyDescent="0.25">
      <c r="A11767">
        <v>15</v>
      </c>
      <c r="B11767">
        <v>9</v>
      </c>
      <c r="C11767">
        <v>14</v>
      </c>
      <c r="D11767">
        <v>10</v>
      </c>
      <c r="E11767">
        <f t="shared" si="183"/>
        <v>1.0943861547875321E-21</v>
      </c>
    </row>
    <row r="11768" spans="1:5" x14ac:dyDescent="0.25">
      <c r="A11768">
        <v>15</v>
      </c>
      <c r="B11768">
        <v>9</v>
      </c>
      <c r="C11768">
        <v>15</v>
      </c>
      <c r="D11768">
        <v>9</v>
      </c>
      <c r="E11768">
        <f t="shared" si="183"/>
        <v>2.3255705789235053E-21</v>
      </c>
    </row>
    <row r="11769" spans="1:5" x14ac:dyDescent="0.25">
      <c r="A11769">
        <v>15</v>
      </c>
      <c r="B11769">
        <v>9</v>
      </c>
      <c r="C11769">
        <v>16</v>
      </c>
      <c r="D11769">
        <v>8</v>
      </c>
      <c r="E11769">
        <f t="shared" si="183"/>
        <v>3.8474513254249173E-21</v>
      </c>
    </row>
    <row r="11770" spans="1:5" x14ac:dyDescent="0.25">
      <c r="A11770">
        <v>15</v>
      </c>
      <c r="B11770">
        <v>9</v>
      </c>
      <c r="C11770">
        <v>17</v>
      </c>
      <c r="D11770">
        <v>7</v>
      </c>
      <c r="E11770">
        <f t="shared" si="183"/>
        <v>4.9287611750541465E-21</v>
      </c>
    </row>
    <row r="11771" spans="1:5" x14ac:dyDescent="0.25">
      <c r="A11771">
        <v>15</v>
      </c>
      <c r="B11771">
        <v>9</v>
      </c>
      <c r="C11771">
        <v>18</v>
      </c>
      <c r="D11771">
        <v>6</v>
      </c>
      <c r="E11771">
        <f t="shared" si="183"/>
        <v>4.8422916807549441E-21</v>
      </c>
    </row>
    <row r="11772" spans="1:5" x14ac:dyDescent="0.25">
      <c r="A11772">
        <v>15</v>
      </c>
      <c r="B11772">
        <v>9</v>
      </c>
      <c r="C11772">
        <v>19</v>
      </c>
      <c r="D11772">
        <v>5</v>
      </c>
      <c r="E11772">
        <f t="shared" si="183"/>
        <v>3.5934901420339342E-21</v>
      </c>
    </row>
    <row r="11773" spans="1:5" x14ac:dyDescent="0.25">
      <c r="A11773">
        <v>15</v>
      </c>
      <c r="B11773">
        <v>9</v>
      </c>
      <c r="C11773">
        <v>20</v>
      </c>
      <c r="D11773">
        <v>4</v>
      </c>
      <c r="E11773">
        <f t="shared" si="183"/>
        <v>1.9678636492090614E-21</v>
      </c>
    </row>
    <row r="11774" spans="1:5" x14ac:dyDescent="0.25">
      <c r="A11774">
        <v>15</v>
      </c>
      <c r="B11774">
        <v>9</v>
      </c>
      <c r="C11774">
        <v>21</v>
      </c>
      <c r="D11774">
        <v>3</v>
      </c>
      <c r="E11774">
        <f t="shared" si="183"/>
        <v>7.6670012306846447E-22</v>
      </c>
    </row>
    <row r="11775" spans="1:5" x14ac:dyDescent="0.25">
      <c r="A11775">
        <v>15</v>
      </c>
      <c r="B11775">
        <v>9</v>
      </c>
      <c r="C11775">
        <v>22</v>
      </c>
      <c r="D11775">
        <v>2</v>
      </c>
      <c r="E11775">
        <f t="shared" si="183"/>
        <v>2.0000872775699087E-22</v>
      </c>
    </row>
    <row r="11776" spans="1:5" x14ac:dyDescent="0.25">
      <c r="A11776">
        <v>15</v>
      </c>
      <c r="B11776">
        <v>9</v>
      </c>
      <c r="C11776">
        <v>23</v>
      </c>
      <c r="D11776">
        <v>1</v>
      </c>
      <c r="E11776">
        <f t="shared" si="183"/>
        <v>3.1160780049096394E-23</v>
      </c>
    </row>
    <row r="11777" spans="1:5" x14ac:dyDescent="0.25">
      <c r="A11777">
        <v>15</v>
      </c>
      <c r="B11777">
        <v>9</v>
      </c>
      <c r="C11777">
        <v>24</v>
      </c>
      <c r="D11777">
        <v>0</v>
      </c>
      <c r="E11777">
        <f t="shared" si="183"/>
        <v>2.1812546034367473E-24</v>
      </c>
    </row>
    <row r="11778" spans="1:5" x14ac:dyDescent="0.25">
      <c r="A11778">
        <v>15</v>
      </c>
      <c r="B11778">
        <v>10</v>
      </c>
      <c r="C11778">
        <v>0</v>
      </c>
      <c r="D11778">
        <v>23</v>
      </c>
      <c r="E11778">
        <f t="shared" si="183"/>
        <v>4.6109454890117144E-38</v>
      </c>
    </row>
    <row r="11779" spans="1:5" x14ac:dyDescent="0.25">
      <c r="A11779">
        <v>15</v>
      </c>
      <c r="B11779">
        <v>10</v>
      </c>
      <c r="C11779">
        <v>1</v>
      </c>
      <c r="D11779">
        <v>22</v>
      </c>
      <c r="E11779">
        <f t="shared" si="183"/>
        <v>2.2977878353575041E-35</v>
      </c>
    </row>
    <row r="11780" spans="1:5" x14ac:dyDescent="0.25">
      <c r="A11780">
        <v>15</v>
      </c>
      <c r="B11780">
        <v>10</v>
      </c>
      <c r="C11780">
        <v>2</v>
      </c>
      <c r="D11780">
        <v>21</v>
      </c>
      <c r="E11780">
        <f t="shared" si="183"/>
        <v>4.0441065902292084E-33</v>
      </c>
    </row>
    <row r="11781" spans="1:5" x14ac:dyDescent="0.25">
      <c r="A11781">
        <v>15</v>
      </c>
      <c r="B11781">
        <v>10</v>
      </c>
      <c r="C11781">
        <v>3</v>
      </c>
      <c r="D11781">
        <v>20</v>
      </c>
      <c r="E11781">
        <f t="shared" si="183"/>
        <v>3.5669020125821604E-31</v>
      </c>
    </row>
    <row r="11782" spans="1:5" x14ac:dyDescent="0.25">
      <c r="A11782">
        <v>15</v>
      </c>
      <c r="B11782">
        <v>10</v>
      </c>
      <c r="C11782">
        <v>4</v>
      </c>
      <c r="D11782">
        <v>19</v>
      </c>
      <c r="E11782">
        <f t="shared" si="183"/>
        <v>1.8428993731674497E-29</v>
      </c>
    </row>
    <row r="11783" spans="1:5" x14ac:dyDescent="0.25">
      <c r="A11783">
        <v>15</v>
      </c>
      <c r="B11783">
        <v>10</v>
      </c>
      <c r="C11783">
        <v>5</v>
      </c>
      <c r="D11783">
        <v>18</v>
      </c>
      <c r="E11783">
        <f t="shared" si="183"/>
        <v>6.1026296385745012E-28</v>
      </c>
    </row>
    <row r="11784" spans="1:5" x14ac:dyDescent="0.25">
      <c r="A11784">
        <v>15</v>
      </c>
      <c r="B11784">
        <v>10</v>
      </c>
      <c r="C11784">
        <v>6</v>
      </c>
      <c r="D11784">
        <v>17</v>
      </c>
      <c r="E11784">
        <f t="shared" si="183"/>
        <v>1.3730916686792623E-26</v>
      </c>
    </row>
    <row r="11785" spans="1:5" x14ac:dyDescent="0.25">
      <c r="A11785">
        <v>15</v>
      </c>
      <c r="B11785">
        <v>10</v>
      </c>
      <c r="C11785">
        <v>7</v>
      </c>
      <c r="D11785">
        <v>16</v>
      </c>
      <c r="E11785">
        <f t="shared" si="183"/>
        <v>2.1860491169607935E-25</v>
      </c>
    </row>
    <row r="11786" spans="1:5" x14ac:dyDescent="0.25">
      <c r="A11786">
        <v>15</v>
      </c>
      <c r="B11786">
        <v>10</v>
      </c>
      <c r="C11786">
        <v>8</v>
      </c>
      <c r="D11786">
        <v>15</v>
      </c>
      <c r="E11786">
        <f t="shared" si="183"/>
        <v>2.5358169756745207E-24</v>
      </c>
    </row>
    <row r="11787" spans="1:5" x14ac:dyDescent="0.25">
      <c r="A11787">
        <v>15</v>
      </c>
      <c r="B11787">
        <v>10</v>
      </c>
      <c r="C11787">
        <v>9</v>
      </c>
      <c r="D11787">
        <v>14</v>
      </c>
      <c r="E11787">
        <f t="shared" si="183"/>
        <v>2.1900237517189039E-23</v>
      </c>
    </row>
    <row r="11788" spans="1:5" x14ac:dyDescent="0.25">
      <c r="A11788">
        <v>15</v>
      </c>
      <c r="B11788">
        <v>10</v>
      </c>
      <c r="C11788">
        <v>10</v>
      </c>
      <c r="D11788">
        <v>13</v>
      </c>
      <c r="E11788">
        <f t="shared" si="183"/>
        <v>1.4308155177896846E-22</v>
      </c>
    </row>
    <row r="11789" spans="1:5" x14ac:dyDescent="0.25">
      <c r="A11789">
        <v>15</v>
      </c>
      <c r="B11789">
        <v>10</v>
      </c>
      <c r="C11789">
        <v>11</v>
      </c>
      <c r="D11789">
        <v>12</v>
      </c>
      <c r="E11789">
        <f t="shared" si="183"/>
        <v>7.1540775889484236E-22</v>
      </c>
    </row>
    <row r="11790" spans="1:5" x14ac:dyDescent="0.25">
      <c r="A11790">
        <v>15</v>
      </c>
      <c r="B11790">
        <v>10</v>
      </c>
      <c r="C11790">
        <v>12</v>
      </c>
      <c r="D11790">
        <v>11</v>
      </c>
      <c r="E11790">
        <f t="shared" ref="E11790:E11853" si="184">COMBIN(A$4,A11790)*COMBIN(B$4,B11790)*COMBIN(C$4,C11790)*COMBIN(D$4,D11790)/COMBIN($G$4,$F$4)</f>
        <v>2.7594299271658179E-21</v>
      </c>
    </row>
    <row r="11791" spans="1:5" x14ac:dyDescent="0.25">
      <c r="A11791">
        <v>15</v>
      </c>
      <c r="B11791">
        <v>10</v>
      </c>
      <c r="C11791">
        <v>13</v>
      </c>
      <c r="D11791">
        <v>10</v>
      </c>
      <c r="E11791">
        <f t="shared" si="184"/>
        <v>8.2499879360906279E-21</v>
      </c>
    </row>
    <row r="11792" spans="1:5" x14ac:dyDescent="0.25">
      <c r="A11792">
        <v>15</v>
      </c>
      <c r="B11792">
        <v>10</v>
      </c>
      <c r="C11792">
        <v>14</v>
      </c>
      <c r="D11792">
        <v>9</v>
      </c>
      <c r="E11792">
        <f t="shared" si="184"/>
        <v>1.9151757708781824E-20</v>
      </c>
    </row>
    <row r="11793" spans="1:5" x14ac:dyDescent="0.25">
      <c r="A11793">
        <v>15</v>
      </c>
      <c r="B11793">
        <v>10</v>
      </c>
      <c r="C11793">
        <v>15</v>
      </c>
      <c r="D11793">
        <v>8</v>
      </c>
      <c r="E11793">
        <f t="shared" si="184"/>
        <v>3.4473163875807267E-20</v>
      </c>
    </row>
    <row r="11794" spans="1:5" x14ac:dyDescent="0.25">
      <c r="A11794">
        <v>15</v>
      </c>
      <c r="B11794">
        <v>10</v>
      </c>
      <c r="C11794">
        <v>16</v>
      </c>
      <c r="D11794">
        <v>7</v>
      </c>
      <c r="E11794">
        <f t="shared" si="184"/>
        <v>4.7879394271954556E-20</v>
      </c>
    </row>
    <row r="11795" spans="1:5" x14ac:dyDescent="0.25">
      <c r="A11795">
        <v>15</v>
      </c>
      <c r="B11795">
        <v>10</v>
      </c>
      <c r="C11795">
        <v>17</v>
      </c>
      <c r="D11795">
        <v>6</v>
      </c>
      <c r="E11795">
        <f t="shared" si="184"/>
        <v>5.0844062647926972E-20</v>
      </c>
    </row>
    <row r="11796" spans="1:5" x14ac:dyDescent="0.25">
      <c r="A11796">
        <v>15</v>
      </c>
      <c r="B11796">
        <v>10</v>
      </c>
      <c r="C11796">
        <v>18</v>
      </c>
      <c r="D11796">
        <v>5</v>
      </c>
      <c r="E11796">
        <f t="shared" si="184"/>
        <v>4.0675250118341552E-20</v>
      </c>
    </row>
    <row r="11797" spans="1:5" x14ac:dyDescent="0.25">
      <c r="A11797">
        <v>15</v>
      </c>
      <c r="B11797">
        <v>10</v>
      </c>
      <c r="C11797">
        <v>19</v>
      </c>
      <c r="D11797">
        <v>4</v>
      </c>
      <c r="E11797">
        <f t="shared" si="184"/>
        <v>2.3956600946892907E-20</v>
      </c>
    </row>
    <row r="11798" spans="1:5" x14ac:dyDescent="0.25">
      <c r="A11798">
        <v>15</v>
      </c>
      <c r="B11798">
        <v>10</v>
      </c>
      <c r="C11798">
        <v>20</v>
      </c>
      <c r="D11798">
        <v>3</v>
      </c>
      <c r="E11798">
        <f t="shared" si="184"/>
        <v>1.001821494142795E-20</v>
      </c>
    </row>
    <row r="11799" spans="1:5" x14ac:dyDescent="0.25">
      <c r="A11799">
        <v>15</v>
      </c>
      <c r="B11799">
        <v>10</v>
      </c>
      <c r="C11799">
        <v>21</v>
      </c>
      <c r="D11799">
        <v>2</v>
      </c>
      <c r="E11799">
        <f t="shared" si="184"/>
        <v>2.8001221885978708E-21</v>
      </c>
    </row>
    <row r="11800" spans="1:5" x14ac:dyDescent="0.25">
      <c r="A11800">
        <v>15</v>
      </c>
      <c r="B11800">
        <v>10</v>
      </c>
      <c r="C11800">
        <v>22</v>
      </c>
      <c r="D11800">
        <v>1</v>
      </c>
      <c r="E11800">
        <f t="shared" si="184"/>
        <v>4.6668703143297865E-22</v>
      </c>
    </row>
    <row r="11801" spans="1:5" x14ac:dyDescent="0.25">
      <c r="A11801">
        <v>15</v>
      </c>
      <c r="B11801">
        <v>10</v>
      </c>
      <c r="C11801">
        <v>23</v>
      </c>
      <c r="D11801">
        <v>0</v>
      </c>
      <c r="E11801">
        <f t="shared" si="184"/>
        <v>3.4900073654987963E-23</v>
      </c>
    </row>
    <row r="11802" spans="1:5" x14ac:dyDescent="0.25">
      <c r="A11802">
        <v>15</v>
      </c>
      <c r="B11802">
        <v>11</v>
      </c>
      <c r="C11802">
        <v>0</v>
      </c>
      <c r="D11802">
        <v>22</v>
      </c>
      <c r="E11802">
        <f t="shared" si="184"/>
        <v>8.9661930918145958E-36</v>
      </c>
    </row>
    <row r="11803" spans="1:5" x14ac:dyDescent="0.25">
      <c r="A11803">
        <v>15</v>
      </c>
      <c r="B11803">
        <v>11</v>
      </c>
      <c r="C11803">
        <v>1</v>
      </c>
      <c r="D11803">
        <v>21</v>
      </c>
      <c r="E11803">
        <f t="shared" si="184"/>
        <v>3.2054140303237184E-33</v>
      </c>
    </row>
    <row r="11804" spans="1:5" x14ac:dyDescent="0.25">
      <c r="A11804">
        <v>15</v>
      </c>
      <c r="B11804">
        <v>11</v>
      </c>
      <c r="C11804">
        <v>2</v>
      </c>
      <c r="D11804">
        <v>20</v>
      </c>
      <c r="E11804">
        <f t="shared" si="184"/>
        <v>4.3080764567550766E-31</v>
      </c>
    </row>
    <row r="11805" spans="1:5" x14ac:dyDescent="0.25">
      <c r="A11805">
        <v>15</v>
      </c>
      <c r="B11805">
        <v>11</v>
      </c>
      <c r="C11805">
        <v>3</v>
      </c>
      <c r="D11805">
        <v>19</v>
      </c>
      <c r="E11805">
        <f t="shared" si="184"/>
        <v>3.0156535197285535E-29</v>
      </c>
    </row>
    <row r="11806" spans="1:5" x14ac:dyDescent="0.25">
      <c r="A11806">
        <v>15</v>
      </c>
      <c r="B11806">
        <v>11</v>
      </c>
      <c r="C11806">
        <v>4</v>
      </c>
      <c r="D11806">
        <v>18</v>
      </c>
      <c r="E11806">
        <f t="shared" si="184"/>
        <v>1.2687285165143705E-27</v>
      </c>
    </row>
    <row r="11807" spans="1:5" x14ac:dyDescent="0.25">
      <c r="A11807">
        <v>15</v>
      </c>
      <c r="B11807">
        <v>11</v>
      </c>
      <c r="C11807">
        <v>5</v>
      </c>
      <c r="D11807">
        <v>17</v>
      </c>
      <c r="E11807">
        <f t="shared" si="184"/>
        <v>3.4826597778319466E-26</v>
      </c>
    </row>
    <row r="11808" spans="1:5" x14ac:dyDescent="0.25">
      <c r="A11808">
        <v>15</v>
      </c>
      <c r="B11808">
        <v>11</v>
      </c>
      <c r="C11808">
        <v>6</v>
      </c>
      <c r="D11808">
        <v>16</v>
      </c>
      <c r="E11808">
        <f t="shared" si="184"/>
        <v>6.57835735812701E-25</v>
      </c>
    </row>
    <row r="11809" spans="1:5" x14ac:dyDescent="0.25">
      <c r="A11809">
        <v>15</v>
      </c>
      <c r="B11809">
        <v>11</v>
      </c>
      <c r="C11809">
        <v>7</v>
      </c>
      <c r="D11809">
        <v>15</v>
      </c>
      <c r="E11809">
        <f t="shared" si="184"/>
        <v>8.8713847801027075E-24</v>
      </c>
    </row>
    <row r="11810" spans="1:5" x14ac:dyDescent="0.25">
      <c r="A11810">
        <v>15</v>
      </c>
      <c r="B11810">
        <v>11</v>
      </c>
      <c r="C11810">
        <v>8</v>
      </c>
      <c r="D11810">
        <v>14</v>
      </c>
      <c r="E11810">
        <f t="shared" si="184"/>
        <v>8.7705735894197263E-23</v>
      </c>
    </row>
    <row r="11811" spans="1:5" x14ac:dyDescent="0.25">
      <c r="A11811">
        <v>15</v>
      </c>
      <c r="B11811">
        <v>11</v>
      </c>
      <c r="C11811">
        <v>9</v>
      </c>
      <c r="D11811">
        <v>13</v>
      </c>
      <c r="E11811">
        <f t="shared" si="184"/>
        <v>6.480479374404576E-22</v>
      </c>
    </row>
    <row r="11812" spans="1:5" x14ac:dyDescent="0.25">
      <c r="A11812">
        <v>15</v>
      </c>
      <c r="B11812">
        <v>11</v>
      </c>
      <c r="C11812">
        <v>10</v>
      </c>
      <c r="D11812">
        <v>12</v>
      </c>
      <c r="E11812">
        <f t="shared" si="184"/>
        <v>3.6290684496665627E-21</v>
      </c>
    </row>
    <row r="11813" spans="1:5" x14ac:dyDescent="0.25">
      <c r="A11813">
        <v>15</v>
      </c>
      <c r="B11813">
        <v>11</v>
      </c>
      <c r="C11813">
        <v>11</v>
      </c>
      <c r="D11813">
        <v>11</v>
      </c>
      <c r="E11813">
        <f t="shared" si="184"/>
        <v>1.5553150498570982E-20</v>
      </c>
    </row>
    <row r="11814" spans="1:5" x14ac:dyDescent="0.25">
      <c r="A11814">
        <v>15</v>
      </c>
      <c r="B11814">
        <v>11</v>
      </c>
      <c r="C11814">
        <v>12</v>
      </c>
      <c r="D11814">
        <v>10</v>
      </c>
      <c r="E11814">
        <f t="shared" si="184"/>
        <v>5.1325396645284199E-20</v>
      </c>
    </row>
    <row r="11815" spans="1:5" x14ac:dyDescent="0.25">
      <c r="A11815">
        <v>15</v>
      </c>
      <c r="B11815">
        <v>11</v>
      </c>
      <c r="C11815">
        <v>13</v>
      </c>
      <c r="D11815">
        <v>9</v>
      </c>
      <c r="E11815">
        <f t="shared" si="184"/>
        <v>1.3078105875961848E-19</v>
      </c>
    </row>
    <row r="11816" spans="1:5" x14ac:dyDescent="0.25">
      <c r="A11816">
        <v>15</v>
      </c>
      <c r="B11816">
        <v>11</v>
      </c>
      <c r="C11816">
        <v>14</v>
      </c>
      <c r="D11816">
        <v>8</v>
      </c>
      <c r="E11816">
        <f t="shared" si="184"/>
        <v>2.5716611554412375E-19</v>
      </c>
    </row>
    <row r="11817" spans="1:5" x14ac:dyDescent="0.25">
      <c r="A11817">
        <v>15</v>
      </c>
      <c r="B11817">
        <v>11</v>
      </c>
      <c r="C11817">
        <v>15</v>
      </c>
      <c r="D11817">
        <v>7</v>
      </c>
      <c r="E11817">
        <f t="shared" si="184"/>
        <v>3.8860657460000917E-19</v>
      </c>
    </row>
    <row r="11818" spans="1:5" x14ac:dyDescent="0.25">
      <c r="A11818">
        <v>15</v>
      </c>
      <c r="B11818">
        <v>11</v>
      </c>
      <c r="C11818">
        <v>16</v>
      </c>
      <c r="D11818">
        <v>6</v>
      </c>
      <c r="E11818">
        <f t="shared" si="184"/>
        <v>4.4740888523027363E-19</v>
      </c>
    </row>
    <row r="11819" spans="1:5" x14ac:dyDescent="0.25">
      <c r="A11819">
        <v>15</v>
      </c>
      <c r="B11819">
        <v>11</v>
      </c>
      <c r="C11819">
        <v>17</v>
      </c>
      <c r="D11819">
        <v>5</v>
      </c>
      <c r="E11819">
        <f t="shared" si="184"/>
        <v>3.8687709487558973E-19</v>
      </c>
    </row>
    <row r="11820" spans="1:5" x14ac:dyDescent="0.25">
      <c r="A11820">
        <v>15</v>
      </c>
      <c r="B11820">
        <v>11</v>
      </c>
      <c r="C11820">
        <v>18</v>
      </c>
      <c r="D11820">
        <v>4</v>
      </c>
      <c r="E11820">
        <f t="shared" si="184"/>
        <v>2.4563625071465997E-19</v>
      </c>
    </row>
    <row r="11821" spans="1:5" x14ac:dyDescent="0.25">
      <c r="A11821">
        <v>15</v>
      </c>
      <c r="B11821">
        <v>11</v>
      </c>
      <c r="C11821">
        <v>19</v>
      </c>
      <c r="D11821">
        <v>3</v>
      </c>
      <c r="E11821">
        <f t="shared" si="184"/>
        <v>1.1047754816831602E-19</v>
      </c>
    </row>
    <row r="11822" spans="1:5" x14ac:dyDescent="0.25">
      <c r="A11822">
        <v>15</v>
      </c>
      <c r="B11822">
        <v>11</v>
      </c>
      <c r="C11822">
        <v>20</v>
      </c>
      <c r="D11822">
        <v>2</v>
      </c>
      <c r="E11822">
        <f t="shared" si="184"/>
        <v>3.3143264450494832E-20</v>
      </c>
    </row>
    <row r="11823" spans="1:5" x14ac:dyDescent="0.25">
      <c r="A11823">
        <v>15</v>
      </c>
      <c r="B11823">
        <v>11</v>
      </c>
      <c r="C11823">
        <v>21</v>
      </c>
      <c r="D11823">
        <v>1</v>
      </c>
      <c r="E11823">
        <f t="shared" si="184"/>
        <v>5.9184400804454983E-21</v>
      </c>
    </row>
    <row r="11824" spans="1:5" x14ac:dyDescent="0.25">
      <c r="A11824">
        <v>15</v>
      </c>
      <c r="B11824">
        <v>11</v>
      </c>
      <c r="C11824">
        <v>22</v>
      </c>
      <c r="D11824">
        <v>0</v>
      </c>
      <c r="E11824">
        <f t="shared" si="184"/>
        <v>4.7347520643564014E-22</v>
      </c>
    </row>
    <row r="11825" spans="1:5" x14ac:dyDescent="0.25">
      <c r="A11825">
        <v>15</v>
      </c>
      <c r="B11825">
        <v>12</v>
      </c>
      <c r="C11825">
        <v>0</v>
      </c>
      <c r="D11825">
        <v>21</v>
      </c>
      <c r="E11825">
        <f t="shared" si="184"/>
        <v>1.1424424364487097E-33</v>
      </c>
    </row>
    <row r="11826" spans="1:5" x14ac:dyDescent="0.25">
      <c r="A11826">
        <v>15</v>
      </c>
      <c r="B11826">
        <v>12</v>
      </c>
      <c r="C11826">
        <v>1</v>
      </c>
      <c r="D11826">
        <v>20</v>
      </c>
      <c r="E11826">
        <f t="shared" si="184"/>
        <v>3.1188678515049768E-31</v>
      </c>
    </row>
    <row r="11827" spans="1:5" x14ac:dyDescent="0.25">
      <c r="A11827">
        <v>15</v>
      </c>
      <c r="B11827">
        <v>12</v>
      </c>
      <c r="C11827">
        <v>2</v>
      </c>
      <c r="D11827">
        <v>19</v>
      </c>
      <c r="E11827">
        <f t="shared" si="184"/>
        <v>3.3267923749386422E-29</v>
      </c>
    </row>
    <row r="11828" spans="1:5" x14ac:dyDescent="0.25">
      <c r="A11828">
        <v>15</v>
      </c>
      <c r="B11828">
        <v>12</v>
      </c>
      <c r="C11828">
        <v>3</v>
      </c>
      <c r="D11828">
        <v>18</v>
      </c>
      <c r="E11828">
        <f t="shared" si="184"/>
        <v>1.8962716537150266E-27</v>
      </c>
    </row>
    <row r="11829" spans="1:5" x14ac:dyDescent="0.25">
      <c r="A11829">
        <v>15</v>
      </c>
      <c r="B11829">
        <v>12</v>
      </c>
      <c r="C11829">
        <v>4</v>
      </c>
      <c r="D11829">
        <v>17</v>
      </c>
      <c r="E11829">
        <f t="shared" si="184"/>
        <v>6.6132473923311537E-26</v>
      </c>
    </row>
    <row r="11830" spans="1:5" x14ac:dyDescent="0.25">
      <c r="A11830">
        <v>15</v>
      </c>
      <c r="B11830">
        <v>12</v>
      </c>
      <c r="C11830">
        <v>5</v>
      </c>
      <c r="D11830">
        <v>16</v>
      </c>
      <c r="E11830">
        <f t="shared" si="184"/>
        <v>1.5239861212994238E-24</v>
      </c>
    </row>
    <row r="11831" spans="1:5" x14ac:dyDescent="0.25">
      <c r="A11831">
        <v>15</v>
      </c>
      <c r="B11831">
        <v>12</v>
      </c>
      <c r="C11831">
        <v>6</v>
      </c>
      <c r="D11831">
        <v>15</v>
      </c>
      <c r="E11831">
        <f t="shared" si="184"/>
        <v>2.4383777940790776E-23</v>
      </c>
    </row>
    <row r="11832" spans="1:5" x14ac:dyDescent="0.25">
      <c r="A11832">
        <v>15</v>
      </c>
      <c r="B11832">
        <v>12</v>
      </c>
      <c r="C11832">
        <v>7</v>
      </c>
      <c r="D11832">
        <v>14</v>
      </c>
      <c r="E11832">
        <f t="shared" si="184"/>
        <v>2.802551100986992E-22</v>
      </c>
    </row>
    <row r="11833" spans="1:5" x14ac:dyDescent="0.25">
      <c r="A11833">
        <v>15</v>
      </c>
      <c r="B11833">
        <v>12</v>
      </c>
      <c r="C11833">
        <v>8</v>
      </c>
      <c r="D11833">
        <v>13</v>
      </c>
      <c r="E11833">
        <f t="shared" si="184"/>
        <v>2.3704911395848316E-21</v>
      </c>
    </row>
    <row r="11834" spans="1:5" x14ac:dyDescent="0.25">
      <c r="A11834">
        <v>15</v>
      </c>
      <c r="B11834">
        <v>12</v>
      </c>
      <c r="C11834">
        <v>9</v>
      </c>
      <c r="D11834">
        <v>12</v>
      </c>
      <c r="E11834">
        <f t="shared" si="184"/>
        <v>1.501311055070393E-20</v>
      </c>
    </row>
    <row r="11835" spans="1:5" x14ac:dyDescent="0.25">
      <c r="A11835">
        <v>15</v>
      </c>
      <c r="B11835">
        <v>12</v>
      </c>
      <c r="C11835">
        <v>10</v>
      </c>
      <c r="D11835">
        <v>11</v>
      </c>
      <c r="E11835">
        <f t="shared" si="184"/>
        <v>7.2062930643378866E-20</v>
      </c>
    </row>
    <row r="11836" spans="1:5" x14ac:dyDescent="0.25">
      <c r="A11836">
        <v>15</v>
      </c>
      <c r="B11836">
        <v>12</v>
      </c>
      <c r="C11836">
        <v>11</v>
      </c>
      <c r="D11836">
        <v>10</v>
      </c>
      <c r="E11836">
        <f t="shared" si="184"/>
        <v>2.6423074569238917E-19</v>
      </c>
    </row>
    <row r="11837" spans="1:5" x14ac:dyDescent="0.25">
      <c r="A11837">
        <v>15</v>
      </c>
      <c r="B11837">
        <v>12</v>
      </c>
      <c r="C11837">
        <v>12</v>
      </c>
      <c r="D11837">
        <v>9</v>
      </c>
      <c r="E11837">
        <f t="shared" si="184"/>
        <v>7.4314897225984424E-19</v>
      </c>
    </row>
    <row r="11838" spans="1:5" x14ac:dyDescent="0.25">
      <c r="A11838">
        <v>15</v>
      </c>
      <c r="B11838">
        <v>12</v>
      </c>
      <c r="C11838">
        <v>13</v>
      </c>
      <c r="D11838">
        <v>8</v>
      </c>
      <c r="E11838">
        <f t="shared" si="184"/>
        <v>1.6039912206694381E-18</v>
      </c>
    </row>
    <row r="11839" spans="1:5" x14ac:dyDescent="0.25">
      <c r="A11839">
        <v>15</v>
      </c>
      <c r="B11839">
        <v>12</v>
      </c>
      <c r="C11839">
        <v>14</v>
      </c>
      <c r="D11839">
        <v>7</v>
      </c>
      <c r="E11839">
        <f t="shared" si="184"/>
        <v>2.6478585230098672E-18</v>
      </c>
    </row>
    <row r="11840" spans="1:5" x14ac:dyDescent="0.25">
      <c r="A11840">
        <v>15</v>
      </c>
      <c r="B11840">
        <v>12</v>
      </c>
      <c r="C11840">
        <v>15</v>
      </c>
      <c r="D11840">
        <v>6</v>
      </c>
      <c r="E11840">
        <f t="shared" si="184"/>
        <v>3.3167912025070937E-18</v>
      </c>
    </row>
    <row r="11841" spans="1:5" x14ac:dyDescent="0.25">
      <c r="A11841">
        <v>15</v>
      </c>
      <c r="B11841">
        <v>12</v>
      </c>
      <c r="C11841">
        <v>16</v>
      </c>
      <c r="D11841">
        <v>5</v>
      </c>
      <c r="E11841">
        <f t="shared" si="184"/>
        <v>3.1094917523504011E-18</v>
      </c>
    </row>
    <row r="11842" spans="1:5" x14ac:dyDescent="0.25">
      <c r="A11842">
        <v>15</v>
      </c>
      <c r="B11842">
        <v>12</v>
      </c>
      <c r="C11842">
        <v>17</v>
      </c>
      <c r="D11842">
        <v>4</v>
      </c>
      <c r="E11842">
        <f t="shared" si="184"/>
        <v>2.1339649280836105E-18</v>
      </c>
    </row>
    <row r="11843" spans="1:5" x14ac:dyDescent="0.25">
      <c r="A11843">
        <v>15</v>
      </c>
      <c r="B11843">
        <v>12</v>
      </c>
      <c r="C11843">
        <v>18</v>
      </c>
      <c r="D11843">
        <v>3</v>
      </c>
      <c r="E11843">
        <f t="shared" si="184"/>
        <v>1.0346496621011432E-18</v>
      </c>
    </row>
    <row r="11844" spans="1:5" x14ac:dyDescent="0.25">
      <c r="A11844">
        <v>15</v>
      </c>
      <c r="B11844">
        <v>12</v>
      </c>
      <c r="C11844">
        <v>19</v>
      </c>
      <c r="D11844">
        <v>2</v>
      </c>
      <c r="E11844">
        <f t="shared" si="184"/>
        <v>3.3383433033469399E-19</v>
      </c>
    </row>
    <row r="11845" spans="1:5" x14ac:dyDescent="0.25">
      <c r="A11845">
        <v>15</v>
      </c>
      <c r="B11845">
        <v>12</v>
      </c>
      <c r="C11845">
        <v>20</v>
      </c>
      <c r="D11845">
        <v>1</v>
      </c>
      <c r="E11845">
        <f t="shared" si="184"/>
        <v>6.3984913314149735E-20</v>
      </c>
    </row>
    <row r="11846" spans="1:5" x14ac:dyDescent="0.25">
      <c r="A11846">
        <v>15</v>
      </c>
      <c r="B11846">
        <v>12</v>
      </c>
      <c r="C11846">
        <v>21</v>
      </c>
      <c r="D11846">
        <v>0</v>
      </c>
      <c r="E11846">
        <f t="shared" si="184"/>
        <v>5.4844211412128277E-21</v>
      </c>
    </row>
    <row r="11847" spans="1:5" x14ac:dyDescent="0.25">
      <c r="A11847">
        <v>15</v>
      </c>
      <c r="B11847">
        <v>13</v>
      </c>
      <c r="C11847">
        <v>0</v>
      </c>
      <c r="D11847">
        <v>20</v>
      </c>
      <c r="E11847">
        <f t="shared" si="184"/>
        <v>1.0223981004341761E-31</v>
      </c>
    </row>
    <row r="11848" spans="1:5" x14ac:dyDescent="0.25">
      <c r="A11848">
        <v>15</v>
      </c>
      <c r="B11848">
        <v>13</v>
      </c>
      <c r="C11848">
        <v>1</v>
      </c>
      <c r="D11848">
        <v>19</v>
      </c>
      <c r="E11848">
        <f t="shared" si="184"/>
        <v>2.2151958842740481E-29</v>
      </c>
    </row>
    <row r="11849" spans="1:5" x14ac:dyDescent="0.25">
      <c r="A11849">
        <v>15</v>
      </c>
      <c r="B11849">
        <v>13</v>
      </c>
      <c r="C11849">
        <v>2</v>
      </c>
      <c r="D11849">
        <v>18</v>
      </c>
      <c r="E11849">
        <f t="shared" si="184"/>
        <v>1.9240558537694596E-27</v>
      </c>
    </row>
    <row r="11850" spans="1:5" x14ac:dyDescent="0.25">
      <c r="A11850">
        <v>15</v>
      </c>
      <c r="B11850">
        <v>13</v>
      </c>
      <c r="C11850">
        <v>3</v>
      </c>
      <c r="D11850">
        <v>17</v>
      </c>
      <c r="E11850">
        <f t="shared" si="184"/>
        <v>9.0911639090606942E-26</v>
      </c>
    </row>
    <row r="11851" spans="1:5" x14ac:dyDescent="0.25">
      <c r="A11851">
        <v>15</v>
      </c>
      <c r="B11851">
        <v>13</v>
      </c>
      <c r="C11851">
        <v>4</v>
      </c>
      <c r="D11851">
        <v>16</v>
      </c>
      <c r="E11851">
        <f t="shared" si="184"/>
        <v>2.6616907667083253E-24</v>
      </c>
    </row>
    <row r="11852" spans="1:5" x14ac:dyDescent="0.25">
      <c r="A11852">
        <v>15</v>
      </c>
      <c r="B11852">
        <v>13</v>
      </c>
      <c r="C11852">
        <v>5</v>
      </c>
      <c r="D11852">
        <v>15</v>
      </c>
      <c r="E11852">
        <f t="shared" si="184"/>
        <v>5.1956203766146517E-23</v>
      </c>
    </row>
    <row r="11853" spans="1:5" x14ac:dyDescent="0.25">
      <c r="A11853">
        <v>15</v>
      </c>
      <c r="B11853">
        <v>13</v>
      </c>
      <c r="C11853">
        <v>6</v>
      </c>
      <c r="D11853">
        <v>14</v>
      </c>
      <c r="E11853">
        <f t="shared" si="184"/>
        <v>7.0849368772017987E-22</v>
      </c>
    </row>
    <row r="11854" spans="1:5" x14ac:dyDescent="0.25">
      <c r="A11854">
        <v>15</v>
      </c>
      <c r="B11854">
        <v>13</v>
      </c>
      <c r="C11854">
        <v>7</v>
      </c>
      <c r="D11854">
        <v>13</v>
      </c>
      <c r="E11854">
        <f t="shared" ref="E11854:E11917" si="185">COMBIN(A$4,A11854)*COMBIN(B$4,B11854)*COMBIN(C$4,C11854)*COMBIN(D$4,D11854)/COMBIN($G$4,$F$4)</f>
        <v>6.9668545959151013E-21</v>
      </c>
    </row>
    <row r="11855" spans="1:5" x14ac:dyDescent="0.25">
      <c r="A11855">
        <v>15</v>
      </c>
      <c r="B11855">
        <v>13</v>
      </c>
      <c r="C11855">
        <v>8</v>
      </c>
      <c r="D11855">
        <v>12</v>
      </c>
      <c r="E11855">
        <f t="shared" si="185"/>
        <v>5.0509695820384495E-20</v>
      </c>
    </row>
    <row r="11856" spans="1:5" x14ac:dyDescent="0.25">
      <c r="A11856">
        <v>15</v>
      </c>
      <c r="B11856">
        <v>13</v>
      </c>
      <c r="C11856">
        <v>9</v>
      </c>
      <c r="D11856">
        <v>11</v>
      </c>
      <c r="E11856">
        <f t="shared" si="185"/>
        <v>2.7419549159637285E-19</v>
      </c>
    </row>
    <row r="11857" spans="1:5" x14ac:dyDescent="0.25">
      <c r="A11857">
        <v>15</v>
      </c>
      <c r="B11857">
        <v>13</v>
      </c>
      <c r="C11857">
        <v>10</v>
      </c>
      <c r="D11857">
        <v>10</v>
      </c>
      <c r="E11857">
        <f t="shared" si="185"/>
        <v>1.1260294854891048E-18</v>
      </c>
    </row>
    <row r="11858" spans="1:5" x14ac:dyDescent="0.25">
      <c r="A11858">
        <v>15</v>
      </c>
      <c r="B11858">
        <v>13</v>
      </c>
      <c r="C11858">
        <v>11</v>
      </c>
      <c r="D11858">
        <v>9</v>
      </c>
      <c r="E11858">
        <f t="shared" si="185"/>
        <v>3.5188421421534527E-18</v>
      </c>
    </row>
    <row r="11859" spans="1:5" x14ac:dyDescent="0.25">
      <c r="A11859">
        <v>15</v>
      </c>
      <c r="B11859">
        <v>13</v>
      </c>
      <c r="C11859">
        <v>12</v>
      </c>
      <c r="D11859">
        <v>8</v>
      </c>
      <c r="E11859">
        <f t="shared" si="185"/>
        <v>8.383123926894986E-18</v>
      </c>
    </row>
    <row r="11860" spans="1:5" x14ac:dyDescent="0.25">
      <c r="A11860">
        <v>15</v>
      </c>
      <c r="B11860">
        <v>13</v>
      </c>
      <c r="C11860">
        <v>13</v>
      </c>
      <c r="D11860">
        <v>7</v>
      </c>
      <c r="E11860">
        <f t="shared" si="185"/>
        <v>1.5189933953006309E-17</v>
      </c>
    </row>
    <row r="11861" spans="1:5" x14ac:dyDescent="0.25">
      <c r="A11861">
        <v>15</v>
      </c>
      <c r="B11861">
        <v>13</v>
      </c>
      <c r="C11861">
        <v>14</v>
      </c>
      <c r="D11861">
        <v>6</v>
      </c>
      <c r="E11861">
        <f t="shared" si="185"/>
        <v>2.0786225409377049E-17</v>
      </c>
    </row>
    <row r="11862" spans="1:5" x14ac:dyDescent="0.25">
      <c r="A11862">
        <v>15</v>
      </c>
      <c r="B11862">
        <v>13</v>
      </c>
      <c r="C11862">
        <v>15</v>
      </c>
      <c r="D11862">
        <v>5</v>
      </c>
      <c r="E11862">
        <f t="shared" si="185"/>
        <v>2.1201949917564585E-17</v>
      </c>
    </row>
    <row r="11863" spans="1:5" x14ac:dyDescent="0.25">
      <c r="A11863">
        <v>15</v>
      </c>
      <c r="B11863">
        <v>13</v>
      </c>
      <c r="C11863">
        <v>16</v>
      </c>
      <c r="D11863">
        <v>4</v>
      </c>
      <c r="E11863">
        <f t="shared" si="185"/>
        <v>1.5775260355330797E-17</v>
      </c>
    </row>
    <row r="11864" spans="1:5" x14ac:dyDescent="0.25">
      <c r="A11864">
        <v>15</v>
      </c>
      <c r="B11864">
        <v>13</v>
      </c>
      <c r="C11864">
        <v>17</v>
      </c>
      <c r="D11864">
        <v>3</v>
      </c>
      <c r="E11864">
        <f t="shared" si="185"/>
        <v>8.2672487423658763E-18</v>
      </c>
    </row>
    <row r="11865" spans="1:5" x14ac:dyDescent="0.25">
      <c r="A11865">
        <v>15</v>
      </c>
      <c r="B11865">
        <v>13</v>
      </c>
      <c r="C11865">
        <v>18</v>
      </c>
      <c r="D11865">
        <v>2</v>
      </c>
      <c r="E11865">
        <f t="shared" si="185"/>
        <v>2.8755647799533457E-18</v>
      </c>
    </row>
    <row r="11866" spans="1:5" x14ac:dyDescent="0.25">
      <c r="A11866">
        <v>15</v>
      </c>
      <c r="B11866">
        <v>13</v>
      </c>
      <c r="C11866">
        <v>19</v>
      </c>
      <c r="D11866">
        <v>1</v>
      </c>
      <c r="E11866">
        <f t="shared" si="185"/>
        <v>5.9276993270968113E-19</v>
      </c>
    </row>
    <row r="11867" spans="1:5" x14ac:dyDescent="0.25">
      <c r="A11867">
        <v>15</v>
      </c>
      <c r="B11867">
        <v>13</v>
      </c>
      <c r="C11867">
        <v>20</v>
      </c>
      <c r="D11867">
        <v>0</v>
      </c>
      <c r="E11867">
        <f t="shared" si="185"/>
        <v>5.453483380929071E-20</v>
      </c>
    </row>
    <row r="11868" spans="1:5" x14ac:dyDescent="0.25">
      <c r="A11868">
        <v>15</v>
      </c>
      <c r="B11868">
        <v>14</v>
      </c>
      <c r="C11868">
        <v>0</v>
      </c>
      <c r="D11868">
        <v>19</v>
      </c>
      <c r="E11868">
        <f t="shared" si="185"/>
        <v>6.7186160885674402E-30</v>
      </c>
    </row>
    <row r="11869" spans="1:5" x14ac:dyDescent="0.25">
      <c r="A11869">
        <v>15</v>
      </c>
      <c r="B11869">
        <v>14</v>
      </c>
      <c r="C11869">
        <v>1</v>
      </c>
      <c r="D11869">
        <v>18</v>
      </c>
      <c r="E11869">
        <f t="shared" si="185"/>
        <v>1.1853558384829704E-27</v>
      </c>
    </row>
    <row r="11870" spans="1:5" x14ac:dyDescent="0.25">
      <c r="A11870">
        <v>15</v>
      </c>
      <c r="B11870">
        <v>14</v>
      </c>
      <c r="C11870">
        <v>2</v>
      </c>
      <c r="D11870">
        <v>17</v>
      </c>
      <c r="E11870">
        <f t="shared" si="185"/>
        <v>8.5345620370773843E-26</v>
      </c>
    </row>
    <row r="11871" spans="1:5" x14ac:dyDescent="0.25">
      <c r="A11871">
        <v>15</v>
      </c>
      <c r="B11871">
        <v>14</v>
      </c>
      <c r="C11871">
        <v>3</v>
      </c>
      <c r="D11871">
        <v>16</v>
      </c>
      <c r="E11871">
        <f t="shared" si="185"/>
        <v>3.3853762747073625E-24</v>
      </c>
    </row>
    <row r="11872" spans="1:5" x14ac:dyDescent="0.25">
      <c r="A11872">
        <v>15</v>
      </c>
      <c r="B11872">
        <v>14</v>
      </c>
      <c r="C11872">
        <v>4</v>
      </c>
      <c r="D11872">
        <v>15</v>
      </c>
      <c r="E11872">
        <f t="shared" si="185"/>
        <v>8.3957331612742578E-23</v>
      </c>
    </row>
    <row r="11873" spans="1:5" x14ac:dyDescent="0.25">
      <c r="A11873">
        <v>15</v>
      </c>
      <c r="B11873">
        <v>14</v>
      </c>
      <c r="C11873">
        <v>5</v>
      </c>
      <c r="D11873">
        <v>14</v>
      </c>
      <c r="E11873">
        <f t="shared" si="185"/>
        <v>1.3967446986483545E-21</v>
      </c>
    </row>
    <row r="11874" spans="1:5" x14ac:dyDescent="0.25">
      <c r="A11874">
        <v>15</v>
      </c>
      <c r="B11874">
        <v>14</v>
      </c>
      <c r="C11874">
        <v>6</v>
      </c>
      <c r="D11874">
        <v>13</v>
      </c>
      <c r="E11874">
        <f t="shared" si="185"/>
        <v>1.6295354817564135E-20</v>
      </c>
    </row>
    <row r="11875" spans="1:5" x14ac:dyDescent="0.25">
      <c r="A11875">
        <v>15</v>
      </c>
      <c r="B11875">
        <v>14</v>
      </c>
      <c r="C11875">
        <v>7</v>
      </c>
      <c r="D11875">
        <v>12</v>
      </c>
      <c r="E11875">
        <f t="shared" si="185"/>
        <v>1.3734656203375485E-19</v>
      </c>
    </row>
    <row r="11876" spans="1:5" x14ac:dyDescent="0.25">
      <c r="A11876">
        <v>15</v>
      </c>
      <c r="B11876">
        <v>14</v>
      </c>
      <c r="C11876">
        <v>8</v>
      </c>
      <c r="D11876">
        <v>11</v>
      </c>
      <c r="E11876">
        <f t="shared" si="185"/>
        <v>8.5351077835261944E-19</v>
      </c>
    </row>
    <row r="11877" spans="1:5" x14ac:dyDescent="0.25">
      <c r="A11877">
        <v>15</v>
      </c>
      <c r="B11877">
        <v>14</v>
      </c>
      <c r="C11877">
        <v>9</v>
      </c>
      <c r="D11877">
        <v>10</v>
      </c>
      <c r="E11877">
        <f t="shared" si="185"/>
        <v>3.964083392793276E-18</v>
      </c>
    </row>
    <row r="11878" spans="1:5" x14ac:dyDescent="0.25">
      <c r="A11878">
        <v>15</v>
      </c>
      <c r="B11878">
        <v>14</v>
      </c>
      <c r="C11878">
        <v>10</v>
      </c>
      <c r="D11878">
        <v>9</v>
      </c>
      <c r="E11878">
        <f t="shared" si="185"/>
        <v>1.3874291874776469E-17</v>
      </c>
    </row>
    <row r="11879" spans="1:5" x14ac:dyDescent="0.25">
      <c r="A11879">
        <v>15</v>
      </c>
      <c r="B11879">
        <v>14</v>
      </c>
      <c r="C11879">
        <v>11</v>
      </c>
      <c r="D11879">
        <v>8</v>
      </c>
      <c r="E11879">
        <f t="shared" si="185"/>
        <v>3.6726066727349478E-17</v>
      </c>
    </row>
    <row r="11880" spans="1:5" x14ac:dyDescent="0.25">
      <c r="A11880">
        <v>15</v>
      </c>
      <c r="B11880">
        <v>14</v>
      </c>
      <c r="C11880">
        <v>12</v>
      </c>
      <c r="D11880">
        <v>7</v>
      </c>
      <c r="E11880">
        <f t="shared" si="185"/>
        <v>7.3452133454698931E-17</v>
      </c>
    </row>
    <row r="11881" spans="1:5" x14ac:dyDescent="0.25">
      <c r="A11881">
        <v>15</v>
      </c>
      <c r="B11881">
        <v>14</v>
      </c>
      <c r="C11881">
        <v>13</v>
      </c>
      <c r="D11881">
        <v>6</v>
      </c>
      <c r="E11881">
        <f t="shared" si="185"/>
        <v>1.1032688871130893E-16</v>
      </c>
    </row>
    <row r="11882" spans="1:5" x14ac:dyDescent="0.25">
      <c r="A11882">
        <v>15</v>
      </c>
      <c r="B11882">
        <v>14</v>
      </c>
      <c r="C11882">
        <v>14</v>
      </c>
      <c r="D11882">
        <v>5</v>
      </c>
      <c r="E11882">
        <f t="shared" si="185"/>
        <v>1.2293567599260136E-16</v>
      </c>
    </row>
    <row r="11883" spans="1:5" x14ac:dyDescent="0.25">
      <c r="A11883">
        <v>15</v>
      </c>
      <c r="B11883">
        <v>14</v>
      </c>
      <c r="C11883">
        <v>15</v>
      </c>
      <c r="D11883">
        <v>4</v>
      </c>
      <c r="E11883">
        <f t="shared" si="185"/>
        <v>9.9519356755915387E-17</v>
      </c>
    </row>
    <row r="11884" spans="1:5" x14ac:dyDescent="0.25">
      <c r="A11884">
        <v>15</v>
      </c>
      <c r="B11884">
        <v>14</v>
      </c>
      <c r="C11884">
        <v>16</v>
      </c>
      <c r="D11884">
        <v>3</v>
      </c>
      <c r="E11884">
        <f t="shared" si="185"/>
        <v>5.6545089065861027E-17</v>
      </c>
    </row>
    <row r="11885" spans="1:5" x14ac:dyDescent="0.25">
      <c r="A11885">
        <v>15</v>
      </c>
      <c r="B11885">
        <v>14</v>
      </c>
      <c r="C11885">
        <v>17</v>
      </c>
      <c r="D11885">
        <v>2</v>
      </c>
      <c r="E11885">
        <f t="shared" si="185"/>
        <v>2.1258639623226532E-17</v>
      </c>
    </row>
    <row r="11886" spans="1:5" x14ac:dyDescent="0.25">
      <c r="A11886">
        <v>15</v>
      </c>
      <c r="B11886">
        <v>14</v>
      </c>
      <c r="C11886">
        <v>18</v>
      </c>
      <c r="D11886">
        <v>1</v>
      </c>
      <c r="E11886">
        <f t="shared" si="185"/>
        <v>4.7241421384947806E-18</v>
      </c>
    </row>
    <row r="11887" spans="1:5" x14ac:dyDescent="0.25">
      <c r="A11887">
        <v>15</v>
      </c>
      <c r="B11887">
        <v>14</v>
      </c>
      <c r="C11887">
        <v>19</v>
      </c>
      <c r="D11887">
        <v>0</v>
      </c>
      <c r="E11887">
        <f t="shared" si="185"/>
        <v>4.6744143265106269E-19</v>
      </c>
    </row>
    <row r="11888" spans="1:5" x14ac:dyDescent="0.25">
      <c r="A11888">
        <v>15</v>
      </c>
      <c r="B11888">
        <v>15</v>
      </c>
      <c r="C11888">
        <v>0</v>
      </c>
      <c r="D11888">
        <v>18</v>
      </c>
      <c r="E11888">
        <f t="shared" si="185"/>
        <v>3.3433113393109421E-28</v>
      </c>
    </row>
    <row r="11889" spans="1:5" x14ac:dyDescent="0.25">
      <c r="A11889">
        <v>15</v>
      </c>
      <c r="B11889">
        <v>15</v>
      </c>
      <c r="C11889">
        <v>1</v>
      </c>
      <c r="D11889">
        <v>17</v>
      </c>
      <c r="E11889">
        <f t="shared" si="185"/>
        <v>4.889592833742252E-26</v>
      </c>
    </row>
    <row r="11890" spans="1:5" x14ac:dyDescent="0.25">
      <c r="A11890">
        <v>15</v>
      </c>
      <c r="B11890">
        <v>15</v>
      </c>
      <c r="C11890">
        <v>2</v>
      </c>
      <c r="D11890">
        <v>16</v>
      </c>
      <c r="E11890">
        <f t="shared" si="185"/>
        <v>2.9554872239508721E-24</v>
      </c>
    </row>
    <row r="11891" spans="1:5" x14ac:dyDescent="0.25">
      <c r="A11891">
        <v>15</v>
      </c>
      <c r="B11891">
        <v>15</v>
      </c>
      <c r="C11891">
        <v>3</v>
      </c>
      <c r="D11891">
        <v>15</v>
      </c>
      <c r="E11891">
        <f t="shared" si="185"/>
        <v>9.9304370724749285E-23</v>
      </c>
    </row>
    <row r="11892" spans="1:5" x14ac:dyDescent="0.25">
      <c r="A11892">
        <v>15</v>
      </c>
      <c r="B11892">
        <v>15</v>
      </c>
      <c r="C11892">
        <v>4</v>
      </c>
      <c r="D11892">
        <v>14</v>
      </c>
      <c r="E11892">
        <f t="shared" si="185"/>
        <v>2.0989332903185645E-21</v>
      </c>
    </row>
    <row r="11893" spans="1:5" x14ac:dyDescent="0.25">
      <c r="A11893">
        <v>15</v>
      </c>
      <c r="B11893">
        <v>15</v>
      </c>
      <c r="C11893">
        <v>5</v>
      </c>
      <c r="D11893">
        <v>13</v>
      </c>
      <c r="E11893">
        <f t="shared" si="185"/>
        <v>2.9874817165534247E-20</v>
      </c>
    </row>
    <row r="11894" spans="1:5" x14ac:dyDescent="0.25">
      <c r="A11894">
        <v>15</v>
      </c>
      <c r="B11894">
        <v>15</v>
      </c>
      <c r="C11894">
        <v>6</v>
      </c>
      <c r="D11894">
        <v>12</v>
      </c>
      <c r="E11894">
        <f t="shared" si="185"/>
        <v>2.9874817165534239E-19</v>
      </c>
    </row>
    <row r="11895" spans="1:5" x14ac:dyDescent="0.25">
      <c r="A11895">
        <v>15</v>
      </c>
      <c r="B11895">
        <v>15</v>
      </c>
      <c r="C11895">
        <v>7</v>
      </c>
      <c r="D11895">
        <v>11</v>
      </c>
      <c r="E11895">
        <f t="shared" si="185"/>
        <v>2.15830311767329E-18</v>
      </c>
    </row>
    <row r="11896" spans="1:5" x14ac:dyDescent="0.25">
      <c r="A11896">
        <v>15</v>
      </c>
      <c r="B11896">
        <v>15</v>
      </c>
      <c r="C11896">
        <v>8</v>
      </c>
      <c r="D11896">
        <v>10</v>
      </c>
      <c r="E11896">
        <f t="shared" si="185"/>
        <v>1.1474978242296325E-17</v>
      </c>
    </row>
    <row r="11897" spans="1:5" x14ac:dyDescent="0.25">
      <c r="A11897">
        <v>15</v>
      </c>
      <c r="B11897">
        <v>15</v>
      </c>
      <c r="C11897">
        <v>9</v>
      </c>
      <c r="D11897">
        <v>9</v>
      </c>
      <c r="E11897">
        <f t="shared" si="185"/>
        <v>4.5421788875756278E-17</v>
      </c>
    </row>
    <row r="11898" spans="1:5" x14ac:dyDescent="0.25">
      <c r="A11898">
        <v>15</v>
      </c>
      <c r="B11898">
        <v>15</v>
      </c>
      <c r="C11898">
        <v>10</v>
      </c>
      <c r="D11898">
        <v>8</v>
      </c>
      <c r="E11898">
        <f t="shared" si="185"/>
        <v>1.3466224466694807E-16</v>
      </c>
    </row>
    <row r="11899" spans="1:5" x14ac:dyDescent="0.25">
      <c r="A11899">
        <v>15</v>
      </c>
      <c r="B11899">
        <v>15</v>
      </c>
      <c r="C11899">
        <v>11</v>
      </c>
      <c r="D11899">
        <v>7</v>
      </c>
      <c r="E11899">
        <f t="shared" si="185"/>
        <v>2.99249432593218E-16</v>
      </c>
    </row>
    <row r="11900" spans="1:5" x14ac:dyDescent="0.25">
      <c r="A11900">
        <v>15</v>
      </c>
      <c r="B11900">
        <v>15</v>
      </c>
      <c r="C11900">
        <v>12</v>
      </c>
      <c r="D11900">
        <v>6</v>
      </c>
      <c r="E11900">
        <f t="shared" si="185"/>
        <v>4.96124059299282E-16</v>
      </c>
    </row>
    <row r="11901" spans="1:5" x14ac:dyDescent="0.25">
      <c r="A11901">
        <v>15</v>
      </c>
      <c r="B11901">
        <v>15</v>
      </c>
      <c r="C11901">
        <v>13</v>
      </c>
      <c r="D11901">
        <v>5</v>
      </c>
      <c r="E11901">
        <f t="shared" si="185"/>
        <v>6.0679788791219906E-16</v>
      </c>
    </row>
    <row r="11902" spans="1:5" x14ac:dyDescent="0.25">
      <c r="A11902">
        <v>15</v>
      </c>
      <c r="B11902">
        <v>15</v>
      </c>
      <c r="C11902">
        <v>14</v>
      </c>
      <c r="D11902">
        <v>4</v>
      </c>
      <c r="E11902">
        <f t="shared" si="185"/>
        <v>5.3662398250738709E-16</v>
      </c>
    </row>
    <row r="11903" spans="1:5" x14ac:dyDescent="0.25">
      <c r="A11903">
        <v>15</v>
      </c>
      <c r="B11903">
        <v>15</v>
      </c>
      <c r="C11903">
        <v>15</v>
      </c>
      <c r="D11903">
        <v>3</v>
      </c>
      <c r="E11903">
        <f t="shared" si="185"/>
        <v>3.3173118918638454E-16</v>
      </c>
    </row>
    <row r="11904" spans="1:5" x14ac:dyDescent="0.25">
      <c r="A11904">
        <v>15</v>
      </c>
      <c r="B11904">
        <v>15</v>
      </c>
      <c r="C11904">
        <v>16</v>
      </c>
      <c r="D11904">
        <v>2</v>
      </c>
      <c r="E11904">
        <f t="shared" si="185"/>
        <v>1.3521651733140678E-16</v>
      </c>
    </row>
    <row r="11905" spans="1:5" x14ac:dyDescent="0.25">
      <c r="A11905">
        <v>15</v>
      </c>
      <c r="B11905">
        <v>15</v>
      </c>
      <c r="C11905">
        <v>17</v>
      </c>
      <c r="D11905">
        <v>1</v>
      </c>
      <c r="E11905">
        <f t="shared" si="185"/>
        <v>3.2478477202151646E-17</v>
      </c>
    </row>
    <row r="11906" spans="1:5" x14ac:dyDescent="0.25">
      <c r="A11906">
        <v>15</v>
      </c>
      <c r="B11906">
        <v>15</v>
      </c>
      <c r="C11906">
        <v>18</v>
      </c>
      <c r="D11906">
        <v>0</v>
      </c>
      <c r="E11906">
        <f t="shared" si="185"/>
        <v>3.4643709015628391E-18</v>
      </c>
    </row>
    <row r="11907" spans="1:5" x14ac:dyDescent="0.25">
      <c r="A11907">
        <v>15</v>
      </c>
      <c r="B11907">
        <v>16</v>
      </c>
      <c r="C11907">
        <v>0</v>
      </c>
      <c r="D11907">
        <v>17</v>
      </c>
      <c r="E11907">
        <f t="shared" si="185"/>
        <v>1.2882196504282469E-26</v>
      </c>
    </row>
    <row r="11908" spans="1:5" x14ac:dyDescent="0.25">
      <c r="A11908">
        <v>15</v>
      </c>
      <c r="B11908">
        <v>16</v>
      </c>
      <c r="C11908">
        <v>1</v>
      </c>
      <c r="D11908">
        <v>16</v>
      </c>
      <c r="E11908">
        <f t="shared" si="185"/>
        <v>1.5816474596924588E-24</v>
      </c>
    </row>
    <row r="11909" spans="1:5" x14ac:dyDescent="0.25">
      <c r="A11909">
        <v>15</v>
      </c>
      <c r="B11909">
        <v>16</v>
      </c>
      <c r="C11909">
        <v>2</v>
      </c>
      <c r="D11909">
        <v>15</v>
      </c>
      <c r="E11909">
        <f t="shared" si="185"/>
        <v>8.0980349936253884E-23</v>
      </c>
    </row>
    <row r="11910" spans="1:5" x14ac:dyDescent="0.25">
      <c r="A11910">
        <v>15</v>
      </c>
      <c r="B11910">
        <v>16</v>
      </c>
      <c r="C11910">
        <v>3</v>
      </c>
      <c r="D11910">
        <v>14</v>
      </c>
      <c r="E11910">
        <f t="shared" si="185"/>
        <v>2.3189827481745429E-21</v>
      </c>
    </row>
    <row r="11911" spans="1:5" x14ac:dyDescent="0.25">
      <c r="A11911">
        <v>15</v>
      </c>
      <c r="B11911">
        <v>16</v>
      </c>
      <c r="C11911">
        <v>4</v>
      </c>
      <c r="D11911">
        <v>13</v>
      </c>
      <c r="E11911">
        <f t="shared" si="185"/>
        <v>4.1934938029489667E-20</v>
      </c>
    </row>
    <row r="11912" spans="1:5" x14ac:dyDescent="0.25">
      <c r="A11912">
        <v>15</v>
      </c>
      <c r="B11912">
        <v>16</v>
      </c>
      <c r="C11912">
        <v>5</v>
      </c>
      <c r="D11912">
        <v>12</v>
      </c>
      <c r="E11912">
        <f t="shared" si="185"/>
        <v>5.1160624395977397E-19</v>
      </c>
    </row>
    <row r="11913" spans="1:5" x14ac:dyDescent="0.25">
      <c r="A11913">
        <v>15</v>
      </c>
      <c r="B11913">
        <v>16</v>
      </c>
      <c r="C11913">
        <v>6</v>
      </c>
      <c r="D11913">
        <v>11</v>
      </c>
      <c r="E11913">
        <f t="shared" si="185"/>
        <v>4.3851963767980609E-18</v>
      </c>
    </row>
    <row r="11914" spans="1:5" x14ac:dyDescent="0.25">
      <c r="A11914">
        <v>15</v>
      </c>
      <c r="B11914">
        <v>16</v>
      </c>
      <c r="C11914">
        <v>7</v>
      </c>
      <c r="D11914">
        <v>10</v>
      </c>
      <c r="E11914">
        <f t="shared" si="185"/>
        <v>2.7104689986113727E-17</v>
      </c>
    </row>
    <row r="11915" spans="1:5" x14ac:dyDescent="0.25">
      <c r="A11915">
        <v>15</v>
      </c>
      <c r="B11915">
        <v>16</v>
      </c>
      <c r="C11915">
        <v>8</v>
      </c>
      <c r="D11915">
        <v>9</v>
      </c>
      <c r="E11915">
        <f t="shared" si="185"/>
        <v>1.2281812649957787E-16</v>
      </c>
    </row>
    <row r="11916" spans="1:5" x14ac:dyDescent="0.25">
      <c r="A11916">
        <v>15</v>
      </c>
      <c r="B11916">
        <v>16</v>
      </c>
      <c r="C11916">
        <v>9</v>
      </c>
      <c r="D11916">
        <v>8</v>
      </c>
      <c r="E11916">
        <f t="shared" si="185"/>
        <v>4.1180195355740809E-16</v>
      </c>
    </row>
    <row r="11917" spans="1:5" x14ac:dyDescent="0.25">
      <c r="A11917">
        <v>15</v>
      </c>
      <c r="B11917">
        <v>16</v>
      </c>
      <c r="C11917">
        <v>10</v>
      </c>
      <c r="D11917">
        <v>7</v>
      </c>
      <c r="E11917">
        <f t="shared" si="185"/>
        <v>1.0249293066317716E-15</v>
      </c>
    </row>
    <row r="11918" spans="1:5" x14ac:dyDescent="0.25">
      <c r="A11918">
        <v>15</v>
      </c>
      <c r="B11918">
        <v>16</v>
      </c>
      <c r="C11918">
        <v>11</v>
      </c>
      <c r="D11918">
        <v>6</v>
      </c>
      <c r="E11918">
        <f t="shared" ref="E11918:E11981" si="186">COMBIN(A$4,A11918)*COMBIN(B$4,B11918)*COMBIN(C$4,C11918)*COMBIN(D$4,D11918)/COMBIN($G$4,$F$4)</f>
        <v>1.8880276701111577E-15</v>
      </c>
    </row>
    <row r="11919" spans="1:5" x14ac:dyDescent="0.25">
      <c r="A11919">
        <v>15</v>
      </c>
      <c r="B11919">
        <v>16</v>
      </c>
      <c r="C11919">
        <v>12</v>
      </c>
      <c r="D11919">
        <v>5</v>
      </c>
      <c r="E11919">
        <f t="shared" si="186"/>
        <v>2.5488373546500612E-15</v>
      </c>
    </row>
    <row r="11920" spans="1:5" x14ac:dyDescent="0.25">
      <c r="A11920">
        <v>15</v>
      </c>
      <c r="B11920">
        <v>16</v>
      </c>
      <c r="C11920">
        <v>13</v>
      </c>
      <c r="D11920">
        <v>4</v>
      </c>
      <c r="E11920">
        <f t="shared" si="186"/>
        <v>2.4741461501181931E-15</v>
      </c>
    </row>
    <row r="11921" spans="1:5" x14ac:dyDescent="0.25">
      <c r="A11921">
        <v>15</v>
      </c>
      <c r="B11921">
        <v>16</v>
      </c>
      <c r="C11921">
        <v>14</v>
      </c>
      <c r="D11921">
        <v>3</v>
      </c>
      <c r="E11921">
        <f t="shared" si="186"/>
        <v>1.6708519455343641E-15</v>
      </c>
    </row>
    <row r="11922" spans="1:5" x14ac:dyDescent="0.25">
      <c r="A11922">
        <v>15</v>
      </c>
      <c r="B11922">
        <v>16</v>
      </c>
      <c r="C11922">
        <v>15</v>
      </c>
      <c r="D11922">
        <v>2</v>
      </c>
      <c r="E11922">
        <f t="shared" si="186"/>
        <v>7.4098651497610902E-16</v>
      </c>
    </row>
    <row r="11923" spans="1:5" x14ac:dyDescent="0.25">
      <c r="A11923">
        <v>15</v>
      </c>
      <c r="B11923">
        <v>16</v>
      </c>
      <c r="C11923">
        <v>16</v>
      </c>
      <c r="D11923">
        <v>1</v>
      </c>
      <c r="E11923">
        <f t="shared" si="186"/>
        <v>1.929652382750284E-16</v>
      </c>
    </row>
    <row r="11924" spans="1:5" x14ac:dyDescent="0.25">
      <c r="A11924">
        <v>15</v>
      </c>
      <c r="B11924">
        <v>16</v>
      </c>
      <c r="C11924">
        <v>17</v>
      </c>
      <c r="D11924">
        <v>0</v>
      </c>
      <c r="E11924">
        <f t="shared" si="186"/>
        <v>2.2247756883473877E-17</v>
      </c>
    </row>
    <row r="11925" spans="1:5" x14ac:dyDescent="0.25">
      <c r="A11925">
        <v>15</v>
      </c>
      <c r="B11925">
        <v>17</v>
      </c>
      <c r="C11925">
        <v>0</v>
      </c>
      <c r="D11925">
        <v>16</v>
      </c>
      <c r="E11925">
        <f t="shared" si="186"/>
        <v>3.9075996062990173E-25</v>
      </c>
    </row>
    <row r="11926" spans="1:5" x14ac:dyDescent="0.25">
      <c r="A11926">
        <v>15</v>
      </c>
      <c r="B11926">
        <v>17</v>
      </c>
      <c r="C11926">
        <v>1</v>
      </c>
      <c r="D11926">
        <v>15</v>
      </c>
      <c r="E11926">
        <f t="shared" si="186"/>
        <v>4.0639035905509775E-23</v>
      </c>
    </row>
    <row r="11927" spans="1:5" x14ac:dyDescent="0.25">
      <c r="A11927">
        <v>15</v>
      </c>
      <c r="B11927">
        <v>17</v>
      </c>
      <c r="C11927">
        <v>2</v>
      </c>
      <c r="D11927">
        <v>14</v>
      </c>
      <c r="E11927">
        <f t="shared" si="186"/>
        <v>1.7733397486040632E-21</v>
      </c>
    </row>
    <row r="11928" spans="1:5" x14ac:dyDescent="0.25">
      <c r="A11928">
        <v>15</v>
      </c>
      <c r="B11928">
        <v>17</v>
      </c>
      <c r="C11928">
        <v>3</v>
      </c>
      <c r="D11928">
        <v>13</v>
      </c>
      <c r="E11928">
        <f t="shared" si="186"/>
        <v>4.3446823840799557E-20</v>
      </c>
    </row>
    <row r="11929" spans="1:5" x14ac:dyDescent="0.25">
      <c r="A11929">
        <v>15</v>
      </c>
      <c r="B11929">
        <v>17</v>
      </c>
      <c r="C11929">
        <v>4</v>
      </c>
      <c r="D11929">
        <v>12</v>
      </c>
      <c r="E11929">
        <f t="shared" si="186"/>
        <v>6.7342576953239319E-19</v>
      </c>
    </row>
    <row r="11930" spans="1:5" x14ac:dyDescent="0.25">
      <c r="A11930">
        <v>15</v>
      </c>
      <c r="B11930">
        <v>17</v>
      </c>
      <c r="C11930">
        <v>5</v>
      </c>
      <c r="D11930">
        <v>11</v>
      </c>
      <c r="E11930">
        <f t="shared" si="186"/>
        <v>7.042109475681595E-18</v>
      </c>
    </row>
    <row r="11931" spans="1:5" x14ac:dyDescent="0.25">
      <c r="A11931">
        <v>15</v>
      </c>
      <c r="B11931">
        <v>17</v>
      </c>
      <c r="C11931">
        <v>6</v>
      </c>
      <c r="D11931">
        <v>10</v>
      </c>
      <c r="E11931">
        <f t="shared" si="186"/>
        <v>5.1642136154998353E-17</v>
      </c>
    </row>
    <row r="11932" spans="1:5" x14ac:dyDescent="0.25">
      <c r="A11932">
        <v>15</v>
      </c>
      <c r="B11932">
        <v>17</v>
      </c>
      <c r="C11932">
        <v>7</v>
      </c>
      <c r="D11932">
        <v>9</v>
      </c>
      <c r="E11932">
        <f t="shared" si="186"/>
        <v>2.7204339581650921E-16</v>
      </c>
    </row>
    <row r="11933" spans="1:5" x14ac:dyDescent="0.25">
      <c r="A11933">
        <v>15</v>
      </c>
      <c r="B11933">
        <v>17</v>
      </c>
      <c r="C11933">
        <v>8</v>
      </c>
      <c r="D11933">
        <v>8</v>
      </c>
      <c r="E11933">
        <f t="shared" si="186"/>
        <v>1.044166563354543E-15</v>
      </c>
    </row>
    <row r="11934" spans="1:5" x14ac:dyDescent="0.25">
      <c r="A11934">
        <v>15</v>
      </c>
      <c r="B11934">
        <v>17</v>
      </c>
      <c r="C11934">
        <v>9</v>
      </c>
      <c r="D11934">
        <v>7</v>
      </c>
      <c r="E11934">
        <f t="shared" si="186"/>
        <v>2.9391355116646396E-15</v>
      </c>
    </row>
    <row r="11935" spans="1:5" x14ac:dyDescent="0.25">
      <c r="A11935">
        <v>15</v>
      </c>
      <c r="B11935">
        <v>17</v>
      </c>
      <c r="C11935">
        <v>10</v>
      </c>
      <c r="D11935">
        <v>6</v>
      </c>
      <c r="E11935">
        <f t="shared" si="186"/>
        <v>6.0639006345923069E-15</v>
      </c>
    </row>
    <row r="11936" spans="1:5" x14ac:dyDescent="0.25">
      <c r="A11936">
        <v>15</v>
      </c>
      <c r="B11936">
        <v>17</v>
      </c>
      <c r="C11936">
        <v>11</v>
      </c>
      <c r="D11936">
        <v>5</v>
      </c>
      <c r="E11936">
        <f t="shared" si="186"/>
        <v>9.0958509518884631E-15</v>
      </c>
    </row>
    <row r="11937" spans="1:5" x14ac:dyDescent="0.25">
      <c r="A11937">
        <v>15</v>
      </c>
      <c r="B11937">
        <v>17</v>
      </c>
      <c r="C11937">
        <v>12</v>
      </c>
      <c r="D11937">
        <v>4</v>
      </c>
      <c r="E11937">
        <f t="shared" si="186"/>
        <v>9.7455545913090641E-15</v>
      </c>
    </row>
    <row r="11938" spans="1:5" x14ac:dyDescent="0.25">
      <c r="A11938">
        <v>15</v>
      </c>
      <c r="B11938">
        <v>17</v>
      </c>
      <c r="C11938">
        <v>13</v>
      </c>
      <c r="D11938">
        <v>3</v>
      </c>
      <c r="E11938">
        <f t="shared" si="186"/>
        <v>7.2239775292221058E-15</v>
      </c>
    </row>
    <row r="11939" spans="1:5" x14ac:dyDescent="0.25">
      <c r="A11939">
        <v>15</v>
      </c>
      <c r="B11939">
        <v>17</v>
      </c>
      <c r="C11939">
        <v>14</v>
      </c>
      <c r="D11939">
        <v>2</v>
      </c>
      <c r="E11939">
        <f t="shared" si="186"/>
        <v>3.4998152004926975E-15</v>
      </c>
    </row>
    <row r="11940" spans="1:5" x14ac:dyDescent="0.25">
      <c r="A11940">
        <v>15</v>
      </c>
      <c r="B11940">
        <v>17</v>
      </c>
      <c r="C11940">
        <v>15</v>
      </c>
      <c r="D11940">
        <v>1</v>
      </c>
      <c r="E11940">
        <f t="shared" si="186"/>
        <v>9.9161430680626386E-16</v>
      </c>
    </row>
    <row r="11941" spans="1:5" x14ac:dyDescent="0.25">
      <c r="A11941">
        <v>15</v>
      </c>
      <c r="B11941">
        <v>17</v>
      </c>
      <c r="C11941">
        <v>16</v>
      </c>
      <c r="D11941">
        <v>0</v>
      </c>
      <c r="E11941">
        <f t="shared" si="186"/>
        <v>1.2395178835078301E-16</v>
      </c>
    </row>
    <row r="11942" spans="1:5" x14ac:dyDescent="0.25">
      <c r="A11942">
        <v>15</v>
      </c>
      <c r="B11942">
        <v>18</v>
      </c>
      <c r="C11942">
        <v>0</v>
      </c>
      <c r="D11942">
        <v>15</v>
      </c>
      <c r="E11942">
        <f t="shared" si="186"/>
        <v>9.4477074925629551E-24</v>
      </c>
    </row>
    <row r="11943" spans="1:5" x14ac:dyDescent="0.25">
      <c r="A11943">
        <v>15</v>
      </c>
      <c r="B11943">
        <v>18</v>
      </c>
      <c r="C11943">
        <v>1</v>
      </c>
      <c r="D11943">
        <v>14</v>
      </c>
      <c r="E11943">
        <f t="shared" si="186"/>
        <v>8.3741043684080746E-22</v>
      </c>
    </row>
    <row r="11944" spans="1:5" x14ac:dyDescent="0.25">
      <c r="A11944">
        <v>15</v>
      </c>
      <c r="B11944">
        <v>18</v>
      </c>
      <c r="C11944">
        <v>2</v>
      </c>
      <c r="D11944">
        <v>13</v>
      </c>
      <c r="E11944">
        <f t="shared" si="186"/>
        <v>3.1263322975390149E-20</v>
      </c>
    </row>
    <row r="11945" spans="1:5" x14ac:dyDescent="0.25">
      <c r="A11945">
        <v>15</v>
      </c>
      <c r="B11945">
        <v>18</v>
      </c>
      <c r="C11945">
        <v>3</v>
      </c>
      <c r="D11945">
        <v>12</v>
      </c>
      <c r="E11945">
        <f t="shared" si="186"/>
        <v>6.5652978248319315E-19</v>
      </c>
    </row>
    <row r="11946" spans="1:5" x14ac:dyDescent="0.25">
      <c r="A11946">
        <v>15</v>
      </c>
      <c r="B11946">
        <v>18</v>
      </c>
      <c r="C11946">
        <v>4</v>
      </c>
      <c r="D11946">
        <v>11</v>
      </c>
      <c r="E11946">
        <f t="shared" si="186"/>
        <v>8.7224671101338512E-18</v>
      </c>
    </row>
    <row r="11947" spans="1:5" x14ac:dyDescent="0.25">
      <c r="A11947">
        <v>15</v>
      </c>
      <c r="B11947">
        <v>18</v>
      </c>
      <c r="C11947">
        <v>5</v>
      </c>
      <c r="D11947">
        <v>10</v>
      </c>
      <c r="E11947">
        <f t="shared" si="186"/>
        <v>7.8037005745330849E-17</v>
      </c>
    </row>
    <row r="11948" spans="1:5" x14ac:dyDescent="0.25">
      <c r="A11948">
        <v>15</v>
      </c>
      <c r="B11948">
        <v>18</v>
      </c>
      <c r="C11948">
        <v>6</v>
      </c>
      <c r="D11948">
        <v>9</v>
      </c>
      <c r="E11948">
        <f t="shared" si="186"/>
        <v>4.8773128590831782E-16</v>
      </c>
    </row>
    <row r="11949" spans="1:5" x14ac:dyDescent="0.25">
      <c r="A11949">
        <v>15</v>
      </c>
      <c r="B11949">
        <v>18</v>
      </c>
      <c r="C11949">
        <v>7</v>
      </c>
      <c r="D11949">
        <v>8</v>
      </c>
      <c r="E11949">
        <f t="shared" si="186"/>
        <v>2.1763471665320737E-15</v>
      </c>
    </row>
    <row r="11950" spans="1:5" x14ac:dyDescent="0.25">
      <c r="A11950">
        <v>15</v>
      </c>
      <c r="B11950">
        <v>18</v>
      </c>
      <c r="C11950">
        <v>8</v>
      </c>
      <c r="D11950">
        <v>7</v>
      </c>
      <c r="E11950">
        <f t="shared" si="186"/>
        <v>7.0126742032700182E-15</v>
      </c>
    </row>
    <row r="11951" spans="1:5" x14ac:dyDescent="0.25">
      <c r="A11951">
        <v>15</v>
      </c>
      <c r="B11951">
        <v>18</v>
      </c>
      <c r="C11951">
        <v>9</v>
      </c>
      <c r="D11951">
        <v>6</v>
      </c>
      <c r="E11951">
        <f t="shared" si="186"/>
        <v>1.6362906474296699E-14</v>
      </c>
    </row>
    <row r="11952" spans="1:5" x14ac:dyDescent="0.25">
      <c r="A11952">
        <v>15</v>
      </c>
      <c r="B11952">
        <v>18</v>
      </c>
      <c r="C11952">
        <v>10</v>
      </c>
      <c r="D11952">
        <v>5</v>
      </c>
      <c r="E11952">
        <f t="shared" si="186"/>
        <v>2.7489682876818459E-14</v>
      </c>
    </row>
    <row r="11953" spans="1:5" x14ac:dyDescent="0.25">
      <c r="A11953">
        <v>15</v>
      </c>
      <c r="B11953">
        <v>18</v>
      </c>
      <c r="C11953">
        <v>11</v>
      </c>
      <c r="D11953">
        <v>4</v>
      </c>
      <c r="E11953">
        <f t="shared" si="186"/>
        <v>3.2725812948593418E-14</v>
      </c>
    </row>
    <row r="11954" spans="1:5" x14ac:dyDescent="0.25">
      <c r="A11954">
        <v>15</v>
      </c>
      <c r="B11954">
        <v>18</v>
      </c>
      <c r="C11954">
        <v>12</v>
      </c>
      <c r="D11954">
        <v>3</v>
      </c>
      <c r="E11954">
        <f t="shared" si="186"/>
        <v>2.6775665139758228E-14</v>
      </c>
    </row>
    <row r="11955" spans="1:5" x14ac:dyDescent="0.25">
      <c r="A11955">
        <v>15</v>
      </c>
      <c r="B11955">
        <v>18</v>
      </c>
      <c r="C11955">
        <v>13</v>
      </c>
      <c r="D11955">
        <v>2</v>
      </c>
      <c r="E11955">
        <f t="shared" si="186"/>
        <v>1.4238564405423281E-14</v>
      </c>
    </row>
    <row r="11956" spans="1:5" x14ac:dyDescent="0.25">
      <c r="A11956">
        <v>15</v>
      </c>
      <c r="B11956">
        <v>18</v>
      </c>
      <c r="C11956">
        <v>14</v>
      </c>
      <c r="D11956">
        <v>1</v>
      </c>
      <c r="E11956">
        <f t="shared" si="186"/>
        <v>4.4071746969167302E-15</v>
      </c>
    </row>
    <row r="11957" spans="1:5" x14ac:dyDescent="0.25">
      <c r="A11957">
        <v>15</v>
      </c>
      <c r="B11957">
        <v>18</v>
      </c>
      <c r="C11957">
        <v>15</v>
      </c>
      <c r="D11957">
        <v>0</v>
      </c>
      <c r="E11957">
        <f t="shared" si="186"/>
        <v>5.9937575878067512E-16</v>
      </c>
    </row>
    <row r="11958" spans="1:5" x14ac:dyDescent="0.25">
      <c r="A11958">
        <v>15</v>
      </c>
      <c r="B11958">
        <v>19</v>
      </c>
      <c r="C11958">
        <v>0</v>
      </c>
      <c r="D11958">
        <v>14</v>
      </c>
      <c r="E11958">
        <f t="shared" si="186"/>
        <v>1.8375565051324598E-22</v>
      </c>
    </row>
    <row r="11959" spans="1:5" x14ac:dyDescent="0.25">
      <c r="A11959">
        <v>15</v>
      </c>
      <c r="B11959">
        <v>19</v>
      </c>
      <c r="C11959">
        <v>1</v>
      </c>
      <c r="D11959">
        <v>13</v>
      </c>
      <c r="E11959">
        <f t="shared" si="186"/>
        <v>1.3934803497254488E-20</v>
      </c>
    </row>
    <row r="11960" spans="1:5" x14ac:dyDescent="0.25">
      <c r="A11960">
        <v>15</v>
      </c>
      <c r="B11960">
        <v>19</v>
      </c>
      <c r="C11960">
        <v>2</v>
      </c>
      <c r="D11960">
        <v>12</v>
      </c>
      <c r="E11960">
        <f t="shared" si="186"/>
        <v>4.4591371191214363E-19</v>
      </c>
    </row>
    <row r="11961" spans="1:5" x14ac:dyDescent="0.25">
      <c r="A11961">
        <v>15</v>
      </c>
      <c r="B11961">
        <v>19</v>
      </c>
      <c r="C11961">
        <v>3</v>
      </c>
      <c r="D11961">
        <v>11</v>
      </c>
      <c r="E11961">
        <f t="shared" si="186"/>
        <v>8.0264468144185839E-18</v>
      </c>
    </row>
    <row r="11962" spans="1:5" x14ac:dyDescent="0.25">
      <c r="A11962">
        <v>15</v>
      </c>
      <c r="B11962">
        <v>19</v>
      </c>
      <c r="C11962">
        <v>4</v>
      </c>
      <c r="D11962">
        <v>10</v>
      </c>
      <c r="E11962">
        <f t="shared" si="186"/>
        <v>9.1233945457224567E-17</v>
      </c>
    </row>
    <row r="11963" spans="1:5" x14ac:dyDescent="0.25">
      <c r="A11963">
        <v>15</v>
      </c>
      <c r="B11963">
        <v>19</v>
      </c>
      <c r="C11963">
        <v>5</v>
      </c>
      <c r="D11963">
        <v>9</v>
      </c>
      <c r="E11963">
        <f t="shared" si="186"/>
        <v>6.956588341113374E-16</v>
      </c>
    </row>
    <row r="11964" spans="1:5" x14ac:dyDescent="0.25">
      <c r="A11964">
        <v>15</v>
      </c>
      <c r="B11964">
        <v>19</v>
      </c>
      <c r="C11964">
        <v>6</v>
      </c>
      <c r="D11964">
        <v>8</v>
      </c>
      <c r="E11964">
        <f t="shared" si="186"/>
        <v>3.6828997100011975E-15</v>
      </c>
    </row>
    <row r="11965" spans="1:5" x14ac:dyDescent="0.25">
      <c r="A11965">
        <v>15</v>
      </c>
      <c r="B11965">
        <v>19</v>
      </c>
      <c r="C11965">
        <v>7</v>
      </c>
      <c r="D11965">
        <v>7</v>
      </c>
      <c r="E11965">
        <f t="shared" si="186"/>
        <v>1.3796259231115602E-14</v>
      </c>
    </row>
    <row r="11966" spans="1:5" x14ac:dyDescent="0.25">
      <c r="A11966">
        <v>15</v>
      </c>
      <c r="B11966">
        <v>19</v>
      </c>
      <c r="C11966">
        <v>8</v>
      </c>
      <c r="D11966">
        <v>6</v>
      </c>
      <c r="E11966">
        <f t="shared" si="186"/>
        <v>3.6850534525216662E-14</v>
      </c>
    </row>
    <row r="11967" spans="1:5" x14ac:dyDescent="0.25">
      <c r="A11967">
        <v>15</v>
      </c>
      <c r="B11967">
        <v>19</v>
      </c>
      <c r="C11967">
        <v>9</v>
      </c>
      <c r="D11967">
        <v>5</v>
      </c>
      <c r="E11967">
        <f t="shared" si="186"/>
        <v>7.0016015597911663E-14</v>
      </c>
    </row>
    <row r="11968" spans="1:5" x14ac:dyDescent="0.25">
      <c r="A11968">
        <v>15</v>
      </c>
      <c r="B11968">
        <v>19</v>
      </c>
      <c r="C11968">
        <v>10</v>
      </c>
      <c r="D11968">
        <v>4</v>
      </c>
      <c r="E11968">
        <f t="shared" si="186"/>
        <v>9.335468746388223E-14</v>
      </c>
    </row>
    <row r="11969" spans="1:5" x14ac:dyDescent="0.25">
      <c r="A11969">
        <v>15</v>
      </c>
      <c r="B11969">
        <v>19</v>
      </c>
      <c r="C11969">
        <v>11</v>
      </c>
      <c r="D11969">
        <v>3</v>
      </c>
      <c r="E11969">
        <f t="shared" si="186"/>
        <v>8.4867897694438397E-14</v>
      </c>
    </row>
    <row r="11970" spans="1:5" x14ac:dyDescent="0.25">
      <c r="A11970">
        <v>15</v>
      </c>
      <c r="B11970">
        <v>19</v>
      </c>
      <c r="C11970">
        <v>12</v>
      </c>
      <c r="D11970">
        <v>2</v>
      </c>
      <c r="E11970">
        <f t="shared" si="186"/>
        <v>4.9813766038039903E-14</v>
      </c>
    </row>
    <row r="11971" spans="1:5" x14ac:dyDescent="0.25">
      <c r="A11971">
        <v>15</v>
      </c>
      <c r="B11971">
        <v>19</v>
      </c>
      <c r="C11971">
        <v>13</v>
      </c>
      <c r="D11971">
        <v>1</v>
      </c>
      <c r="E11971">
        <f t="shared" si="186"/>
        <v>1.6923907692410999E-14</v>
      </c>
    </row>
    <row r="11972" spans="1:5" x14ac:dyDescent="0.25">
      <c r="A11972">
        <v>15</v>
      </c>
      <c r="B11972">
        <v>19</v>
      </c>
      <c r="C11972">
        <v>14</v>
      </c>
      <c r="D11972">
        <v>0</v>
      </c>
      <c r="E11972">
        <f t="shared" si="186"/>
        <v>2.5144091428724918E-15</v>
      </c>
    </row>
    <row r="11973" spans="1:5" x14ac:dyDescent="0.25">
      <c r="A11973">
        <v>15</v>
      </c>
      <c r="B11973">
        <v>20</v>
      </c>
      <c r="C11973">
        <v>0</v>
      </c>
      <c r="D11973">
        <v>13</v>
      </c>
      <c r="E11973">
        <f t="shared" si="186"/>
        <v>2.8941514955836249E-21</v>
      </c>
    </row>
    <row r="11974" spans="1:5" x14ac:dyDescent="0.25">
      <c r="A11974">
        <v>15</v>
      </c>
      <c r="B11974">
        <v>20</v>
      </c>
      <c r="C11974">
        <v>1</v>
      </c>
      <c r="D11974">
        <v>12</v>
      </c>
      <c r="E11974">
        <f t="shared" si="186"/>
        <v>1.8811984721293562E-19</v>
      </c>
    </row>
    <row r="11975" spans="1:5" x14ac:dyDescent="0.25">
      <c r="A11975">
        <v>15</v>
      </c>
      <c r="B11975">
        <v>20</v>
      </c>
      <c r="C11975">
        <v>2</v>
      </c>
      <c r="D11975">
        <v>11</v>
      </c>
      <c r="E11975">
        <f t="shared" si="186"/>
        <v>5.1598586664119482E-18</v>
      </c>
    </row>
    <row r="11976" spans="1:5" x14ac:dyDescent="0.25">
      <c r="A11976">
        <v>15</v>
      </c>
      <c r="B11976">
        <v>20</v>
      </c>
      <c r="C11976">
        <v>3</v>
      </c>
      <c r="D11976">
        <v>10</v>
      </c>
      <c r="E11976">
        <f t="shared" si="186"/>
        <v>7.9461823462743973E-17</v>
      </c>
    </row>
    <row r="11977" spans="1:5" x14ac:dyDescent="0.25">
      <c r="A11977">
        <v>15</v>
      </c>
      <c r="B11977">
        <v>20</v>
      </c>
      <c r="C11977">
        <v>4</v>
      </c>
      <c r="D11977">
        <v>9</v>
      </c>
      <c r="E11977">
        <f t="shared" si="186"/>
        <v>7.6978641479533229E-16</v>
      </c>
    </row>
    <row r="11978" spans="1:5" x14ac:dyDescent="0.25">
      <c r="A11978">
        <v>15</v>
      </c>
      <c r="B11978">
        <v>20</v>
      </c>
      <c r="C11978">
        <v>5</v>
      </c>
      <c r="D11978">
        <v>8</v>
      </c>
      <c r="E11978">
        <f t="shared" si="186"/>
        <v>4.9719146085016186E-15</v>
      </c>
    </row>
    <row r="11979" spans="1:5" x14ac:dyDescent="0.25">
      <c r="A11979">
        <v>15</v>
      </c>
      <c r="B11979">
        <v>20</v>
      </c>
      <c r="C11979">
        <v>6</v>
      </c>
      <c r="D11979">
        <v>7</v>
      </c>
      <c r="E11979">
        <f t="shared" si="186"/>
        <v>2.2097398260007194E-14</v>
      </c>
    </row>
    <row r="11980" spans="1:5" x14ac:dyDescent="0.25">
      <c r="A11980">
        <v>15</v>
      </c>
      <c r="B11980">
        <v>20</v>
      </c>
      <c r="C11980">
        <v>7</v>
      </c>
      <c r="D11980">
        <v>6</v>
      </c>
      <c r="E11980">
        <f t="shared" si="186"/>
        <v>6.8618236702127571E-14</v>
      </c>
    </row>
    <row r="11981" spans="1:5" x14ac:dyDescent="0.25">
      <c r="A11981">
        <v>15</v>
      </c>
      <c r="B11981">
        <v>20</v>
      </c>
      <c r="C11981">
        <v>8</v>
      </c>
      <c r="D11981">
        <v>5</v>
      </c>
      <c r="E11981">
        <f t="shared" si="186"/>
        <v>1.492446648271275E-13</v>
      </c>
    </row>
    <row r="11982" spans="1:5" x14ac:dyDescent="0.25">
      <c r="A11982">
        <v>15</v>
      </c>
      <c r="B11982">
        <v>20</v>
      </c>
      <c r="C11982">
        <v>9</v>
      </c>
      <c r="D11982">
        <v>4</v>
      </c>
      <c r="E11982">
        <f t="shared" ref="E11982:E12045" si="187">COMBIN(A$4,A11982)*COMBIN(B$4,B11982)*COMBIN(C$4,C11982)*COMBIN(D$4,D11982)/COMBIN($G$4,$F$4)</f>
        <v>2.2505147870757323E-13</v>
      </c>
    </row>
    <row r="11983" spans="1:5" x14ac:dyDescent="0.25">
      <c r="A11983">
        <v>15</v>
      </c>
      <c r="B11983">
        <v>20</v>
      </c>
      <c r="C11983">
        <v>10</v>
      </c>
      <c r="D11983">
        <v>3</v>
      </c>
      <c r="E11983">
        <f t="shared" si="187"/>
        <v>2.2914332377498365E-13</v>
      </c>
    </row>
    <row r="11984" spans="1:5" x14ac:dyDescent="0.25">
      <c r="A11984">
        <v>15</v>
      </c>
      <c r="B11984">
        <v>20</v>
      </c>
      <c r="C11984">
        <v>11</v>
      </c>
      <c r="D11984">
        <v>2</v>
      </c>
      <c r="E11984">
        <f t="shared" si="187"/>
        <v>1.494412981141198E-13</v>
      </c>
    </row>
    <row r="11985" spans="1:5" x14ac:dyDescent="0.25">
      <c r="A11985">
        <v>15</v>
      </c>
      <c r="B11985">
        <v>20</v>
      </c>
      <c r="C11985">
        <v>12</v>
      </c>
      <c r="D11985">
        <v>1</v>
      </c>
      <c r="E11985">
        <f t="shared" si="187"/>
        <v>5.6040486792794886E-14</v>
      </c>
    </row>
    <row r="11986" spans="1:5" x14ac:dyDescent="0.25">
      <c r="A11986">
        <v>15</v>
      </c>
      <c r="B11986">
        <v>20</v>
      </c>
      <c r="C11986">
        <v>13</v>
      </c>
      <c r="D11986">
        <v>0</v>
      </c>
      <c r="E11986">
        <f t="shared" si="187"/>
        <v>9.1389101539019395E-15</v>
      </c>
    </row>
    <row r="11987" spans="1:5" x14ac:dyDescent="0.25">
      <c r="A11987">
        <v>15</v>
      </c>
      <c r="B11987">
        <v>21</v>
      </c>
      <c r="C11987">
        <v>0</v>
      </c>
      <c r="D11987">
        <v>12</v>
      </c>
      <c r="E11987">
        <f t="shared" si="187"/>
        <v>3.7072702491047399E-20</v>
      </c>
    </row>
    <row r="11988" spans="1:5" x14ac:dyDescent="0.25">
      <c r="A11988">
        <v>15</v>
      </c>
      <c r="B11988">
        <v>21</v>
      </c>
      <c r="C11988">
        <v>1</v>
      </c>
      <c r="D11988">
        <v>11</v>
      </c>
      <c r="E11988">
        <f t="shared" si="187"/>
        <v>2.0654791387869262E-18</v>
      </c>
    </row>
    <row r="11989" spans="1:5" x14ac:dyDescent="0.25">
      <c r="A11989">
        <v>15</v>
      </c>
      <c r="B11989">
        <v>21</v>
      </c>
      <c r="C11989">
        <v>2</v>
      </c>
      <c r="D11989">
        <v>10</v>
      </c>
      <c r="E11989">
        <f t="shared" si="187"/>
        <v>4.8469910456866525E-17</v>
      </c>
    </row>
    <row r="11990" spans="1:5" x14ac:dyDescent="0.25">
      <c r="A11990">
        <v>15</v>
      </c>
      <c r="B11990">
        <v>21</v>
      </c>
      <c r="C11990">
        <v>3</v>
      </c>
      <c r="D11990">
        <v>9</v>
      </c>
      <c r="E11990">
        <f t="shared" si="187"/>
        <v>6.3616757474637322E-16</v>
      </c>
    </row>
    <row r="11991" spans="1:5" x14ac:dyDescent="0.25">
      <c r="A11991">
        <v>15</v>
      </c>
      <c r="B11991">
        <v>21</v>
      </c>
      <c r="C11991">
        <v>4</v>
      </c>
      <c r="D11991">
        <v>8</v>
      </c>
      <c r="E11991">
        <f t="shared" si="187"/>
        <v>5.2203162751246521E-15</v>
      </c>
    </row>
    <row r="11992" spans="1:5" x14ac:dyDescent="0.25">
      <c r="A11992">
        <v>15</v>
      </c>
      <c r="B11992">
        <v>21</v>
      </c>
      <c r="C11992">
        <v>5</v>
      </c>
      <c r="D11992">
        <v>7</v>
      </c>
      <c r="E11992">
        <f t="shared" si="187"/>
        <v>2.8305714914009226E-14</v>
      </c>
    </row>
    <row r="11993" spans="1:5" x14ac:dyDescent="0.25">
      <c r="A11993">
        <v>15</v>
      </c>
      <c r="B11993">
        <v>21</v>
      </c>
      <c r="C11993">
        <v>6</v>
      </c>
      <c r="D11993">
        <v>6</v>
      </c>
      <c r="E11993">
        <f t="shared" si="187"/>
        <v>1.0428421284108656E-13</v>
      </c>
    </row>
    <row r="11994" spans="1:5" x14ac:dyDescent="0.25">
      <c r="A11994">
        <v>15</v>
      </c>
      <c r="B11994">
        <v>21</v>
      </c>
      <c r="C11994">
        <v>7</v>
      </c>
      <c r="D11994">
        <v>5</v>
      </c>
      <c r="E11994">
        <f t="shared" si="187"/>
        <v>2.636900810410332E-13</v>
      </c>
    </row>
    <row r="11995" spans="1:5" x14ac:dyDescent="0.25">
      <c r="A11995">
        <v>15</v>
      </c>
      <c r="B11995">
        <v>21</v>
      </c>
      <c r="C11995">
        <v>8</v>
      </c>
      <c r="D11995">
        <v>4</v>
      </c>
      <c r="E11995">
        <f t="shared" si="187"/>
        <v>4.551793065589266E-13</v>
      </c>
    </row>
    <row r="11996" spans="1:5" x14ac:dyDescent="0.25">
      <c r="A11996">
        <v>15</v>
      </c>
      <c r="B11996">
        <v>21</v>
      </c>
      <c r="C11996">
        <v>9</v>
      </c>
      <c r="D11996">
        <v>3</v>
      </c>
      <c r="E11996">
        <f t="shared" si="187"/>
        <v>5.2414586815876375E-13</v>
      </c>
    </row>
    <row r="11997" spans="1:5" x14ac:dyDescent="0.25">
      <c r="A11997">
        <v>15</v>
      </c>
      <c r="B11997">
        <v>21</v>
      </c>
      <c r="C11997">
        <v>10</v>
      </c>
      <c r="D11997">
        <v>2</v>
      </c>
      <c r="E11997">
        <f t="shared" si="187"/>
        <v>3.8285437326379271E-13</v>
      </c>
    </row>
    <row r="11998" spans="1:5" x14ac:dyDescent="0.25">
      <c r="A11998">
        <v>15</v>
      </c>
      <c r="B11998">
        <v>21</v>
      </c>
      <c r="C11998">
        <v>11</v>
      </c>
      <c r="D11998">
        <v>1</v>
      </c>
      <c r="E11998">
        <f t="shared" si="187"/>
        <v>1.5952265552658035E-13</v>
      </c>
    </row>
    <row r="11999" spans="1:5" x14ac:dyDescent="0.25">
      <c r="A11999">
        <v>15</v>
      </c>
      <c r="B11999">
        <v>21</v>
      </c>
      <c r="C11999">
        <v>12</v>
      </c>
      <c r="D11999">
        <v>0</v>
      </c>
      <c r="E11999">
        <f t="shared" si="187"/>
        <v>2.8714077994784439E-14</v>
      </c>
    </row>
    <row r="12000" spans="1:5" x14ac:dyDescent="0.25">
      <c r="A12000">
        <v>15</v>
      </c>
      <c r="B12000">
        <v>22</v>
      </c>
      <c r="C12000">
        <v>0</v>
      </c>
      <c r="D12000">
        <v>11</v>
      </c>
      <c r="E12000">
        <f t="shared" si="187"/>
        <v>3.8709678964678052E-19</v>
      </c>
    </row>
    <row r="12001" spans="1:5" x14ac:dyDescent="0.25">
      <c r="A12001">
        <v>15</v>
      </c>
      <c r="B12001">
        <v>22</v>
      </c>
      <c r="C12001">
        <v>1</v>
      </c>
      <c r="D12001">
        <v>10</v>
      </c>
      <c r="E12001">
        <f t="shared" si="187"/>
        <v>1.845161363982987E-17</v>
      </c>
    </row>
    <row r="12002" spans="1:5" x14ac:dyDescent="0.25">
      <c r="A12002">
        <v>15</v>
      </c>
      <c r="B12002">
        <v>22</v>
      </c>
      <c r="C12002">
        <v>2</v>
      </c>
      <c r="D12002">
        <v>9</v>
      </c>
      <c r="E12002">
        <f t="shared" si="187"/>
        <v>3.6903227279659749E-16</v>
      </c>
    </row>
    <row r="12003" spans="1:5" x14ac:dyDescent="0.25">
      <c r="A12003">
        <v>15</v>
      </c>
      <c r="B12003">
        <v>22</v>
      </c>
      <c r="C12003">
        <v>3</v>
      </c>
      <c r="D12003">
        <v>8</v>
      </c>
      <c r="E12003">
        <f t="shared" si="187"/>
        <v>4.1027705622680541E-15</v>
      </c>
    </row>
    <row r="12004" spans="1:5" x14ac:dyDescent="0.25">
      <c r="A12004">
        <v>15</v>
      </c>
      <c r="B12004">
        <v>22</v>
      </c>
      <c r="C12004">
        <v>4</v>
      </c>
      <c r="D12004">
        <v>7</v>
      </c>
      <c r="E12004">
        <f t="shared" si="187"/>
        <v>2.8263530540068823E-14</v>
      </c>
    </row>
    <row r="12005" spans="1:5" x14ac:dyDescent="0.25">
      <c r="A12005">
        <v>15</v>
      </c>
      <c r="B12005">
        <v>22</v>
      </c>
      <c r="C12005">
        <v>5</v>
      </c>
      <c r="D12005">
        <v>6</v>
      </c>
      <c r="E12005">
        <f t="shared" si="187"/>
        <v>1.2703713200641456E-13</v>
      </c>
    </row>
    <row r="12006" spans="1:5" x14ac:dyDescent="0.25">
      <c r="A12006">
        <v>15</v>
      </c>
      <c r="B12006">
        <v>22</v>
      </c>
      <c r="C12006">
        <v>6</v>
      </c>
      <c r="D12006">
        <v>5</v>
      </c>
      <c r="E12006">
        <f t="shared" si="187"/>
        <v>3.8111139601924362E-13</v>
      </c>
    </row>
    <row r="12007" spans="1:5" x14ac:dyDescent="0.25">
      <c r="A12007">
        <v>15</v>
      </c>
      <c r="B12007">
        <v>22</v>
      </c>
      <c r="C12007">
        <v>7</v>
      </c>
      <c r="D12007">
        <v>4</v>
      </c>
      <c r="E12007">
        <f t="shared" si="187"/>
        <v>7.648153865692306E-13</v>
      </c>
    </row>
    <row r="12008" spans="1:5" x14ac:dyDescent="0.25">
      <c r="A12008">
        <v>15</v>
      </c>
      <c r="B12008">
        <v>22</v>
      </c>
      <c r="C12008">
        <v>8</v>
      </c>
      <c r="D12008">
        <v>3</v>
      </c>
      <c r="E12008">
        <f t="shared" si="187"/>
        <v>1.0081657368412588E-12</v>
      </c>
    </row>
    <row r="12009" spans="1:5" x14ac:dyDescent="0.25">
      <c r="A12009">
        <v>15</v>
      </c>
      <c r="B12009">
        <v>22</v>
      </c>
      <c r="C12009">
        <v>9</v>
      </c>
      <c r="D12009">
        <v>2</v>
      </c>
      <c r="E12009">
        <f t="shared" si="187"/>
        <v>8.3283256521669182E-13</v>
      </c>
    </row>
    <row r="12010" spans="1:5" x14ac:dyDescent="0.25">
      <c r="A12010">
        <v>15</v>
      </c>
      <c r="B12010">
        <v>22</v>
      </c>
      <c r="C12010">
        <v>10</v>
      </c>
      <c r="D12010">
        <v>1</v>
      </c>
      <c r="E12010">
        <f t="shared" si="187"/>
        <v>3.8865519710112291E-13</v>
      </c>
    </row>
    <row r="12011" spans="1:5" x14ac:dyDescent="0.25">
      <c r="A12011">
        <v>15</v>
      </c>
      <c r="B12011">
        <v>22</v>
      </c>
      <c r="C12011">
        <v>11</v>
      </c>
      <c r="D12011">
        <v>0</v>
      </c>
      <c r="E12011">
        <f t="shared" si="187"/>
        <v>7.7731039420224585E-14</v>
      </c>
    </row>
    <row r="12012" spans="1:5" x14ac:dyDescent="0.25">
      <c r="A12012">
        <v>15</v>
      </c>
      <c r="B12012">
        <v>23</v>
      </c>
      <c r="C12012">
        <v>0</v>
      </c>
      <c r="D12012">
        <v>10</v>
      </c>
      <c r="E12012">
        <f t="shared" si="187"/>
        <v>3.2953718005582423E-18</v>
      </c>
    </row>
    <row r="12013" spans="1:5" x14ac:dyDescent="0.25">
      <c r="A12013">
        <v>15</v>
      </c>
      <c r="B12013">
        <v>23</v>
      </c>
      <c r="C12013">
        <v>1</v>
      </c>
      <c r="D12013">
        <v>9</v>
      </c>
      <c r="E12013">
        <f t="shared" si="187"/>
        <v>1.3387447939767862E-16</v>
      </c>
    </row>
    <row r="12014" spans="1:5" x14ac:dyDescent="0.25">
      <c r="A12014">
        <v>15</v>
      </c>
      <c r="B12014">
        <v>23</v>
      </c>
      <c r="C12014">
        <v>2</v>
      </c>
      <c r="D12014">
        <v>8</v>
      </c>
      <c r="E12014">
        <f t="shared" si="187"/>
        <v>2.2679911803842027E-15</v>
      </c>
    </row>
    <row r="12015" spans="1:5" x14ac:dyDescent="0.25">
      <c r="A12015">
        <v>15</v>
      </c>
      <c r="B12015">
        <v>23</v>
      </c>
      <c r="C12015">
        <v>3</v>
      </c>
      <c r="D12015">
        <v>7</v>
      </c>
      <c r="E12015">
        <f t="shared" si="187"/>
        <v>2.1167917683585893E-14</v>
      </c>
    </row>
    <row r="12016" spans="1:5" x14ac:dyDescent="0.25">
      <c r="A12016">
        <v>15</v>
      </c>
      <c r="B12016">
        <v>23</v>
      </c>
      <c r="C12016">
        <v>4</v>
      </c>
      <c r="D12016">
        <v>6</v>
      </c>
      <c r="E12016">
        <f t="shared" si="187"/>
        <v>1.2087995098258256E-13</v>
      </c>
    </row>
    <row r="12017" spans="1:5" x14ac:dyDescent="0.25">
      <c r="A12017">
        <v>15</v>
      </c>
      <c r="B12017">
        <v>23</v>
      </c>
      <c r="C12017">
        <v>5</v>
      </c>
      <c r="D12017">
        <v>5</v>
      </c>
      <c r="E12017">
        <f t="shared" si="187"/>
        <v>4.4242062059625218E-13</v>
      </c>
    </row>
    <row r="12018" spans="1:5" x14ac:dyDescent="0.25">
      <c r="A12018">
        <v>15</v>
      </c>
      <c r="B12018">
        <v>23</v>
      </c>
      <c r="C12018">
        <v>6</v>
      </c>
      <c r="D12018">
        <v>4</v>
      </c>
      <c r="E12018">
        <f t="shared" si="187"/>
        <v>1.0533824299910768E-12</v>
      </c>
    </row>
    <row r="12019" spans="1:5" x14ac:dyDescent="0.25">
      <c r="A12019">
        <v>15</v>
      </c>
      <c r="B12019">
        <v>23</v>
      </c>
      <c r="C12019">
        <v>7</v>
      </c>
      <c r="D12019">
        <v>3</v>
      </c>
      <c r="E12019">
        <f t="shared" si="187"/>
        <v>1.6142743732330786E-12</v>
      </c>
    </row>
    <row r="12020" spans="1:5" x14ac:dyDescent="0.25">
      <c r="A12020">
        <v>15</v>
      </c>
      <c r="B12020">
        <v>23</v>
      </c>
      <c r="C12020">
        <v>8</v>
      </c>
      <c r="D12020">
        <v>2</v>
      </c>
      <c r="E12020">
        <f t="shared" si="187"/>
        <v>1.5265420703399767E-12</v>
      </c>
    </row>
    <row r="12021" spans="1:5" x14ac:dyDescent="0.25">
      <c r="A12021">
        <v>15</v>
      </c>
      <c r="B12021">
        <v>23</v>
      </c>
      <c r="C12021">
        <v>9</v>
      </c>
      <c r="D12021">
        <v>1</v>
      </c>
      <c r="E12021">
        <f t="shared" si="187"/>
        <v>8.0567498156832104E-13</v>
      </c>
    </row>
    <row r="12022" spans="1:5" x14ac:dyDescent="0.25">
      <c r="A12022">
        <v>15</v>
      </c>
      <c r="B12022">
        <v>23</v>
      </c>
      <c r="C12022">
        <v>10</v>
      </c>
      <c r="D12022">
        <v>0</v>
      </c>
      <c r="E12022">
        <f t="shared" si="187"/>
        <v>1.8047119587130392E-13</v>
      </c>
    </row>
    <row r="12023" spans="1:5" x14ac:dyDescent="0.25">
      <c r="A12023">
        <v>15</v>
      </c>
      <c r="B12023">
        <v>24</v>
      </c>
      <c r="C12023">
        <v>0</v>
      </c>
      <c r="D12023">
        <v>9</v>
      </c>
      <c r="E12023">
        <f t="shared" si="187"/>
        <v>2.2827315076783677E-17</v>
      </c>
    </row>
    <row r="12024" spans="1:5" x14ac:dyDescent="0.25">
      <c r="A12024">
        <v>15</v>
      </c>
      <c r="B12024">
        <v>24</v>
      </c>
      <c r="C12024">
        <v>1</v>
      </c>
      <c r="D12024">
        <v>8</v>
      </c>
      <c r="E12024">
        <f t="shared" si="187"/>
        <v>7.8552819528932055E-16</v>
      </c>
    </row>
    <row r="12025" spans="1:5" x14ac:dyDescent="0.25">
      <c r="A12025">
        <v>15</v>
      </c>
      <c r="B12025">
        <v>24</v>
      </c>
      <c r="C12025">
        <v>2</v>
      </c>
      <c r="D12025">
        <v>7</v>
      </c>
      <c r="E12025">
        <f t="shared" si="187"/>
        <v>1.1171956555225895E-14</v>
      </c>
    </row>
    <row r="12026" spans="1:5" x14ac:dyDescent="0.25">
      <c r="A12026">
        <v>15</v>
      </c>
      <c r="B12026">
        <v>24</v>
      </c>
      <c r="C12026">
        <v>3</v>
      </c>
      <c r="D12026">
        <v>6</v>
      </c>
      <c r="E12026">
        <f t="shared" si="187"/>
        <v>8.6435663874642423E-14</v>
      </c>
    </row>
    <row r="12027" spans="1:5" x14ac:dyDescent="0.25">
      <c r="A12027">
        <v>15</v>
      </c>
      <c r="B12027">
        <v>24</v>
      </c>
      <c r="C12027">
        <v>4</v>
      </c>
      <c r="D12027">
        <v>5</v>
      </c>
      <c r="E12027">
        <f t="shared" si="187"/>
        <v>4.0192583701708728E-13</v>
      </c>
    </row>
    <row r="12028" spans="1:5" x14ac:dyDescent="0.25">
      <c r="A12028">
        <v>15</v>
      </c>
      <c r="B12028">
        <v>24</v>
      </c>
      <c r="C12028">
        <v>5</v>
      </c>
      <c r="D12028">
        <v>4</v>
      </c>
      <c r="E12028">
        <f t="shared" si="187"/>
        <v>1.1674988599067776E-12</v>
      </c>
    </row>
    <row r="12029" spans="1:5" x14ac:dyDescent="0.25">
      <c r="A12029">
        <v>15</v>
      </c>
      <c r="B12029">
        <v>24</v>
      </c>
      <c r="C12029">
        <v>6</v>
      </c>
      <c r="D12029">
        <v>3</v>
      </c>
      <c r="E12029">
        <f t="shared" si="187"/>
        <v>2.1227251998305046E-12</v>
      </c>
    </row>
    <row r="12030" spans="1:5" x14ac:dyDescent="0.25">
      <c r="A12030">
        <v>15</v>
      </c>
      <c r="B12030">
        <v>24</v>
      </c>
      <c r="C12030">
        <v>7</v>
      </c>
      <c r="D12030">
        <v>2</v>
      </c>
      <c r="E12030">
        <f t="shared" si="187"/>
        <v>2.3336792569565172E-12</v>
      </c>
    </row>
    <row r="12031" spans="1:5" x14ac:dyDescent="0.25">
      <c r="A12031">
        <v>15</v>
      </c>
      <c r="B12031">
        <v>24</v>
      </c>
      <c r="C12031">
        <v>8</v>
      </c>
      <c r="D12031">
        <v>1</v>
      </c>
      <c r="E12031">
        <f t="shared" si="187"/>
        <v>1.4099312177445627E-12</v>
      </c>
    </row>
    <row r="12032" spans="1:5" x14ac:dyDescent="0.25">
      <c r="A12032">
        <v>15</v>
      </c>
      <c r="B12032">
        <v>24</v>
      </c>
      <c r="C12032">
        <v>9</v>
      </c>
      <c r="D12032">
        <v>0</v>
      </c>
      <c r="E12032">
        <f t="shared" si="187"/>
        <v>3.5718257516195582E-13</v>
      </c>
    </row>
    <row r="12033" spans="1:5" x14ac:dyDescent="0.25">
      <c r="A12033">
        <v>15</v>
      </c>
      <c r="B12033">
        <v>25</v>
      </c>
      <c r="C12033">
        <v>0</v>
      </c>
      <c r="D12033">
        <v>8</v>
      </c>
      <c r="E12033">
        <f t="shared" si="187"/>
        <v>1.2810152107795079E-16</v>
      </c>
    </row>
    <row r="12034" spans="1:5" x14ac:dyDescent="0.25">
      <c r="A12034">
        <v>15</v>
      </c>
      <c r="B12034">
        <v>25</v>
      </c>
      <c r="C12034">
        <v>1</v>
      </c>
      <c r="D12034">
        <v>7</v>
      </c>
      <c r="E12034">
        <f t="shared" si="187"/>
        <v>3.700710608918579E-15</v>
      </c>
    </row>
    <row r="12035" spans="1:5" x14ac:dyDescent="0.25">
      <c r="A12035">
        <v>15</v>
      </c>
      <c r="B12035">
        <v>25</v>
      </c>
      <c r="C12035">
        <v>2</v>
      </c>
      <c r="D12035">
        <v>6</v>
      </c>
      <c r="E12035">
        <f t="shared" si="187"/>
        <v>4.3629430336724288E-14</v>
      </c>
    </row>
    <row r="12036" spans="1:5" x14ac:dyDescent="0.25">
      <c r="A12036">
        <v>15</v>
      </c>
      <c r="B12036">
        <v>25</v>
      </c>
      <c r="C12036">
        <v>3</v>
      </c>
      <c r="D12036">
        <v>5</v>
      </c>
      <c r="E12036">
        <f t="shared" si="187"/>
        <v>2.7486541112136295E-13</v>
      </c>
    </row>
    <row r="12037" spans="1:5" x14ac:dyDescent="0.25">
      <c r="A12037">
        <v>15</v>
      </c>
      <c r="B12037">
        <v>25</v>
      </c>
      <c r="C12037">
        <v>4</v>
      </c>
      <c r="D12037">
        <v>4</v>
      </c>
      <c r="E12037">
        <f t="shared" si="187"/>
        <v>1.0143842553288399E-12</v>
      </c>
    </row>
    <row r="12038" spans="1:5" x14ac:dyDescent="0.25">
      <c r="A12038">
        <v>15</v>
      </c>
      <c r="B12038">
        <v>25</v>
      </c>
      <c r="C12038">
        <v>5</v>
      </c>
      <c r="D12038">
        <v>3</v>
      </c>
      <c r="E12038">
        <f t="shared" si="187"/>
        <v>2.2500887118203352E-12</v>
      </c>
    </row>
    <row r="12039" spans="1:5" x14ac:dyDescent="0.25">
      <c r="A12039">
        <v>15</v>
      </c>
      <c r="B12039">
        <v>25</v>
      </c>
      <c r="C12039">
        <v>6</v>
      </c>
      <c r="D12039">
        <v>2</v>
      </c>
      <c r="E12039">
        <f t="shared" si="187"/>
        <v>2.934898319765655E-12</v>
      </c>
    </row>
    <row r="12040" spans="1:5" x14ac:dyDescent="0.25">
      <c r="A12040">
        <v>15</v>
      </c>
      <c r="B12040">
        <v>25</v>
      </c>
      <c r="C12040">
        <v>7</v>
      </c>
      <c r="D12040">
        <v>1</v>
      </c>
      <c r="E12040">
        <f t="shared" si="187"/>
        <v>2.0614166769782574E-12</v>
      </c>
    </row>
    <row r="12041" spans="1:5" x14ac:dyDescent="0.25">
      <c r="A12041">
        <v>15</v>
      </c>
      <c r="B12041">
        <v>25</v>
      </c>
      <c r="C12041">
        <v>8</v>
      </c>
      <c r="D12041">
        <v>0</v>
      </c>
      <c r="E12041">
        <f t="shared" si="187"/>
        <v>5.9781083632369478E-13</v>
      </c>
    </row>
    <row r="12042" spans="1:5" x14ac:dyDescent="0.25">
      <c r="A12042">
        <v>15</v>
      </c>
      <c r="B12042">
        <v>26</v>
      </c>
      <c r="C12042">
        <v>0</v>
      </c>
      <c r="D12042">
        <v>7</v>
      </c>
      <c r="E12042">
        <f t="shared" si="187"/>
        <v>5.7809917204408525E-16</v>
      </c>
    </row>
    <row r="12043" spans="1:5" x14ac:dyDescent="0.25">
      <c r="A12043">
        <v>15</v>
      </c>
      <c r="B12043">
        <v>26</v>
      </c>
      <c r="C12043">
        <v>1</v>
      </c>
      <c r="D12043">
        <v>6</v>
      </c>
      <c r="E12043">
        <f t="shared" si="187"/>
        <v>1.3843953856845194E-14</v>
      </c>
    </row>
    <row r="12044" spans="1:5" x14ac:dyDescent="0.25">
      <c r="A12044">
        <v>15</v>
      </c>
      <c r="B12044">
        <v>26</v>
      </c>
      <c r="C12044">
        <v>2</v>
      </c>
      <c r="D12044">
        <v>5</v>
      </c>
      <c r="E12044">
        <f t="shared" si="187"/>
        <v>1.3290195702571385E-13</v>
      </c>
    </row>
    <row r="12045" spans="1:5" x14ac:dyDescent="0.25">
      <c r="A12045">
        <v>15</v>
      </c>
      <c r="B12045">
        <v>26</v>
      </c>
      <c r="C12045">
        <v>3</v>
      </c>
      <c r="D12045">
        <v>4</v>
      </c>
      <c r="E12045">
        <f t="shared" si="187"/>
        <v>6.6450978512856945E-13</v>
      </c>
    </row>
    <row r="12046" spans="1:5" x14ac:dyDescent="0.25">
      <c r="A12046">
        <v>15</v>
      </c>
      <c r="B12046">
        <v>26</v>
      </c>
      <c r="C12046">
        <v>4</v>
      </c>
      <c r="D12046">
        <v>3</v>
      </c>
      <c r="E12046">
        <f t="shared" ref="E12046:E12109" si="188">COMBIN(A$4,A12046)*COMBIN(B$4,B12046)*COMBIN(C$4,C12046)*COMBIN(D$4,D12046)/COMBIN($G$4,$F$4)</f>
        <v>1.8727093944532411E-12</v>
      </c>
    </row>
    <row r="12047" spans="1:5" x14ac:dyDescent="0.25">
      <c r="A12047">
        <v>15</v>
      </c>
      <c r="B12047">
        <v>26</v>
      </c>
      <c r="C12047">
        <v>5</v>
      </c>
      <c r="D12047">
        <v>2</v>
      </c>
      <c r="E12047">
        <f t="shared" si="188"/>
        <v>2.9800506016082014E-12</v>
      </c>
    </row>
    <row r="12048" spans="1:5" x14ac:dyDescent="0.25">
      <c r="A12048">
        <v>15</v>
      </c>
      <c r="B12048">
        <v>26</v>
      </c>
      <c r="C12048">
        <v>6</v>
      </c>
      <c r="D12048">
        <v>1</v>
      </c>
      <c r="E12048">
        <f t="shared" si="188"/>
        <v>2.4833755013401672E-12</v>
      </c>
    </row>
    <row r="12049" spans="1:5" x14ac:dyDescent="0.25">
      <c r="A12049">
        <v>15</v>
      </c>
      <c r="B12049">
        <v>26</v>
      </c>
      <c r="C12049">
        <v>7</v>
      </c>
      <c r="D12049">
        <v>0</v>
      </c>
      <c r="E12049">
        <f t="shared" si="188"/>
        <v>8.3725231188039923E-13</v>
      </c>
    </row>
    <row r="12050" spans="1:5" x14ac:dyDescent="0.25">
      <c r="A12050">
        <v>15</v>
      </c>
      <c r="B12050">
        <v>27</v>
      </c>
      <c r="C12050">
        <v>0</v>
      </c>
      <c r="D12050">
        <v>6</v>
      </c>
      <c r="E12050">
        <f t="shared" si="188"/>
        <v>2.0746210053277981E-15</v>
      </c>
    </row>
    <row r="12051" spans="1:5" x14ac:dyDescent="0.25">
      <c r="A12051">
        <v>15</v>
      </c>
      <c r="B12051">
        <v>27</v>
      </c>
      <c r="C12051">
        <v>1</v>
      </c>
      <c r="D12051">
        <v>5</v>
      </c>
      <c r="E12051">
        <f t="shared" si="188"/>
        <v>4.0455109603892065E-14</v>
      </c>
    </row>
    <row r="12052" spans="1:5" x14ac:dyDescent="0.25">
      <c r="A12052">
        <v>15</v>
      </c>
      <c r="B12052">
        <v>27</v>
      </c>
      <c r="C12052">
        <v>2</v>
      </c>
      <c r="D12052">
        <v>4</v>
      </c>
      <c r="E12052">
        <f t="shared" si="188"/>
        <v>3.0822940650584438E-13</v>
      </c>
    </row>
    <row r="12053" spans="1:5" x14ac:dyDescent="0.25">
      <c r="A12053">
        <v>15</v>
      </c>
      <c r="B12053">
        <v>27</v>
      </c>
      <c r="C12053">
        <v>3</v>
      </c>
      <c r="D12053">
        <v>3</v>
      </c>
      <c r="E12053">
        <f t="shared" si="188"/>
        <v>1.1768759157495875E-12</v>
      </c>
    </row>
    <row r="12054" spans="1:5" x14ac:dyDescent="0.25">
      <c r="A12054">
        <v>15</v>
      </c>
      <c r="B12054">
        <v>27</v>
      </c>
      <c r="C12054">
        <v>4</v>
      </c>
      <c r="D12054">
        <v>2</v>
      </c>
      <c r="E12054">
        <f t="shared" si="188"/>
        <v>2.3793360905372093E-12</v>
      </c>
    </row>
    <row r="12055" spans="1:5" x14ac:dyDescent="0.25">
      <c r="A12055">
        <v>15</v>
      </c>
      <c r="B12055">
        <v>27</v>
      </c>
      <c r="C12055">
        <v>5</v>
      </c>
      <c r="D12055">
        <v>1</v>
      </c>
      <c r="E12055">
        <f t="shared" si="188"/>
        <v>2.4189916920461634E-12</v>
      </c>
    </row>
    <row r="12056" spans="1:5" x14ac:dyDescent="0.25">
      <c r="A12056">
        <v>15</v>
      </c>
      <c r="B12056">
        <v>27</v>
      </c>
      <c r="C12056">
        <v>6</v>
      </c>
      <c r="D12056">
        <v>0</v>
      </c>
      <c r="E12056">
        <f t="shared" si="188"/>
        <v>9.6759667681846503E-13</v>
      </c>
    </row>
    <row r="12057" spans="1:5" x14ac:dyDescent="0.25">
      <c r="A12057">
        <v>15</v>
      </c>
      <c r="B12057">
        <v>28</v>
      </c>
      <c r="C12057">
        <v>0</v>
      </c>
      <c r="D12057">
        <v>5</v>
      </c>
      <c r="E12057">
        <f t="shared" si="188"/>
        <v>5.8237575363844677E-15</v>
      </c>
    </row>
    <row r="12058" spans="1:5" x14ac:dyDescent="0.25">
      <c r="A12058">
        <v>15</v>
      </c>
      <c r="B12058">
        <v>28</v>
      </c>
      <c r="C12058">
        <v>1</v>
      </c>
      <c r="D12058">
        <v>4</v>
      </c>
      <c r="E12058">
        <f t="shared" si="188"/>
        <v>9.0129580920235834E-14</v>
      </c>
    </row>
    <row r="12059" spans="1:5" x14ac:dyDescent="0.25">
      <c r="A12059">
        <v>15</v>
      </c>
      <c r="B12059">
        <v>28</v>
      </c>
      <c r="C12059">
        <v>2</v>
      </c>
      <c r="D12059">
        <v>3</v>
      </c>
      <c r="E12059">
        <f t="shared" si="188"/>
        <v>5.2439028899046295E-13</v>
      </c>
    </row>
    <row r="12060" spans="1:5" x14ac:dyDescent="0.25">
      <c r="A12060">
        <v>15</v>
      </c>
      <c r="B12060">
        <v>28</v>
      </c>
      <c r="C12060">
        <v>3</v>
      </c>
      <c r="D12060">
        <v>2</v>
      </c>
      <c r="E12060">
        <f t="shared" si="188"/>
        <v>1.4363734002782247E-12</v>
      </c>
    </row>
    <row r="12061" spans="1:5" x14ac:dyDescent="0.25">
      <c r="A12061">
        <v>15</v>
      </c>
      <c r="B12061">
        <v>28</v>
      </c>
      <c r="C12061">
        <v>4</v>
      </c>
      <c r="D12061">
        <v>1</v>
      </c>
      <c r="E12061">
        <f t="shared" si="188"/>
        <v>1.85531564202604E-12</v>
      </c>
    </row>
    <row r="12062" spans="1:5" x14ac:dyDescent="0.25">
      <c r="A12062">
        <v>15</v>
      </c>
      <c r="B12062">
        <v>28</v>
      </c>
      <c r="C12062">
        <v>5</v>
      </c>
      <c r="D12062">
        <v>0</v>
      </c>
      <c r="E12062">
        <f t="shared" si="188"/>
        <v>9.0539403330870769E-13</v>
      </c>
    </row>
    <row r="12063" spans="1:5" x14ac:dyDescent="0.25">
      <c r="A12063">
        <v>15</v>
      </c>
      <c r="B12063">
        <v>29</v>
      </c>
      <c r="C12063">
        <v>0</v>
      </c>
      <c r="D12063">
        <v>4</v>
      </c>
      <c r="E12063">
        <f t="shared" si="188"/>
        <v>1.2479480435109564E-14</v>
      </c>
    </row>
    <row r="12064" spans="1:5" x14ac:dyDescent="0.25">
      <c r="A12064">
        <v>15</v>
      </c>
      <c r="B12064">
        <v>29</v>
      </c>
      <c r="C12064">
        <v>1</v>
      </c>
      <c r="D12064">
        <v>3</v>
      </c>
      <c r="E12064">
        <f t="shared" si="188"/>
        <v>1.4748476877856756E-13</v>
      </c>
    </row>
    <row r="12065" spans="1:5" x14ac:dyDescent="0.25">
      <c r="A12065">
        <v>15</v>
      </c>
      <c r="B12065">
        <v>29</v>
      </c>
      <c r="C12065">
        <v>2</v>
      </c>
      <c r="D12065">
        <v>2</v>
      </c>
      <c r="E12065">
        <f t="shared" si="188"/>
        <v>6.1558860011923851E-13</v>
      </c>
    </row>
    <row r="12066" spans="1:5" x14ac:dyDescent="0.25">
      <c r="A12066">
        <v>15</v>
      </c>
      <c r="B12066">
        <v>29</v>
      </c>
      <c r="C12066">
        <v>3</v>
      </c>
      <c r="D12066">
        <v>1</v>
      </c>
      <c r="E12066">
        <f t="shared" si="188"/>
        <v>1.0772800502086673E-12</v>
      </c>
    </row>
    <row r="12067" spans="1:5" x14ac:dyDescent="0.25">
      <c r="A12067">
        <v>15</v>
      </c>
      <c r="B12067">
        <v>29</v>
      </c>
      <c r="C12067">
        <v>4</v>
      </c>
      <c r="D12067">
        <v>0</v>
      </c>
      <c r="E12067">
        <f t="shared" si="188"/>
        <v>6.6791363112937371E-13</v>
      </c>
    </row>
    <row r="12068" spans="1:5" x14ac:dyDescent="0.25">
      <c r="A12068">
        <v>15</v>
      </c>
      <c r="B12068">
        <v>30</v>
      </c>
      <c r="C12068">
        <v>0</v>
      </c>
      <c r="D12068">
        <v>3</v>
      </c>
      <c r="E12068">
        <f t="shared" si="188"/>
        <v>1.9664635837142336E-14</v>
      </c>
    </row>
    <row r="12069" spans="1:5" x14ac:dyDescent="0.25">
      <c r="A12069">
        <v>15</v>
      </c>
      <c r="B12069">
        <v>30</v>
      </c>
      <c r="C12069">
        <v>1</v>
      </c>
      <c r="D12069">
        <v>2</v>
      </c>
      <c r="E12069">
        <f t="shared" si="188"/>
        <v>1.6672191253229371E-13</v>
      </c>
    </row>
    <row r="12070" spans="1:5" x14ac:dyDescent="0.25">
      <c r="A12070">
        <v>15</v>
      </c>
      <c r="B12070">
        <v>30</v>
      </c>
      <c r="C12070">
        <v>2</v>
      </c>
      <c r="D12070">
        <v>1</v>
      </c>
      <c r="E12070">
        <f t="shared" si="188"/>
        <v>4.4459176675278315E-13</v>
      </c>
    </row>
    <row r="12071" spans="1:5" x14ac:dyDescent="0.25">
      <c r="A12071">
        <v>15</v>
      </c>
      <c r="B12071">
        <v>30</v>
      </c>
      <c r="C12071">
        <v>3</v>
      </c>
      <c r="D12071">
        <v>0</v>
      </c>
      <c r="E12071">
        <f t="shared" si="188"/>
        <v>3.7345708407233791E-13</v>
      </c>
    </row>
    <row r="12072" spans="1:5" x14ac:dyDescent="0.25">
      <c r="A12072">
        <v>15</v>
      </c>
      <c r="B12072">
        <v>31</v>
      </c>
      <c r="C12072">
        <v>0</v>
      </c>
      <c r="D12072">
        <v>2</v>
      </c>
      <c r="E12072">
        <f t="shared" si="188"/>
        <v>2.1429764439634803E-14</v>
      </c>
    </row>
    <row r="12073" spans="1:5" x14ac:dyDescent="0.25">
      <c r="A12073">
        <v>15</v>
      </c>
      <c r="B12073">
        <v>31</v>
      </c>
      <c r="C12073">
        <v>1</v>
      </c>
      <c r="D12073">
        <v>1</v>
      </c>
      <c r="E12073">
        <f t="shared" si="188"/>
        <v>1.1607789071468853E-13</v>
      </c>
    </row>
    <row r="12074" spans="1:5" x14ac:dyDescent="0.25">
      <c r="A12074">
        <v>15</v>
      </c>
      <c r="B12074">
        <v>31</v>
      </c>
      <c r="C12074">
        <v>2</v>
      </c>
      <c r="D12074">
        <v>0</v>
      </c>
      <c r="E12074">
        <f t="shared" si="188"/>
        <v>1.4857970011480131E-13</v>
      </c>
    </row>
    <row r="12075" spans="1:5" x14ac:dyDescent="0.25">
      <c r="A12075">
        <v>15</v>
      </c>
      <c r="B12075">
        <v>32</v>
      </c>
      <c r="C12075">
        <v>0</v>
      </c>
      <c r="D12075">
        <v>1</v>
      </c>
      <c r="E12075">
        <f t="shared" si="188"/>
        <v>1.4398122982879618E-14</v>
      </c>
    </row>
    <row r="12076" spans="1:5" x14ac:dyDescent="0.25">
      <c r="A12076">
        <v>15</v>
      </c>
      <c r="B12076">
        <v>32</v>
      </c>
      <c r="C12076">
        <v>1</v>
      </c>
      <c r="D12076">
        <v>0</v>
      </c>
      <c r="E12076">
        <f t="shared" si="188"/>
        <v>3.7435119755487006E-14</v>
      </c>
    </row>
    <row r="12077" spans="1:5" x14ac:dyDescent="0.25">
      <c r="A12077">
        <v>15</v>
      </c>
      <c r="B12077">
        <v>33</v>
      </c>
      <c r="C12077">
        <v>0</v>
      </c>
      <c r="D12077">
        <v>0</v>
      </c>
      <c r="E12077">
        <f t="shared" si="188"/>
        <v>4.4852334625455333E-15</v>
      </c>
    </row>
    <row r="12078" spans="1:5" x14ac:dyDescent="0.25">
      <c r="A12078">
        <v>16</v>
      </c>
      <c r="B12078">
        <v>0</v>
      </c>
      <c r="C12078">
        <v>7</v>
      </c>
      <c r="D12078">
        <v>25</v>
      </c>
      <c r="E12078">
        <f t="shared" si="188"/>
        <v>4.1936270846394228E-50</v>
      </c>
    </row>
    <row r="12079" spans="1:5" x14ac:dyDescent="0.25">
      <c r="A12079">
        <v>16</v>
      </c>
      <c r="B12079">
        <v>0</v>
      </c>
      <c r="C12079">
        <v>8</v>
      </c>
      <c r="D12079">
        <v>24</v>
      </c>
      <c r="E12079">
        <f t="shared" si="188"/>
        <v>7.6009490909089553E-48</v>
      </c>
    </row>
    <row r="12080" spans="1:5" x14ac:dyDescent="0.25">
      <c r="A12080">
        <v>16</v>
      </c>
      <c r="B12080">
        <v>0</v>
      </c>
      <c r="C12080">
        <v>9</v>
      </c>
      <c r="D12080">
        <v>23</v>
      </c>
      <c r="E12080">
        <f t="shared" si="188"/>
        <v>5.7767213090908052E-46</v>
      </c>
    </row>
    <row r="12081" spans="1:5" x14ac:dyDescent="0.25">
      <c r="A12081">
        <v>16</v>
      </c>
      <c r="B12081">
        <v>0</v>
      </c>
      <c r="C12081">
        <v>10</v>
      </c>
      <c r="D12081">
        <v>22</v>
      </c>
      <c r="E12081">
        <f t="shared" si="188"/>
        <v>2.4801390153696525E-44</v>
      </c>
    </row>
    <row r="12082" spans="1:5" x14ac:dyDescent="0.25">
      <c r="A12082">
        <v>16</v>
      </c>
      <c r="B12082">
        <v>0</v>
      </c>
      <c r="C12082">
        <v>11</v>
      </c>
      <c r="D12082">
        <v>21</v>
      </c>
      <c r="E12082">
        <f t="shared" si="188"/>
        <v>6.8203822922665462E-43</v>
      </c>
    </row>
    <row r="12083" spans="1:5" x14ac:dyDescent="0.25">
      <c r="A12083">
        <v>16</v>
      </c>
      <c r="B12083">
        <v>0</v>
      </c>
      <c r="C12083">
        <v>12</v>
      </c>
      <c r="D12083">
        <v>20</v>
      </c>
      <c r="E12083">
        <f t="shared" si="188"/>
        <v>1.2890522532383761E-41</v>
      </c>
    </row>
    <row r="12084" spans="1:5" x14ac:dyDescent="0.25">
      <c r="A12084">
        <v>16</v>
      </c>
      <c r="B12084">
        <v>0</v>
      </c>
      <c r="C12084">
        <v>13</v>
      </c>
      <c r="D12084">
        <v>19</v>
      </c>
      <c r="E12084">
        <f t="shared" si="188"/>
        <v>1.751788959529076E-40</v>
      </c>
    </row>
    <row r="12085" spans="1:5" x14ac:dyDescent="0.25">
      <c r="A12085">
        <v>16</v>
      </c>
      <c r="B12085">
        <v>0</v>
      </c>
      <c r="C12085">
        <v>14</v>
      </c>
      <c r="D12085">
        <v>18</v>
      </c>
      <c r="E12085">
        <f t="shared" si="188"/>
        <v>1.7660892775660492E-39</v>
      </c>
    </row>
    <row r="12086" spans="1:5" x14ac:dyDescent="0.25">
      <c r="A12086">
        <v>16</v>
      </c>
      <c r="B12086">
        <v>0</v>
      </c>
      <c r="C12086">
        <v>15</v>
      </c>
      <c r="D12086">
        <v>17</v>
      </c>
      <c r="E12086">
        <f t="shared" si="188"/>
        <v>1.3510582973380266E-38</v>
      </c>
    </row>
    <row r="12087" spans="1:5" x14ac:dyDescent="0.25">
      <c r="A12087">
        <v>16</v>
      </c>
      <c r="B12087">
        <v>0</v>
      </c>
      <c r="C12087">
        <v>16</v>
      </c>
      <c r="D12087">
        <v>16</v>
      </c>
      <c r="E12087">
        <f t="shared" si="188"/>
        <v>7.9749968940091865E-38</v>
      </c>
    </row>
    <row r="12088" spans="1:5" x14ac:dyDescent="0.25">
      <c r="A12088">
        <v>16</v>
      </c>
      <c r="B12088">
        <v>0</v>
      </c>
      <c r="C12088">
        <v>17</v>
      </c>
      <c r="D12088">
        <v>15</v>
      </c>
      <c r="E12088">
        <f t="shared" si="188"/>
        <v>3.6778809205312973E-37</v>
      </c>
    </row>
    <row r="12089" spans="1:5" x14ac:dyDescent="0.25">
      <c r="A12089">
        <v>16</v>
      </c>
      <c r="B12089">
        <v>0</v>
      </c>
      <c r="C12089">
        <v>18</v>
      </c>
      <c r="D12089">
        <v>14</v>
      </c>
      <c r="E12089">
        <f t="shared" si="188"/>
        <v>1.3374112438295613E-36</v>
      </c>
    </row>
    <row r="12090" spans="1:5" x14ac:dyDescent="0.25">
      <c r="A12090">
        <v>16</v>
      </c>
      <c r="B12090">
        <v>0</v>
      </c>
      <c r="C12090">
        <v>19</v>
      </c>
      <c r="D12090">
        <v>13</v>
      </c>
      <c r="E12090">
        <f t="shared" si="188"/>
        <v>3.8597219229818067E-36</v>
      </c>
    </row>
    <row r="12091" spans="1:5" x14ac:dyDescent="0.25">
      <c r="A12091">
        <v>16</v>
      </c>
      <c r="B12091">
        <v>0</v>
      </c>
      <c r="C12091">
        <v>20</v>
      </c>
      <c r="D12091">
        <v>12</v>
      </c>
      <c r="E12091">
        <f t="shared" si="188"/>
        <v>8.8773604228581629E-36</v>
      </c>
    </row>
    <row r="12092" spans="1:5" x14ac:dyDescent="0.25">
      <c r="A12092">
        <v>16</v>
      </c>
      <c r="B12092">
        <v>0</v>
      </c>
      <c r="C12092">
        <v>21</v>
      </c>
      <c r="D12092">
        <v>11</v>
      </c>
      <c r="E12092">
        <f t="shared" si="188"/>
        <v>1.6305355878719051E-35</v>
      </c>
    </row>
    <row r="12093" spans="1:5" x14ac:dyDescent="0.25">
      <c r="A12093">
        <v>16</v>
      </c>
      <c r="B12093">
        <v>0</v>
      </c>
      <c r="C12093">
        <v>22</v>
      </c>
      <c r="D12093">
        <v>10</v>
      </c>
      <c r="E12093">
        <f t="shared" si="188"/>
        <v>2.3914521955454618E-35</v>
      </c>
    </row>
    <row r="12094" spans="1:5" x14ac:dyDescent="0.25">
      <c r="A12094">
        <v>16</v>
      </c>
      <c r="B12094">
        <v>0</v>
      </c>
      <c r="C12094">
        <v>23</v>
      </c>
      <c r="D12094">
        <v>9</v>
      </c>
      <c r="E12094">
        <f t="shared" si="188"/>
        <v>2.7943599024036648E-35</v>
      </c>
    </row>
    <row r="12095" spans="1:5" x14ac:dyDescent="0.25">
      <c r="A12095">
        <v>16</v>
      </c>
      <c r="B12095">
        <v>0</v>
      </c>
      <c r="C12095">
        <v>24</v>
      </c>
      <c r="D12095">
        <v>8</v>
      </c>
      <c r="E12095">
        <f t="shared" si="188"/>
        <v>2.5888922625210425E-35</v>
      </c>
    </row>
    <row r="12096" spans="1:5" x14ac:dyDescent="0.25">
      <c r="A12096">
        <v>16</v>
      </c>
      <c r="B12096">
        <v>0</v>
      </c>
      <c r="C12096">
        <v>25</v>
      </c>
      <c r="D12096">
        <v>7</v>
      </c>
      <c r="E12096">
        <f t="shared" si="188"/>
        <v>1.8870148046820053E-35</v>
      </c>
    </row>
    <row r="12097" spans="1:5" x14ac:dyDescent="0.25">
      <c r="A12097">
        <v>16</v>
      </c>
      <c r="B12097">
        <v>0</v>
      </c>
      <c r="C12097">
        <v>26</v>
      </c>
      <c r="D12097">
        <v>6</v>
      </c>
      <c r="E12097">
        <f t="shared" si="188"/>
        <v>1.0695630471881802E-35</v>
      </c>
    </row>
    <row r="12098" spans="1:5" x14ac:dyDescent="0.25">
      <c r="A12098">
        <v>16</v>
      </c>
      <c r="B12098">
        <v>0</v>
      </c>
      <c r="C12098">
        <v>27</v>
      </c>
      <c r="D12098">
        <v>5</v>
      </c>
      <c r="E12098">
        <f t="shared" si="188"/>
        <v>4.6347732044821137E-36</v>
      </c>
    </row>
    <row r="12099" spans="1:5" x14ac:dyDescent="0.25">
      <c r="A12099">
        <v>16</v>
      </c>
      <c r="B12099">
        <v>0</v>
      </c>
      <c r="C12099">
        <v>28</v>
      </c>
      <c r="D12099">
        <v>4</v>
      </c>
      <c r="E12099">
        <f t="shared" si="188"/>
        <v>1.4976307973666701E-36</v>
      </c>
    </row>
    <row r="12100" spans="1:5" x14ac:dyDescent="0.25">
      <c r="A12100">
        <v>16</v>
      </c>
      <c r="B12100">
        <v>0</v>
      </c>
      <c r="C12100">
        <v>29</v>
      </c>
      <c r="D12100">
        <v>3</v>
      </c>
      <c r="E12100">
        <f t="shared" si="188"/>
        <v>3.4741278684994851E-37</v>
      </c>
    </row>
    <row r="12101" spans="1:5" x14ac:dyDescent="0.25">
      <c r="A12101">
        <v>16</v>
      </c>
      <c r="B12101">
        <v>0</v>
      </c>
      <c r="C12101">
        <v>30</v>
      </c>
      <c r="D12101">
        <v>2</v>
      </c>
      <c r="E12101">
        <f t="shared" si="188"/>
        <v>5.4377653593904971E-38</v>
      </c>
    </row>
    <row r="12102" spans="1:5" x14ac:dyDescent="0.25">
      <c r="A12102">
        <v>16</v>
      </c>
      <c r="B12102">
        <v>0</v>
      </c>
      <c r="C12102">
        <v>31</v>
      </c>
      <c r="D12102">
        <v>1</v>
      </c>
      <c r="E12102">
        <f t="shared" si="188"/>
        <v>5.1161770854480492E-39</v>
      </c>
    </row>
    <row r="12103" spans="1:5" x14ac:dyDescent="0.25">
      <c r="A12103">
        <v>16</v>
      </c>
      <c r="B12103">
        <v>0</v>
      </c>
      <c r="C12103">
        <v>32</v>
      </c>
      <c r="D12103">
        <v>0</v>
      </c>
      <c r="E12103">
        <f t="shared" si="188"/>
        <v>2.1743752613154209E-40</v>
      </c>
    </row>
    <row r="12104" spans="1:5" x14ac:dyDescent="0.25">
      <c r="A12104">
        <v>16</v>
      </c>
      <c r="B12104">
        <v>1</v>
      </c>
      <c r="C12104">
        <v>6</v>
      </c>
      <c r="D12104">
        <v>25</v>
      </c>
      <c r="E12104">
        <f t="shared" si="188"/>
        <v>1.4379165410551783E-48</v>
      </c>
    </row>
    <row r="12105" spans="1:5" x14ac:dyDescent="0.25">
      <c r="A12105">
        <v>16</v>
      </c>
      <c r="B12105">
        <v>1</v>
      </c>
      <c r="C12105">
        <v>7</v>
      </c>
      <c r="D12105">
        <v>24</v>
      </c>
      <c r="E12105">
        <f t="shared" si="188"/>
        <v>3.029895568651983E-46</v>
      </c>
    </row>
    <row r="12106" spans="1:5" x14ac:dyDescent="0.25">
      <c r="A12106">
        <v>16</v>
      </c>
      <c r="B12106">
        <v>1</v>
      </c>
      <c r="C12106">
        <v>8</v>
      </c>
      <c r="D12106">
        <v>23</v>
      </c>
      <c r="E12106">
        <f t="shared" si="188"/>
        <v>2.6360091447272256E-44</v>
      </c>
    </row>
    <row r="12107" spans="1:5" x14ac:dyDescent="0.25">
      <c r="A12107">
        <v>16</v>
      </c>
      <c r="B12107">
        <v>1</v>
      </c>
      <c r="C12107">
        <v>9</v>
      </c>
      <c r="D12107">
        <v>22</v>
      </c>
      <c r="E12107">
        <f t="shared" si="188"/>
        <v>1.2799288847175529E-42</v>
      </c>
    </row>
    <row r="12108" spans="1:5" x14ac:dyDescent="0.25">
      <c r="A12108">
        <v>16</v>
      </c>
      <c r="B12108">
        <v>1</v>
      </c>
      <c r="C12108">
        <v>10</v>
      </c>
      <c r="D12108">
        <v>21</v>
      </c>
      <c r="E12108">
        <f t="shared" si="188"/>
        <v>3.9421809649300635E-41</v>
      </c>
    </row>
    <row r="12109" spans="1:5" x14ac:dyDescent="0.25">
      <c r="A12109">
        <v>16</v>
      </c>
      <c r="B12109">
        <v>1</v>
      </c>
      <c r="C12109">
        <v>11</v>
      </c>
      <c r="D12109">
        <v>20</v>
      </c>
      <c r="E12109">
        <f t="shared" si="188"/>
        <v>8.278580026353132E-40</v>
      </c>
    </row>
    <row r="12110" spans="1:5" x14ac:dyDescent="0.25">
      <c r="A12110">
        <v>16</v>
      </c>
      <c r="B12110">
        <v>1</v>
      </c>
      <c r="C12110">
        <v>12</v>
      </c>
      <c r="D12110">
        <v>19</v>
      </c>
      <c r="E12110">
        <f t="shared" ref="E12110:E12173" si="189">COMBIN(A$4,A12110)*COMBIN(B$4,B12110)*COMBIN(C$4,C12110)*COMBIN(D$4,D12110)/COMBIN($G$4,$F$4)</f>
        <v>1.2417870039529692E-38</v>
      </c>
    </row>
    <row r="12111" spans="1:5" x14ac:dyDescent="0.25">
      <c r="A12111">
        <v>16</v>
      </c>
      <c r="B12111">
        <v>1</v>
      </c>
      <c r="C12111">
        <v>13</v>
      </c>
      <c r="D12111">
        <v>18</v>
      </c>
      <c r="E12111">
        <f t="shared" si="189"/>
        <v>1.3741533109677373E-37</v>
      </c>
    </row>
    <row r="12112" spans="1:5" x14ac:dyDescent="0.25">
      <c r="A12112">
        <v>16</v>
      </c>
      <c r="B12112">
        <v>1</v>
      </c>
      <c r="C12112">
        <v>14</v>
      </c>
      <c r="D12112">
        <v>17</v>
      </c>
      <c r="E12112">
        <f t="shared" si="189"/>
        <v>1.1483995527373231E-36</v>
      </c>
    </row>
    <row r="12113" spans="1:5" x14ac:dyDescent="0.25">
      <c r="A12113">
        <v>16</v>
      </c>
      <c r="B12113">
        <v>1</v>
      </c>
      <c r="C12113">
        <v>15</v>
      </c>
      <c r="D12113">
        <v>16</v>
      </c>
      <c r="E12113">
        <f t="shared" si="189"/>
        <v>7.375277127579695E-36</v>
      </c>
    </row>
    <row r="12114" spans="1:5" x14ac:dyDescent="0.25">
      <c r="A12114">
        <v>16</v>
      </c>
      <c r="B12114">
        <v>1</v>
      </c>
      <c r="C12114">
        <v>16</v>
      </c>
      <c r="D12114">
        <v>15</v>
      </c>
      <c r="E12114">
        <f t="shared" si="189"/>
        <v>3.687638563789848E-35</v>
      </c>
    </row>
    <row r="12115" spans="1:5" x14ac:dyDescent="0.25">
      <c r="A12115">
        <v>16</v>
      </c>
      <c r="B12115">
        <v>1</v>
      </c>
      <c r="C12115">
        <v>17</v>
      </c>
      <c r="D12115">
        <v>14</v>
      </c>
      <c r="E12115">
        <f t="shared" si="189"/>
        <v>1.4494194355002885E-34</v>
      </c>
    </row>
    <row r="12116" spans="1:5" x14ac:dyDescent="0.25">
      <c r="A12116">
        <v>16</v>
      </c>
      <c r="B12116">
        <v>1</v>
      </c>
      <c r="C12116">
        <v>18</v>
      </c>
      <c r="D12116">
        <v>13</v>
      </c>
      <c r="E12116">
        <f t="shared" si="189"/>
        <v>4.5093049104453392E-34</v>
      </c>
    </row>
    <row r="12117" spans="1:5" x14ac:dyDescent="0.25">
      <c r="A12117">
        <v>16</v>
      </c>
      <c r="B12117">
        <v>1</v>
      </c>
      <c r="C12117">
        <v>19</v>
      </c>
      <c r="D12117">
        <v>12</v>
      </c>
      <c r="E12117">
        <f t="shared" si="189"/>
        <v>1.1154596357417423E-33</v>
      </c>
    </row>
    <row r="12118" spans="1:5" x14ac:dyDescent="0.25">
      <c r="A12118">
        <v>16</v>
      </c>
      <c r="B12118">
        <v>1</v>
      </c>
      <c r="C12118">
        <v>20</v>
      </c>
      <c r="D12118">
        <v>11</v>
      </c>
      <c r="E12118">
        <f t="shared" si="189"/>
        <v>2.1990489961765785E-33</v>
      </c>
    </row>
    <row r="12119" spans="1:5" x14ac:dyDescent="0.25">
      <c r="A12119">
        <v>16</v>
      </c>
      <c r="B12119">
        <v>1</v>
      </c>
      <c r="C12119">
        <v>21</v>
      </c>
      <c r="D12119">
        <v>10</v>
      </c>
      <c r="E12119">
        <f t="shared" si="189"/>
        <v>3.4556484225631906E-33</v>
      </c>
    </row>
    <row r="12120" spans="1:5" x14ac:dyDescent="0.25">
      <c r="A12120">
        <v>16</v>
      </c>
      <c r="B12120">
        <v>1</v>
      </c>
      <c r="C12120">
        <v>22</v>
      </c>
      <c r="D12120">
        <v>9</v>
      </c>
      <c r="E12120">
        <f t="shared" si="189"/>
        <v>4.3195605282039919E-33</v>
      </c>
    </row>
    <row r="12121" spans="1:5" x14ac:dyDescent="0.25">
      <c r="A12121">
        <v>16</v>
      </c>
      <c r="B12121">
        <v>1</v>
      </c>
      <c r="C12121">
        <v>23</v>
      </c>
      <c r="D12121">
        <v>8</v>
      </c>
      <c r="E12121">
        <f t="shared" si="189"/>
        <v>4.2753706506776074E-33</v>
      </c>
    </row>
    <row r="12122" spans="1:5" x14ac:dyDescent="0.25">
      <c r="A12122">
        <v>16</v>
      </c>
      <c r="B12122">
        <v>1</v>
      </c>
      <c r="C12122">
        <v>24</v>
      </c>
      <c r="D12122">
        <v>7</v>
      </c>
      <c r="E12122">
        <f t="shared" si="189"/>
        <v>3.3252882838603618E-33</v>
      </c>
    </row>
    <row r="12123" spans="1:5" x14ac:dyDescent="0.25">
      <c r="A12123">
        <v>16</v>
      </c>
      <c r="B12123">
        <v>1</v>
      </c>
      <c r="C12123">
        <v>25</v>
      </c>
      <c r="D12123">
        <v>6</v>
      </c>
      <c r="E12123">
        <f t="shared" si="189"/>
        <v>2.0091741841429972E-33</v>
      </c>
    </row>
    <row r="12124" spans="1:5" x14ac:dyDescent="0.25">
      <c r="A12124">
        <v>16</v>
      </c>
      <c r="B12124">
        <v>1</v>
      </c>
      <c r="C12124">
        <v>26</v>
      </c>
      <c r="D12124">
        <v>5</v>
      </c>
      <c r="E12124">
        <f t="shared" si="189"/>
        <v>9.2731116191215206E-34</v>
      </c>
    </row>
    <row r="12125" spans="1:5" x14ac:dyDescent="0.25">
      <c r="A12125">
        <v>16</v>
      </c>
      <c r="B12125">
        <v>1</v>
      </c>
      <c r="C12125">
        <v>27</v>
      </c>
      <c r="D12125">
        <v>4</v>
      </c>
      <c r="E12125">
        <f t="shared" si="189"/>
        <v>3.1891653716555508E-34</v>
      </c>
    </row>
    <row r="12126" spans="1:5" x14ac:dyDescent="0.25">
      <c r="A12126">
        <v>16</v>
      </c>
      <c r="B12126">
        <v>1</v>
      </c>
      <c r="C12126">
        <v>28</v>
      </c>
      <c r="D12126">
        <v>3</v>
      </c>
      <c r="E12126">
        <f t="shared" si="189"/>
        <v>7.8693690988903195E-35</v>
      </c>
    </row>
    <row r="12127" spans="1:5" x14ac:dyDescent="0.25">
      <c r="A12127">
        <v>16</v>
      </c>
      <c r="B12127">
        <v>1</v>
      </c>
      <c r="C12127">
        <v>29</v>
      </c>
      <c r="D12127">
        <v>2</v>
      </c>
      <c r="E12127">
        <f t="shared" si="189"/>
        <v>1.309595157386545E-35</v>
      </c>
    </row>
    <row r="12128" spans="1:5" x14ac:dyDescent="0.25">
      <c r="A12128">
        <v>16</v>
      </c>
      <c r="B12128">
        <v>1</v>
      </c>
      <c r="C12128">
        <v>30</v>
      </c>
      <c r="D12128">
        <v>1</v>
      </c>
      <c r="E12128">
        <f t="shared" si="189"/>
        <v>1.3095951573865449E-36</v>
      </c>
    </row>
    <row r="12129" spans="1:5" x14ac:dyDescent="0.25">
      <c r="A12129">
        <v>16</v>
      </c>
      <c r="B12129">
        <v>1</v>
      </c>
      <c r="C12129">
        <v>31</v>
      </c>
      <c r="D12129">
        <v>0</v>
      </c>
      <c r="E12129">
        <f t="shared" si="189"/>
        <v>5.9143007107779444E-38</v>
      </c>
    </row>
    <row r="12130" spans="1:5" x14ac:dyDescent="0.25">
      <c r="A12130">
        <v>16</v>
      </c>
      <c r="B12130">
        <v>2</v>
      </c>
      <c r="C12130">
        <v>5</v>
      </c>
      <c r="D12130">
        <v>25</v>
      </c>
      <c r="E12130">
        <f t="shared" si="189"/>
        <v>2.0705998191194574E-47</v>
      </c>
    </row>
    <row r="12131" spans="1:5" x14ac:dyDescent="0.25">
      <c r="A12131">
        <v>16</v>
      </c>
      <c r="B12131">
        <v>2</v>
      </c>
      <c r="C12131">
        <v>6</v>
      </c>
      <c r="D12131">
        <v>24</v>
      </c>
      <c r="E12131">
        <f t="shared" si="189"/>
        <v>5.1764995477986424E-45</v>
      </c>
    </row>
    <row r="12132" spans="1:5" x14ac:dyDescent="0.25">
      <c r="A12132">
        <v>16</v>
      </c>
      <c r="B12132">
        <v>2</v>
      </c>
      <c r="C12132">
        <v>7</v>
      </c>
      <c r="D12132">
        <v>23</v>
      </c>
      <c r="E12132">
        <f t="shared" si="189"/>
        <v>5.2356595426306264E-43</v>
      </c>
    </row>
    <row r="12133" spans="1:5" x14ac:dyDescent="0.25">
      <c r="A12133">
        <v>16</v>
      </c>
      <c r="B12133">
        <v>2</v>
      </c>
      <c r="C12133">
        <v>8</v>
      </c>
      <c r="D12133">
        <v>22</v>
      </c>
      <c r="E12133">
        <f t="shared" si="189"/>
        <v>2.9101540957788572E-41</v>
      </c>
    </row>
    <row r="12134" spans="1:5" x14ac:dyDescent="0.25">
      <c r="A12134">
        <v>16</v>
      </c>
      <c r="B12134">
        <v>2</v>
      </c>
      <c r="C12134">
        <v>9</v>
      </c>
      <c r="D12134">
        <v>21</v>
      </c>
      <c r="E12134">
        <f t="shared" si="189"/>
        <v>1.013703676696302E-39</v>
      </c>
    </row>
    <row r="12135" spans="1:5" x14ac:dyDescent="0.25">
      <c r="A12135">
        <v>16</v>
      </c>
      <c r="B12135">
        <v>2</v>
      </c>
      <c r="C12135">
        <v>10</v>
      </c>
      <c r="D12135">
        <v>20</v>
      </c>
      <c r="E12135">
        <f t="shared" si="189"/>
        <v>2.3842310475897018E-38</v>
      </c>
    </row>
    <row r="12136" spans="1:5" x14ac:dyDescent="0.25">
      <c r="A12136">
        <v>16</v>
      </c>
      <c r="B12136">
        <v>2</v>
      </c>
      <c r="C12136">
        <v>11</v>
      </c>
      <c r="D12136">
        <v>19</v>
      </c>
      <c r="E12136">
        <f t="shared" si="189"/>
        <v>3.9737184126495031E-37</v>
      </c>
    </row>
    <row r="12137" spans="1:5" x14ac:dyDescent="0.25">
      <c r="A12137">
        <v>16</v>
      </c>
      <c r="B12137">
        <v>2</v>
      </c>
      <c r="C12137">
        <v>12</v>
      </c>
      <c r="D12137">
        <v>18</v>
      </c>
      <c r="E12137">
        <f t="shared" si="189"/>
        <v>4.8536132040218926E-36</v>
      </c>
    </row>
    <row r="12138" spans="1:5" x14ac:dyDescent="0.25">
      <c r="A12138">
        <v>16</v>
      </c>
      <c r="B12138">
        <v>2</v>
      </c>
      <c r="C12138">
        <v>13</v>
      </c>
      <c r="D12138">
        <v>17</v>
      </c>
      <c r="E12138">
        <f t="shared" si="189"/>
        <v>4.4522567275354679E-35</v>
      </c>
    </row>
    <row r="12139" spans="1:5" x14ac:dyDescent="0.25">
      <c r="A12139">
        <v>16</v>
      </c>
      <c r="B12139">
        <v>2</v>
      </c>
      <c r="C12139">
        <v>14</v>
      </c>
      <c r="D12139">
        <v>16</v>
      </c>
      <c r="E12139">
        <f t="shared" si="189"/>
        <v>3.123646783445519E-34</v>
      </c>
    </row>
    <row r="12140" spans="1:5" x14ac:dyDescent="0.25">
      <c r="A12140">
        <v>16</v>
      </c>
      <c r="B12140">
        <v>2</v>
      </c>
      <c r="C12140">
        <v>15</v>
      </c>
      <c r="D12140">
        <v>15</v>
      </c>
      <c r="E12140">
        <f t="shared" si="189"/>
        <v>1.6992638501943615E-33</v>
      </c>
    </row>
    <row r="12141" spans="1:5" x14ac:dyDescent="0.25">
      <c r="A12141">
        <v>16</v>
      </c>
      <c r="B12141">
        <v>2</v>
      </c>
      <c r="C12141">
        <v>16</v>
      </c>
      <c r="D12141">
        <v>14</v>
      </c>
      <c r="E12141">
        <f t="shared" si="189"/>
        <v>7.2411811798055194E-33</v>
      </c>
    </row>
    <row r="12142" spans="1:5" x14ac:dyDescent="0.25">
      <c r="A12142">
        <v>16</v>
      </c>
      <c r="B12142">
        <v>2</v>
      </c>
      <c r="C12142">
        <v>17</v>
      </c>
      <c r="D12142">
        <v>13</v>
      </c>
      <c r="E12142">
        <f t="shared" si="189"/>
        <v>2.4350246516404853E-32</v>
      </c>
    </row>
    <row r="12143" spans="1:5" x14ac:dyDescent="0.25">
      <c r="A12143">
        <v>16</v>
      </c>
      <c r="B12143">
        <v>2</v>
      </c>
      <c r="C12143">
        <v>18</v>
      </c>
      <c r="D12143">
        <v>12</v>
      </c>
      <c r="E12143">
        <f t="shared" si="189"/>
        <v>6.493399071041288E-32</v>
      </c>
    </row>
    <row r="12144" spans="1:5" x14ac:dyDescent="0.25">
      <c r="A12144">
        <v>16</v>
      </c>
      <c r="B12144">
        <v>2</v>
      </c>
      <c r="C12144">
        <v>19</v>
      </c>
      <c r="D12144">
        <v>11</v>
      </c>
      <c r="E12144">
        <f t="shared" si="189"/>
        <v>1.3767958932583786E-31</v>
      </c>
    </row>
    <row r="12145" spans="1:5" x14ac:dyDescent="0.25">
      <c r="A12145">
        <v>16</v>
      </c>
      <c r="B12145">
        <v>2</v>
      </c>
      <c r="C12145">
        <v>20</v>
      </c>
      <c r="D12145">
        <v>10</v>
      </c>
      <c r="E12145">
        <f t="shared" si="189"/>
        <v>2.3221957399624668E-31</v>
      </c>
    </row>
    <row r="12146" spans="1:5" x14ac:dyDescent="0.25">
      <c r="A12146">
        <v>16</v>
      </c>
      <c r="B12146">
        <v>2</v>
      </c>
      <c r="C12146">
        <v>21</v>
      </c>
      <c r="D12146">
        <v>9</v>
      </c>
      <c r="E12146">
        <f t="shared" si="189"/>
        <v>3.1100835803068719E-31</v>
      </c>
    </row>
    <row r="12147" spans="1:5" x14ac:dyDescent="0.25">
      <c r="A12147">
        <v>16</v>
      </c>
      <c r="B12147">
        <v>2</v>
      </c>
      <c r="C12147">
        <v>22</v>
      </c>
      <c r="D12147">
        <v>8</v>
      </c>
      <c r="E12147">
        <f t="shared" si="189"/>
        <v>3.2930296732661015E-31</v>
      </c>
    </row>
    <row r="12148" spans="1:5" x14ac:dyDescent="0.25">
      <c r="A12148">
        <v>16</v>
      </c>
      <c r="B12148">
        <v>2</v>
      </c>
      <c r="C12148">
        <v>23</v>
      </c>
      <c r="D12148">
        <v>7</v>
      </c>
      <c r="E12148">
        <f t="shared" si="189"/>
        <v>2.7362372164336692E-31</v>
      </c>
    </row>
    <row r="12149" spans="1:5" x14ac:dyDescent="0.25">
      <c r="A12149">
        <v>16</v>
      </c>
      <c r="B12149">
        <v>2</v>
      </c>
      <c r="C12149">
        <v>24</v>
      </c>
      <c r="D12149">
        <v>6</v>
      </c>
      <c r="E12149">
        <f t="shared" si="189"/>
        <v>1.7641529421743385E-31</v>
      </c>
    </row>
    <row r="12150" spans="1:5" x14ac:dyDescent="0.25">
      <c r="A12150">
        <v>16</v>
      </c>
      <c r="B12150">
        <v>2</v>
      </c>
      <c r="C12150">
        <v>25</v>
      </c>
      <c r="D12150">
        <v>5</v>
      </c>
      <c r="E12150">
        <f t="shared" si="189"/>
        <v>8.6796324754977491E-32</v>
      </c>
    </row>
    <row r="12151" spans="1:5" x14ac:dyDescent="0.25">
      <c r="A12151">
        <v>16</v>
      </c>
      <c r="B12151">
        <v>2</v>
      </c>
      <c r="C12151">
        <v>26</v>
      </c>
      <c r="D12151">
        <v>4</v>
      </c>
      <c r="E12151">
        <f t="shared" si="189"/>
        <v>3.1793525551273791E-32</v>
      </c>
    </row>
    <row r="12152" spans="1:5" x14ac:dyDescent="0.25">
      <c r="A12152">
        <v>16</v>
      </c>
      <c r="B12152">
        <v>2</v>
      </c>
      <c r="C12152">
        <v>27</v>
      </c>
      <c r="D12152">
        <v>3</v>
      </c>
      <c r="E12152">
        <f t="shared" si="189"/>
        <v>8.3498147912436214E-33</v>
      </c>
    </row>
    <row r="12153" spans="1:5" x14ac:dyDescent="0.25">
      <c r="A12153">
        <v>16</v>
      </c>
      <c r="B12153">
        <v>2</v>
      </c>
      <c r="C12153">
        <v>28</v>
      </c>
      <c r="D12153">
        <v>2</v>
      </c>
      <c r="E12153">
        <f t="shared" si="189"/>
        <v>1.4780728046611383E-33</v>
      </c>
    </row>
    <row r="12154" spans="1:5" x14ac:dyDescent="0.25">
      <c r="A12154">
        <v>16</v>
      </c>
      <c r="B12154">
        <v>2</v>
      </c>
      <c r="C12154">
        <v>29</v>
      </c>
      <c r="D12154">
        <v>1</v>
      </c>
      <c r="E12154">
        <f t="shared" si="189"/>
        <v>1.5715141888638542E-34</v>
      </c>
    </row>
    <row r="12155" spans="1:5" x14ac:dyDescent="0.25">
      <c r="A12155">
        <v>16</v>
      </c>
      <c r="B12155">
        <v>2</v>
      </c>
      <c r="C12155">
        <v>30</v>
      </c>
      <c r="D12155">
        <v>0</v>
      </c>
      <c r="E12155">
        <f t="shared" si="189"/>
        <v>7.5432681065464986E-36</v>
      </c>
    </row>
    <row r="12156" spans="1:5" x14ac:dyDescent="0.25">
      <c r="A12156">
        <v>16</v>
      </c>
      <c r="B12156">
        <v>3</v>
      </c>
      <c r="C12156">
        <v>4</v>
      </c>
      <c r="D12156">
        <v>25</v>
      </c>
      <c r="E12156">
        <f t="shared" si="189"/>
        <v>1.6236670712767326E-46</v>
      </c>
    </row>
    <row r="12157" spans="1:5" x14ac:dyDescent="0.25">
      <c r="A12157">
        <v>16</v>
      </c>
      <c r="B12157">
        <v>3</v>
      </c>
      <c r="C12157">
        <v>5</v>
      </c>
      <c r="D12157">
        <v>24</v>
      </c>
      <c r="E12157">
        <f t="shared" si="189"/>
        <v>4.9521845673940352E-44</v>
      </c>
    </row>
    <row r="12158" spans="1:5" x14ac:dyDescent="0.25">
      <c r="A12158">
        <v>16</v>
      </c>
      <c r="B12158">
        <v>3</v>
      </c>
      <c r="C12158">
        <v>6</v>
      </c>
      <c r="D12158">
        <v>23</v>
      </c>
      <c r="E12158">
        <f t="shared" si="189"/>
        <v>5.9426214808728428E-42</v>
      </c>
    </row>
    <row r="12159" spans="1:5" x14ac:dyDescent="0.25">
      <c r="A12159">
        <v>16</v>
      </c>
      <c r="B12159">
        <v>3</v>
      </c>
      <c r="C12159">
        <v>7</v>
      </c>
      <c r="D12159">
        <v>22</v>
      </c>
      <c r="E12159">
        <f t="shared" si="189"/>
        <v>3.8400654045449743E-40</v>
      </c>
    </row>
    <row r="12160" spans="1:5" x14ac:dyDescent="0.25">
      <c r="A12160">
        <v>16</v>
      </c>
      <c r="B12160">
        <v>3</v>
      </c>
      <c r="C12160">
        <v>8</v>
      </c>
      <c r="D12160">
        <v>21</v>
      </c>
      <c r="E12160">
        <f t="shared" si="189"/>
        <v>1.5312260800623088E-38</v>
      </c>
    </row>
    <row r="12161" spans="1:5" x14ac:dyDescent="0.25">
      <c r="A12161">
        <v>16</v>
      </c>
      <c r="B12161">
        <v>3</v>
      </c>
      <c r="C12161">
        <v>9</v>
      </c>
      <c r="D12161">
        <v>20</v>
      </c>
      <c r="E12161">
        <f t="shared" si="189"/>
        <v>4.0730613729657397E-37</v>
      </c>
    </row>
    <row r="12162" spans="1:5" x14ac:dyDescent="0.25">
      <c r="A12162">
        <v>16</v>
      </c>
      <c r="B12162">
        <v>3</v>
      </c>
      <c r="C12162">
        <v>10</v>
      </c>
      <c r="D12162">
        <v>19</v>
      </c>
      <c r="E12162">
        <f t="shared" si="189"/>
        <v>7.6030478962027164E-36</v>
      </c>
    </row>
    <row r="12163" spans="1:5" x14ac:dyDescent="0.25">
      <c r="A12163">
        <v>16</v>
      </c>
      <c r="B12163">
        <v>3</v>
      </c>
      <c r="C12163">
        <v>11</v>
      </c>
      <c r="D12163">
        <v>18</v>
      </c>
      <c r="E12163">
        <f t="shared" si="189"/>
        <v>1.0318422144846549E-34</v>
      </c>
    </row>
    <row r="12164" spans="1:5" x14ac:dyDescent="0.25">
      <c r="A12164">
        <v>16</v>
      </c>
      <c r="B12164">
        <v>3</v>
      </c>
      <c r="C12164">
        <v>12</v>
      </c>
      <c r="D12164">
        <v>17</v>
      </c>
      <c r="E12164">
        <f t="shared" si="189"/>
        <v>1.0447402421657119E-33</v>
      </c>
    </row>
    <row r="12165" spans="1:5" x14ac:dyDescent="0.25">
      <c r="A12165">
        <v>16</v>
      </c>
      <c r="B12165">
        <v>3</v>
      </c>
      <c r="C12165">
        <v>13</v>
      </c>
      <c r="D12165">
        <v>16</v>
      </c>
      <c r="E12165">
        <f t="shared" si="189"/>
        <v>8.045392805053905E-33</v>
      </c>
    </row>
    <row r="12166" spans="1:5" x14ac:dyDescent="0.25">
      <c r="A12166">
        <v>16</v>
      </c>
      <c r="B12166">
        <v>3</v>
      </c>
      <c r="C12166">
        <v>14</v>
      </c>
      <c r="D12166">
        <v>15</v>
      </c>
      <c r="E12166">
        <f t="shared" si="189"/>
        <v>4.781262009860607E-32</v>
      </c>
    </row>
    <row r="12167" spans="1:5" x14ac:dyDescent="0.25">
      <c r="A12167">
        <v>16</v>
      </c>
      <c r="B12167">
        <v>3</v>
      </c>
      <c r="C12167">
        <v>15</v>
      </c>
      <c r="D12167">
        <v>14</v>
      </c>
      <c r="E12167">
        <f t="shared" si="189"/>
        <v>2.2167669318444628E-31</v>
      </c>
    </row>
    <row r="12168" spans="1:5" x14ac:dyDescent="0.25">
      <c r="A12168">
        <v>16</v>
      </c>
      <c r="B12168">
        <v>3</v>
      </c>
      <c r="C12168">
        <v>16</v>
      </c>
      <c r="D12168">
        <v>13</v>
      </c>
      <c r="E12168">
        <f t="shared" si="189"/>
        <v>8.0819627723496074E-31</v>
      </c>
    </row>
    <row r="12169" spans="1:5" x14ac:dyDescent="0.25">
      <c r="A12169">
        <v>16</v>
      </c>
      <c r="B12169">
        <v>3</v>
      </c>
      <c r="C12169">
        <v>17</v>
      </c>
      <c r="D12169">
        <v>12</v>
      </c>
      <c r="E12169">
        <f t="shared" si="189"/>
        <v>2.3295069167360644E-30</v>
      </c>
    </row>
    <row r="12170" spans="1:5" x14ac:dyDescent="0.25">
      <c r="A12170">
        <v>16</v>
      </c>
      <c r="B12170">
        <v>3</v>
      </c>
      <c r="C12170">
        <v>18</v>
      </c>
      <c r="D12170">
        <v>11</v>
      </c>
      <c r="E12170">
        <f t="shared" si="189"/>
        <v>5.3245872382538546E-30</v>
      </c>
    </row>
    <row r="12171" spans="1:5" x14ac:dyDescent="0.25">
      <c r="A12171">
        <v>16</v>
      </c>
      <c r="B12171">
        <v>3</v>
      </c>
      <c r="C12171">
        <v>19</v>
      </c>
      <c r="D12171">
        <v>10</v>
      </c>
      <c r="E12171">
        <f t="shared" si="189"/>
        <v>9.6589880778148898E-30</v>
      </c>
    </row>
    <row r="12172" spans="1:5" x14ac:dyDescent="0.25">
      <c r="A12172">
        <v>16</v>
      </c>
      <c r="B12172">
        <v>3</v>
      </c>
      <c r="C12172">
        <v>20</v>
      </c>
      <c r="D12172">
        <v>9</v>
      </c>
      <c r="E12172">
        <f t="shared" si="189"/>
        <v>1.3884795361858919E-29</v>
      </c>
    </row>
    <row r="12173" spans="1:5" x14ac:dyDescent="0.25">
      <c r="A12173">
        <v>16</v>
      </c>
      <c r="B12173">
        <v>3</v>
      </c>
      <c r="C12173">
        <v>21</v>
      </c>
      <c r="D12173">
        <v>8</v>
      </c>
      <c r="E12173">
        <f t="shared" si="189"/>
        <v>1.575165860378951E-29</v>
      </c>
    </row>
    <row r="12174" spans="1:5" x14ac:dyDescent="0.25">
      <c r="A12174">
        <v>16</v>
      </c>
      <c r="B12174">
        <v>3</v>
      </c>
      <c r="C12174">
        <v>22</v>
      </c>
      <c r="D12174">
        <v>7</v>
      </c>
      <c r="E12174">
        <f t="shared" ref="E12174:E12237" si="190">COMBIN(A$4,A12174)*COMBIN(B$4,B12174)*COMBIN(C$4,C12174)*COMBIN(D$4,D12174)/COMBIN($G$4,$F$4)</f>
        <v>1.4001474314479579E-29</v>
      </c>
    </row>
    <row r="12175" spans="1:5" x14ac:dyDescent="0.25">
      <c r="A12175">
        <v>16</v>
      </c>
      <c r="B12175">
        <v>3</v>
      </c>
      <c r="C12175">
        <v>23</v>
      </c>
      <c r="D12175">
        <v>6</v>
      </c>
      <c r="E12175">
        <f t="shared" si="190"/>
        <v>9.644036083886385E-30</v>
      </c>
    </row>
    <row r="12176" spans="1:5" x14ac:dyDescent="0.25">
      <c r="A12176">
        <v>16</v>
      </c>
      <c r="B12176">
        <v>3</v>
      </c>
      <c r="C12176">
        <v>24</v>
      </c>
      <c r="D12176">
        <v>5</v>
      </c>
      <c r="E12176">
        <f t="shared" si="190"/>
        <v>5.0631189440403517E-30</v>
      </c>
    </row>
    <row r="12177" spans="1:5" x14ac:dyDescent="0.25">
      <c r="A12177">
        <v>16</v>
      </c>
      <c r="B12177">
        <v>3</v>
      </c>
      <c r="C12177">
        <v>25</v>
      </c>
      <c r="D12177">
        <v>4</v>
      </c>
      <c r="E12177">
        <f t="shared" si="190"/>
        <v>1.9770273971967099E-30</v>
      </c>
    </row>
    <row r="12178" spans="1:5" x14ac:dyDescent="0.25">
      <c r="A12178">
        <v>16</v>
      </c>
      <c r="B12178">
        <v>3</v>
      </c>
      <c r="C12178">
        <v>26</v>
      </c>
      <c r="D12178">
        <v>3</v>
      </c>
      <c r="E12178">
        <f t="shared" si="190"/>
        <v>5.5301465655851992E-31</v>
      </c>
    </row>
    <row r="12179" spans="1:5" x14ac:dyDescent="0.25">
      <c r="A12179">
        <v>16</v>
      </c>
      <c r="B12179">
        <v>3</v>
      </c>
      <c r="C12179">
        <v>27</v>
      </c>
      <c r="D12179">
        <v>2</v>
      </c>
      <c r="E12179">
        <f t="shared" si="190"/>
        <v>1.0419116717769215E-31</v>
      </c>
    </row>
    <row r="12180" spans="1:5" x14ac:dyDescent="0.25">
      <c r="A12180">
        <v>16</v>
      </c>
      <c r="B12180">
        <v>3</v>
      </c>
      <c r="C12180">
        <v>28</v>
      </c>
      <c r="D12180">
        <v>1</v>
      </c>
      <c r="E12180">
        <f t="shared" si="190"/>
        <v>1.1783524859381852E-32</v>
      </c>
    </row>
    <row r="12181" spans="1:5" x14ac:dyDescent="0.25">
      <c r="A12181">
        <v>16</v>
      </c>
      <c r="B12181">
        <v>3</v>
      </c>
      <c r="C12181">
        <v>29</v>
      </c>
      <c r="D12181">
        <v>0</v>
      </c>
      <c r="E12181">
        <f t="shared" si="190"/>
        <v>6.0136609627190154E-34</v>
      </c>
    </row>
    <row r="12182" spans="1:5" x14ac:dyDescent="0.25">
      <c r="A12182">
        <v>16</v>
      </c>
      <c r="B12182">
        <v>4</v>
      </c>
      <c r="C12182">
        <v>3</v>
      </c>
      <c r="D12182">
        <v>25</v>
      </c>
      <c r="E12182">
        <f t="shared" si="190"/>
        <v>7.4898190707281538E-46</v>
      </c>
    </row>
    <row r="12183" spans="1:5" x14ac:dyDescent="0.25">
      <c r="A12183">
        <v>16</v>
      </c>
      <c r="B12183">
        <v>4</v>
      </c>
      <c r="C12183">
        <v>4</v>
      </c>
      <c r="D12183">
        <v>24</v>
      </c>
      <c r="E12183">
        <f t="shared" si="190"/>
        <v>2.9023048899071594E-43</v>
      </c>
    </row>
    <row r="12184" spans="1:5" x14ac:dyDescent="0.25">
      <c r="A12184">
        <v>16</v>
      </c>
      <c r="B12184">
        <v>4</v>
      </c>
      <c r="C12184">
        <v>5</v>
      </c>
      <c r="D12184">
        <v>23</v>
      </c>
      <c r="E12184">
        <f t="shared" si="190"/>
        <v>4.2489743588240819E-41</v>
      </c>
    </row>
    <row r="12185" spans="1:5" x14ac:dyDescent="0.25">
      <c r="A12185">
        <v>16</v>
      </c>
      <c r="B12185">
        <v>4</v>
      </c>
      <c r="C12185">
        <v>6</v>
      </c>
      <c r="D12185">
        <v>22</v>
      </c>
      <c r="E12185">
        <f t="shared" si="190"/>
        <v>3.2575470084317957E-39</v>
      </c>
    </row>
    <row r="12186" spans="1:5" x14ac:dyDescent="0.25">
      <c r="A12186">
        <v>16</v>
      </c>
      <c r="B12186">
        <v>4</v>
      </c>
      <c r="C12186">
        <v>7</v>
      </c>
      <c r="D12186">
        <v>21</v>
      </c>
      <c r="E12186">
        <f t="shared" si="190"/>
        <v>1.5101057203373113E-37</v>
      </c>
    </row>
    <row r="12187" spans="1:5" x14ac:dyDescent="0.25">
      <c r="A12187">
        <v>16</v>
      </c>
      <c r="B12187">
        <v>4</v>
      </c>
      <c r="C12187">
        <v>8</v>
      </c>
      <c r="D12187">
        <v>20</v>
      </c>
      <c r="E12187">
        <f t="shared" si="190"/>
        <v>4.5982719184271129E-36</v>
      </c>
    </row>
    <row r="12188" spans="1:5" x14ac:dyDescent="0.25">
      <c r="A12188">
        <v>16</v>
      </c>
      <c r="B12188">
        <v>4</v>
      </c>
      <c r="C12188">
        <v>9</v>
      </c>
      <c r="D12188">
        <v>19</v>
      </c>
      <c r="E12188">
        <f t="shared" si="190"/>
        <v>9.707462938901681E-35</v>
      </c>
    </row>
    <row r="12189" spans="1:5" x14ac:dyDescent="0.25">
      <c r="A12189">
        <v>16</v>
      </c>
      <c r="B12189">
        <v>4</v>
      </c>
      <c r="C12189">
        <v>10</v>
      </c>
      <c r="D12189">
        <v>18</v>
      </c>
      <c r="E12189">
        <f t="shared" si="190"/>
        <v>1.4755343667130561E-33</v>
      </c>
    </row>
    <row r="12190" spans="1:5" x14ac:dyDescent="0.25">
      <c r="A12190">
        <v>16</v>
      </c>
      <c r="B12190">
        <v>4</v>
      </c>
      <c r="C12190">
        <v>11</v>
      </c>
      <c r="D12190">
        <v>17</v>
      </c>
      <c r="E12190">
        <f t="shared" si="190"/>
        <v>1.6599761625521879E-32</v>
      </c>
    </row>
    <row r="12191" spans="1:5" x14ac:dyDescent="0.25">
      <c r="A12191">
        <v>16</v>
      </c>
      <c r="B12191">
        <v>4</v>
      </c>
      <c r="C12191">
        <v>12</v>
      </c>
      <c r="D12191">
        <v>16</v>
      </c>
      <c r="E12191">
        <f t="shared" si="190"/>
        <v>1.4109797381693589E-31</v>
      </c>
    </row>
    <row r="12192" spans="1:5" x14ac:dyDescent="0.25">
      <c r="A12192">
        <v>16</v>
      </c>
      <c r="B12192">
        <v>4</v>
      </c>
      <c r="C12192">
        <v>13</v>
      </c>
      <c r="D12192">
        <v>15</v>
      </c>
      <c r="E12192">
        <f t="shared" si="190"/>
        <v>9.2039293689816667E-31</v>
      </c>
    </row>
    <row r="12193" spans="1:5" x14ac:dyDescent="0.25">
      <c r="A12193">
        <v>16</v>
      </c>
      <c r="B12193">
        <v>4</v>
      </c>
      <c r="C12193">
        <v>14</v>
      </c>
      <c r="D12193">
        <v>14</v>
      </c>
      <c r="E12193">
        <f t="shared" si="190"/>
        <v>4.6617304596140929E-30</v>
      </c>
    </row>
    <row r="12194" spans="1:5" x14ac:dyDescent="0.25">
      <c r="A12194">
        <v>16</v>
      </c>
      <c r="B12194">
        <v>4</v>
      </c>
      <c r="C12194">
        <v>15</v>
      </c>
      <c r="D12194">
        <v>13</v>
      </c>
      <c r="E12194">
        <f t="shared" si="190"/>
        <v>1.8491530823135897E-29</v>
      </c>
    </row>
    <row r="12195" spans="1:5" x14ac:dyDescent="0.25">
      <c r="A12195">
        <v>16</v>
      </c>
      <c r="B12195">
        <v>4</v>
      </c>
      <c r="C12195">
        <v>16</v>
      </c>
      <c r="D12195">
        <v>12</v>
      </c>
      <c r="E12195">
        <f t="shared" si="190"/>
        <v>5.778603382229969E-29</v>
      </c>
    </row>
    <row r="12196" spans="1:5" x14ac:dyDescent="0.25">
      <c r="A12196">
        <v>16</v>
      </c>
      <c r="B12196">
        <v>4</v>
      </c>
      <c r="C12196">
        <v>17</v>
      </c>
      <c r="D12196">
        <v>11</v>
      </c>
      <c r="E12196">
        <f t="shared" si="190"/>
        <v>1.4276549532568162E-28</v>
      </c>
    </row>
    <row r="12197" spans="1:5" x14ac:dyDescent="0.25">
      <c r="A12197">
        <v>16</v>
      </c>
      <c r="B12197">
        <v>4</v>
      </c>
      <c r="C12197">
        <v>18</v>
      </c>
      <c r="D12197">
        <v>10</v>
      </c>
      <c r="E12197">
        <f t="shared" si="190"/>
        <v>2.7918585752577709E-28</v>
      </c>
    </row>
    <row r="12198" spans="1:5" x14ac:dyDescent="0.25">
      <c r="A12198">
        <v>16</v>
      </c>
      <c r="B12198">
        <v>4</v>
      </c>
      <c r="C12198">
        <v>19</v>
      </c>
      <c r="D12198">
        <v>9</v>
      </c>
      <c r="E12198">
        <f t="shared" si="190"/>
        <v>4.3163602972735297E-28</v>
      </c>
    </row>
    <row r="12199" spans="1:5" x14ac:dyDescent="0.25">
      <c r="A12199">
        <v>16</v>
      </c>
      <c r="B12199">
        <v>4</v>
      </c>
      <c r="C12199">
        <v>20</v>
      </c>
      <c r="D12199">
        <v>8</v>
      </c>
      <c r="E12199">
        <f t="shared" si="190"/>
        <v>5.255803420797773E-28</v>
      </c>
    </row>
    <row r="12200" spans="1:5" x14ac:dyDescent="0.25">
      <c r="A12200">
        <v>16</v>
      </c>
      <c r="B12200">
        <v>4</v>
      </c>
      <c r="C12200">
        <v>21</v>
      </c>
      <c r="D12200">
        <v>7</v>
      </c>
      <c r="E12200">
        <f t="shared" si="190"/>
        <v>5.0055270674264457E-28</v>
      </c>
    </row>
    <row r="12201" spans="1:5" x14ac:dyDescent="0.25">
      <c r="A12201">
        <v>16</v>
      </c>
      <c r="B12201">
        <v>4</v>
      </c>
      <c r="C12201">
        <v>22</v>
      </c>
      <c r="D12201">
        <v>6</v>
      </c>
      <c r="E12201">
        <f t="shared" si="190"/>
        <v>3.6882831023142235E-28</v>
      </c>
    </row>
    <row r="12202" spans="1:5" x14ac:dyDescent="0.25">
      <c r="A12202">
        <v>16</v>
      </c>
      <c r="B12202">
        <v>4</v>
      </c>
      <c r="C12202">
        <v>23</v>
      </c>
      <c r="D12202">
        <v>5</v>
      </c>
      <c r="E12202">
        <f t="shared" si="190"/>
        <v>2.0686457399936295E-28</v>
      </c>
    </row>
    <row r="12203" spans="1:5" x14ac:dyDescent="0.25">
      <c r="A12203">
        <v>16</v>
      </c>
      <c r="B12203">
        <v>4</v>
      </c>
      <c r="C12203">
        <v>24</v>
      </c>
      <c r="D12203">
        <v>4</v>
      </c>
      <c r="E12203">
        <f t="shared" si="190"/>
        <v>8.6193572499734576E-29</v>
      </c>
    </row>
    <row r="12204" spans="1:5" x14ac:dyDescent="0.25">
      <c r="A12204">
        <v>16</v>
      </c>
      <c r="B12204">
        <v>4</v>
      </c>
      <c r="C12204">
        <v>25</v>
      </c>
      <c r="D12204">
        <v>3</v>
      </c>
      <c r="E12204">
        <f t="shared" si="190"/>
        <v>2.5701356163557226E-29</v>
      </c>
    </row>
    <row r="12205" spans="1:5" x14ac:dyDescent="0.25">
      <c r="A12205">
        <v>16</v>
      </c>
      <c r="B12205">
        <v>4</v>
      </c>
      <c r="C12205">
        <v>26</v>
      </c>
      <c r="D12205">
        <v>2</v>
      </c>
      <c r="E12205">
        <f t="shared" si="190"/>
        <v>5.1574627752957615E-30</v>
      </c>
    </row>
    <row r="12206" spans="1:5" x14ac:dyDescent="0.25">
      <c r="A12206">
        <v>16</v>
      </c>
      <c r="B12206">
        <v>4</v>
      </c>
      <c r="C12206">
        <v>27</v>
      </c>
      <c r="D12206">
        <v>1</v>
      </c>
      <c r="E12206">
        <f t="shared" si="190"/>
        <v>6.2080570443374902E-31</v>
      </c>
    </row>
    <row r="12207" spans="1:5" x14ac:dyDescent="0.25">
      <c r="A12207">
        <v>16</v>
      </c>
      <c r="B12207">
        <v>4</v>
      </c>
      <c r="C12207">
        <v>28</v>
      </c>
      <c r="D12207">
        <v>0</v>
      </c>
      <c r="E12207">
        <f t="shared" si="190"/>
        <v>3.3700881097832098E-32</v>
      </c>
    </row>
    <row r="12208" spans="1:5" x14ac:dyDescent="0.25">
      <c r="A12208">
        <v>16</v>
      </c>
      <c r="B12208">
        <v>5</v>
      </c>
      <c r="C12208">
        <v>2</v>
      </c>
      <c r="D12208">
        <v>25</v>
      </c>
      <c r="E12208">
        <f t="shared" si="190"/>
        <v>2.0329508906262132E-45</v>
      </c>
    </row>
    <row r="12209" spans="1:5" x14ac:dyDescent="0.25">
      <c r="A12209">
        <v>16</v>
      </c>
      <c r="B12209">
        <v>5</v>
      </c>
      <c r="C12209">
        <v>3</v>
      </c>
      <c r="D12209">
        <v>24</v>
      </c>
      <c r="E12209">
        <f t="shared" si="190"/>
        <v>1.0672992175787618E-42</v>
      </c>
    </row>
    <row r="12210" spans="1:5" x14ac:dyDescent="0.25">
      <c r="A12210">
        <v>16</v>
      </c>
      <c r="B12210">
        <v>5</v>
      </c>
      <c r="C12210">
        <v>4</v>
      </c>
      <c r="D12210">
        <v>23</v>
      </c>
      <c r="E12210">
        <f t="shared" si="190"/>
        <v>1.9851765446964973E-40</v>
      </c>
    </row>
    <row r="12211" spans="1:5" x14ac:dyDescent="0.25">
      <c r="A12211">
        <v>16</v>
      </c>
      <c r="B12211">
        <v>5</v>
      </c>
      <c r="C12211">
        <v>5</v>
      </c>
      <c r="D12211">
        <v>22</v>
      </c>
      <c r="E12211">
        <f t="shared" si="190"/>
        <v>1.8568017948061239E-38</v>
      </c>
    </row>
    <row r="12212" spans="1:5" x14ac:dyDescent="0.25">
      <c r="A12212">
        <v>16</v>
      </c>
      <c r="B12212">
        <v>5</v>
      </c>
      <c r="C12212">
        <v>6</v>
      </c>
      <c r="D12212">
        <v>21</v>
      </c>
      <c r="E12212">
        <f t="shared" si="190"/>
        <v>1.021240987143368E-36</v>
      </c>
    </row>
    <row r="12213" spans="1:5" x14ac:dyDescent="0.25">
      <c r="A12213">
        <v>16</v>
      </c>
      <c r="B12213">
        <v>5</v>
      </c>
      <c r="C12213">
        <v>7</v>
      </c>
      <c r="D12213">
        <v>20</v>
      </c>
      <c r="E12213">
        <f t="shared" si="190"/>
        <v>3.6151930944875218E-35</v>
      </c>
    </row>
    <row r="12214" spans="1:5" x14ac:dyDescent="0.25">
      <c r="A12214">
        <v>16</v>
      </c>
      <c r="B12214">
        <v>5</v>
      </c>
      <c r="C12214">
        <v>8</v>
      </c>
      <c r="D12214">
        <v>19</v>
      </c>
      <c r="E12214">
        <f t="shared" si="190"/>
        <v>8.7367166450115136E-34</v>
      </c>
    </row>
    <row r="12215" spans="1:5" x14ac:dyDescent="0.25">
      <c r="A12215">
        <v>16</v>
      </c>
      <c r="B12215">
        <v>5</v>
      </c>
      <c r="C12215">
        <v>9</v>
      </c>
      <c r="D12215">
        <v>18</v>
      </c>
      <c r="E12215">
        <f t="shared" si="190"/>
        <v>1.5018831946900748E-32</v>
      </c>
    </row>
    <row r="12216" spans="1:5" x14ac:dyDescent="0.25">
      <c r="A12216">
        <v>16</v>
      </c>
      <c r="B12216">
        <v>5</v>
      </c>
      <c r="C12216">
        <v>10</v>
      </c>
      <c r="D12216">
        <v>17</v>
      </c>
      <c r="E12216">
        <f t="shared" si="190"/>
        <v>1.8923728253094942E-31</v>
      </c>
    </row>
    <row r="12217" spans="1:5" x14ac:dyDescent="0.25">
      <c r="A12217">
        <v>16</v>
      </c>
      <c r="B12217">
        <v>5</v>
      </c>
      <c r="C12217">
        <v>11</v>
      </c>
      <c r="D12217">
        <v>16</v>
      </c>
      <c r="E12217">
        <f t="shared" si="190"/>
        <v>1.787241001681189E-30</v>
      </c>
    </row>
    <row r="12218" spans="1:5" x14ac:dyDescent="0.25">
      <c r="A12218">
        <v>16</v>
      </c>
      <c r="B12218">
        <v>5</v>
      </c>
      <c r="C12218">
        <v>12</v>
      </c>
      <c r="D12218">
        <v>15</v>
      </c>
      <c r="E12218">
        <f t="shared" si="190"/>
        <v>1.2868135212104552E-29</v>
      </c>
    </row>
    <row r="12219" spans="1:5" x14ac:dyDescent="0.25">
      <c r="A12219">
        <v>16</v>
      </c>
      <c r="B12219">
        <v>5</v>
      </c>
      <c r="C12219">
        <v>13</v>
      </c>
      <c r="D12219">
        <v>14</v>
      </c>
      <c r="E12219">
        <f t="shared" si="190"/>
        <v>7.1539632822539331E-29</v>
      </c>
    </row>
    <row r="12220" spans="1:5" x14ac:dyDescent="0.25">
      <c r="A12220">
        <v>16</v>
      </c>
      <c r="B12220">
        <v>5</v>
      </c>
      <c r="C12220">
        <v>14</v>
      </c>
      <c r="D12220">
        <v>13</v>
      </c>
      <c r="E12220">
        <f t="shared" si="190"/>
        <v>3.1000507556433721E-28</v>
      </c>
    </row>
    <row r="12221" spans="1:5" x14ac:dyDescent="0.25">
      <c r="A12221">
        <v>16</v>
      </c>
      <c r="B12221">
        <v>5</v>
      </c>
      <c r="C12221">
        <v>15</v>
      </c>
      <c r="D12221">
        <v>12</v>
      </c>
      <c r="E12221">
        <f t="shared" si="190"/>
        <v>1.054017256918746E-27</v>
      </c>
    </row>
    <row r="12222" spans="1:5" x14ac:dyDescent="0.25">
      <c r="A12222">
        <v>16</v>
      </c>
      <c r="B12222">
        <v>5</v>
      </c>
      <c r="C12222">
        <v>16</v>
      </c>
      <c r="D12222">
        <v>11</v>
      </c>
      <c r="E12222">
        <f t="shared" si="190"/>
        <v>2.8232605096037843E-27</v>
      </c>
    </row>
    <row r="12223" spans="1:5" x14ac:dyDescent="0.25">
      <c r="A12223">
        <v>16</v>
      </c>
      <c r="B12223">
        <v>5</v>
      </c>
      <c r="C12223">
        <v>17</v>
      </c>
      <c r="D12223">
        <v>10</v>
      </c>
      <c r="E12223">
        <f t="shared" si="190"/>
        <v>5.9675977046134904E-27</v>
      </c>
    </row>
    <row r="12224" spans="1:5" x14ac:dyDescent="0.25">
      <c r="A12224">
        <v>16</v>
      </c>
      <c r="B12224">
        <v>5</v>
      </c>
      <c r="C12224">
        <v>18</v>
      </c>
      <c r="D12224">
        <v>9</v>
      </c>
      <c r="E12224">
        <f t="shared" si="190"/>
        <v>9.9459961743558102E-27</v>
      </c>
    </row>
    <row r="12225" spans="1:5" x14ac:dyDescent="0.25">
      <c r="A12225">
        <v>16</v>
      </c>
      <c r="B12225">
        <v>5</v>
      </c>
      <c r="C12225">
        <v>19</v>
      </c>
      <c r="D12225">
        <v>8</v>
      </c>
      <c r="E12225">
        <f t="shared" si="190"/>
        <v>1.3025251955890122E-26</v>
      </c>
    </row>
    <row r="12226" spans="1:5" x14ac:dyDescent="0.25">
      <c r="A12226">
        <v>16</v>
      </c>
      <c r="B12226">
        <v>5</v>
      </c>
      <c r="C12226">
        <v>20</v>
      </c>
      <c r="D12226">
        <v>7</v>
      </c>
      <c r="E12226">
        <f t="shared" si="190"/>
        <v>1.3314701999354362E-26</v>
      </c>
    </row>
    <row r="12227" spans="1:5" x14ac:dyDescent="0.25">
      <c r="A12227">
        <v>16</v>
      </c>
      <c r="B12227">
        <v>5</v>
      </c>
      <c r="C12227">
        <v>21</v>
      </c>
      <c r="D12227">
        <v>6</v>
      </c>
      <c r="E12227">
        <f t="shared" si="190"/>
        <v>1.0511606841595532E-26</v>
      </c>
    </row>
    <row r="12228" spans="1:5" x14ac:dyDescent="0.25">
      <c r="A12228">
        <v>16</v>
      </c>
      <c r="B12228">
        <v>5</v>
      </c>
      <c r="C12228">
        <v>22</v>
      </c>
      <c r="D12228">
        <v>5</v>
      </c>
      <c r="E12228">
        <f t="shared" si="190"/>
        <v>6.3069641049573233E-27</v>
      </c>
    </row>
    <row r="12229" spans="1:5" x14ac:dyDescent="0.25">
      <c r="A12229">
        <v>16</v>
      </c>
      <c r="B12229">
        <v>5</v>
      </c>
      <c r="C12229">
        <v>23</v>
      </c>
      <c r="D12229">
        <v>4</v>
      </c>
      <c r="E12229">
        <f t="shared" si="190"/>
        <v>2.807447789991355E-27</v>
      </c>
    </row>
    <row r="12230" spans="1:5" x14ac:dyDescent="0.25">
      <c r="A12230">
        <v>16</v>
      </c>
      <c r="B12230">
        <v>5</v>
      </c>
      <c r="C12230">
        <v>24</v>
      </c>
      <c r="D12230">
        <v>3</v>
      </c>
      <c r="E12230">
        <f t="shared" si="190"/>
        <v>8.9327884226997649E-28</v>
      </c>
    </row>
    <row r="12231" spans="1:5" x14ac:dyDescent="0.25">
      <c r="A12231">
        <v>16</v>
      </c>
      <c r="B12231">
        <v>5</v>
      </c>
      <c r="C12231">
        <v>25</v>
      </c>
      <c r="D12231">
        <v>2</v>
      </c>
      <c r="E12231">
        <f t="shared" si="190"/>
        <v>1.9108399582470811E-28</v>
      </c>
    </row>
    <row r="12232" spans="1:5" x14ac:dyDescent="0.25">
      <c r="A12232">
        <v>16</v>
      </c>
      <c r="B12232">
        <v>5</v>
      </c>
      <c r="C12232">
        <v>26</v>
      </c>
      <c r="D12232">
        <v>1</v>
      </c>
      <c r="E12232">
        <f t="shared" si="190"/>
        <v>2.4497948182654866E-29</v>
      </c>
    </row>
    <row r="12233" spans="1:5" x14ac:dyDescent="0.25">
      <c r="A12233">
        <v>16</v>
      </c>
      <c r="B12233">
        <v>5</v>
      </c>
      <c r="C12233">
        <v>27</v>
      </c>
      <c r="D12233">
        <v>0</v>
      </c>
      <c r="E12233">
        <f t="shared" si="190"/>
        <v>1.4154370061089479E-30</v>
      </c>
    </row>
    <row r="12234" spans="1:5" x14ac:dyDescent="0.25">
      <c r="A12234">
        <v>16</v>
      </c>
      <c r="B12234">
        <v>6</v>
      </c>
      <c r="C12234">
        <v>1</v>
      </c>
      <c r="D12234">
        <v>25</v>
      </c>
      <c r="E12234">
        <f t="shared" si="190"/>
        <v>3.0070731923846071E-45</v>
      </c>
    </row>
    <row r="12235" spans="1:5" x14ac:dyDescent="0.25">
      <c r="A12235">
        <v>16</v>
      </c>
      <c r="B12235">
        <v>6</v>
      </c>
      <c r="C12235">
        <v>2</v>
      </c>
      <c r="D12235">
        <v>24</v>
      </c>
      <c r="E12235">
        <f t="shared" si="190"/>
        <v>2.4056585539076856E-42</v>
      </c>
    </row>
    <row r="12236" spans="1:5" x14ac:dyDescent="0.25">
      <c r="A12236">
        <v>16</v>
      </c>
      <c r="B12236">
        <v>6</v>
      </c>
      <c r="C12236">
        <v>3</v>
      </c>
      <c r="D12236">
        <v>23</v>
      </c>
      <c r="E12236">
        <f t="shared" si="190"/>
        <v>6.0622595558473677E-40</v>
      </c>
    </row>
    <row r="12237" spans="1:5" x14ac:dyDescent="0.25">
      <c r="A12237">
        <v>16</v>
      </c>
      <c r="B12237">
        <v>6</v>
      </c>
      <c r="C12237">
        <v>4</v>
      </c>
      <c r="D12237">
        <v>22</v>
      </c>
      <c r="E12237">
        <f t="shared" si="190"/>
        <v>7.2039851055319566E-38</v>
      </c>
    </row>
    <row r="12238" spans="1:5" x14ac:dyDescent="0.25">
      <c r="A12238">
        <v>16</v>
      </c>
      <c r="B12238">
        <v>6</v>
      </c>
      <c r="C12238">
        <v>5</v>
      </c>
      <c r="D12238">
        <v>21</v>
      </c>
      <c r="E12238">
        <f t="shared" ref="E12238:E12301" si="191">COMBIN(A$4,A12238)*COMBIN(B$4,B12238)*COMBIN(C$4,C12238)*COMBIN(D$4,D12238)/COMBIN($G$4,$F$4)</f>
        <v>4.8338740058119431E-36</v>
      </c>
    </row>
    <row r="12239" spans="1:5" x14ac:dyDescent="0.25">
      <c r="A12239">
        <v>16</v>
      </c>
      <c r="B12239">
        <v>6</v>
      </c>
      <c r="C12239">
        <v>6</v>
      </c>
      <c r="D12239">
        <v>20</v>
      </c>
      <c r="E12239">
        <f t="shared" si="191"/>
        <v>2.0302270824410156E-34</v>
      </c>
    </row>
    <row r="12240" spans="1:5" x14ac:dyDescent="0.25">
      <c r="A12240">
        <v>16</v>
      </c>
      <c r="B12240">
        <v>6</v>
      </c>
      <c r="C12240">
        <v>7</v>
      </c>
      <c r="D12240">
        <v>19</v>
      </c>
      <c r="E12240">
        <f t="shared" si="191"/>
        <v>5.7039713268580911E-33</v>
      </c>
    </row>
    <row r="12241" spans="1:5" x14ac:dyDescent="0.25">
      <c r="A12241">
        <v>16</v>
      </c>
      <c r="B12241">
        <v>6</v>
      </c>
      <c r="C12241">
        <v>8</v>
      </c>
      <c r="D12241">
        <v>18</v>
      </c>
      <c r="E12241">
        <f t="shared" si="191"/>
        <v>1.1224600718210034E-31</v>
      </c>
    </row>
    <row r="12242" spans="1:5" x14ac:dyDescent="0.25">
      <c r="A12242">
        <v>16</v>
      </c>
      <c r="B12242">
        <v>6</v>
      </c>
      <c r="C12242">
        <v>9</v>
      </c>
      <c r="D12242">
        <v>17</v>
      </c>
      <c r="E12242">
        <f t="shared" si="191"/>
        <v>1.5995056023449294E-30</v>
      </c>
    </row>
    <row r="12243" spans="1:5" x14ac:dyDescent="0.25">
      <c r="A12243">
        <v>16</v>
      </c>
      <c r="B12243">
        <v>6</v>
      </c>
      <c r="C12243">
        <v>10</v>
      </c>
      <c r="D12243">
        <v>16</v>
      </c>
      <c r="E12243">
        <f t="shared" si="191"/>
        <v>1.6919214815915255E-29</v>
      </c>
    </row>
    <row r="12244" spans="1:5" x14ac:dyDescent="0.25">
      <c r="A12244">
        <v>16</v>
      </c>
      <c r="B12244">
        <v>6</v>
      </c>
      <c r="C12244">
        <v>11</v>
      </c>
      <c r="D12244">
        <v>15</v>
      </c>
      <c r="E12244">
        <f t="shared" si="191"/>
        <v>1.3535371852732204E-28</v>
      </c>
    </row>
    <row r="12245" spans="1:5" x14ac:dyDescent="0.25">
      <c r="A12245">
        <v>16</v>
      </c>
      <c r="B12245">
        <v>6</v>
      </c>
      <c r="C12245">
        <v>12</v>
      </c>
      <c r="D12245">
        <v>14</v>
      </c>
      <c r="E12245">
        <f t="shared" si="191"/>
        <v>8.3057963641765758E-28</v>
      </c>
    </row>
    <row r="12246" spans="1:5" x14ac:dyDescent="0.25">
      <c r="A12246">
        <v>16</v>
      </c>
      <c r="B12246">
        <v>6</v>
      </c>
      <c r="C12246">
        <v>13</v>
      </c>
      <c r="D12246">
        <v>13</v>
      </c>
      <c r="E12246">
        <f t="shared" si="191"/>
        <v>3.9505775014224507E-27</v>
      </c>
    </row>
    <row r="12247" spans="1:5" x14ac:dyDescent="0.25">
      <c r="A12247">
        <v>16</v>
      </c>
      <c r="B12247">
        <v>6</v>
      </c>
      <c r="C12247">
        <v>14</v>
      </c>
      <c r="D12247">
        <v>12</v>
      </c>
      <c r="E12247">
        <f t="shared" si="191"/>
        <v>1.4673573576711961E-26</v>
      </c>
    </row>
    <row r="12248" spans="1:5" x14ac:dyDescent="0.25">
      <c r="A12248">
        <v>16</v>
      </c>
      <c r="B12248">
        <v>6</v>
      </c>
      <c r="C12248">
        <v>15</v>
      </c>
      <c r="D12248">
        <v>11</v>
      </c>
      <c r="E12248">
        <f t="shared" si="191"/>
        <v>4.2762985852131978E-26</v>
      </c>
    </row>
    <row r="12249" spans="1:5" x14ac:dyDescent="0.25">
      <c r="A12249">
        <v>16</v>
      </c>
      <c r="B12249">
        <v>6</v>
      </c>
      <c r="C12249">
        <v>16</v>
      </c>
      <c r="D12249">
        <v>10</v>
      </c>
      <c r="E12249">
        <f t="shared" si="191"/>
        <v>9.7998509244469111E-26</v>
      </c>
    </row>
    <row r="12250" spans="1:5" x14ac:dyDescent="0.25">
      <c r="A12250">
        <v>16</v>
      </c>
      <c r="B12250">
        <v>6</v>
      </c>
      <c r="C12250">
        <v>17</v>
      </c>
      <c r="D12250">
        <v>9</v>
      </c>
      <c r="E12250">
        <f t="shared" si="191"/>
        <v>1.7654143209481581E-25</v>
      </c>
    </row>
    <row r="12251" spans="1:5" x14ac:dyDescent="0.25">
      <c r="A12251">
        <v>16</v>
      </c>
      <c r="B12251">
        <v>6</v>
      </c>
      <c r="C12251">
        <v>18</v>
      </c>
      <c r="D12251">
        <v>8</v>
      </c>
      <c r="E12251">
        <f t="shared" si="191"/>
        <v>2.492349629573868E-25</v>
      </c>
    </row>
    <row r="12252" spans="1:5" x14ac:dyDescent="0.25">
      <c r="A12252">
        <v>16</v>
      </c>
      <c r="B12252">
        <v>6</v>
      </c>
      <c r="C12252">
        <v>19</v>
      </c>
      <c r="D12252">
        <v>7</v>
      </c>
      <c r="E12252">
        <f t="shared" si="191"/>
        <v>2.7401270781279972E-25</v>
      </c>
    </row>
    <row r="12253" spans="1:5" x14ac:dyDescent="0.25">
      <c r="A12253">
        <v>16</v>
      </c>
      <c r="B12253">
        <v>6</v>
      </c>
      <c r="C12253">
        <v>20</v>
      </c>
      <c r="D12253">
        <v>6</v>
      </c>
      <c r="E12253">
        <f t="shared" si="191"/>
        <v>2.3218971556768827E-25</v>
      </c>
    </row>
    <row r="12254" spans="1:5" x14ac:dyDescent="0.25">
      <c r="A12254">
        <v>16</v>
      </c>
      <c r="B12254">
        <v>6</v>
      </c>
      <c r="C12254">
        <v>21</v>
      </c>
      <c r="D12254">
        <v>5</v>
      </c>
      <c r="E12254">
        <f t="shared" si="191"/>
        <v>1.4926481715065655E-25</v>
      </c>
    </row>
    <row r="12255" spans="1:5" x14ac:dyDescent="0.25">
      <c r="A12255">
        <v>16</v>
      </c>
      <c r="B12255">
        <v>6</v>
      </c>
      <c r="C12255">
        <v>22</v>
      </c>
      <c r="D12255">
        <v>4</v>
      </c>
      <c r="E12255">
        <f t="shared" si="191"/>
        <v>7.1078484357455575E-26</v>
      </c>
    </row>
    <row r="12256" spans="1:5" x14ac:dyDescent="0.25">
      <c r="A12256">
        <v>16</v>
      </c>
      <c r="B12256">
        <v>6</v>
      </c>
      <c r="C12256">
        <v>23</v>
      </c>
      <c r="D12256">
        <v>3</v>
      </c>
      <c r="E12256">
        <f t="shared" si="191"/>
        <v>2.4161065829016508E-26</v>
      </c>
    </row>
    <row r="12257" spans="1:5" x14ac:dyDescent="0.25">
      <c r="A12257">
        <v>16</v>
      </c>
      <c r="B12257">
        <v>6</v>
      </c>
      <c r="C12257">
        <v>24</v>
      </c>
      <c r="D12257">
        <v>2</v>
      </c>
      <c r="E12257">
        <f t="shared" si="191"/>
        <v>5.5150258957537675E-27</v>
      </c>
    </row>
    <row r="12258" spans="1:5" x14ac:dyDescent="0.25">
      <c r="A12258">
        <v>16</v>
      </c>
      <c r="B12258">
        <v>6</v>
      </c>
      <c r="C12258">
        <v>25</v>
      </c>
      <c r="D12258">
        <v>1</v>
      </c>
      <c r="E12258">
        <f t="shared" si="191"/>
        <v>7.5372020575301533E-28</v>
      </c>
    </row>
    <row r="12259" spans="1:5" x14ac:dyDescent="0.25">
      <c r="A12259">
        <v>16</v>
      </c>
      <c r="B12259">
        <v>6</v>
      </c>
      <c r="C12259">
        <v>26</v>
      </c>
      <c r="D12259">
        <v>0</v>
      </c>
      <c r="E12259">
        <f t="shared" si="191"/>
        <v>4.6382781892493218E-29</v>
      </c>
    </row>
    <row r="12260" spans="1:5" x14ac:dyDescent="0.25">
      <c r="A12260">
        <v>16</v>
      </c>
      <c r="B12260">
        <v>7</v>
      </c>
      <c r="C12260">
        <v>0</v>
      </c>
      <c r="D12260">
        <v>25</v>
      </c>
      <c r="E12260">
        <f t="shared" si="191"/>
        <v>1.870333436142514E-45</v>
      </c>
    </row>
    <row r="12261" spans="1:5" x14ac:dyDescent="0.25">
      <c r="A12261">
        <v>16</v>
      </c>
      <c r="B12261">
        <v>7</v>
      </c>
      <c r="C12261">
        <v>1</v>
      </c>
      <c r="D12261">
        <v>24</v>
      </c>
      <c r="E12261">
        <f t="shared" si="191"/>
        <v>3.0392918337315851E-42</v>
      </c>
    </row>
    <row r="12262" spans="1:5" x14ac:dyDescent="0.25">
      <c r="A12262">
        <v>16</v>
      </c>
      <c r="B12262">
        <v>7</v>
      </c>
      <c r="C12262">
        <v>2</v>
      </c>
      <c r="D12262">
        <v>23</v>
      </c>
      <c r="E12262">
        <f t="shared" si="191"/>
        <v>1.1670880641529286E-39</v>
      </c>
    </row>
    <row r="12263" spans="1:5" x14ac:dyDescent="0.25">
      <c r="A12263">
        <v>16</v>
      </c>
      <c r="B12263">
        <v>7</v>
      </c>
      <c r="C12263">
        <v>3</v>
      </c>
      <c r="D12263">
        <v>22</v>
      </c>
      <c r="E12263">
        <f t="shared" si="191"/>
        <v>1.8790117832862151E-37</v>
      </c>
    </row>
    <row r="12264" spans="1:5" x14ac:dyDescent="0.25">
      <c r="A12264">
        <v>16</v>
      </c>
      <c r="B12264">
        <v>7</v>
      </c>
      <c r="C12264">
        <v>4</v>
      </c>
      <c r="D12264">
        <v>21</v>
      </c>
      <c r="E12264">
        <f t="shared" si="191"/>
        <v>1.6018575452514986E-35</v>
      </c>
    </row>
    <row r="12265" spans="1:5" x14ac:dyDescent="0.25">
      <c r="A12265">
        <v>16</v>
      </c>
      <c r="B12265">
        <v>7</v>
      </c>
      <c r="C12265">
        <v>5</v>
      </c>
      <c r="D12265">
        <v>20</v>
      </c>
      <c r="E12265">
        <f t="shared" si="191"/>
        <v>8.2079180618686768E-34</v>
      </c>
    </row>
    <row r="12266" spans="1:5" x14ac:dyDescent="0.25">
      <c r="A12266">
        <v>16</v>
      </c>
      <c r="B12266">
        <v>7</v>
      </c>
      <c r="C12266">
        <v>6</v>
      </c>
      <c r="D12266">
        <v>19</v>
      </c>
      <c r="E12266">
        <f t="shared" si="191"/>
        <v>2.7359726872895589E-32</v>
      </c>
    </row>
    <row r="12267" spans="1:5" x14ac:dyDescent="0.25">
      <c r="A12267">
        <v>16</v>
      </c>
      <c r="B12267">
        <v>7</v>
      </c>
      <c r="C12267">
        <v>7</v>
      </c>
      <c r="D12267">
        <v>18</v>
      </c>
      <c r="E12267">
        <f t="shared" si="191"/>
        <v>6.259235474391013E-31</v>
      </c>
    </row>
    <row r="12268" spans="1:5" x14ac:dyDescent="0.25">
      <c r="A12268">
        <v>16</v>
      </c>
      <c r="B12268">
        <v>7</v>
      </c>
      <c r="C12268">
        <v>8</v>
      </c>
      <c r="D12268">
        <v>17</v>
      </c>
      <c r="E12268">
        <f t="shared" si="191"/>
        <v>1.0210377867600341E-29</v>
      </c>
    </row>
    <row r="12269" spans="1:5" x14ac:dyDescent="0.25">
      <c r="A12269">
        <v>16</v>
      </c>
      <c r="B12269">
        <v>7</v>
      </c>
      <c r="C12269">
        <v>9</v>
      </c>
      <c r="D12269">
        <v>16</v>
      </c>
      <c r="E12269">
        <f t="shared" si="191"/>
        <v>1.221463722679596E-28</v>
      </c>
    </row>
    <row r="12270" spans="1:5" x14ac:dyDescent="0.25">
      <c r="A12270">
        <v>16</v>
      </c>
      <c r="B12270">
        <v>7</v>
      </c>
      <c r="C12270">
        <v>10</v>
      </c>
      <c r="D12270">
        <v>15</v>
      </c>
      <c r="E12270">
        <f t="shared" si="191"/>
        <v>1.0944314955209181E-27</v>
      </c>
    </row>
    <row r="12271" spans="1:5" x14ac:dyDescent="0.25">
      <c r="A12271">
        <v>16</v>
      </c>
      <c r="B12271">
        <v>7</v>
      </c>
      <c r="C12271">
        <v>11</v>
      </c>
      <c r="D12271">
        <v>14</v>
      </c>
      <c r="E12271">
        <f t="shared" si="191"/>
        <v>7.4620329240062609E-27</v>
      </c>
    </row>
    <row r="12272" spans="1:5" x14ac:dyDescent="0.25">
      <c r="A12272">
        <v>16</v>
      </c>
      <c r="B12272">
        <v>7</v>
      </c>
      <c r="C12272">
        <v>12</v>
      </c>
      <c r="D12272">
        <v>13</v>
      </c>
      <c r="E12272">
        <f t="shared" si="191"/>
        <v>3.9175672851032853E-26</v>
      </c>
    </row>
    <row r="12273" spans="1:5" x14ac:dyDescent="0.25">
      <c r="A12273">
        <v>16</v>
      </c>
      <c r="B12273">
        <v>7</v>
      </c>
      <c r="C12273">
        <v>13</v>
      </c>
      <c r="D12273">
        <v>12</v>
      </c>
      <c r="E12273">
        <f t="shared" si="191"/>
        <v>1.597162047003648E-25</v>
      </c>
    </row>
    <row r="12274" spans="1:5" x14ac:dyDescent="0.25">
      <c r="A12274">
        <v>16</v>
      </c>
      <c r="B12274">
        <v>7</v>
      </c>
      <c r="C12274">
        <v>14</v>
      </c>
      <c r="D12274">
        <v>11</v>
      </c>
      <c r="E12274">
        <f t="shared" si="191"/>
        <v>5.0848424353585531E-25</v>
      </c>
    </row>
    <row r="12275" spans="1:5" x14ac:dyDescent="0.25">
      <c r="A12275">
        <v>16</v>
      </c>
      <c r="B12275">
        <v>7</v>
      </c>
      <c r="C12275">
        <v>15</v>
      </c>
      <c r="D12275">
        <v>10</v>
      </c>
      <c r="E12275">
        <f t="shared" si="191"/>
        <v>1.2678207138827316E-24</v>
      </c>
    </row>
    <row r="12276" spans="1:5" x14ac:dyDescent="0.25">
      <c r="A12276">
        <v>16</v>
      </c>
      <c r="B12276">
        <v>7</v>
      </c>
      <c r="C12276">
        <v>16</v>
      </c>
      <c r="D12276">
        <v>9</v>
      </c>
      <c r="E12276">
        <f t="shared" si="191"/>
        <v>2.4762123318022111E-24</v>
      </c>
    </row>
    <row r="12277" spans="1:5" x14ac:dyDescent="0.25">
      <c r="A12277">
        <v>16</v>
      </c>
      <c r="B12277">
        <v>7</v>
      </c>
      <c r="C12277">
        <v>17</v>
      </c>
      <c r="D12277">
        <v>8</v>
      </c>
      <c r="E12277">
        <f t="shared" si="191"/>
        <v>3.7785800634075284E-24</v>
      </c>
    </row>
    <row r="12278" spans="1:5" x14ac:dyDescent="0.25">
      <c r="A12278">
        <v>16</v>
      </c>
      <c r="B12278">
        <v>7</v>
      </c>
      <c r="C12278">
        <v>18</v>
      </c>
      <c r="D12278">
        <v>7</v>
      </c>
      <c r="E12278">
        <f t="shared" si="191"/>
        <v>4.4783171121866972E-24</v>
      </c>
    </row>
    <row r="12279" spans="1:5" x14ac:dyDescent="0.25">
      <c r="A12279">
        <v>16</v>
      </c>
      <c r="B12279">
        <v>7</v>
      </c>
      <c r="C12279">
        <v>19</v>
      </c>
      <c r="D12279">
        <v>6</v>
      </c>
      <c r="E12279">
        <f t="shared" si="191"/>
        <v>4.0813471742643304E-24</v>
      </c>
    </row>
    <row r="12280" spans="1:5" x14ac:dyDescent="0.25">
      <c r="A12280">
        <v>16</v>
      </c>
      <c r="B12280">
        <v>7</v>
      </c>
      <c r="C12280">
        <v>20</v>
      </c>
      <c r="D12280">
        <v>5</v>
      </c>
      <c r="E12280">
        <f t="shared" si="191"/>
        <v>2.8161295502423904E-24</v>
      </c>
    </row>
    <row r="12281" spans="1:5" x14ac:dyDescent="0.25">
      <c r="A12281">
        <v>16</v>
      </c>
      <c r="B12281">
        <v>7</v>
      </c>
      <c r="C12281">
        <v>21</v>
      </c>
      <c r="D12281">
        <v>4</v>
      </c>
      <c r="E12281">
        <f t="shared" si="191"/>
        <v>1.4368007909399938E-24</v>
      </c>
    </row>
    <row r="12282" spans="1:5" x14ac:dyDescent="0.25">
      <c r="A12282">
        <v>16</v>
      </c>
      <c r="B12282">
        <v>7</v>
      </c>
      <c r="C12282">
        <v>22</v>
      </c>
      <c r="D12282">
        <v>3</v>
      </c>
      <c r="E12282">
        <f t="shared" si="191"/>
        <v>5.2247301488727078E-25</v>
      </c>
    </row>
    <row r="12283" spans="1:5" x14ac:dyDescent="0.25">
      <c r="A12283">
        <v>16</v>
      </c>
      <c r="B12283">
        <v>7</v>
      </c>
      <c r="C12283">
        <v>23</v>
      </c>
      <c r="D12283">
        <v>2</v>
      </c>
      <c r="E12283">
        <f t="shared" si="191"/>
        <v>1.2740835334680133E-25</v>
      </c>
    </row>
    <row r="12284" spans="1:5" x14ac:dyDescent="0.25">
      <c r="A12284">
        <v>16</v>
      </c>
      <c r="B12284">
        <v>7</v>
      </c>
      <c r="C12284">
        <v>24</v>
      </c>
      <c r="D12284">
        <v>1</v>
      </c>
      <c r="E12284">
        <f t="shared" si="191"/>
        <v>1.8580384863075191E-26</v>
      </c>
    </row>
    <row r="12285" spans="1:5" x14ac:dyDescent="0.25">
      <c r="A12285">
        <v>16</v>
      </c>
      <c r="B12285">
        <v>7</v>
      </c>
      <c r="C12285">
        <v>25</v>
      </c>
      <c r="D12285">
        <v>0</v>
      </c>
      <c r="E12285">
        <f t="shared" si="191"/>
        <v>1.2188732470177332E-27</v>
      </c>
    </row>
    <row r="12286" spans="1:5" x14ac:dyDescent="0.25">
      <c r="A12286">
        <v>16</v>
      </c>
      <c r="B12286">
        <v>8</v>
      </c>
      <c r="C12286">
        <v>0</v>
      </c>
      <c r="D12286">
        <v>24</v>
      </c>
      <c r="E12286">
        <f t="shared" si="191"/>
        <v>1.6482313406005905E-42</v>
      </c>
    </row>
    <row r="12287" spans="1:5" x14ac:dyDescent="0.25">
      <c r="A12287">
        <v>16</v>
      </c>
      <c r="B12287">
        <v>8</v>
      </c>
      <c r="C12287">
        <v>1</v>
      </c>
      <c r="D12287">
        <v>23</v>
      </c>
      <c r="E12287">
        <f t="shared" si="191"/>
        <v>1.2856204456684602E-39</v>
      </c>
    </row>
    <row r="12288" spans="1:5" x14ac:dyDescent="0.25">
      <c r="A12288">
        <v>16</v>
      </c>
      <c r="B12288">
        <v>8</v>
      </c>
      <c r="C12288">
        <v>2</v>
      </c>
      <c r="D12288">
        <v>22</v>
      </c>
      <c r="E12288">
        <f t="shared" si="191"/>
        <v>3.1540554933732892E-37</v>
      </c>
    </row>
    <row r="12289" spans="1:5" x14ac:dyDescent="0.25">
      <c r="A12289">
        <v>16</v>
      </c>
      <c r="B12289">
        <v>8</v>
      </c>
      <c r="C12289">
        <v>3</v>
      </c>
      <c r="D12289">
        <v>21</v>
      </c>
      <c r="E12289">
        <f t="shared" si="191"/>
        <v>3.6429340948461498E-35</v>
      </c>
    </row>
    <row r="12290" spans="1:5" x14ac:dyDescent="0.25">
      <c r="A12290">
        <v>16</v>
      </c>
      <c r="B12290">
        <v>8</v>
      </c>
      <c r="C12290">
        <v>4</v>
      </c>
      <c r="D12290">
        <v>20</v>
      </c>
      <c r="E12290">
        <f t="shared" si="191"/>
        <v>2.3715500957448433E-33</v>
      </c>
    </row>
    <row r="12291" spans="1:5" x14ac:dyDescent="0.25">
      <c r="A12291">
        <v>16</v>
      </c>
      <c r="B12291">
        <v>8</v>
      </c>
      <c r="C12291">
        <v>5</v>
      </c>
      <c r="D12291">
        <v>19</v>
      </c>
      <c r="E12291">
        <f t="shared" si="191"/>
        <v>9.6443037226956957E-32</v>
      </c>
    </row>
    <row r="12292" spans="1:5" x14ac:dyDescent="0.25">
      <c r="A12292">
        <v>16</v>
      </c>
      <c r="B12292">
        <v>8</v>
      </c>
      <c r="C12292">
        <v>6</v>
      </c>
      <c r="D12292">
        <v>18</v>
      </c>
      <c r="E12292">
        <f t="shared" si="191"/>
        <v>2.6177395818745467E-30</v>
      </c>
    </row>
    <row r="12293" spans="1:5" x14ac:dyDescent="0.25">
      <c r="A12293">
        <v>16</v>
      </c>
      <c r="B12293">
        <v>8</v>
      </c>
      <c r="C12293">
        <v>7</v>
      </c>
      <c r="D12293">
        <v>17</v>
      </c>
      <c r="E12293">
        <f t="shared" si="191"/>
        <v>4.9643561356263712E-29</v>
      </c>
    </row>
    <row r="12294" spans="1:5" x14ac:dyDescent="0.25">
      <c r="A12294">
        <v>16</v>
      </c>
      <c r="B12294">
        <v>8</v>
      </c>
      <c r="C12294">
        <v>8</v>
      </c>
      <c r="D12294">
        <v>16</v>
      </c>
      <c r="E12294">
        <f t="shared" si="191"/>
        <v>6.7984099301772259E-28</v>
      </c>
    </row>
    <row r="12295" spans="1:5" x14ac:dyDescent="0.25">
      <c r="A12295">
        <v>16</v>
      </c>
      <c r="B12295">
        <v>8</v>
      </c>
      <c r="C12295">
        <v>9</v>
      </c>
      <c r="D12295">
        <v>15</v>
      </c>
      <c r="E12295">
        <f t="shared" si="191"/>
        <v>6.8890553959129206E-27</v>
      </c>
    </row>
    <row r="12296" spans="1:5" x14ac:dyDescent="0.25">
      <c r="A12296">
        <v>16</v>
      </c>
      <c r="B12296">
        <v>8</v>
      </c>
      <c r="C12296">
        <v>10</v>
      </c>
      <c r="D12296">
        <v>14</v>
      </c>
      <c r="E12296">
        <f t="shared" si="191"/>
        <v>5.260733211424413E-26</v>
      </c>
    </row>
    <row r="12297" spans="1:5" x14ac:dyDescent="0.25">
      <c r="A12297">
        <v>16</v>
      </c>
      <c r="B12297">
        <v>8</v>
      </c>
      <c r="C12297">
        <v>11</v>
      </c>
      <c r="D12297">
        <v>13</v>
      </c>
      <c r="E12297">
        <f t="shared" si="191"/>
        <v>3.0687610399975753E-25</v>
      </c>
    </row>
    <row r="12298" spans="1:5" x14ac:dyDescent="0.25">
      <c r="A12298">
        <v>16</v>
      </c>
      <c r="B12298">
        <v>8</v>
      </c>
      <c r="C12298">
        <v>12</v>
      </c>
      <c r="D12298">
        <v>12</v>
      </c>
      <c r="E12298">
        <f t="shared" si="191"/>
        <v>1.380942467998908E-24</v>
      </c>
    </row>
    <row r="12299" spans="1:5" x14ac:dyDescent="0.25">
      <c r="A12299">
        <v>16</v>
      </c>
      <c r="B12299">
        <v>8</v>
      </c>
      <c r="C12299">
        <v>13</v>
      </c>
      <c r="D12299">
        <v>11</v>
      </c>
      <c r="E12299">
        <f t="shared" si="191"/>
        <v>4.8257110420181642E-24</v>
      </c>
    </row>
    <row r="12300" spans="1:5" x14ac:dyDescent="0.25">
      <c r="A12300">
        <v>16</v>
      </c>
      <c r="B12300">
        <v>8</v>
      </c>
      <c r="C12300">
        <v>14</v>
      </c>
      <c r="D12300">
        <v>10</v>
      </c>
      <c r="E12300">
        <f t="shared" si="191"/>
        <v>1.3144317695401854E-23</v>
      </c>
    </row>
    <row r="12301" spans="1:5" x14ac:dyDescent="0.25">
      <c r="A12301">
        <v>16</v>
      </c>
      <c r="B12301">
        <v>8</v>
      </c>
      <c r="C12301">
        <v>15</v>
      </c>
      <c r="D12301">
        <v>9</v>
      </c>
      <c r="E12301">
        <f t="shared" si="191"/>
        <v>2.7931675102728938E-23</v>
      </c>
    </row>
    <row r="12302" spans="1:5" x14ac:dyDescent="0.25">
      <c r="A12302">
        <v>16</v>
      </c>
      <c r="B12302">
        <v>8</v>
      </c>
      <c r="C12302">
        <v>16</v>
      </c>
      <c r="D12302">
        <v>8</v>
      </c>
      <c r="E12302">
        <f t="shared" ref="E12302:E12365" si="192">COMBIN(A$4,A12302)*COMBIN(B$4,B12302)*COMBIN(C$4,C12302)*COMBIN(D$4,D12302)/COMBIN($G$4,$F$4)</f>
        <v>4.6210491897897144E-23</v>
      </c>
    </row>
    <row r="12303" spans="1:5" x14ac:dyDescent="0.25">
      <c r="A12303">
        <v>16</v>
      </c>
      <c r="B12303">
        <v>8</v>
      </c>
      <c r="C12303">
        <v>17</v>
      </c>
      <c r="D12303">
        <v>7</v>
      </c>
      <c r="E12303">
        <f t="shared" si="192"/>
        <v>5.9197754326717956E-23</v>
      </c>
    </row>
    <row r="12304" spans="1:5" x14ac:dyDescent="0.25">
      <c r="A12304">
        <v>16</v>
      </c>
      <c r="B12304">
        <v>8</v>
      </c>
      <c r="C12304">
        <v>18</v>
      </c>
      <c r="D12304">
        <v>6</v>
      </c>
      <c r="E12304">
        <f t="shared" si="192"/>
        <v>5.8159197233266687E-23</v>
      </c>
    </row>
    <row r="12305" spans="1:5" x14ac:dyDescent="0.25">
      <c r="A12305">
        <v>16</v>
      </c>
      <c r="B12305">
        <v>8</v>
      </c>
      <c r="C12305">
        <v>19</v>
      </c>
      <c r="D12305">
        <v>5</v>
      </c>
      <c r="E12305">
        <f t="shared" si="192"/>
        <v>4.31602463678453E-23</v>
      </c>
    </row>
    <row r="12306" spans="1:5" x14ac:dyDescent="0.25">
      <c r="A12306">
        <v>16</v>
      </c>
      <c r="B12306">
        <v>8</v>
      </c>
      <c r="C12306">
        <v>20</v>
      </c>
      <c r="D12306">
        <v>4</v>
      </c>
      <c r="E12306">
        <f t="shared" si="192"/>
        <v>2.3635373010962927E-23</v>
      </c>
    </row>
    <row r="12307" spans="1:5" x14ac:dyDescent="0.25">
      <c r="A12307">
        <v>16</v>
      </c>
      <c r="B12307">
        <v>8</v>
      </c>
      <c r="C12307">
        <v>21</v>
      </c>
      <c r="D12307">
        <v>3</v>
      </c>
      <c r="E12307">
        <f t="shared" si="192"/>
        <v>9.2085868873881409E-24</v>
      </c>
    </row>
    <row r="12308" spans="1:5" x14ac:dyDescent="0.25">
      <c r="A12308">
        <v>16</v>
      </c>
      <c r="B12308">
        <v>8</v>
      </c>
      <c r="C12308">
        <v>22</v>
      </c>
      <c r="D12308">
        <v>2</v>
      </c>
      <c r="E12308">
        <f t="shared" si="192"/>
        <v>2.4022400575795165E-24</v>
      </c>
    </row>
    <row r="12309" spans="1:5" x14ac:dyDescent="0.25">
      <c r="A12309">
        <v>16</v>
      </c>
      <c r="B12309">
        <v>8</v>
      </c>
      <c r="C12309">
        <v>23</v>
      </c>
      <c r="D12309">
        <v>1</v>
      </c>
      <c r="E12309">
        <f t="shared" si="192"/>
        <v>3.7426203795622892E-25</v>
      </c>
    </row>
    <row r="12310" spans="1:5" x14ac:dyDescent="0.25">
      <c r="A12310">
        <v>16</v>
      </c>
      <c r="B12310">
        <v>8</v>
      </c>
      <c r="C12310">
        <v>24</v>
      </c>
      <c r="D12310">
        <v>0</v>
      </c>
      <c r="E12310">
        <f t="shared" si="192"/>
        <v>2.6198342656936026E-26</v>
      </c>
    </row>
    <row r="12311" spans="1:5" x14ac:dyDescent="0.25">
      <c r="A12311">
        <v>16</v>
      </c>
      <c r="B12311">
        <v>9</v>
      </c>
      <c r="C12311">
        <v>0</v>
      </c>
      <c r="D12311">
        <v>23</v>
      </c>
      <c r="E12311">
        <f t="shared" si="192"/>
        <v>6.1753734227835447E-40</v>
      </c>
    </row>
    <row r="12312" spans="1:5" x14ac:dyDescent="0.25">
      <c r="A12312">
        <v>16</v>
      </c>
      <c r="B12312">
        <v>9</v>
      </c>
      <c r="C12312">
        <v>1</v>
      </c>
      <c r="D12312">
        <v>22</v>
      </c>
      <c r="E12312">
        <f t="shared" si="192"/>
        <v>3.0773944223537997E-37</v>
      </c>
    </row>
    <row r="12313" spans="1:5" x14ac:dyDescent="0.25">
      <c r="A12313">
        <v>16</v>
      </c>
      <c r="B12313">
        <v>9</v>
      </c>
      <c r="C12313">
        <v>2</v>
      </c>
      <c r="D12313">
        <v>21</v>
      </c>
      <c r="E12313">
        <f t="shared" si="192"/>
        <v>5.4162141833426885E-35</v>
      </c>
    </row>
    <row r="12314" spans="1:5" x14ac:dyDescent="0.25">
      <c r="A12314">
        <v>16</v>
      </c>
      <c r="B12314">
        <v>9</v>
      </c>
      <c r="C12314">
        <v>3</v>
      </c>
      <c r="D12314">
        <v>20</v>
      </c>
      <c r="E12314">
        <f t="shared" si="192"/>
        <v>4.7771009097082505E-33</v>
      </c>
    </row>
    <row r="12315" spans="1:5" x14ac:dyDescent="0.25">
      <c r="A12315">
        <v>16</v>
      </c>
      <c r="B12315">
        <v>9</v>
      </c>
      <c r="C12315">
        <v>4</v>
      </c>
      <c r="D12315">
        <v>19</v>
      </c>
      <c r="E12315">
        <f t="shared" si="192"/>
        <v>2.4681688033492626E-31</v>
      </c>
    </row>
    <row r="12316" spans="1:5" x14ac:dyDescent="0.25">
      <c r="A12316">
        <v>16</v>
      </c>
      <c r="B12316">
        <v>9</v>
      </c>
      <c r="C12316">
        <v>5</v>
      </c>
      <c r="D12316">
        <v>18</v>
      </c>
      <c r="E12316">
        <f t="shared" si="192"/>
        <v>8.1731646945194203E-30</v>
      </c>
    </row>
    <row r="12317" spans="1:5" x14ac:dyDescent="0.25">
      <c r="A12317">
        <v>16</v>
      </c>
      <c r="B12317">
        <v>9</v>
      </c>
      <c r="C12317">
        <v>6</v>
      </c>
      <c r="D12317">
        <v>17</v>
      </c>
      <c r="E12317">
        <f t="shared" si="192"/>
        <v>1.8389620562668685E-28</v>
      </c>
    </row>
    <row r="12318" spans="1:5" x14ac:dyDescent="0.25">
      <c r="A12318">
        <v>16</v>
      </c>
      <c r="B12318">
        <v>9</v>
      </c>
      <c r="C12318">
        <v>7</v>
      </c>
      <c r="D12318">
        <v>16</v>
      </c>
      <c r="E12318">
        <f t="shared" si="192"/>
        <v>2.9277443530724909E-27</v>
      </c>
    </row>
    <row r="12319" spans="1:5" x14ac:dyDescent="0.25">
      <c r="A12319">
        <v>16</v>
      </c>
      <c r="B12319">
        <v>9</v>
      </c>
      <c r="C12319">
        <v>8</v>
      </c>
      <c r="D12319">
        <v>15</v>
      </c>
      <c r="E12319">
        <f t="shared" si="192"/>
        <v>3.3961834495640893E-26</v>
      </c>
    </row>
    <row r="12320" spans="1:5" x14ac:dyDescent="0.25">
      <c r="A12320">
        <v>16</v>
      </c>
      <c r="B12320">
        <v>9</v>
      </c>
      <c r="C12320">
        <v>9</v>
      </c>
      <c r="D12320">
        <v>14</v>
      </c>
      <c r="E12320">
        <f t="shared" si="192"/>
        <v>2.9330675246235311E-25</v>
      </c>
    </row>
    <row r="12321" spans="1:5" x14ac:dyDescent="0.25">
      <c r="A12321">
        <v>16</v>
      </c>
      <c r="B12321">
        <v>9</v>
      </c>
      <c r="C12321">
        <v>10</v>
      </c>
      <c r="D12321">
        <v>13</v>
      </c>
      <c r="E12321">
        <f t="shared" si="192"/>
        <v>1.9162707827540413E-24</v>
      </c>
    </row>
    <row r="12322" spans="1:5" x14ac:dyDescent="0.25">
      <c r="A12322">
        <v>16</v>
      </c>
      <c r="B12322">
        <v>9</v>
      </c>
      <c r="C12322">
        <v>11</v>
      </c>
      <c r="D12322">
        <v>12</v>
      </c>
      <c r="E12322">
        <f t="shared" si="192"/>
        <v>9.5813539137702074E-24</v>
      </c>
    </row>
    <row r="12323" spans="1:5" x14ac:dyDescent="0.25">
      <c r="A12323">
        <v>16</v>
      </c>
      <c r="B12323">
        <v>9</v>
      </c>
      <c r="C12323">
        <v>12</v>
      </c>
      <c r="D12323">
        <v>11</v>
      </c>
      <c r="E12323">
        <f t="shared" si="192"/>
        <v>3.6956650810256482E-23</v>
      </c>
    </row>
    <row r="12324" spans="1:5" x14ac:dyDescent="0.25">
      <c r="A12324">
        <v>16</v>
      </c>
      <c r="B12324">
        <v>9</v>
      </c>
      <c r="C12324">
        <v>13</v>
      </c>
      <c r="D12324">
        <v>10</v>
      </c>
      <c r="E12324">
        <f t="shared" si="192"/>
        <v>1.1049090985835661E-22</v>
      </c>
    </row>
    <row r="12325" spans="1:5" x14ac:dyDescent="0.25">
      <c r="A12325">
        <v>16</v>
      </c>
      <c r="B12325">
        <v>9</v>
      </c>
      <c r="C12325">
        <v>14</v>
      </c>
      <c r="D12325">
        <v>9</v>
      </c>
      <c r="E12325">
        <f t="shared" si="192"/>
        <v>2.5649675502832788E-22</v>
      </c>
    </row>
    <row r="12326" spans="1:5" x14ac:dyDescent="0.25">
      <c r="A12326">
        <v>16</v>
      </c>
      <c r="B12326">
        <v>9</v>
      </c>
      <c r="C12326">
        <v>15</v>
      </c>
      <c r="D12326">
        <v>8</v>
      </c>
      <c r="E12326">
        <f t="shared" si="192"/>
        <v>4.6169415905099001E-22</v>
      </c>
    </row>
    <row r="12327" spans="1:5" x14ac:dyDescent="0.25">
      <c r="A12327">
        <v>16</v>
      </c>
      <c r="B12327">
        <v>9</v>
      </c>
      <c r="C12327">
        <v>16</v>
      </c>
      <c r="D12327">
        <v>7</v>
      </c>
      <c r="E12327">
        <f t="shared" si="192"/>
        <v>6.4124188757081987E-22</v>
      </c>
    </row>
    <row r="12328" spans="1:5" x14ac:dyDescent="0.25">
      <c r="A12328">
        <v>16</v>
      </c>
      <c r="B12328">
        <v>9</v>
      </c>
      <c r="C12328">
        <v>17</v>
      </c>
      <c r="D12328">
        <v>6</v>
      </c>
      <c r="E12328">
        <f t="shared" si="192"/>
        <v>6.8094726760616465E-22</v>
      </c>
    </row>
    <row r="12329" spans="1:5" x14ac:dyDescent="0.25">
      <c r="A12329">
        <v>16</v>
      </c>
      <c r="B12329">
        <v>9</v>
      </c>
      <c r="C12329">
        <v>18</v>
      </c>
      <c r="D12329">
        <v>5</v>
      </c>
      <c r="E12329">
        <f t="shared" si="192"/>
        <v>5.4475781408493126E-22</v>
      </c>
    </row>
    <row r="12330" spans="1:5" x14ac:dyDescent="0.25">
      <c r="A12330">
        <v>16</v>
      </c>
      <c r="B12330">
        <v>9</v>
      </c>
      <c r="C12330">
        <v>19</v>
      </c>
      <c r="D12330">
        <v>4</v>
      </c>
      <c r="E12330">
        <f t="shared" si="192"/>
        <v>3.2084733411017274E-22</v>
      </c>
    </row>
    <row r="12331" spans="1:5" x14ac:dyDescent="0.25">
      <c r="A12331">
        <v>16</v>
      </c>
      <c r="B12331">
        <v>9</v>
      </c>
      <c r="C12331">
        <v>20</v>
      </c>
      <c r="D12331">
        <v>3</v>
      </c>
      <c r="E12331">
        <f t="shared" si="192"/>
        <v>1.3417252153698145E-22</v>
      </c>
    </row>
    <row r="12332" spans="1:5" x14ac:dyDescent="0.25">
      <c r="A12332">
        <v>16</v>
      </c>
      <c r="B12332">
        <v>9</v>
      </c>
      <c r="C12332">
        <v>21</v>
      </c>
      <c r="D12332">
        <v>2</v>
      </c>
      <c r="E12332">
        <f t="shared" si="192"/>
        <v>3.7501636454435757E-23</v>
      </c>
    </row>
    <row r="12333" spans="1:5" x14ac:dyDescent="0.25">
      <c r="A12333">
        <v>16</v>
      </c>
      <c r="B12333">
        <v>9</v>
      </c>
      <c r="C12333">
        <v>22</v>
      </c>
      <c r="D12333">
        <v>1</v>
      </c>
      <c r="E12333">
        <f t="shared" si="192"/>
        <v>6.2502727424059646E-24</v>
      </c>
    </row>
    <row r="12334" spans="1:5" x14ac:dyDescent="0.25">
      <c r="A12334">
        <v>16</v>
      </c>
      <c r="B12334">
        <v>9</v>
      </c>
      <c r="C12334">
        <v>23</v>
      </c>
      <c r="D12334">
        <v>0</v>
      </c>
      <c r="E12334">
        <f t="shared" si="192"/>
        <v>4.6741170073644587E-25</v>
      </c>
    </row>
    <row r="12335" spans="1:5" x14ac:dyDescent="0.25">
      <c r="A12335">
        <v>16</v>
      </c>
      <c r="B12335">
        <v>10</v>
      </c>
      <c r="C12335">
        <v>0</v>
      </c>
      <c r="D12335">
        <v>22</v>
      </c>
      <c r="E12335">
        <f t="shared" si="192"/>
        <v>1.3256468280908677E-37</v>
      </c>
    </row>
    <row r="12336" spans="1:5" x14ac:dyDescent="0.25">
      <c r="A12336">
        <v>16</v>
      </c>
      <c r="B12336">
        <v>10</v>
      </c>
      <c r="C12336">
        <v>1</v>
      </c>
      <c r="D12336">
        <v>21</v>
      </c>
      <c r="E12336">
        <f t="shared" si="192"/>
        <v>4.7391874104248528E-35</v>
      </c>
    </row>
    <row r="12337" spans="1:5" x14ac:dyDescent="0.25">
      <c r="A12337">
        <v>16</v>
      </c>
      <c r="B12337">
        <v>10</v>
      </c>
      <c r="C12337">
        <v>2</v>
      </c>
      <c r="D12337">
        <v>20</v>
      </c>
      <c r="E12337">
        <f t="shared" si="192"/>
        <v>6.3694678796110007E-33</v>
      </c>
    </row>
    <row r="12338" spans="1:5" x14ac:dyDescent="0.25">
      <c r="A12338">
        <v>16</v>
      </c>
      <c r="B12338">
        <v>10</v>
      </c>
      <c r="C12338">
        <v>3</v>
      </c>
      <c r="D12338">
        <v>19</v>
      </c>
      <c r="E12338">
        <f t="shared" si="192"/>
        <v>4.4586275157277004E-31</v>
      </c>
    </row>
    <row r="12339" spans="1:5" x14ac:dyDescent="0.25">
      <c r="A12339">
        <v>16</v>
      </c>
      <c r="B12339">
        <v>10</v>
      </c>
      <c r="C12339">
        <v>4</v>
      </c>
      <c r="D12339">
        <v>18</v>
      </c>
      <c r="E12339">
        <f t="shared" si="192"/>
        <v>1.8758082905454405E-29</v>
      </c>
    </row>
    <row r="12340" spans="1:5" x14ac:dyDescent="0.25">
      <c r="A12340">
        <v>16</v>
      </c>
      <c r="B12340">
        <v>10</v>
      </c>
      <c r="C12340">
        <v>5</v>
      </c>
      <c r="D12340">
        <v>17</v>
      </c>
      <c r="E12340">
        <f t="shared" si="192"/>
        <v>5.149093757547233E-28</v>
      </c>
    </row>
    <row r="12341" spans="1:5" x14ac:dyDescent="0.25">
      <c r="A12341">
        <v>16</v>
      </c>
      <c r="B12341">
        <v>10</v>
      </c>
      <c r="C12341">
        <v>6</v>
      </c>
      <c r="D12341">
        <v>16</v>
      </c>
      <c r="E12341">
        <f t="shared" si="192"/>
        <v>9.7260659864781068E-27</v>
      </c>
    </row>
    <row r="12342" spans="1:5" x14ac:dyDescent="0.25">
      <c r="A12342">
        <v>16</v>
      </c>
      <c r="B12342">
        <v>10</v>
      </c>
      <c r="C12342">
        <v>7</v>
      </c>
      <c r="D12342">
        <v>15</v>
      </c>
      <c r="E12342">
        <f t="shared" si="192"/>
        <v>1.311629470176476E-25</v>
      </c>
    </row>
    <row r="12343" spans="1:5" x14ac:dyDescent="0.25">
      <c r="A12343">
        <v>16</v>
      </c>
      <c r="B12343">
        <v>10</v>
      </c>
      <c r="C12343">
        <v>8</v>
      </c>
      <c r="D12343">
        <v>14</v>
      </c>
      <c r="E12343">
        <f t="shared" si="192"/>
        <v>1.2967245898335616E-24</v>
      </c>
    </row>
    <row r="12344" spans="1:5" x14ac:dyDescent="0.25">
      <c r="A12344">
        <v>16</v>
      </c>
      <c r="B12344">
        <v>10</v>
      </c>
      <c r="C12344">
        <v>9</v>
      </c>
      <c r="D12344">
        <v>13</v>
      </c>
      <c r="E12344">
        <f t="shared" si="192"/>
        <v>9.5813539137702059E-24</v>
      </c>
    </row>
    <row r="12345" spans="1:5" x14ac:dyDescent="0.25">
      <c r="A12345">
        <v>16</v>
      </c>
      <c r="B12345">
        <v>10</v>
      </c>
      <c r="C12345">
        <v>10</v>
      </c>
      <c r="D12345">
        <v>12</v>
      </c>
      <c r="E12345">
        <f t="shared" si="192"/>
        <v>5.3655581917113163E-23</v>
      </c>
    </row>
    <row r="12346" spans="1:5" x14ac:dyDescent="0.25">
      <c r="A12346">
        <v>16</v>
      </c>
      <c r="B12346">
        <v>10</v>
      </c>
      <c r="C12346">
        <v>11</v>
      </c>
      <c r="D12346">
        <v>11</v>
      </c>
      <c r="E12346">
        <f t="shared" si="192"/>
        <v>2.2995249393048497E-22</v>
      </c>
    </row>
    <row r="12347" spans="1:5" x14ac:dyDescent="0.25">
      <c r="A12347">
        <v>16</v>
      </c>
      <c r="B12347">
        <v>10</v>
      </c>
      <c r="C12347">
        <v>12</v>
      </c>
      <c r="D12347">
        <v>10</v>
      </c>
      <c r="E12347">
        <f t="shared" si="192"/>
        <v>7.588432299705998E-22</v>
      </c>
    </row>
    <row r="12348" spans="1:5" x14ac:dyDescent="0.25">
      <c r="A12348">
        <v>16</v>
      </c>
      <c r="B12348">
        <v>10</v>
      </c>
      <c r="C12348">
        <v>13</v>
      </c>
      <c r="D12348">
        <v>9</v>
      </c>
      <c r="E12348">
        <f t="shared" si="192"/>
        <v>1.9335909225212412E-21</v>
      </c>
    </row>
    <row r="12349" spans="1:5" x14ac:dyDescent="0.25">
      <c r="A12349">
        <v>16</v>
      </c>
      <c r="B12349">
        <v>10</v>
      </c>
      <c r="C12349">
        <v>14</v>
      </c>
      <c r="D12349">
        <v>8</v>
      </c>
      <c r="E12349">
        <f t="shared" si="192"/>
        <v>3.8021871921846259E-21</v>
      </c>
    </row>
    <row r="12350" spans="1:5" x14ac:dyDescent="0.25">
      <c r="A12350">
        <v>16</v>
      </c>
      <c r="B12350">
        <v>10</v>
      </c>
      <c r="C12350">
        <v>15</v>
      </c>
      <c r="D12350">
        <v>7</v>
      </c>
      <c r="E12350">
        <f t="shared" si="192"/>
        <v>5.745527312634545E-21</v>
      </c>
    </row>
    <row r="12351" spans="1:5" x14ac:dyDescent="0.25">
      <c r="A12351">
        <v>16</v>
      </c>
      <c r="B12351">
        <v>10</v>
      </c>
      <c r="C12351">
        <v>16</v>
      </c>
      <c r="D12351">
        <v>6</v>
      </c>
      <c r="E12351">
        <f t="shared" si="192"/>
        <v>6.6149163138884539E-21</v>
      </c>
    </row>
    <row r="12352" spans="1:5" x14ac:dyDescent="0.25">
      <c r="A12352">
        <v>16</v>
      </c>
      <c r="B12352">
        <v>10</v>
      </c>
      <c r="C12352">
        <v>17</v>
      </c>
      <c r="D12352">
        <v>5</v>
      </c>
      <c r="E12352">
        <f t="shared" si="192"/>
        <v>5.7199570478917847E-21</v>
      </c>
    </row>
    <row r="12353" spans="1:5" x14ac:dyDescent="0.25">
      <c r="A12353">
        <v>16</v>
      </c>
      <c r="B12353">
        <v>10</v>
      </c>
      <c r="C12353">
        <v>18</v>
      </c>
      <c r="D12353">
        <v>4</v>
      </c>
      <c r="E12353">
        <f t="shared" si="192"/>
        <v>3.6317187605662107E-21</v>
      </c>
    </row>
    <row r="12354" spans="1:5" x14ac:dyDescent="0.25">
      <c r="A12354">
        <v>16</v>
      </c>
      <c r="B12354">
        <v>10</v>
      </c>
      <c r="C12354">
        <v>19</v>
      </c>
      <c r="D12354">
        <v>3</v>
      </c>
      <c r="E12354">
        <f t="shared" si="192"/>
        <v>1.6334046100154248E-21</v>
      </c>
    </row>
    <row r="12355" spans="1:5" x14ac:dyDescent="0.25">
      <c r="A12355">
        <v>16</v>
      </c>
      <c r="B12355">
        <v>10</v>
      </c>
      <c r="C12355">
        <v>20</v>
      </c>
      <c r="D12355">
        <v>2</v>
      </c>
      <c r="E12355">
        <f t="shared" si="192"/>
        <v>4.9002138300462795E-22</v>
      </c>
    </row>
    <row r="12356" spans="1:5" x14ac:dyDescent="0.25">
      <c r="A12356">
        <v>16</v>
      </c>
      <c r="B12356">
        <v>10</v>
      </c>
      <c r="C12356">
        <v>21</v>
      </c>
      <c r="D12356">
        <v>1</v>
      </c>
      <c r="E12356">
        <f t="shared" si="192"/>
        <v>8.750381839368345E-23</v>
      </c>
    </row>
    <row r="12357" spans="1:5" x14ac:dyDescent="0.25">
      <c r="A12357">
        <v>16</v>
      </c>
      <c r="B12357">
        <v>10</v>
      </c>
      <c r="C12357">
        <v>22</v>
      </c>
      <c r="D12357">
        <v>0</v>
      </c>
      <c r="E12357">
        <f t="shared" si="192"/>
        <v>7.0003054714946805E-24</v>
      </c>
    </row>
    <row r="12358" spans="1:5" x14ac:dyDescent="0.25">
      <c r="A12358">
        <v>16</v>
      </c>
      <c r="B12358">
        <v>11</v>
      </c>
      <c r="C12358">
        <v>0</v>
      </c>
      <c r="D12358">
        <v>21</v>
      </c>
      <c r="E12358">
        <f t="shared" si="192"/>
        <v>1.8492773251867606E-35</v>
      </c>
    </row>
    <row r="12359" spans="1:5" x14ac:dyDescent="0.25">
      <c r="A12359">
        <v>16</v>
      </c>
      <c r="B12359">
        <v>11</v>
      </c>
      <c r="C12359">
        <v>1</v>
      </c>
      <c r="D12359">
        <v>20</v>
      </c>
      <c r="E12359">
        <f t="shared" si="192"/>
        <v>5.0485270977598547E-33</v>
      </c>
    </row>
    <row r="12360" spans="1:5" x14ac:dyDescent="0.25">
      <c r="A12360">
        <v>16</v>
      </c>
      <c r="B12360">
        <v>11</v>
      </c>
      <c r="C12360">
        <v>2</v>
      </c>
      <c r="D12360">
        <v>19</v>
      </c>
      <c r="E12360">
        <f t="shared" si="192"/>
        <v>5.3850955709438448E-31</v>
      </c>
    </row>
    <row r="12361" spans="1:5" x14ac:dyDescent="0.25">
      <c r="A12361">
        <v>16</v>
      </c>
      <c r="B12361">
        <v>11</v>
      </c>
      <c r="C12361">
        <v>3</v>
      </c>
      <c r="D12361">
        <v>18</v>
      </c>
      <c r="E12361">
        <f t="shared" si="192"/>
        <v>3.0695044754379927E-29</v>
      </c>
    </row>
    <row r="12362" spans="1:5" x14ac:dyDescent="0.25">
      <c r="A12362">
        <v>16</v>
      </c>
      <c r="B12362">
        <v>11</v>
      </c>
      <c r="C12362">
        <v>4</v>
      </c>
      <c r="D12362">
        <v>17</v>
      </c>
      <c r="E12362">
        <f t="shared" si="192"/>
        <v>1.0704896858089998E-27</v>
      </c>
    </row>
    <row r="12363" spans="1:5" x14ac:dyDescent="0.25">
      <c r="A12363">
        <v>16</v>
      </c>
      <c r="B12363">
        <v>11</v>
      </c>
      <c r="C12363">
        <v>5</v>
      </c>
      <c r="D12363">
        <v>16</v>
      </c>
      <c r="E12363">
        <f t="shared" si="192"/>
        <v>2.4668840092976289E-26</v>
      </c>
    </row>
    <row r="12364" spans="1:5" x14ac:dyDescent="0.25">
      <c r="A12364">
        <v>16</v>
      </c>
      <c r="B12364">
        <v>11</v>
      </c>
      <c r="C12364">
        <v>6</v>
      </c>
      <c r="D12364">
        <v>15</v>
      </c>
      <c r="E12364">
        <f t="shared" si="192"/>
        <v>3.9470144148762048E-25</v>
      </c>
    </row>
    <row r="12365" spans="1:5" x14ac:dyDescent="0.25">
      <c r="A12365">
        <v>16</v>
      </c>
      <c r="B12365">
        <v>11</v>
      </c>
      <c r="C12365">
        <v>7</v>
      </c>
      <c r="D12365">
        <v>14</v>
      </c>
      <c r="E12365">
        <f t="shared" si="192"/>
        <v>4.5365035807343404E-24</v>
      </c>
    </row>
    <row r="12366" spans="1:5" x14ac:dyDescent="0.25">
      <c r="A12366">
        <v>16</v>
      </c>
      <c r="B12366">
        <v>11</v>
      </c>
      <c r="C12366">
        <v>8</v>
      </c>
      <c r="D12366">
        <v>13</v>
      </c>
      <c r="E12366">
        <f t="shared" ref="E12366:E12429" si="193">COMBIN(A$4,A12366)*COMBIN(B$4,B12366)*COMBIN(C$4,C12366)*COMBIN(D$4,D12366)/COMBIN($G$4,$F$4)</f>
        <v>3.8371259453711308E-23</v>
      </c>
    </row>
    <row r="12367" spans="1:5" x14ac:dyDescent="0.25">
      <c r="A12367">
        <v>16</v>
      </c>
      <c r="B12367">
        <v>11</v>
      </c>
      <c r="C12367">
        <v>9</v>
      </c>
      <c r="D12367">
        <v>12</v>
      </c>
      <c r="E12367">
        <f t="shared" si="193"/>
        <v>2.4301797654017155E-22</v>
      </c>
    </row>
    <row r="12368" spans="1:5" x14ac:dyDescent="0.25">
      <c r="A12368">
        <v>16</v>
      </c>
      <c r="B12368">
        <v>11</v>
      </c>
      <c r="C12368">
        <v>10</v>
      </c>
      <c r="D12368">
        <v>11</v>
      </c>
      <c r="E12368">
        <f t="shared" si="193"/>
        <v>1.1664862873928238E-21</v>
      </c>
    </row>
    <row r="12369" spans="1:5" x14ac:dyDescent="0.25">
      <c r="A12369">
        <v>16</v>
      </c>
      <c r="B12369">
        <v>11</v>
      </c>
      <c r="C12369">
        <v>11</v>
      </c>
      <c r="D12369">
        <v>10</v>
      </c>
      <c r="E12369">
        <f t="shared" si="193"/>
        <v>4.2771163871070196E-21</v>
      </c>
    </row>
    <row r="12370" spans="1:5" x14ac:dyDescent="0.25">
      <c r="A12370">
        <v>16</v>
      </c>
      <c r="B12370">
        <v>11</v>
      </c>
      <c r="C12370">
        <v>12</v>
      </c>
      <c r="D12370">
        <v>9</v>
      </c>
      <c r="E12370">
        <f t="shared" si="193"/>
        <v>1.2029389838738487E-20</v>
      </c>
    </row>
    <row r="12371" spans="1:5" x14ac:dyDescent="0.25">
      <c r="A12371">
        <v>16</v>
      </c>
      <c r="B12371">
        <v>11</v>
      </c>
      <c r="C12371">
        <v>13</v>
      </c>
      <c r="D12371">
        <v>8</v>
      </c>
      <c r="E12371">
        <f t="shared" si="193"/>
        <v>2.5963886665512495E-20</v>
      </c>
    </row>
    <row r="12372" spans="1:5" x14ac:dyDescent="0.25">
      <c r="A12372">
        <v>16</v>
      </c>
      <c r="B12372">
        <v>11</v>
      </c>
      <c r="C12372">
        <v>14</v>
      </c>
      <c r="D12372">
        <v>7</v>
      </c>
      <c r="E12372">
        <f t="shared" si="193"/>
        <v>4.2861019257353972E-20</v>
      </c>
    </row>
    <row r="12373" spans="1:5" x14ac:dyDescent="0.25">
      <c r="A12373">
        <v>16</v>
      </c>
      <c r="B12373">
        <v>11</v>
      </c>
      <c r="C12373">
        <v>15</v>
      </c>
      <c r="D12373">
        <v>6</v>
      </c>
      <c r="E12373">
        <f t="shared" si="193"/>
        <v>5.3689066227632824E-20</v>
      </c>
    </row>
    <row r="12374" spans="1:5" x14ac:dyDescent="0.25">
      <c r="A12374">
        <v>16</v>
      </c>
      <c r="B12374">
        <v>11</v>
      </c>
      <c r="C12374">
        <v>16</v>
      </c>
      <c r="D12374">
        <v>5</v>
      </c>
      <c r="E12374">
        <f t="shared" si="193"/>
        <v>5.0333499588405781E-20</v>
      </c>
    </row>
    <row r="12375" spans="1:5" x14ac:dyDescent="0.25">
      <c r="A12375">
        <v>16</v>
      </c>
      <c r="B12375">
        <v>11</v>
      </c>
      <c r="C12375">
        <v>17</v>
      </c>
      <c r="D12375">
        <v>4</v>
      </c>
      <c r="E12375">
        <f t="shared" si="193"/>
        <v>3.4542597756749093E-20</v>
      </c>
    </row>
    <row r="12376" spans="1:5" x14ac:dyDescent="0.25">
      <c r="A12376">
        <v>16</v>
      </c>
      <c r="B12376">
        <v>11</v>
      </c>
      <c r="C12376">
        <v>18</v>
      </c>
      <c r="D12376">
        <v>3</v>
      </c>
      <c r="E12376">
        <f t="shared" si="193"/>
        <v>1.6747926185090451E-20</v>
      </c>
    </row>
    <row r="12377" spans="1:5" x14ac:dyDescent="0.25">
      <c r="A12377">
        <v>16</v>
      </c>
      <c r="B12377">
        <v>11</v>
      </c>
      <c r="C12377">
        <v>19</v>
      </c>
      <c r="D12377">
        <v>2</v>
      </c>
      <c r="E12377">
        <f t="shared" si="193"/>
        <v>5.403793116928501E-21</v>
      </c>
    </row>
    <row r="12378" spans="1:5" x14ac:dyDescent="0.25">
      <c r="A12378">
        <v>16</v>
      </c>
      <c r="B12378">
        <v>11</v>
      </c>
      <c r="C12378">
        <v>20</v>
      </c>
      <c r="D12378">
        <v>1</v>
      </c>
      <c r="E12378">
        <f t="shared" si="193"/>
        <v>1.0357270140779635E-21</v>
      </c>
    </row>
    <row r="12379" spans="1:5" x14ac:dyDescent="0.25">
      <c r="A12379">
        <v>16</v>
      </c>
      <c r="B12379">
        <v>11</v>
      </c>
      <c r="C12379">
        <v>21</v>
      </c>
      <c r="D12379">
        <v>0</v>
      </c>
      <c r="E12379">
        <f t="shared" si="193"/>
        <v>8.8776601206682468E-23</v>
      </c>
    </row>
    <row r="12380" spans="1:5" x14ac:dyDescent="0.25">
      <c r="A12380">
        <v>16</v>
      </c>
      <c r="B12380">
        <v>12</v>
      </c>
      <c r="C12380">
        <v>0</v>
      </c>
      <c r="D12380">
        <v>20</v>
      </c>
      <c r="E12380">
        <f t="shared" si="193"/>
        <v>1.7993468374067171E-33</v>
      </c>
    </row>
    <row r="12381" spans="1:5" x14ac:dyDescent="0.25">
      <c r="A12381">
        <v>16</v>
      </c>
      <c r="B12381">
        <v>12</v>
      </c>
      <c r="C12381">
        <v>1</v>
      </c>
      <c r="D12381">
        <v>19</v>
      </c>
      <c r="E12381">
        <f t="shared" si="193"/>
        <v>3.8985848143812206E-31</v>
      </c>
    </row>
    <row r="12382" spans="1:5" x14ac:dyDescent="0.25">
      <c r="A12382">
        <v>16</v>
      </c>
      <c r="B12382">
        <v>12</v>
      </c>
      <c r="C12382">
        <v>2</v>
      </c>
      <c r="D12382">
        <v>18</v>
      </c>
      <c r="E12382">
        <f t="shared" si="193"/>
        <v>3.3861993816339763E-29</v>
      </c>
    </row>
    <row r="12383" spans="1:5" x14ac:dyDescent="0.25">
      <c r="A12383">
        <v>16</v>
      </c>
      <c r="B12383">
        <v>12</v>
      </c>
      <c r="C12383">
        <v>3</v>
      </c>
      <c r="D12383">
        <v>17</v>
      </c>
      <c r="E12383">
        <f t="shared" si="193"/>
        <v>1.5999792078220534E-27</v>
      </c>
    </row>
    <row r="12384" spans="1:5" x14ac:dyDescent="0.25">
      <c r="A12384">
        <v>16</v>
      </c>
      <c r="B12384">
        <v>12</v>
      </c>
      <c r="C12384">
        <v>4</v>
      </c>
      <c r="D12384">
        <v>16</v>
      </c>
      <c r="E12384">
        <f t="shared" si="193"/>
        <v>4.6843835695678997E-26</v>
      </c>
    </row>
    <row r="12385" spans="1:5" x14ac:dyDescent="0.25">
      <c r="A12385">
        <v>16</v>
      </c>
      <c r="B12385">
        <v>12</v>
      </c>
      <c r="C12385">
        <v>5</v>
      </c>
      <c r="D12385">
        <v>15</v>
      </c>
      <c r="E12385">
        <f t="shared" si="193"/>
        <v>9.1439167277965405E-25</v>
      </c>
    </row>
    <row r="12386" spans="1:5" x14ac:dyDescent="0.25">
      <c r="A12386">
        <v>16</v>
      </c>
      <c r="B12386">
        <v>12</v>
      </c>
      <c r="C12386">
        <v>6</v>
      </c>
      <c r="D12386">
        <v>14</v>
      </c>
      <c r="E12386">
        <f t="shared" si="193"/>
        <v>1.2468977356086194E-23</v>
      </c>
    </row>
    <row r="12387" spans="1:5" x14ac:dyDescent="0.25">
      <c r="A12387">
        <v>16</v>
      </c>
      <c r="B12387">
        <v>12</v>
      </c>
      <c r="C12387">
        <v>7</v>
      </c>
      <c r="D12387">
        <v>13</v>
      </c>
      <c r="E12387">
        <f t="shared" si="193"/>
        <v>1.2261161066818092E-22</v>
      </c>
    </row>
    <row r="12388" spans="1:5" x14ac:dyDescent="0.25">
      <c r="A12388">
        <v>16</v>
      </c>
      <c r="B12388">
        <v>12</v>
      </c>
      <c r="C12388">
        <v>8</v>
      </c>
      <c r="D12388">
        <v>12</v>
      </c>
      <c r="E12388">
        <f t="shared" si="193"/>
        <v>8.8893417734431177E-22</v>
      </c>
    </row>
    <row r="12389" spans="1:5" x14ac:dyDescent="0.25">
      <c r="A12389">
        <v>16</v>
      </c>
      <c r="B12389">
        <v>12</v>
      </c>
      <c r="C12389">
        <v>9</v>
      </c>
      <c r="D12389">
        <v>11</v>
      </c>
      <c r="E12389">
        <f t="shared" si="193"/>
        <v>4.8256426770119768E-21</v>
      </c>
    </row>
    <row r="12390" spans="1:5" x14ac:dyDescent="0.25">
      <c r="A12390">
        <v>16</v>
      </c>
      <c r="B12390">
        <v>12</v>
      </c>
      <c r="C12390">
        <v>10</v>
      </c>
      <c r="D12390">
        <v>10</v>
      </c>
      <c r="E12390">
        <f t="shared" si="193"/>
        <v>1.9817305926929186E-20</v>
      </c>
    </row>
    <row r="12391" spans="1:5" x14ac:dyDescent="0.25">
      <c r="A12391">
        <v>16</v>
      </c>
      <c r="B12391">
        <v>12</v>
      </c>
      <c r="C12391">
        <v>11</v>
      </c>
      <c r="D12391">
        <v>9</v>
      </c>
      <c r="E12391">
        <f t="shared" si="193"/>
        <v>6.1929081021653723E-20</v>
      </c>
    </row>
    <row r="12392" spans="1:5" x14ac:dyDescent="0.25">
      <c r="A12392">
        <v>16</v>
      </c>
      <c r="B12392">
        <v>12</v>
      </c>
      <c r="C12392">
        <v>12</v>
      </c>
      <c r="D12392">
        <v>8</v>
      </c>
      <c r="E12392">
        <f t="shared" si="193"/>
        <v>1.4753692831629258E-19</v>
      </c>
    </row>
    <row r="12393" spans="1:5" x14ac:dyDescent="0.25">
      <c r="A12393">
        <v>16</v>
      </c>
      <c r="B12393">
        <v>12</v>
      </c>
      <c r="C12393">
        <v>13</v>
      </c>
      <c r="D12393">
        <v>7</v>
      </c>
      <c r="E12393">
        <f t="shared" si="193"/>
        <v>2.6733187011157308E-19</v>
      </c>
    </row>
    <row r="12394" spans="1:5" x14ac:dyDescent="0.25">
      <c r="A12394">
        <v>16</v>
      </c>
      <c r="B12394">
        <v>12</v>
      </c>
      <c r="C12394">
        <v>14</v>
      </c>
      <c r="D12394">
        <v>6</v>
      </c>
      <c r="E12394">
        <f t="shared" si="193"/>
        <v>3.6582255910004727E-19</v>
      </c>
    </row>
    <row r="12395" spans="1:5" x14ac:dyDescent="0.25">
      <c r="A12395">
        <v>16</v>
      </c>
      <c r="B12395">
        <v>12</v>
      </c>
      <c r="C12395">
        <v>15</v>
      </c>
      <c r="D12395">
        <v>5</v>
      </c>
      <c r="E12395">
        <f t="shared" si="193"/>
        <v>3.7313901028204813E-19</v>
      </c>
    </row>
    <row r="12396" spans="1:5" x14ac:dyDescent="0.25">
      <c r="A12396">
        <v>16</v>
      </c>
      <c r="B12396">
        <v>12</v>
      </c>
      <c r="C12396">
        <v>16</v>
      </c>
      <c r="D12396">
        <v>4</v>
      </c>
      <c r="E12396">
        <f t="shared" si="193"/>
        <v>2.7763319217414309E-19</v>
      </c>
    </row>
    <row r="12397" spans="1:5" x14ac:dyDescent="0.25">
      <c r="A12397">
        <v>16</v>
      </c>
      <c r="B12397">
        <v>12</v>
      </c>
      <c r="C12397">
        <v>17</v>
      </c>
      <c r="D12397">
        <v>3</v>
      </c>
      <c r="E12397">
        <f t="shared" si="193"/>
        <v>1.4549760873297342E-19</v>
      </c>
    </row>
    <row r="12398" spans="1:5" x14ac:dyDescent="0.25">
      <c r="A12398">
        <v>16</v>
      </c>
      <c r="B12398">
        <v>12</v>
      </c>
      <c r="C12398">
        <v>18</v>
      </c>
      <c r="D12398">
        <v>2</v>
      </c>
      <c r="E12398">
        <f t="shared" si="193"/>
        <v>5.0607863907121135E-20</v>
      </c>
    </row>
    <row r="12399" spans="1:5" x14ac:dyDescent="0.25">
      <c r="A12399">
        <v>16</v>
      </c>
      <c r="B12399">
        <v>12</v>
      </c>
      <c r="C12399">
        <v>19</v>
      </c>
      <c r="D12399">
        <v>1</v>
      </c>
      <c r="E12399">
        <f t="shared" si="193"/>
        <v>1.0432322822959187E-20</v>
      </c>
    </row>
    <row r="12400" spans="1:5" x14ac:dyDescent="0.25">
      <c r="A12400">
        <v>16</v>
      </c>
      <c r="B12400">
        <v>12</v>
      </c>
      <c r="C12400">
        <v>20</v>
      </c>
      <c r="D12400">
        <v>0</v>
      </c>
      <c r="E12400">
        <f t="shared" si="193"/>
        <v>9.5977369971224586E-22</v>
      </c>
    </row>
    <row r="12401" spans="1:5" x14ac:dyDescent="0.25">
      <c r="A12401">
        <v>16</v>
      </c>
      <c r="B12401">
        <v>13</v>
      </c>
      <c r="C12401">
        <v>0</v>
      </c>
      <c r="D12401">
        <v>19</v>
      </c>
      <c r="E12401">
        <f t="shared" si="193"/>
        <v>1.2779976255427198E-31</v>
      </c>
    </row>
    <row r="12402" spans="1:5" x14ac:dyDescent="0.25">
      <c r="A12402">
        <v>16</v>
      </c>
      <c r="B12402">
        <v>13</v>
      </c>
      <c r="C12402">
        <v>1</v>
      </c>
      <c r="D12402">
        <v>18</v>
      </c>
      <c r="E12402">
        <f t="shared" si="193"/>
        <v>2.2547529536360852E-29</v>
      </c>
    </row>
    <row r="12403" spans="1:5" x14ac:dyDescent="0.25">
      <c r="A12403">
        <v>16</v>
      </c>
      <c r="B12403">
        <v>13</v>
      </c>
      <c r="C12403">
        <v>2</v>
      </c>
      <c r="D12403">
        <v>17</v>
      </c>
      <c r="E12403">
        <f t="shared" si="193"/>
        <v>1.6234221266179813E-27</v>
      </c>
    </row>
    <row r="12404" spans="1:5" x14ac:dyDescent="0.25">
      <c r="A12404">
        <v>16</v>
      </c>
      <c r="B12404">
        <v>13</v>
      </c>
      <c r="C12404">
        <v>3</v>
      </c>
      <c r="D12404">
        <v>16</v>
      </c>
      <c r="E12404">
        <f t="shared" si="193"/>
        <v>6.4395744355846576E-26</v>
      </c>
    </row>
    <row r="12405" spans="1:5" x14ac:dyDescent="0.25">
      <c r="A12405">
        <v>16</v>
      </c>
      <c r="B12405">
        <v>13</v>
      </c>
      <c r="C12405">
        <v>4</v>
      </c>
      <c r="D12405">
        <v>15</v>
      </c>
      <c r="E12405">
        <f t="shared" si="193"/>
        <v>1.597014460024995E-24</v>
      </c>
    </row>
    <row r="12406" spans="1:5" x14ac:dyDescent="0.25">
      <c r="A12406">
        <v>16</v>
      </c>
      <c r="B12406">
        <v>13</v>
      </c>
      <c r="C12406">
        <v>5</v>
      </c>
      <c r="D12406">
        <v>14</v>
      </c>
      <c r="E12406">
        <f t="shared" si="193"/>
        <v>2.6568513289506745E-23</v>
      </c>
    </row>
    <row r="12407" spans="1:5" x14ac:dyDescent="0.25">
      <c r="A12407">
        <v>16</v>
      </c>
      <c r="B12407">
        <v>13</v>
      </c>
      <c r="C12407">
        <v>6</v>
      </c>
      <c r="D12407">
        <v>13</v>
      </c>
      <c r="E12407">
        <f t="shared" si="193"/>
        <v>3.0996598837757868E-22</v>
      </c>
    </row>
    <row r="12408" spans="1:5" x14ac:dyDescent="0.25">
      <c r="A12408">
        <v>16</v>
      </c>
      <c r="B12408">
        <v>13</v>
      </c>
      <c r="C12408">
        <v>7</v>
      </c>
      <c r="D12408">
        <v>12</v>
      </c>
      <c r="E12408">
        <f t="shared" si="193"/>
        <v>2.6125704734681634E-21</v>
      </c>
    </row>
    <row r="12409" spans="1:5" x14ac:dyDescent="0.25">
      <c r="A12409">
        <v>16</v>
      </c>
      <c r="B12409">
        <v>13</v>
      </c>
      <c r="C12409">
        <v>8</v>
      </c>
      <c r="D12409">
        <v>11</v>
      </c>
      <c r="E12409">
        <f t="shared" si="193"/>
        <v>1.623525937083787E-20</v>
      </c>
    </row>
    <row r="12410" spans="1:5" x14ac:dyDescent="0.25">
      <c r="A12410">
        <v>16</v>
      </c>
      <c r="B12410">
        <v>13</v>
      </c>
      <c r="C12410">
        <v>9</v>
      </c>
      <c r="D12410">
        <v>10</v>
      </c>
      <c r="E12410">
        <f t="shared" si="193"/>
        <v>7.5403760189002525E-20</v>
      </c>
    </row>
    <row r="12411" spans="1:5" x14ac:dyDescent="0.25">
      <c r="A12411">
        <v>16</v>
      </c>
      <c r="B12411">
        <v>13</v>
      </c>
      <c r="C12411">
        <v>10</v>
      </c>
      <c r="D12411">
        <v>9</v>
      </c>
      <c r="E12411">
        <f t="shared" si="193"/>
        <v>2.6391316066150892E-19</v>
      </c>
    </row>
    <row r="12412" spans="1:5" x14ac:dyDescent="0.25">
      <c r="A12412">
        <v>16</v>
      </c>
      <c r="B12412">
        <v>13</v>
      </c>
      <c r="C12412">
        <v>11</v>
      </c>
      <c r="D12412">
        <v>8</v>
      </c>
      <c r="E12412">
        <f t="shared" si="193"/>
        <v>6.9859366057458252E-19</v>
      </c>
    </row>
    <row r="12413" spans="1:5" x14ac:dyDescent="0.25">
      <c r="A12413">
        <v>16</v>
      </c>
      <c r="B12413">
        <v>13</v>
      </c>
      <c r="C12413">
        <v>12</v>
      </c>
      <c r="D12413">
        <v>7</v>
      </c>
      <c r="E12413">
        <f t="shared" si="193"/>
        <v>1.3971873211491645E-18</v>
      </c>
    </row>
    <row r="12414" spans="1:5" x14ac:dyDescent="0.25">
      <c r="A12414">
        <v>16</v>
      </c>
      <c r="B12414">
        <v>13</v>
      </c>
      <c r="C12414">
        <v>13</v>
      </c>
      <c r="D12414">
        <v>6</v>
      </c>
      <c r="E12414">
        <f t="shared" si="193"/>
        <v>2.0986092961390286E-18</v>
      </c>
    </row>
    <row r="12415" spans="1:5" x14ac:dyDescent="0.25">
      <c r="A12415">
        <v>16</v>
      </c>
      <c r="B12415">
        <v>13</v>
      </c>
      <c r="C12415">
        <v>14</v>
      </c>
      <c r="D12415">
        <v>5</v>
      </c>
      <c r="E12415">
        <f t="shared" si="193"/>
        <v>2.338450358554918E-18</v>
      </c>
    </row>
    <row r="12416" spans="1:5" x14ac:dyDescent="0.25">
      <c r="A12416">
        <v>16</v>
      </c>
      <c r="B12416">
        <v>13</v>
      </c>
      <c r="C12416">
        <v>15</v>
      </c>
      <c r="D12416">
        <v>4</v>
      </c>
      <c r="E12416">
        <f t="shared" si="193"/>
        <v>1.8930312426396951E-18</v>
      </c>
    </row>
    <row r="12417" spans="1:5" x14ac:dyDescent="0.25">
      <c r="A12417">
        <v>16</v>
      </c>
      <c r="B12417">
        <v>13</v>
      </c>
      <c r="C12417">
        <v>16</v>
      </c>
      <c r="D12417">
        <v>3</v>
      </c>
      <c r="E12417">
        <f t="shared" si="193"/>
        <v>1.0755859333180089E-18</v>
      </c>
    </row>
    <row r="12418" spans="1:5" x14ac:dyDescent="0.25">
      <c r="A12418">
        <v>16</v>
      </c>
      <c r="B12418">
        <v>13</v>
      </c>
      <c r="C12418">
        <v>17</v>
      </c>
      <c r="D12418">
        <v>2</v>
      </c>
      <c r="E12418">
        <f t="shared" si="193"/>
        <v>4.0437629718093959E-19</v>
      </c>
    </row>
    <row r="12419" spans="1:5" x14ac:dyDescent="0.25">
      <c r="A12419">
        <v>16</v>
      </c>
      <c r="B12419">
        <v>13</v>
      </c>
      <c r="C12419">
        <v>18</v>
      </c>
      <c r="D12419">
        <v>1</v>
      </c>
      <c r="E12419">
        <f t="shared" si="193"/>
        <v>8.9861399373542031E-20</v>
      </c>
    </row>
    <row r="12420" spans="1:5" x14ac:dyDescent="0.25">
      <c r="A12420">
        <v>16</v>
      </c>
      <c r="B12420">
        <v>13</v>
      </c>
      <c r="C12420">
        <v>19</v>
      </c>
      <c r="D12420">
        <v>0</v>
      </c>
      <c r="E12420">
        <f t="shared" si="193"/>
        <v>8.8915489906452159E-21</v>
      </c>
    </row>
    <row r="12421" spans="1:5" x14ac:dyDescent="0.25">
      <c r="A12421">
        <v>16</v>
      </c>
      <c r="B12421">
        <v>14</v>
      </c>
      <c r="C12421">
        <v>0</v>
      </c>
      <c r="D12421">
        <v>18</v>
      </c>
      <c r="E12421">
        <f t="shared" si="193"/>
        <v>6.8385913758632912E-30</v>
      </c>
    </row>
    <row r="12422" spans="1:5" x14ac:dyDescent="0.25">
      <c r="A12422">
        <v>16</v>
      </c>
      <c r="B12422">
        <v>14</v>
      </c>
      <c r="C12422">
        <v>1</v>
      </c>
      <c r="D12422">
        <v>17</v>
      </c>
      <c r="E12422">
        <f t="shared" si="193"/>
        <v>1.0001439887200062E-27</v>
      </c>
    </row>
    <row r="12423" spans="1:5" x14ac:dyDescent="0.25">
      <c r="A12423">
        <v>16</v>
      </c>
      <c r="B12423">
        <v>14</v>
      </c>
      <c r="C12423">
        <v>2</v>
      </c>
      <c r="D12423">
        <v>16</v>
      </c>
      <c r="E12423">
        <f t="shared" si="193"/>
        <v>6.0453147762631483E-26</v>
      </c>
    </row>
    <row r="12424" spans="1:5" x14ac:dyDescent="0.25">
      <c r="A12424">
        <v>16</v>
      </c>
      <c r="B12424">
        <v>14</v>
      </c>
      <c r="C12424">
        <v>3</v>
      </c>
      <c r="D12424">
        <v>15</v>
      </c>
      <c r="E12424">
        <f t="shared" si="193"/>
        <v>2.0312257648244174E-24</v>
      </c>
    </row>
    <row r="12425" spans="1:5" x14ac:dyDescent="0.25">
      <c r="A12425">
        <v>16</v>
      </c>
      <c r="B12425">
        <v>14</v>
      </c>
      <c r="C12425">
        <v>4</v>
      </c>
      <c r="D12425">
        <v>14</v>
      </c>
      <c r="E12425">
        <f t="shared" si="193"/>
        <v>4.2932726392879744E-23</v>
      </c>
    </row>
    <row r="12426" spans="1:5" x14ac:dyDescent="0.25">
      <c r="A12426">
        <v>16</v>
      </c>
      <c r="B12426">
        <v>14</v>
      </c>
      <c r="C12426">
        <v>5</v>
      </c>
      <c r="D12426">
        <v>13</v>
      </c>
      <c r="E12426">
        <f t="shared" si="193"/>
        <v>6.110758056586551E-22</v>
      </c>
    </row>
    <row r="12427" spans="1:5" x14ac:dyDescent="0.25">
      <c r="A12427">
        <v>16</v>
      </c>
      <c r="B12427">
        <v>14</v>
      </c>
      <c r="C12427">
        <v>6</v>
      </c>
      <c r="D12427">
        <v>12</v>
      </c>
      <c r="E12427">
        <f t="shared" si="193"/>
        <v>6.1107580565865512E-21</v>
      </c>
    </row>
    <row r="12428" spans="1:5" x14ac:dyDescent="0.25">
      <c r="A12428">
        <v>16</v>
      </c>
      <c r="B12428">
        <v>14</v>
      </c>
      <c r="C12428">
        <v>7</v>
      </c>
      <c r="D12428">
        <v>11</v>
      </c>
      <c r="E12428">
        <f t="shared" si="193"/>
        <v>4.4147109225135483E-20</v>
      </c>
    </row>
    <row r="12429" spans="1:5" x14ac:dyDescent="0.25">
      <c r="A12429">
        <v>16</v>
      </c>
      <c r="B12429">
        <v>14</v>
      </c>
      <c r="C12429">
        <v>8</v>
      </c>
      <c r="D12429">
        <v>10</v>
      </c>
      <c r="E12429">
        <f t="shared" si="193"/>
        <v>2.3471546404697032E-19</v>
      </c>
    </row>
    <row r="12430" spans="1:5" x14ac:dyDescent="0.25">
      <c r="A12430">
        <v>16</v>
      </c>
      <c r="B12430">
        <v>14</v>
      </c>
      <c r="C12430">
        <v>9</v>
      </c>
      <c r="D12430">
        <v>9</v>
      </c>
      <c r="E12430">
        <f t="shared" ref="E12430:E12493" si="194">COMBIN(A$4,A12430)*COMBIN(B$4,B12430)*COMBIN(C$4,C12430)*COMBIN(D$4,D12430)/COMBIN($G$4,$F$4)</f>
        <v>9.290820451859242E-19</v>
      </c>
    </row>
    <row r="12431" spans="1:5" x14ac:dyDescent="0.25">
      <c r="A12431">
        <v>16</v>
      </c>
      <c r="B12431">
        <v>14</v>
      </c>
      <c r="C12431">
        <v>10</v>
      </c>
      <c r="D12431">
        <v>8</v>
      </c>
      <c r="E12431">
        <f t="shared" si="194"/>
        <v>2.7544550045512108E-18</v>
      </c>
    </row>
    <row r="12432" spans="1:5" x14ac:dyDescent="0.25">
      <c r="A12432">
        <v>16</v>
      </c>
      <c r="B12432">
        <v>14</v>
      </c>
      <c r="C12432">
        <v>11</v>
      </c>
      <c r="D12432">
        <v>7</v>
      </c>
      <c r="E12432">
        <f t="shared" si="194"/>
        <v>6.1210111212249148E-18</v>
      </c>
    </row>
    <row r="12433" spans="1:5" x14ac:dyDescent="0.25">
      <c r="A12433">
        <v>16</v>
      </c>
      <c r="B12433">
        <v>14</v>
      </c>
      <c r="C12433">
        <v>12</v>
      </c>
      <c r="D12433">
        <v>6</v>
      </c>
      <c r="E12433">
        <f t="shared" si="194"/>
        <v>1.014799212203077E-17</v>
      </c>
    </row>
    <row r="12434" spans="1:5" x14ac:dyDescent="0.25">
      <c r="A12434">
        <v>16</v>
      </c>
      <c r="B12434">
        <v>14</v>
      </c>
      <c r="C12434">
        <v>13</v>
      </c>
      <c r="D12434">
        <v>5</v>
      </c>
      <c r="E12434">
        <f t="shared" si="194"/>
        <v>1.2411774980022255E-17</v>
      </c>
    </row>
    <row r="12435" spans="1:5" x14ac:dyDescent="0.25">
      <c r="A12435">
        <v>16</v>
      </c>
      <c r="B12435">
        <v>14</v>
      </c>
      <c r="C12435">
        <v>14</v>
      </c>
      <c r="D12435">
        <v>4</v>
      </c>
      <c r="E12435">
        <f t="shared" si="194"/>
        <v>1.0976399642196556E-17</v>
      </c>
    </row>
    <row r="12436" spans="1:5" x14ac:dyDescent="0.25">
      <c r="A12436">
        <v>16</v>
      </c>
      <c r="B12436">
        <v>14</v>
      </c>
      <c r="C12436">
        <v>15</v>
      </c>
      <c r="D12436">
        <v>3</v>
      </c>
      <c r="E12436">
        <f t="shared" si="194"/>
        <v>6.7854106879033223E-18</v>
      </c>
    </row>
    <row r="12437" spans="1:5" x14ac:dyDescent="0.25">
      <c r="A12437">
        <v>16</v>
      </c>
      <c r="B12437">
        <v>14</v>
      </c>
      <c r="C12437">
        <v>16</v>
      </c>
      <c r="D12437">
        <v>2</v>
      </c>
      <c r="E12437">
        <f t="shared" si="194"/>
        <v>2.7657923999605937E-18</v>
      </c>
    </row>
    <row r="12438" spans="1:5" x14ac:dyDescent="0.25">
      <c r="A12438">
        <v>16</v>
      </c>
      <c r="B12438">
        <v>14</v>
      </c>
      <c r="C12438">
        <v>17</v>
      </c>
      <c r="D12438">
        <v>1</v>
      </c>
      <c r="E12438">
        <f t="shared" si="194"/>
        <v>6.6433248822582923E-19</v>
      </c>
    </row>
    <row r="12439" spans="1:5" x14ac:dyDescent="0.25">
      <c r="A12439">
        <v>16</v>
      </c>
      <c r="B12439">
        <v>14</v>
      </c>
      <c r="C12439">
        <v>18</v>
      </c>
      <c r="D12439">
        <v>0</v>
      </c>
      <c r="E12439">
        <f t="shared" si="194"/>
        <v>7.0862132077421716E-20</v>
      </c>
    </row>
    <row r="12440" spans="1:5" x14ac:dyDescent="0.25">
      <c r="A12440">
        <v>16</v>
      </c>
      <c r="B12440">
        <v>15</v>
      </c>
      <c r="C12440">
        <v>0</v>
      </c>
      <c r="D12440">
        <v>17</v>
      </c>
      <c r="E12440">
        <f t="shared" si="194"/>
        <v>2.8209189425436063E-28</v>
      </c>
    </row>
    <row r="12441" spans="1:5" x14ac:dyDescent="0.25">
      <c r="A12441">
        <v>16</v>
      </c>
      <c r="B12441">
        <v>15</v>
      </c>
      <c r="C12441">
        <v>1</v>
      </c>
      <c r="D12441">
        <v>16</v>
      </c>
      <c r="E12441">
        <f t="shared" si="194"/>
        <v>3.4634615905674283E-26</v>
      </c>
    </row>
    <row r="12442" spans="1:5" x14ac:dyDescent="0.25">
      <c r="A12442">
        <v>16</v>
      </c>
      <c r="B12442">
        <v>15</v>
      </c>
      <c r="C12442">
        <v>2</v>
      </c>
      <c r="D12442">
        <v>15</v>
      </c>
      <c r="E12442">
        <f t="shared" si="194"/>
        <v>1.7732923343705228E-24</v>
      </c>
    </row>
    <row r="12443" spans="1:5" x14ac:dyDescent="0.25">
      <c r="A12443">
        <v>16</v>
      </c>
      <c r="B12443">
        <v>15</v>
      </c>
      <c r="C12443">
        <v>3</v>
      </c>
      <c r="D12443">
        <v>14</v>
      </c>
      <c r="E12443">
        <f t="shared" si="194"/>
        <v>5.0780644120610439E-23</v>
      </c>
    </row>
    <row r="12444" spans="1:5" x14ac:dyDescent="0.25">
      <c r="A12444">
        <v>16</v>
      </c>
      <c r="B12444">
        <v>15</v>
      </c>
      <c r="C12444">
        <v>4</v>
      </c>
      <c r="D12444">
        <v>13</v>
      </c>
      <c r="E12444">
        <f t="shared" si="194"/>
        <v>9.1828331451437219E-22</v>
      </c>
    </row>
    <row r="12445" spans="1:5" x14ac:dyDescent="0.25">
      <c r="A12445">
        <v>16</v>
      </c>
      <c r="B12445">
        <v>15</v>
      </c>
      <c r="C12445">
        <v>5</v>
      </c>
      <c r="D12445">
        <v>12</v>
      </c>
      <c r="E12445">
        <f t="shared" si="194"/>
        <v>1.1203056437075343E-20</v>
      </c>
    </row>
    <row r="12446" spans="1:5" x14ac:dyDescent="0.25">
      <c r="A12446">
        <v>16</v>
      </c>
      <c r="B12446">
        <v>15</v>
      </c>
      <c r="C12446">
        <v>6</v>
      </c>
      <c r="D12446">
        <v>11</v>
      </c>
      <c r="E12446">
        <f t="shared" si="194"/>
        <v>9.6026198032074346E-20</v>
      </c>
    </row>
    <row r="12447" spans="1:5" x14ac:dyDescent="0.25">
      <c r="A12447">
        <v>16</v>
      </c>
      <c r="B12447">
        <v>15</v>
      </c>
      <c r="C12447">
        <v>7</v>
      </c>
      <c r="D12447">
        <v>10</v>
      </c>
      <c r="E12447">
        <f t="shared" si="194"/>
        <v>5.9353335736015461E-19</v>
      </c>
    </row>
    <row r="12448" spans="1:5" x14ac:dyDescent="0.25">
      <c r="A12448">
        <v>16</v>
      </c>
      <c r="B12448">
        <v>15</v>
      </c>
      <c r="C12448">
        <v>8</v>
      </c>
      <c r="D12448">
        <v>9</v>
      </c>
      <c r="E12448">
        <f t="shared" si="194"/>
        <v>2.6894480255382018E-18</v>
      </c>
    </row>
    <row r="12449" spans="1:5" x14ac:dyDescent="0.25">
      <c r="A12449">
        <v>16</v>
      </c>
      <c r="B12449">
        <v>15</v>
      </c>
      <c r="C12449">
        <v>9</v>
      </c>
      <c r="D12449">
        <v>8</v>
      </c>
      <c r="E12449">
        <f t="shared" si="194"/>
        <v>9.0175610268045563E-18</v>
      </c>
    </row>
    <row r="12450" spans="1:5" x14ac:dyDescent="0.25">
      <c r="A12450">
        <v>16</v>
      </c>
      <c r="B12450">
        <v>15</v>
      </c>
      <c r="C12450">
        <v>10</v>
      </c>
      <c r="D12450">
        <v>7</v>
      </c>
      <c r="E12450">
        <f t="shared" si="194"/>
        <v>2.2443707444491351E-17</v>
      </c>
    </row>
    <row r="12451" spans="1:5" x14ac:dyDescent="0.25">
      <c r="A12451">
        <v>16</v>
      </c>
      <c r="B12451">
        <v>15</v>
      </c>
      <c r="C12451">
        <v>11</v>
      </c>
      <c r="D12451">
        <v>6</v>
      </c>
      <c r="E12451">
        <f t="shared" si="194"/>
        <v>4.1343671608273526E-17</v>
      </c>
    </row>
    <row r="12452" spans="1:5" x14ac:dyDescent="0.25">
      <c r="A12452">
        <v>16</v>
      </c>
      <c r="B12452">
        <v>15</v>
      </c>
      <c r="C12452">
        <v>12</v>
      </c>
      <c r="D12452">
        <v>5</v>
      </c>
      <c r="E12452">
        <f t="shared" si="194"/>
        <v>5.5813956671169217E-17</v>
      </c>
    </row>
    <row r="12453" spans="1:5" x14ac:dyDescent="0.25">
      <c r="A12453">
        <v>16</v>
      </c>
      <c r="B12453">
        <v>15</v>
      </c>
      <c r="C12453">
        <v>13</v>
      </c>
      <c r="D12453">
        <v>4</v>
      </c>
      <c r="E12453">
        <f t="shared" si="194"/>
        <v>5.41783828493035E-17</v>
      </c>
    </row>
    <row r="12454" spans="1:5" x14ac:dyDescent="0.25">
      <c r="A12454">
        <v>16</v>
      </c>
      <c r="B12454">
        <v>15</v>
      </c>
      <c r="C12454">
        <v>14</v>
      </c>
      <c r="D12454">
        <v>3</v>
      </c>
      <c r="E12454">
        <f t="shared" si="194"/>
        <v>3.6587998807321847E-17</v>
      </c>
    </row>
    <row r="12455" spans="1:5" x14ac:dyDescent="0.25">
      <c r="A12455">
        <v>16</v>
      </c>
      <c r="B12455">
        <v>15</v>
      </c>
      <c r="C12455">
        <v>15</v>
      </c>
      <c r="D12455">
        <v>2</v>
      </c>
      <c r="E12455">
        <f t="shared" si="194"/>
        <v>1.6225982079768813E-17</v>
      </c>
    </row>
    <row r="12456" spans="1:5" x14ac:dyDescent="0.25">
      <c r="A12456">
        <v>16</v>
      </c>
      <c r="B12456">
        <v>15</v>
      </c>
      <c r="C12456">
        <v>16</v>
      </c>
      <c r="D12456">
        <v>1</v>
      </c>
      <c r="E12456">
        <f t="shared" si="194"/>
        <v>4.2255161666064628E-18</v>
      </c>
    </row>
    <row r="12457" spans="1:5" x14ac:dyDescent="0.25">
      <c r="A12457">
        <v>16</v>
      </c>
      <c r="B12457">
        <v>15</v>
      </c>
      <c r="C12457">
        <v>17</v>
      </c>
      <c r="D12457">
        <v>0</v>
      </c>
      <c r="E12457">
        <f t="shared" si="194"/>
        <v>4.8717715803227476E-19</v>
      </c>
    </row>
    <row r="12458" spans="1:5" x14ac:dyDescent="0.25">
      <c r="A12458">
        <v>16</v>
      </c>
      <c r="B12458">
        <v>16</v>
      </c>
      <c r="C12458">
        <v>0</v>
      </c>
      <c r="D12458">
        <v>16</v>
      </c>
      <c r="E12458">
        <f t="shared" si="194"/>
        <v>9.1248891905334176E-27</v>
      </c>
    </row>
    <row r="12459" spans="1:5" x14ac:dyDescent="0.25">
      <c r="A12459">
        <v>16</v>
      </c>
      <c r="B12459">
        <v>16</v>
      </c>
      <c r="C12459">
        <v>1</v>
      </c>
      <c r="D12459">
        <v>15</v>
      </c>
      <c r="E12459">
        <f t="shared" si="194"/>
        <v>9.4898847581547507E-25</v>
      </c>
    </row>
    <row r="12460" spans="1:5" x14ac:dyDescent="0.25">
      <c r="A12460">
        <v>16</v>
      </c>
      <c r="B12460">
        <v>16</v>
      </c>
      <c r="C12460">
        <v>2</v>
      </c>
      <c r="D12460">
        <v>14</v>
      </c>
      <c r="E12460">
        <f t="shared" si="194"/>
        <v>4.1410406217402556E-23</v>
      </c>
    </row>
    <row r="12461" spans="1:5" x14ac:dyDescent="0.25">
      <c r="A12461">
        <v>16</v>
      </c>
      <c r="B12461">
        <v>16</v>
      </c>
      <c r="C12461">
        <v>3</v>
      </c>
      <c r="D12461">
        <v>13</v>
      </c>
      <c r="E12461">
        <f t="shared" si="194"/>
        <v>1.0145549523263629E-21</v>
      </c>
    </row>
    <row r="12462" spans="1:5" x14ac:dyDescent="0.25">
      <c r="A12462">
        <v>16</v>
      </c>
      <c r="B12462">
        <v>16</v>
      </c>
      <c r="C12462">
        <v>4</v>
      </c>
      <c r="D12462">
        <v>12</v>
      </c>
      <c r="E12462">
        <f t="shared" si="194"/>
        <v>1.5725601761058625E-20</v>
      </c>
    </row>
    <row r="12463" spans="1:5" x14ac:dyDescent="0.25">
      <c r="A12463">
        <v>16</v>
      </c>
      <c r="B12463">
        <v>16</v>
      </c>
      <c r="C12463">
        <v>5</v>
      </c>
      <c r="D12463">
        <v>11</v>
      </c>
      <c r="E12463">
        <f t="shared" si="194"/>
        <v>1.6444486412992731E-19</v>
      </c>
    </row>
    <row r="12464" spans="1:5" x14ac:dyDescent="0.25">
      <c r="A12464">
        <v>16</v>
      </c>
      <c r="B12464">
        <v>16</v>
      </c>
      <c r="C12464">
        <v>6</v>
      </c>
      <c r="D12464">
        <v>10</v>
      </c>
      <c r="E12464">
        <f t="shared" si="194"/>
        <v>1.2059290036194668E-18</v>
      </c>
    </row>
    <row r="12465" spans="1:5" x14ac:dyDescent="0.25">
      <c r="A12465">
        <v>16</v>
      </c>
      <c r="B12465">
        <v>16</v>
      </c>
      <c r="C12465">
        <v>7</v>
      </c>
      <c r="D12465">
        <v>9</v>
      </c>
      <c r="E12465">
        <f t="shared" si="194"/>
        <v>6.3526617154954049E-18</v>
      </c>
    </row>
    <row r="12466" spans="1:5" x14ac:dyDescent="0.25">
      <c r="A12466">
        <v>16</v>
      </c>
      <c r="B12466">
        <v>16</v>
      </c>
      <c r="C12466">
        <v>8</v>
      </c>
      <c r="D12466">
        <v>8</v>
      </c>
      <c r="E12466">
        <f t="shared" si="194"/>
        <v>2.438301040800443E-17</v>
      </c>
    </row>
    <row r="12467" spans="1:5" x14ac:dyDescent="0.25">
      <c r="A12467">
        <v>16</v>
      </c>
      <c r="B12467">
        <v>16</v>
      </c>
      <c r="C12467">
        <v>9</v>
      </c>
      <c r="D12467">
        <v>7</v>
      </c>
      <c r="E12467">
        <f t="shared" si="194"/>
        <v>6.8633658926234694E-17</v>
      </c>
    </row>
    <row r="12468" spans="1:5" x14ac:dyDescent="0.25">
      <c r="A12468">
        <v>16</v>
      </c>
      <c r="B12468">
        <v>16</v>
      </c>
      <c r="C12468">
        <v>10</v>
      </c>
      <c r="D12468">
        <v>6</v>
      </c>
      <c r="E12468">
        <f t="shared" si="194"/>
        <v>1.416020752583368E-16</v>
      </c>
    </row>
    <row r="12469" spans="1:5" x14ac:dyDescent="0.25">
      <c r="A12469">
        <v>16</v>
      </c>
      <c r="B12469">
        <v>16</v>
      </c>
      <c r="C12469">
        <v>11</v>
      </c>
      <c r="D12469">
        <v>5</v>
      </c>
      <c r="E12469">
        <f t="shared" si="194"/>
        <v>2.1240311288750526E-16</v>
      </c>
    </row>
    <row r="12470" spans="1:5" x14ac:dyDescent="0.25">
      <c r="A12470">
        <v>16</v>
      </c>
      <c r="B12470">
        <v>16</v>
      </c>
      <c r="C12470">
        <v>12</v>
      </c>
      <c r="D12470">
        <v>4</v>
      </c>
      <c r="E12470">
        <f t="shared" si="194"/>
        <v>2.2757476380804123E-16</v>
      </c>
    </row>
    <row r="12471" spans="1:5" x14ac:dyDescent="0.25">
      <c r="A12471">
        <v>16</v>
      </c>
      <c r="B12471">
        <v>16</v>
      </c>
      <c r="C12471">
        <v>13</v>
      </c>
      <c r="D12471">
        <v>3</v>
      </c>
      <c r="E12471">
        <f t="shared" si="194"/>
        <v>1.6869178296260407E-16</v>
      </c>
    </row>
    <row r="12472" spans="1:5" x14ac:dyDescent="0.25">
      <c r="A12472">
        <v>16</v>
      </c>
      <c r="B12472">
        <v>16</v>
      </c>
      <c r="C12472">
        <v>14</v>
      </c>
      <c r="D12472">
        <v>2</v>
      </c>
      <c r="E12472">
        <f t="shared" si="194"/>
        <v>8.1726453857659123E-17</v>
      </c>
    </row>
    <row r="12473" spans="1:5" x14ac:dyDescent="0.25">
      <c r="A12473">
        <v>16</v>
      </c>
      <c r="B12473">
        <v>16</v>
      </c>
      <c r="C12473">
        <v>15</v>
      </c>
      <c r="D12473">
        <v>1</v>
      </c>
      <c r="E12473">
        <f t="shared" si="194"/>
        <v>2.315582859300341E-17</v>
      </c>
    </row>
    <row r="12474" spans="1:5" x14ac:dyDescent="0.25">
      <c r="A12474">
        <v>16</v>
      </c>
      <c r="B12474">
        <v>16</v>
      </c>
      <c r="C12474">
        <v>16</v>
      </c>
      <c r="D12474">
        <v>0</v>
      </c>
      <c r="E12474">
        <f t="shared" si="194"/>
        <v>2.8944785741254266E-18</v>
      </c>
    </row>
    <row r="12475" spans="1:5" x14ac:dyDescent="0.25">
      <c r="A12475">
        <v>16</v>
      </c>
      <c r="B12475">
        <v>17</v>
      </c>
      <c r="C12475">
        <v>0</v>
      </c>
      <c r="D12475">
        <v>15</v>
      </c>
      <c r="E12475">
        <f t="shared" si="194"/>
        <v>2.3445597637794102E-25</v>
      </c>
    </row>
    <row r="12476" spans="1:5" x14ac:dyDescent="0.25">
      <c r="A12476">
        <v>16</v>
      </c>
      <c r="B12476">
        <v>17</v>
      </c>
      <c r="C12476">
        <v>1</v>
      </c>
      <c r="D12476">
        <v>14</v>
      </c>
      <c r="E12476">
        <f t="shared" si="194"/>
        <v>2.0781325178953864E-23</v>
      </c>
    </row>
    <row r="12477" spans="1:5" x14ac:dyDescent="0.25">
      <c r="A12477">
        <v>16</v>
      </c>
      <c r="B12477">
        <v>17</v>
      </c>
      <c r="C12477">
        <v>2</v>
      </c>
      <c r="D12477">
        <v>13</v>
      </c>
      <c r="E12477">
        <f t="shared" si="194"/>
        <v>7.7583614001427772E-22</v>
      </c>
    </row>
    <row r="12478" spans="1:5" x14ac:dyDescent="0.25">
      <c r="A12478">
        <v>16</v>
      </c>
      <c r="B12478">
        <v>17</v>
      </c>
      <c r="C12478">
        <v>3</v>
      </c>
      <c r="D12478">
        <v>12</v>
      </c>
      <c r="E12478">
        <f t="shared" si="194"/>
        <v>1.6292558940299833E-20</v>
      </c>
    </row>
    <row r="12479" spans="1:5" x14ac:dyDescent="0.25">
      <c r="A12479">
        <v>16</v>
      </c>
      <c r="B12479">
        <v>17</v>
      </c>
      <c r="C12479">
        <v>4</v>
      </c>
      <c r="D12479">
        <v>11</v>
      </c>
      <c r="E12479">
        <f t="shared" si="194"/>
        <v>2.1645828306398345E-19</v>
      </c>
    </row>
    <row r="12480" spans="1:5" x14ac:dyDescent="0.25">
      <c r="A12480">
        <v>16</v>
      </c>
      <c r="B12480">
        <v>17</v>
      </c>
      <c r="C12480">
        <v>5</v>
      </c>
      <c r="D12480">
        <v>10</v>
      </c>
      <c r="E12480">
        <f t="shared" si="194"/>
        <v>1.9365801058124384E-18</v>
      </c>
    </row>
    <row r="12481" spans="1:5" x14ac:dyDescent="0.25">
      <c r="A12481">
        <v>16</v>
      </c>
      <c r="B12481">
        <v>17</v>
      </c>
      <c r="C12481">
        <v>6</v>
      </c>
      <c r="D12481">
        <v>9</v>
      </c>
      <c r="E12481">
        <f t="shared" si="194"/>
        <v>1.2103625661327742E-17</v>
      </c>
    </row>
    <row r="12482" spans="1:5" x14ac:dyDescent="0.25">
      <c r="A12482">
        <v>16</v>
      </c>
      <c r="B12482">
        <v>17</v>
      </c>
      <c r="C12482">
        <v>7</v>
      </c>
      <c r="D12482">
        <v>8</v>
      </c>
      <c r="E12482">
        <f t="shared" si="194"/>
        <v>5.4008615345924626E-17</v>
      </c>
    </row>
    <row r="12483" spans="1:5" x14ac:dyDescent="0.25">
      <c r="A12483">
        <v>16</v>
      </c>
      <c r="B12483">
        <v>17</v>
      </c>
      <c r="C12483">
        <v>8</v>
      </c>
      <c r="D12483">
        <v>7</v>
      </c>
      <c r="E12483">
        <f t="shared" si="194"/>
        <v>1.7402776055909052E-16</v>
      </c>
    </row>
    <row r="12484" spans="1:5" x14ac:dyDescent="0.25">
      <c r="A12484">
        <v>16</v>
      </c>
      <c r="B12484">
        <v>17</v>
      </c>
      <c r="C12484">
        <v>9</v>
      </c>
      <c r="D12484">
        <v>6</v>
      </c>
      <c r="E12484">
        <f t="shared" si="194"/>
        <v>4.0606477463787765E-16</v>
      </c>
    </row>
    <row r="12485" spans="1:5" x14ac:dyDescent="0.25">
      <c r="A12485">
        <v>16</v>
      </c>
      <c r="B12485">
        <v>17</v>
      </c>
      <c r="C12485">
        <v>10</v>
      </c>
      <c r="D12485">
        <v>5</v>
      </c>
      <c r="E12485">
        <f t="shared" si="194"/>
        <v>6.8218882139163461E-16</v>
      </c>
    </row>
    <row r="12486" spans="1:5" x14ac:dyDescent="0.25">
      <c r="A12486">
        <v>16</v>
      </c>
      <c r="B12486">
        <v>17</v>
      </c>
      <c r="C12486">
        <v>11</v>
      </c>
      <c r="D12486">
        <v>4</v>
      </c>
      <c r="E12486">
        <f t="shared" si="194"/>
        <v>8.121295492757558E-16</v>
      </c>
    </row>
    <row r="12487" spans="1:5" x14ac:dyDescent="0.25">
      <c r="A12487">
        <v>16</v>
      </c>
      <c r="B12487">
        <v>17</v>
      </c>
      <c r="C12487">
        <v>12</v>
      </c>
      <c r="D12487">
        <v>3</v>
      </c>
      <c r="E12487">
        <f t="shared" si="194"/>
        <v>6.6446963122561778E-16</v>
      </c>
    </row>
    <row r="12488" spans="1:5" x14ac:dyDescent="0.25">
      <c r="A12488">
        <v>16</v>
      </c>
      <c r="B12488">
        <v>17</v>
      </c>
      <c r="C12488">
        <v>13</v>
      </c>
      <c r="D12488">
        <v>2</v>
      </c>
      <c r="E12488">
        <f t="shared" si="194"/>
        <v>3.5334672697282039E-16</v>
      </c>
    </row>
    <row r="12489" spans="1:5" x14ac:dyDescent="0.25">
      <c r="A12489">
        <v>16</v>
      </c>
      <c r="B12489">
        <v>17</v>
      </c>
      <c r="C12489">
        <v>14</v>
      </c>
      <c r="D12489">
        <v>1</v>
      </c>
      <c r="E12489">
        <f t="shared" si="194"/>
        <v>1.0936922501539678E-16</v>
      </c>
    </row>
    <row r="12490" spans="1:5" x14ac:dyDescent="0.25">
      <c r="A12490">
        <v>16</v>
      </c>
      <c r="B12490">
        <v>17</v>
      </c>
      <c r="C12490">
        <v>15</v>
      </c>
      <c r="D12490">
        <v>0</v>
      </c>
      <c r="E12490">
        <f t="shared" si="194"/>
        <v>1.487421460209396E-17</v>
      </c>
    </row>
    <row r="12491" spans="1:5" x14ac:dyDescent="0.25">
      <c r="A12491">
        <v>16</v>
      </c>
      <c r="B12491">
        <v>18</v>
      </c>
      <c r="C12491">
        <v>0</v>
      </c>
      <c r="D12491">
        <v>14</v>
      </c>
      <c r="E12491">
        <f t="shared" si="194"/>
        <v>4.8312140586969665E-24</v>
      </c>
    </row>
    <row r="12492" spans="1:5" x14ac:dyDescent="0.25">
      <c r="A12492">
        <v>16</v>
      </c>
      <c r="B12492">
        <v>18</v>
      </c>
      <c r="C12492">
        <v>1</v>
      </c>
      <c r="D12492">
        <v>13</v>
      </c>
      <c r="E12492">
        <f t="shared" si="194"/>
        <v>3.6636706611785333E-22</v>
      </c>
    </row>
    <row r="12493" spans="1:5" x14ac:dyDescent="0.25">
      <c r="A12493">
        <v>16</v>
      </c>
      <c r="B12493">
        <v>18</v>
      </c>
      <c r="C12493">
        <v>2</v>
      </c>
      <c r="D12493">
        <v>12</v>
      </c>
      <c r="E12493">
        <f t="shared" si="194"/>
        <v>1.1723746115771306E-20</v>
      </c>
    </row>
    <row r="12494" spans="1:5" x14ac:dyDescent="0.25">
      <c r="A12494">
        <v>16</v>
      </c>
      <c r="B12494">
        <v>18</v>
      </c>
      <c r="C12494">
        <v>3</v>
      </c>
      <c r="D12494">
        <v>11</v>
      </c>
      <c r="E12494">
        <f t="shared" ref="E12494:E12557" si="195">COMBIN(A$4,A12494)*COMBIN(B$4,B12494)*COMBIN(C$4,C12494)*COMBIN(D$4,D12494)/COMBIN($G$4,$F$4)</f>
        <v>2.1102743008388347E-19</v>
      </c>
    </row>
    <row r="12495" spans="1:5" x14ac:dyDescent="0.25">
      <c r="A12495">
        <v>16</v>
      </c>
      <c r="B12495">
        <v>18</v>
      </c>
      <c r="C12495">
        <v>4</v>
      </c>
      <c r="D12495">
        <v>10</v>
      </c>
      <c r="E12495">
        <f t="shared" si="195"/>
        <v>2.3986784552868084E-18</v>
      </c>
    </row>
    <row r="12496" spans="1:5" x14ac:dyDescent="0.25">
      <c r="A12496">
        <v>16</v>
      </c>
      <c r="B12496">
        <v>18</v>
      </c>
      <c r="C12496">
        <v>5</v>
      </c>
      <c r="D12496">
        <v>9</v>
      </c>
      <c r="E12496">
        <f t="shared" si="195"/>
        <v>1.828992322156192E-17</v>
      </c>
    </row>
    <row r="12497" spans="1:5" x14ac:dyDescent="0.25">
      <c r="A12497">
        <v>16</v>
      </c>
      <c r="B12497">
        <v>18</v>
      </c>
      <c r="C12497">
        <v>6</v>
      </c>
      <c r="D12497">
        <v>8</v>
      </c>
      <c r="E12497">
        <f t="shared" si="195"/>
        <v>9.6829005290621911E-17</v>
      </c>
    </row>
    <row r="12498" spans="1:5" x14ac:dyDescent="0.25">
      <c r="A12498">
        <v>16</v>
      </c>
      <c r="B12498">
        <v>18</v>
      </c>
      <c r="C12498">
        <v>7</v>
      </c>
      <c r="D12498">
        <v>7</v>
      </c>
      <c r="E12498">
        <f t="shared" si="195"/>
        <v>3.6272452775534568E-16</v>
      </c>
    </row>
    <row r="12499" spans="1:5" x14ac:dyDescent="0.25">
      <c r="A12499">
        <v>16</v>
      </c>
      <c r="B12499">
        <v>18</v>
      </c>
      <c r="C12499">
        <v>8</v>
      </c>
      <c r="D12499">
        <v>6</v>
      </c>
      <c r="E12499">
        <f t="shared" si="195"/>
        <v>9.6885630439914694E-16</v>
      </c>
    </row>
    <row r="12500" spans="1:5" x14ac:dyDescent="0.25">
      <c r="A12500">
        <v>16</v>
      </c>
      <c r="B12500">
        <v>18</v>
      </c>
      <c r="C12500">
        <v>9</v>
      </c>
      <c r="D12500">
        <v>5</v>
      </c>
      <c r="E12500">
        <f t="shared" si="195"/>
        <v>1.8408269783583786E-15</v>
      </c>
    </row>
    <row r="12501" spans="1:5" x14ac:dyDescent="0.25">
      <c r="A12501">
        <v>16</v>
      </c>
      <c r="B12501">
        <v>18</v>
      </c>
      <c r="C12501">
        <v>10</v>
      </c>
      <c r="D12501">
        <v>4</v>
      </c>
      <c r="E12501">
        <f t="shared" si="195"/>
        <v>2.4544359711445059E-15</v>
      </c>
    </row>
    <row r="12502" spans="1:5" x14ac:dyDescent="0.25">
      <c r="A12502">
        <v>16</v>
      </c>
      <c r="B12502">
        <v>18</v>
      </c>
      <c r="C12502">
        <v>11</v>
      </c>
      <c r="D12502">
        <v>3</v>
      </c>
      <c r="E12502">
        <f t="shared" si="195"/>
        <v>2.2313054283131874E-15</v>
      </c>
    </row>
    <row r="12503" spans="1:5" x14ac:dyDescent="0.25">
      <c r="A12503">
        <v>16</v>
      </c>
      <c r="B12503">
        <v>18</v>
      </c>
      <c r="C12503">
        <v>12</v>
      </c>
      <c r="D12503">
        <v>2</v>
      </c>
      <c r="E12503">
        <f t="shared" si="195"/>
        <v>1.3096792731403483E-15</v>
      </c>
    </row>
    <row r="12504" spans="1:5" x14ac:dyDescent="0.25">
      <c r="A12504">
        <v>16</v>
      </c>
      <c r="B12504">
        <v>18</v>
      </c>
      <c r="C12504">
        <v>13</v>
      </c>
      <c r="D12504">
        <v>1</v>
      </c>
      <c r="E12504">
        <f t="shared" si="195"/>
        <v>4.4495513766947742E-16</v>
      </c>
    </row>
    <row r="12505" spans="1:5" x14ac:dyDescent="0.25">
      <c r="A12505">
        <v>16</v>
      </c>
      <c r="B12505">
        <v>18</v>
      </c>
      <c r="C12505">
        <v>14</v>
      </c>
      <c r="D12505">
        <v>0</v>
      </c>
      <c r="E12505">
        <f t="shared" si="195"/>
        <v>6.6107620453750944E-17</v>
      </c>
    </row>
    <row r="12506" spans="1:5" x14ac:dyDescent="0.25">
      <c r="A12506">
        <v>16</v>
      </c>
      <c r="B12506">
        <v>19</v>
      </c>
      <c r="C12506">
        <v>0</v>
      </c>
      <c r="D12506">
        <v>13</v>
      </c>
      <c r="E12506">
        <f t="shared" si="195"/>
        <v>8.0393097099545137E-23</v>
      </c>
    </row>
    <row r="12507" spans="1:5" x14ac:dyDescent="0.25">
      <c r="A12507">
        <v>16</v>
      </c>
      <c r="B12507">
        <v>19</v>
      </c>
      <c r="C12507">
        <v>1</v>
      </c>
      <c r="D12507">
        <v>12</v>
      </c>
      <c r="E12507">
        <f t="shared" si="195"/>
        <v>5.2255513114704335E-21</v>
      </c>
    </row>
    <row r="12508" spans="1:5" x14ac:dyDescent="0.25">
      <c r="A12508">
        <v>16</v>
      </c>
      <c r="B12508">
        <v>19</v>
      </c>
      <c r="C12508">
        <v>2</v>
      </c>
      <c r="D12508">
        <v>11</v>
      </c>
      <c r="E12508">
        <f t="shared" si="195"/>
        <v>1.4332940740033187E-19</v>
      </c>
    </row>
    <row r="12509" spans="1:5" x14ac:dyDescent="0.25">
      <c r="A12509">
        <v>16</v>
      </c>
      <c r="B12509">
        <v>19</v>
      </c>
      <c r="C12509">
        <v>3</v>
      </c>
      <c r="D12509">
        <v>10</v>
      </c>
      <c r="E12509">
        <f t="shared" si="195"/>
        <v>2.2072728739651105E-18</v>
      </c>
    </row>
    <row r="12510" spans="1:5" x14ac:dyDescent="0.25">
      <c r="A12510">
        <v>16</v>
      </c>
      <c r="B12510">
        <v>19</v>
      </c>
      <c r="C12510">
        <v>4</v>
      </c>
      <c r="D12510">
        <v>9</v>
      </c>
      <c r="E12510">
        <f t="shared" si="195"/>
        <v>2.1382955966537014E-17</v>
      </c>
    </row>
    <row r="12511" spans="1:5" x14ac:dyDescent="0.25">
      <c r="A12511">
        <v>16</v>
      </c>
      <c r="B12511">
        <v>19</v>
      </c>
      <c r="C12511">
        <v>5</v>
      </c>
      <c r="D12511">
        <v>8</v>
      </c>
      <c r="E12511">
        <f t="shared" si="195"/>
        <v>1.3810873912504496E-16</v>
      </c>
    </row>
    <row r="12512" spans="1:5" x14ac:dyDescent="0.25">
      <c r="A12512">
        <v>16</v>
      </c>
      <c r="B12512">
        <v>19</v>
      </c>
      <c r="C12512">
        <v>6</v>
      </c>
      <c r="D12512">
        <v>7</v>
      </c>
      <c r="E12512">
        <f t="shared" si="195"/>
        <v>6.1381661833353321E-16</v>
      </c>
    </row>
    <row r="12513" spans="1:5" x14ac:dyDescent="0.25">
      <c r="A12513">
        <v>16</v>
      </c>
      <c r="B12513">
        <v>19</v>
      </c>
      <c r="C12513">
        <v>7</v>
      </c>
      <c r="D12513">
        <v>6</v>
      </c>
      <c r="E12513">
        <f t="shared" si="195"/>
        <v>1.9060621306146548E-15</v>
      </c>
    </row>
    <row r="12514" spans="1:5" x14ac:dyDescent="0.25">
      <c r="A12514">
        <v>16</v>
      </c>
      <c r="B12514">
        <v>19</v>
      </c>
      <c r="C12514">
        <v>8</v>
      </c>
      <c r="D12514">
        <v>5</v>
      </c>
      <c r="E12514">
        <f t="shared" si="195"/>
        <v>4.1456851340868752E-15</v>
      </c>
    </row>
    <row r="12515" spans="1:5" x14ac:dyDescent="0.25">
      <c r="A12515">
        <v>16</v>
      </c>
      <c r="B12515">
        <v>19</v>
      </c>
      <c r="C12515">
        <v>9</v>
      </c>
      <c r="D12515">
        <v>4</v>
      </c>
      <c r="E12515">
        <f t="shared" si="195"/>
        <v>6.251429964099258E-15</v>
      </c>
    </row>
    <row r="12516" spans="1:5" x14ac:dyDescent="0.25">
      <c r="A12516">
        <v>16</v>
      </c>
      <c r="B12516">
        <v>19</v>
      </c>
      <c r="C12516">
        <v>10</v>
      </c>
      <c r="D12516">
        <v>3</v>
      </c>
      <c r="E12516">
        <f t="shared" si="195"/>
        <v>6.3650923270828798E-15</v>
      </c>
    </row>
    <row r="12517" spans="1:5" x14ac:dyDescent="0.25">
      <c r="A12517">
        <v>16</v>
      </c>
      <c r="B12517">
        <v>19</v>
      </c>
      <c r="C12517">
        <v>11</v>
      </c>
      <c r="D12517">
        <v>2</v>
      </c>
      <c r="E12517">
        <f t="shared" si="195"/>
        <v>4.1511471698366617E-15</v>
      </c>
    </row>
    <row r="12518" spans="1:5" x14ac:dyDescent="0.25">
      <c r="A12518">
        <v>16</v>
      </c>
      <c r="B12518">
        <v>19</v>
      </c>
      <c r="C12518">
        <v>12</v>
      </c>
      <c r="D12518">
        <v>1</v>
      </c>
      <c r="E12518">
        <f t="shared" si="195"/>
        <v>1.556680188688747E-15</v>
      </c>
    </row>
    <row r="12519" spans="1:5" x14ac:dyDescent="0.25">
      <c r="A12519">
        <v>16</v>
      </c>
      <c r="B12519">
        <v>19</v>
      </c>
      <c r="C12519">
        <v>13</v>
      </c>
      <c r="D12519">
        <v>0</v>
      </c>
      <c r="E12519">
        <f t="shared" si="195"/>
        <v>2.5385861538616506E-16</v>
      </c>
    </row>
    <row r="12520" spans="1:5" x14ac:dyDescent="0.25">
      <c r="A12520">
        <v>16</v>
      </c>
      <c r="B12520">
        <v>20</v>
      </c>
      <c r="C12520">
        <v>0</v>
      </c>
      <c r="D12520">
        <v>12</v>
      </c>
      <c r="E12520">
        <f t="shared" si="195"/>
        <v>1.0853068108438594E-21</v>
      </c>
    </row>
    <row r="12521" spans="1:5" x14ac:dyDescent="0.25">
      <c r="A12521">
        <v>16</v>
      </c>
      <c r="B12521">
        <v>20</v>
      </c>
      <c r="C12521">
        <v>1</v>
      </c>
      <c r="D12521">
        <v>11</v>
      </c>
      <c r="E12521">
        <f t="shared" si="195"/>
        <v>6.0467093747015019E-20</v>
      </c>
    </row>
    <row r="12522" spans="1:5" x14ac:dyDescent="0.25">
      <c r="A12522">
        <v>16</v>
      </c>
      <c r="B12522">
        <v>20</v>
      </c>
      <c r="C12522">
        <v>2</v>
      </c>
      <c r="D12522">
        <v>10</v>
      </c>
      <c r="E12522">
        <f t="shared" si="195"/>
        <v>1.4189611332632855E-18</v>
      </c>
    </row>
    <row r="12523" spans="1:5" x14ac:dyDescent="0.25">
      <c r="A12523">
        <v>16</v>
      </c>
      <c r="B12523">
        <v>20</v>
      </c>
      <c r="C12523">
        <v>3</v>
      </c>
      <c r="D12523">
        <v>9</v>
      </c>
      <c r="E12523">
        <f t="shared" si="195"/>
        <v>1.8623864874080625E-17</v>
      </c>
    </row>
    <row r="12524" spans="1:5" x14ac:dyDescent="0.25">
      <c r="A12524">
        <v>16</v>
      </c>
      <c r="B12524">
        <v>20</v>
      </c>
      <c r="C12524">
        <v>4</v>
      </c>
      <c r="D12524">
        <v>8</v>
      </c>
      <c r="E12524">
        <f t="shared" si="195"/>
        <v>1.5282524411377922E-16</v>
      </c>
    </row>
    <row r="12525" spans="1:5" x14ac:dyDescent="0.25">
      <c r="A12525">
        <v>16</v>
      </c>
      <c r="B12525">
        <v>20</v>
      </c>
      <c r="C12525">
        <v>5</v>
      </c>
      <c r="D12525">
        <v>7</v>
      </c>
      <c r="E12525">
        <f t="shared" si="195"/>
        <v>8.2865243475026993E-16</v>
      </c>
    </row>
    <row r="12526" spans="1:5" x14ac:dyDescent="0.25">
      <c r="A12526">
        <v>16</v>
      </c>
      <c r="B12526">
        <v>20</v>
      </c>
      <c r="C12526">
        <v>6</v>
      </c>
      <c r="D12526">
        <v>6</v>
      </c>
      <c r="E12526">
        <f t="shared" si="195"/>
        <v>3.0529300227641506E-15</v>
      </c>
    </row>
    <row r="12527" spans="1:5" x14ac:dyDescent="0.25">
      <c r="A12527">
        <v>16</v>
      </c>
      <c r="B12527">
        <v>20</v>
      </c>
      <c r="C12527">
        <v>7</v>
      </c>
      <c r="D12527">
        <v>5</v>
      </c>
      <c r="E12527">
        <f t="shared" si="195"/>
        <v>7.7195516289893535E-15</v>
      </c>
    </row>
    <row r="12528" spans="1:5" x14ac:dyDescent="0.25">
      <c r="A12528">
        <v>16</v>
      </c>
      <c r="B12528">
        <v>20</v>
      </c>
      <c r="C12528">
        <v>8</v>
      </c>
      <c r="D12528">
        <v>4</v>
      </c>
      <c r="E12528">
        <f t="shared" si="195"/>
        <v>1.3325416502422104E-14</v>
      </c>
    </row>
    <row r="12529" spans="1:5" x14ac:dyDescent="0.25">
      <c r="A12529">
        <v>16</v>
      </c>
      <c r="B12529">
        <v>20</v>
      </c>
      <c r="C12529">
        <v>9</v>
      </c>
      <c r="D12529">
        <v>3</v>
      </c>
      <c r="E12529">
        <f t="shared" si="195"/>
        <v>1.5344419002789084E-14</v>
      </c>
    </row>
    <row r="12530" spans="1:5" x14ac:dyDescent="0.25">
      <c r="A12530">
        <v>16</v>
      </c>
      <c r="B12530">
        <v>20</v>
      </c>
      <c r="C12530">
        <v>10</v>
      </c>
      <c r="D12530">
        <v>2</v>
      </c>
      <c r="E12530">
        <f t="shared" si="195"/>
        <v>1.1208097358558985E-14</v>
      </c>
    </row>
    <row r="12531" spans="1:5" x14ac:dyDescent="0.25">
      <c r="A12531">
        <v>16</v>
      </c>
      <c r="B12531">
        <v>20</v>
      </c>
      <c r="C12531">
        <v>11</v>
      </c>
      <c r="D12531">
        <v>1</v>
      </c>
      <c r="E12531">
        <f t="shared" si="195"/>
        <v>4.6700405660662445E-15</v>
      </c>
    </row>
    <row r="12532" spans="1:5" x14ac:dyDescent="0.25">
      <c r="A12532">
        <v>16</v>
      </c>
      <c r="B12532">
        <v>20</v>
      </c>
      <c r="C12532">
        <v>12</v>
      </c>
      <c r="D12532">
        <v>0</v>
      </c>
      <c r="E12532">
        <f t="shared" si="195"/>
        <v>8.4060730189192339E-16</v>
      </c>
    </row>
    <row r="12533" spans="1:5" x14ac:dyDescent="0.25">
      <c r="A12533">
        <v>16</v>
      </c>
      <c r="B12533">
        <v>21</v>
      </c>
      <c r="C12533">
        <v>0</v>
      </c>
      <c r="D12533">
        <v>11</v>
      </c>
      <c r="E12533">
        <f t="shared" si="195"/>
        <v>1.1916225800693803E-20</v>
      </c>
    </row>
    <row r="12534" spans="1:5" x14ac:dyDescent="0.25">
      <c r="A12534">
        <v>16</v>
      </c>
      <c r="B12534">
        <v>21</v>
      </c>
      <c r="C12534">
        <v>1</v>
      </c>
      <c r="D12534">
        <v>10</v>
      </c>
      <c r="E12534">
        <f t="shared" si="195"/>
        <v>5.6800676316640451E-19</v>
      </c>
    </row>
    <row r="12535" spans="1:5" x14ac:dyDescent="0.25">
      <c r="A12535">
        <v>16</v>
      </c>
      <c r="B12535">
        <v>21</v>
      </c>
      <c r="C12535">
        <v>2</v>
      </c>
      <c r="D12535">
        <v>9</v>
      </c>
      <c r="E12535">
        <f t="shared" si="195"/>
        <v>1.1360135263328093E-17</v>
      </c>
    </row>
    <row r="12536" spans="1:5" x14ac:dyDescent="0.25">
      <c r="A12536">
        <v>16</v>
      </c>
      <c r="B12536">
        <v>21</v>
      </c>
      <c r="C12536">
        <v>3</v>
      </c>
      <c r="D12536">
        <v>8</v>
      </c>
      <c r="E12536">
        <f t="shared" si="195"/>
        <v>1.2629797439817703E-16</v>
      </c>
    </row>
    <row r="12537" spans="1:5" x14ac:dyDescent="0.25">
      <c r="A12537">
        <v>16</v>
      </c>
      <c r="B12537">
        <v>21</v>
      </c>
      <c r="C12537">
        <v>4</v>
      </c>
      <c r="D12537">
        <v>7</v>
      </c>
      <c r="E12537">
        <f t="shared" si="195"/>
        <v>8.7005271252077535E-16</v>
      </c>
    </row>
    <row r="12538" spans="1:5" x14ac:dyDescent="0.25">
      <c r="A12538">
        <v>16</v>
      </c>
      <c r="B12538">
        <v>21</v>
      </c>
      <c r="C12538">
        <v>5</v>
      </c>
      <c r="D12538">
        <v>6</v>
      </c>
      <c r="E12538">
        <f t="shared" si="195"/>
        <v>3.910657981540747E-15</v>
      </c>
    </row>
    <row r="12539" spans="1:5" x14ac:dyDescent="0.25">
      <c r="A12539">
        <v>16</v>
      </c>
      <c r="B12539">
        <v>21</v>
      </c>
      <c r="C12539">
        <v>6</v>
      </c>
      <c r="D12539">
        <v>5</v>
      </c>
      <c r="E12539">
        <f t="shared" si="195"/>
        <v>1.1731973944622239E-14</v>
      </c>
    </row>
    <row r="12540" spans="1:5" x14ac:dyDescent="0.25">
      <c r="A12540">
        <v>16</v>
      </c>
      <c r="B12540">
        <v>21</v>
      </c>
      <c r="C12540">
        <v>7</v>
      </c>
      <c r="D12540">
        <v>4</v>
      </c>
      <c r="E12540">
        <f t="shared" si="195"/>
        <v>2.3543757235806544E-14</v>
      </c>
    </row>
    <row r="12541" spans="1:5" x14ac:dyDescent="0.25">
      <c r="A12541">
        <v>16</v>
      </c>
      <c r="B12541">
        <v>21</v>
      </c>
      <c r="C12541">
        <v>8</v>
      </c>
      <c r="D12541">
        <v>3</v>
      </c>
      <c r="E12541">
        <f t="shared" si="195"/>
        <v>3.1034952719926806E-14</v>
      </c>
    </row>
    <row r="12542" spans="1:5" x14ac:dyDescent="0.25">
      <c r="A12542">
        <v>16</v>
      </c>
      <c r="B12542">
        <v>21</v>
      </c>
      <c r="C12542">
        <v>9</v>
      </c>
      <c r="D12542">
        <v>2</v>
      </c>
      <c r="E12542">
        <f t="shared" si="195"/>
        <v>2.5637569638200404E-14</v>
      </c>
    </row>
    <row r="12543" spans="1:5" x14ac:dyDescent="0.25">
      <c r="A12543">
        <v>16</v>
      </c>
      <c r="B12543">
        <v>21</v>
      </c>
      <c r="C12543">
        <v>10</v>
      </c>
      <c r="D12543">
        <v>1</v>
      </c>
      <c r="E12543">
        <f t="shared" si="195"/>
        <v>1.1964199164493522E-14</v>
      </c>
    </row>
    <row r="12544" spans="1:5" x14ac:dyDescent="0.25">
      <c r="A12544">
        <v>16</v>
      </c>
      <c r="B12544">
        <v>21</v>
      </c>
      <c r="C12544">
        <v>11</v>
      </c>
      <c r="D12544">
        <v>0</v>
      </c>
      <c r="E12544">
        <f t="shared" si="195"/>
        <v>2.3928398328987046E-15</v>
      </c>
    </row>
    <row r="12545" spans="1:5" x14ac:dyDescent="0.25">
      <c r="A12545">
        <v>16</v>
      </c>
      <c r="B12545">
        <v>22</v>
      </c>
      <c r="C12545">
        <v>0</v>
      </c>
      <c r="D12545">
        <v>10</v>
      </c>
      <c r="E12545">
        <f t="shared" si="195"/>
        <v>1.0645161715286462E-19</v>
      </c>
    </row>
    <row r="12546" spans="1:5" x14ac:dyDescent="0.25">
      <c r="A12546">
        <v>16</v>
      </c>
      <c r="B12546">
        <v>22</v>
      </c>
      <c r="C12546">
        <v>1</v>
      </c>
      <c r="D12546">
        <v>9</v>
      </c>
      <c r="E12546">
        <f t="shared" si="195"/>
        <v>4.3245969468351261E-18</v>
      </c>
    </row>
    <row r="12547" spans="1:5" x14ac:dyDescent="0.25">
      <c r="A12547">
        <v>16</v>
      </c>
      <c r="B12547">
        <v>22</v>
      </c>
      <c r="C12547">
        <v>2</v>
      </c>
      <c r="D12547">
        <v>8</v>
      </c>
      <c r="E12547">
        <f t="shared" si="195"/>
        <v>7.3263760040500964E-17</v>
      </c>
    </row>
    <row r="12548" spans="1:5" x14ac:dyDescent="0.25">
      <c r="A12548">
        <v>16</v>
      </c>
      <c r="B12548">
        <v>22</v>
      </c>
      <c r="C12548">
        <v>3</v>
      </c>
      <c r="D12548">
        <v>7</v>
      </c>
      <c r="E12548">
        <f t="shared" si="195"/>
        <v>6.8379509371134235E-16</v>
      </c>
    </row>
    <row r="12549" spans="1:5" x14ac:dyDescent="0.25">
      <c r="A12549">
        <v>16</v>
      </c>
      <c r="B12549">
        <v>22</v>
      </c>
      <c r="C12549">
        <v>4</v>
      </c>
      <c r="D12549">
        <v>6</v>
      </c>
      <c r="E12549">
        <f t="shared" si="195"/>
        <v>3.9048298772463477E-15</v>
      </c>
    </row>
    <row r="12550" spans="1:5" x14ac:dyDescent="0.25">
      <c r="A12550">
        <v>16</v>
      </c>
      <c r="B12550">
        <v>22</v>
      </c>
      <c r="C12550">
        <v>5</v>
      </c>
      <c r="D12550">
        <v>5</v>
      </c>
      <c r="E12550">
        <f t="shared" si="195"/>
        <v>1.4291677350721635E-14</v>
      </c>
    </row>
    <row r="12551" spans="1:5" x14ac:dyDescent="0.25">
      <c r="A12551">
        <v>16</v>
      </c>
      <c r="B12551">
        <v>22</v>
      </c>
      <c r="C12551">
        <v>6</v>
      </c>
      <c r="D12551">
        <v>4</v>
      </c>
      <c r="E12551">
        <f t="shared" si="195"/>
        <v>3.4027803216003904E-14</v>
      </c>
    </row>
    <row r="12552" spans="1:5" x14ac:dyDescent="0.25">
      <c r="A12552">
        <v>16</v>
      </c>
      <c r="B12552">
        <v>22</v>
      </c>
      <c r="C12552">
        <v>7</v>
      </c>
      <c r="D12552">
        <v>3</v>
      </c>
      <c r="E12552">
        <f t="shared" si="195"/>
        <v>5.2146503629720261E-14</v>
      </c>
    </row>
    <row r="12553" spans="1:5" x14ac:dyDescent="0.25">
      <c r="A12553">
        <v>16</v>
      </c>
      <c r="B12553">
        <v>22</v>
      </c>
      <c r="C12553">
        <v>8</v>
      </c>
      <c r="D12553">
        <v>2</v>
      </c>
      <c r="E12553">
        <f t="shared" si="195"/>
        <v>4.9312454519409396E-14</v>
      </c>
    </row>
    <row r="12554" spans="1:5" x14ac:dyDescent="0.25">
      <c r="A12554">
        <v>16</v>
      </c>
      <c r="B12554">
        <v>22</v>
      </c>
      <c r="C12554">
        <v>9</v>
      </c>
      <c r="D12554">
        <v>1</v>
      </c>
      <c r="E12554">
        <f t="shared" si="195"/>
        <v>2.6026017663021616E-14</v>
      </c>
    </row>
    <row r="12555" spans="1:5" x14ac:dyDescent="0.25">
      <c r="A12555">
        <v>16</v>
      </c>
      <c r="B12555">
        <v>22</v>
      </c>
      <c r="C12555">
        <v>10</v>
      </c>
      <c r="D12555">
        <v>0</v>
      </c>
      <c r="E12555">
        <f t="shared" si="195"/>
        <v>5.8298279565168437E-15</v>
      </c>
    </row>
    <row r="12556" spans="1:5" x14ac:dyDescent="0.25">
      <c r="A12556">
        <v>16</v>
      </c>
      <c r="B12556">
        <v>23</v>
      </c>
      <c r="C12556">
        <v>0</v>
      </c>
      <c r="D12556">
        <v>9</v>
      </c>
      <c r="E12556">
        <f t="shared" si="195"/>
        <v>7.7235276575583805E-19</v>
      </c>
    </row>
    <row r="12557" spans="1:5" x14ac:dyDescent="0.25">
      <c r="A12557">
        <v>16</v>
      </c>
      <c r="B12557">
        <v>23</v>
      </c>
      <c r="C12557">
        <v>1</v>
      </c>
      <c r="D12557">
        <v>8</v>
      </c>
      <c r="E12557">
        <f t="shared" si="195"/>
        <v>2.6578021645127372E-17</v>
      </c>
    </row>
    <row r="12558" spans="1:5" x14ac:dyDescent="0.25">
      <c r="A12558">
        <v>16</v>
      </c>
      <c r="B12558">
        <v>23</v>
      </c>
      <c r="C12558">
        <v>2</v>
      </c>
      <c r="D12558">
        <v>7</v>
      </c>
      <c r="E12558">
        <f t="shared" ref="E12558:E12621" si="196">COMBIN(A$4,A12558)*COMBIN(B$4,B12558)*COMBIN(C$4,C12558)*COMBIN(D$4,D12558)/COMBIN($G$4,$F$4)</f>
        <v>3.7799853006403386E-16</v>
      </c>
    </row>
    <row r="12559" spans="1:5" x14ac:dyDescent="0.25">
      <c r="A12559">
        <v>16</v>
      </c>
      <c r="B12559">
        <v>23</v>
      </c>
      <c r="C12559">
        <v>3</v>
      </c>
      <c r="D12559">
        <v>6</v>
      </c>
      <c r="E12559">
        <f t="shared" si="196"/>
        <v>2.9245149431269971E-15</v>
      </c>
    </row>
    <row r="12560" spans="1:5" x14ac:dyDescent="0.25">
      <c r="A12560">
        <v>16</v>
      </c>
      <c r="B12560">
        <v>23</v>
      </c>
      <c r="C12560">
        <v>4</v>
      </c>
      <c r="D12560">
        <v>5</v>
      </c>
      <c r="E12560">
        <f t="shared" si="196"/>
        <v>1.3598994485540537E-14</v>
      </c>
    </row>
    <row r="12561" spans="1:5" x14ac:dyDescent="0.25">
      <c r="A12561">
        <v>16</v>
      </c>
      <c r="B12561">
        <v>23</v>
      </c>
      <c r="C12561">
        <v>5</v>
      </c>
      <c r="D12561">
        <v>4</v>
      </c>
      <c r="E12561">
        <f t="shared" si="196"/>
        <v>3.9501841124665385E-14</v>
      </c>
    </row>
    <row r="12562" spans="1:5" x14ac:dyDescent="0.25">
      <c r="A12562">
        <v>16</v>
      </c>
      <c r="B12562">
        <v>23</v>
      </c>
      <c r="C12562">
        <v>6</v>
      </c>
      <c r="D12562">
        <v>3</v>
      </c>
      <c r="E12562">
        <f t="shared" si="196"/>
        <v>7.1821529317573413E-14</v>
      </c>
    </row>
    <row r="12563" spans="1:5" x14ac:dyDescent="0.25">
      <c r="A12563">
        <v>16</v>
      </c>
      <c r="B12563">
        <v>23</v>
      </c>
      <c r="C12563">
        <v>7</v>
      </c>
      <c r="D12563">
        <v>2</v>
      </c>
      <c r="E12563">
        <f t="shared" si="196"/>
        <v>7.8959072603791879E-14</v>
      </c>
    </row>
    <row r="12564" spans="1:5" x14ac:dyDescent="0.25">
      <c r="A12564">
        <v>16</v>
      </c>
      <c r="B12564">
        <v>23</v>
      </c>
      <c r="C12564">
        <v>8</v>
      </c>
      <c r="D12564">
        <v>1</v>
      </c>
      <c r="E12564">
        <f t="shared" si="196"/>
        <v>4.7704439698124272E-14</v>
      </c>
    </row>
    <row r="12565" spans="1:5" x14ac:dyDescent="0.25">
      <c r="A12565">
        <v>16</v>
      </c>
      <c r="B12565">
        <v>23</v>
      </c>
      <c r="C12565">
        <v>9</v>
      </c>
      <c r="D12565">
        <v>0</v>
      </c>
      <c r="E12565">
        <f t="shared" si="196"/>
        <v>1.2085124723524815E-14</v>
      </c>
    </row>
    <row r="12566" spans="1:5" x14ac:dyDescent="0.25">
      <c r="A12566">
        <v>16</v>
      </c>
      <c r="B12566">
        <v>24</v>
      </c>
      <c r="C12566">
        <v>0</v>
      </c>
      <c r="D12566">
        <v>8</v>
      </c>
      <c r="E12566">
        <f t="shared" si="196"/>
        <v>4.5318934343614647E-18</v>
      </c>
    </row>
    <row r="12567" spans="1:5" x14ac:dyDescent="0.25">
      <c r="A12567">
        <v>16</v>
      </c>
      <c r="B12567">
        <v>24</v>
      </c>
      <c r="C12567">
        <v>1</v>
      </c>
      <c r="D12567">
        <v>7</v>
      </c>
      <c r="E12567">
        <f t="shared" si="196"/>
        <v>1.3092136588155346E-16</v>
      </c>
    </row>
    <row r="12568" spans="1:5" x14ac:dyDescent="0.25">
      <c r="A12568">
        <v>16</v>
      </c>
      <c r="B12568">
        <v>24</v>
      </c>
      <c r="C12568">
        <v>2</v>
      </c>
      <c r="D12568">
        <v>6</v>
      </c>
      <c r="E12568">
        <f t="shared" si="196"/>
        <v>1.5434939977614717E-15</v>
      </c>
    </row>
    <row r="12569" spans="1:5" x14ac:dyDescent="0.25">
      <c r="A12569">
        <v>16</v>
      </c>
      <c r="B12569">
        <v>24</v>
      </c>
      <c r="C12569">
        <v>3</v>
      </c>
      <c r="D12569">
        <v>5</v>
      </c>
      <c r="E12569">
        <f t="shared" si="196"/>
        <v>9.7240121858972721E-15</v>
      </c>
    </row>
    <row r="12570" spans="1:5" x14ac:dyDescent="0.25">
      <c r="A12570">
        <v>16</v>
      </c>
      <c r="B12570">
        <v>24</v>
      </c>
      <c r="C12570">
        <v>4</v>
      </c>
      <c r="D12570">
        <v>4</v>
      </c>
      <c r="E12570">
        <f t="shared" si="196"/>
        <v>3.5886235447954231E-14</v>
      </c>
    </row>
    <row r="12571" spans="1:5" x14ac:dyDescent="0.25">
      <c r="A12571">
        <v>16</v>
      </c>
      <c r="B12571">
        <v>24</v>
      </c>
      <c r="C12571">
        <v>5</v>
      </c>
      <c r="D12571">
        <v>3</v>
      </c>
      <c r="E12571">
        <f t="shared" si="196"/>
        <v>7.9602194993643913E-14</v>
      </c>
    </row>
    <row r="12572" spans="1:5" x14ac:dyDescent="0.25">
      <c r="A12572">
        <v>16</v>
      </c>
      <c r="B12572">
        <v>24</v>
      </c>
      <c r="C12572">
        <v>6</v>
      </c>
      <c r="D12572">
        <v>2</v>
      </c>
      <c r="E12572">
        <f t="shared" si="196"/>
        <v>1.0382894999170945E-13</v>
      </c>
    </row>
    <row r="12573" spans="1:5" x14ac:dyDescent="0.25">
      <c r="A12573">
        <v>16</v>
      </c>
      <c r="B12573">
        <v>24</v>
      </c>
      <c r="C12573">
        <v>7</v>
      </c>
      <c r="D12573">
        <v>1</v>
      </c>
      <c r="E12573">
        <f t="shared" si="196"/>
        <v>7.2927476779891164E-14</v>
      </c>
    </row>
    <row r="12574" spans="1:5" x14ac:dyDescent="0.25">
      <c r="A12574">
        <v>16</v>
      </c>
      <c r="B12574">
        <v>24</v>
      </c>
      <c r="C12574">
        <v>8</v>
      </c>
      <c r="D12574">
        <v>0</v>
      </c>
      <c r="E12574">
        <f t="shared" si="196"/>
        <v>2.1148968266168441E-14</v>
      </c>
    </row>
    <row r="12575" spans="1:5" x14ac:dyDescent="0.25">
      <c r="A12575">
        <v>16</v>
      </c>
      <c r="B12575">
        <v>25</v>
      </c>
      <c r="C12575">
        <v>0</v>
      </c>
      <c r="D12575">
        <v>7</v>
      </c>
      <c r="E12575">
        <f t="shared" si="196"/>
        <v>2.1350253512991799E-17</v>
      </c>
    </row>
    <row r="12576" spans="1:5" x14ac:dyDescent="0.25">
      <c r="A12576">
        <v>16</v>
      </c>
      <c r="B12576">
        <v>25</v>
      </c>
      <c r="C12576">
        <v>1</v>
      </c>
      <c r="D12576">
        <v>6</v>
      </c>
      <c r="E12576">
        <f t="shared" si="196"/>
        <v>5.1128238675848767E-16</v>
      </c>
    </row>
    <row r="12577" spans="1:5" x14ac:dyDescent="0.25">
      <c r="A12577">
        <v>16</v>
      </c>
      <c r="B12577">
        <v>25</v>
      </c>
      <c r="C12577">
        <v>2</v>
      </c>
      <c r="D12577">
        <v>5</v>
      </c>
      <c r="E12577">
        <f t="shared" si="196"/>
        <v>4.9083109128814818E-15</v>
      </c>
    </row>
    <row r="12578" spans="1:5" x14ac:dyDescent="0.25">
      <c r="A12578">
        <v>16</v>
      </c>
      <c r="B12578">
        <v>25</v>
      </c>
      <c r="C12578">
        <v>3</v>
      </c>
      <c r="D12578">
        <v>4</v>
      </c>
      <c r="E12578">
        <f t="shared" si="196"/>
        <v>2.454155456440741E-14</v>
      </c>
    </row>
    <row r="12579" spans="1:5" x14ac:dyDescent="0.25">
      <c r="A12579">
        <v>16</v>
      </c>
      <c r="B12579">
        <v>25</v>
      </c>
      <c r="C12579">
        <v>4</v>
      </c>
      <c r="D12579">
        <v>3</v>
      </c>
      <c r="E12579">
        <f t="shared" si="196"/>
        <v>6.9162562863329979E-14</v>
      </c>
    </row>
    <row r="12580" spans="1:5" x14ac:dyDescent="0.25">
      <c r="A12580">
        <v>16</v>
      </c>
      <c r="B12580">
        <v>25</v>
      </c>
      <c r="C12580">
        <v>5</v>
      </c>
      <c r="D12580">
        <v>2</v>
      </c>
      <c r="E12580">
        <f t="shared" si="196"/>
        <v>1.1005868699121204E-13</v>
      </c>
    </row>
    <row r="12581" spans="1:5" x14ac:dyDescent="0.25">
      <c r="A12581">
        <v>16</v>
      </c>
      <c r="B12581">
        <v>25</v>
      </c>
      <c r="C12581">
        <v>6</v>
      </c>
      <c r="D12581">
        <v>1</v>
      </c>
      <c r="E12581">
        <f t="shared" si="196"/>
        <v>9.1715572492676706E-14</v>
      </c>
    </row>
    <row r="12582" spans="1:5" x14ac:dyDescent="0.25">
      <c r="A12582">
        <v>16</v>
      </c>
      <c r="B12582">
        <v>25</v>
      </c>
      <c r="C12582">
        <v>7</v>
      </c>
      <c r="D12582">
        <v>0</v>
      </c>
      <c r="E12582">
        <f t="shared" si="196"/>
        <v>3.0921250154673862E-14</v>
      </c>
    </row>
    <row r="12583" spans="1:5" x14ac:dyDescent="0.25">
      <c r="A12583">
        <v>16</v>
      </c>
      <c r="B12583">
        <v>26</v>
      </c>
      <c r="C12583">
        <v>0</v>
      </c>
      <c r="D12583">
        <v>6</v>
      </c>
      <c r="E12583">
        <f t="shared" si="196"/>
        <v>7.9868964558722272E-17</v>
      </c>
    </row>
    <row r="12584" spans="1:5" x14ac:dyDescent="0.25">
      <c r="A12584">
        <v>16</v>
      </c>
      <c r="B12584">
        <v>26</v>
      </c>
      <c r="C12584">
        <v>1</v>
      </c>
      <c r="D12584">
        <v>5</v>
      </c>
      <c r="E12584">
        <f t="shared" si="196"/>
        <v>1.5574448088950844E-15</v>
      </c>
    </row>
    <row r="12585" spans="1:5" x14ac:dyDescent="0.25">
      <c r="A12585">
        <v>16</v>
      </c>
      <c r="B12585">
        <v>26</v>
      </c>
      <c r="C12585">
        <v>2</v>
      </c>
      <c r="D12585">
        <v>4</v>
      </c>
      <c r="E12585">
        <f t="shared" si="196"/>
        <v>1.186624616301017E-14</v>
      </c>
    </row>
    <row r="12586" spans="1:5" x14ac:dyDescent="0.25">
      <c r="A12586">
        <v>16</v>
      </c>
      <c r="B12586">
        <v>26</v>
      </c>
      <c r="C12586">
        <v>3</v>
      </c>
      <c r="D12586">
        <v>3</v>
      </c>
      <c r="E12586">
        <f t="shared" si="196"/>
        <v>4.5307485349675189E-14</v>
      </c>
    </row>
    <row r="12587" spans="1:5" x14ac:dyDescent="0.25">
      <c r="A12587">
        <v>16</v>
      </c>
      <c r="B12587">
        <v>26</v>
      </c>
      <c r="C12587">
        <v>4</v>
      </c>
      <c r="D12587">
        <v>2</v>
      </c>
      <c r="E12587">
        <f t="shared" si="196"/>
        <v>9.1599916033038957E-14</v>
      </c>
    </row>
    <row r="12588" spans="1:5" x14ac:dyDescent="0.25">
      <c r="A12588">
        <v>16</v>
      </c>
      <c r="B12588">
        <v>26</v>
      </c>
      <c r="C12588">
        <v>5</v>
      </c>
      <c r="D12588">
        <v>1</v>
      </c>
      <c r="E12588">
        <f t="shared" si="196"/>
        <v>9.3126581300256295E-14</v>
      </c>
    </row>
    <row r="12589" spans="1:5" x14ac:dyDescent="0.25">
      <c r="A12589">
        <v>16</v>
      </c>
      <c r="B12589">
        <v>26</v>
      </c>
      <c r="C12589">
        <v>6</v>
      </c>
      <c r="D12589">
        <v>0</v>
      </c>
      <c r="E12589">
        <f t="shared" si="196"/>
        <v>3.7250632520102513E-14</v>
      </c>
    </row>
    <row r="12590" spans="1:5" x14ac:dyDescent="0.25">
      <c r="A12590">
        <v>16</v>
      </c>
      <c r="B12590">
        <v>27</v>
      </c>
      <c r="C12590">
        <v>0</v>
      </c>
      <c r="D12590">
        <v>5</v>
      </c>
      <c r="E12590">
        <f t="shared" si="196"/>
        <v>2.333948630993773E-16</v>
      </c>
    </row>
    <row r="12591" spans="1:5" x14ac:dyDescent="0.25">
      <c r="A12591">
        <v>16</v>
      </c>
      <c r="B12591">
        <v>27</v>
      </c>
      <c r="C12591">
        <v>1</v>
      </c>
      <c r="D12591">
        <v>4</v>
      </c>
      <c r="E12591">
        <f t="shared" si="196"/>
        <v>3.6120633574903636E-15</v>
      </c>
    </row>
    <row r="12592" spans="1:5" x14ac:dyDescent="0.25">
      <c r="A12592">
        <v>16</v>
      </c>
      <c r="B12592">
        <v>27</v>
      </c>
      <c r="C12592">
        <v>2</v>
      </c>
      <c r="D12592">
        <v>3</v>
      </c>
      <c r="E12592">
        <f t="shared" si="196"/>
        <v>2.1015641352671205E-14</v>
      </c>
    </row>
    <row r="12593" spans="1:5" x14ac:dyDescent="0.25">
      <c r="A12593">
        <v>16</v>
      </c>
      <c r="B12593">
        <v>27</v>
      </c>
      <c r="C12593">
        <v>3</v>
      </c>
      <c r="D12593">
        <v>2</v>
      </c>
      <c r="E12593">
        <f t="shared" si="196"/>
        <v>5.7564582835577644E-14</v>
      </c>
    </row>
    <row r="12594" spans="1:5" x14ac:dyDescent="0.25">
      <c r="A12594">
        <v>16</v>
      </c>
      <c r="B12594">
        <v>27</v>
      </c>
      <c r="C12594">
        <v>4</v>
      </c>
      <c r="D12594">
        <v>1</v>
      </c>
      <c r="E12594">
        <f t="shared" si="196"/>
        <v>7.4354252829287791E-14</v>
      </c>
    </row>
    <row r="12595" spans="1:5" x14ac:dyDescent="0.25">
      <c r="A12595">
        <v>16</v>
      </c>
      <c r="B12595">
        <v>27</v>
      </c>
      <c r="C12595">
        <v>5</v>
      </c>
      <c r="D12595">
        <v>0</v>
      </c>
      <c r="E12595">
        <f t="shared" si="196"/>
        <v>3.628487538069245E-14</v>
      </c>
    </row>
    <row r="12596" spans="1:5" x14ac:dyDescent="0.25">
      <c r="A12596">
        <v>16</v>
      </c>
      <c r="B12596">
        <v>28</v>
      </c>
      <c r="C12596">
        <v>0</v>
      </c>
      <c r="D12596">
        <v>4</v>
      </c>
      <c r="E12596">
        <f t="shared" si="196"/>
        <v>5.1997835146289899E-16</v>
      </c>
    </row>
    <row r="12597" spans="1:5" x14ac:dyDescent="0.25">
      <c r="A12597">
        <v>16</v>
      </c>
      <c r="B12597">
        <v>28</v>
      </c>
      <c r="C12597">
        <v>1</v>
      </c>
      <c r="D12597">
        <v>3</v>
      </c>
      <c r="E12597">
        <f t="shared" si="196"/>
        <v>6.1451986991069866E-15</v>
      </c>
    </row>
    <row r="12598" spans="1:5" x14ac:dyDescent="0.25">
      <c r="A12598">
        <v>16</v>
      </c>
      <c r="B12598">
        <v>28</v>
      </c>
      <c r="C12598">
        <v>2</v>
      </c>
      <c r="D12598">
        <v>2</v>
      </c>
      <c r="E12598">
        <f t="shared" si="196"/>
        <v>2.5649525004968294E-14</v>
      </c>
    </row>
    <row r="12599" spans="1:5" x14ac:dyDescent="0.25">
      <c r="A12599">
        <v>16</v>
      </c>
      <c r="B12599">
        <v>28</v>
      </c>
      <c r="C12599">
        <v>3</v>
      </c>
      <c r="D12599">
        <v>1</v>
      </c>
      <c r="E12599">
        <f t="shared" si="196"/>
        <v>4.4886668758694516E-14</v>
      </c>
    </row>
    <row r="12600" spans="1:5" x14ac:dyDescent="0.25">
      <c r="A12600">
        <v>16</v>
      </c>
      <c r="B12600">
        <v>28</v>
      </c>
      <c r="C12600">
        <v>4</v>
      </c>
      <c r="D12600">
        <v>0</v>
      </c>
      <c r="E12600">
        <f t="shared" si="196"/>
        <v>2.7829734630390598E-14</v>
      </c>
    </row>
    <row r="12601" spans="1:5" x14ac:dyDescent="0.25">
      <c r="A12601">
        <v>16</v>
      </c>
      <c r="B12601">
        <v>29</v>
      </c>
      <c r="C12601">
        <v>0</v>
      </c>
      <c r="D12601">
        <v>3</v>
      </c>
      <c r="E12601">
        <f t="shared" si="196"/>
        <v>8.5087366603019751E-16</v>
      </c>
    </row>
    <row r="12602" spans="1:5" x14ac:dyDescent="0.25">
      <c r="A12602">
        <v>16</v>
      </c>
      <c r="B12602">
        <v>29</v>
      </c>
      <c r="C12602">
        <v>1</v>
      </c>
      <c r="D12602">
        <v>2</v>
      </c>
      <c r="E12602">
        <f t="shared" si="196"/>
        <v>7.2139289076473275E-15</v>
      </c>
    </row>
    <row r="12603" spans="1:5" x14ac:dyDescent="0.25">
      <c r="A12603">
        <v>16</v>
      </c>
      <c r="B12603">
        <v>29</v>
      </c>
      <c r="C12603">
        <v>2</v>
      </c>
      <c r="D12603">
        <v>1</v>
      </c>
      <c r="E12603">
        <f t="shared" si="196"/>
        <v>1.9237143753726204E-14</v>
      </c>
    </row>
    <row r="12604" spans="1:5" x14ac:dyDescent="0.25">
      <c r="A12604">
        <v>16</v>
      </c>
      <c r="B12604">
        <v>29</v>
      </c>
      <c r="C12604">
        <v>3</v>
      </c>
      <c r="D12604">
        <v>0</v>
      </c>
      <c r="E12604">
        <f t="shared" si="196"/>
        <v>1.6159200753130012E-14</v>
      </c>
    </row>
    <row r="12605" spans="1:5" x14ac:dyDescent="0.25">
      <c r="A12605">
        <v>16</v>
      </c>
      <c r="B12605">
        <v>30</v>
      </c>
      <c r="C12605">
        <v>0</v>
      </c>
      <c r="D12605">
        <v>2</v>
      </c>
      <c r="E12605">
        <f t="shared" si="196"/>
        <v>9.6185718768630994E-16</v>
      </c>
    </row>
    <row r="12606" spans="1:5" x14ac:dyDescent="0.25">
      <c r="A12606">
        <v>16</v>
      </c>
      <c r="B12606">
        <v>30</v>
      </c>
      <c r="C12606">
        <v>1</v>
      </c>
      <c r="D12606">
        <v>1</v>
      </c>
      <c r="E12606">
        <f t="shared" si="196"/>
        <v>5.2100597666341791E-15</v>
      </c>
    </row>
    <row r="12607" spans="1:5" x14ac:dyDescent="0.25">
      <c r="A12607">
        <v>16</v>
      </c>
      <c r="B12607">
        <v>30</v>
      </c>
      <c r="C12607">
        <v>2</v>
      </c>
      <c r="D12607">
        <v>0</v>
      </c>
      <c r="E12607">
        <f t="shared" si="196"/>
        <v>6.6688765012917497E-15</v>
      </c>
    </row>
    <row r="12608" spans="1:5" x14ac:dyDescent="0.25">
      <c r="A12608">
        <v>16</v>
      </c>
      <c r="B12608">
        <v>31</v>
      </c>
      <c r="C12608">
        <v>0</v>
      </c>
      <c r="D12608">
        <v>1</v>
      </c>
      <c r="E12608">
        <f t="shared" si="196"/>
        <v>6.6968013873858759E-16</v>
      </c>
    </row>
    <row r="12609" spans="1:5" x14ac:dyDescent="0.25">
      <c r="A12609">
        <v>16</v>
      </c>
      <c r="B12609">
        <v>31</v>
      </c>
      <c r="C12609">
        <v>1</v>
      </c>
      <c r="D12609">
        <v>0</v>
      </c>
      <c r="E12609">
        <f t="shared" si="196"/>
        <v>1.7411683607203278E-15</v>
      </c>
    </row>
    <row r="12610" spans="1:5" x14ac:dyDescent="0.25">
      <c r="A12610">
        <v>16</v>
      </c>
      <c r="B12610">
        <v>32</v>
      </c>
      <c r="C12610">
        <v>0</v>
      </c>
      <c r="D12610">
        <v>0</v>
      </c>
      <c r="E12610">
        <f t="shared" si="196"/>
        <v>2.1597184474319425E-16</v>
      </c>
    </row>
    <row r="12611" spans="1:5" x14ac:dyDescent="0.25">
      <c r="A12611">
        <v>17</v>
      </c>
      <c r="B12611">
        <v>0</v>
      </c>
      <c r="C12611">
        <v>6</v>
      </c>
      <c r="D12611">
        <v>25</v>
      </c>
      <c r="E12611">
        <f t="shared" si="196"/>
        <v>1.4633793415990011E-51</v>
      </c>
    </row>
    <row r="12612" spans="1:5" x14ac:dyDescent="0.25">
      <c r="A12612">
        <v>17</v>
      </c>
      <c r="B12612">
        <v>0</v>
      </c>
      <c r="C12612">
        <v>7</v>
      </c>
      <c r="D12612">
        <v>24</v>
      </c>
      <c r="E12612">
        <f t="shared" si="196"/>
        <v>3.0835493269407524E-49</v>
      </c>
    </row>
    <row r="12613" spans="1:5" x14ac:dyDescent="0.25">
      <c r="A12613">
        <v>17</v>
      </c>
      <c r="B12613">
        <v>0</v>
      </c>
      <c r="C12613">
        <v>8</v>
      </c>
      <c r="D12613">
        <v>23</v>
      </c>
      <c r="E12613">
        <f t="shared" si="196"/>
        <v>2.6826879144384549E-47</v>
      </c>
    </row>
    <row r="12614" spans="1:5" x14ac:dyDescent="0.25">
      <c r="A12614">
        <v>17</v>
      </c>
      <c r="B12614">
        <v>0</v>
      </c>
      <c r="C12614">
        <v>9</v>
      </c>
      <c r="D12614">
        <v>22</v>
      </c>
      <c r="E12614">
        <f t="shared" si="196"/>
        <v>1.3025940206773383E-45</v>
      </c>
    </row>
    <row r="12615" spans="1:5" x14ac:dyDescent="0.25">
      <c r="A12615">
        <v>17</v>
      </c>
      <c r="B12615">
        <v>0</v>
      </c>
      <c r="C12615">
        <v>10</v>
      </c>
      <c r="D12615">
        <v>21</v>
      </c>
      <c r="E12615">
        <f t="shared" si="196"/>
        <v>4.0119895836862032E-44</v>
      </c>
    </row>
    <row r="12616" spans="1:5" x14ac:dyDescent="0.25">
      <c r="A12616">
        <v>17</v>
      </c>
      <c r="B12616">
        <v>0</v>
      </c>
      <c r="C12616">
        <v>11</v>
      </c>
      <c r="D12616">
        <v>20</v>
      </c>
      <c r="E12616">
        <f t="shared" si="196"/>
        <v>8.4251781257410249E-43</v>
      </c>
    </row>
    <row r="12617" spans="1:5" x14ac:dyDescent="0.25">
      <c r="A12617">
        <v>17</v>
      </c>
      <c r="B12617">
        <v>0</v>
      </c>
      <c r="C12617">
        <v>12</v>
      </c>
      <c r="D12617">
        <v>19</v>
      </c>
      <c r="E12617">
        <f t="shared" si="196"/>
        <v>1.2637767188611532E-41</v>
      </c>
    </row>
    <row r="12618" spans="1:5" x14ac:dyDescent="0.25">
      <c r="A12618">
        <v>17</v>
      </c>
      <c r="B12618">
        <v>0</v>
      </c>
      <c r="C12618">
        <v>13</v>
      </c>
      <c r="D12618">
        <v>18</v>
      </c>
      <c r="E12618">
        <f t="shared" si="196"/>
        <v>1.3984869844980024E-40</v>
      </c>
    </row>
    <row r="12619" spans="1:5" x14ac:dyDescent="0.25">
      <c r="A12619">
        <v>17</v>
      </c>
      <c r="B12619">
        <v>0</v>
      </c>
      <c r="C12619">
        <v>14</v>
      </c>
      <c r="D12619">
        <v>17</v>
      </c>
      <c r="E12619">
        <f t="shared" si="196"/>
        <v>1.1687355513304735E-39</v>
      </c>
    </row>
    <row r="12620" spans="1:5" x14ac:dyDescent="0.25">
      <c r="A12620">
        <v>17</v>
      </c>
      <c r="B12620">
        <v>0</v>
      </c>
      <c r="C12620">
        <v>15</v>
      </c>
      <c r="D12620">
        <v>16</v>
      </c>
      <c r="E12620">
        <f t="shared" si="196"/>
        <v>7.505879429655703E-39</v>
      </c>
    </row>
    <row r="12621" spans="1:5" x14ac:dyDescent="0.25">
      <c r="A12621">
        <v>17</v>
      </c>
      <c r="B12621">
        <v>0</v>
      </c>
      <c r="C12621">
        <v>16</v>
      </c>
      <c r="D12621">
        <v>15</v>
      </c>
      <c r="E12621">
        <f t="shared" si="196"/>
        <v>3.7529397148278522E-38</v>
      </c>
    </row>
    <row r="12622" spans="1:5" x14ac:dyDescent="0.25">
      <c r="A12622">
        <v>17</v>
      </c>
      <c r="B12622">
        <v>0</v>
      </c>
      <c r="C12622">
        <v>17</v>
      </c>
      <c r="D12622">
        <v>14</v>
      </c>
      <c r="E12622">
        <f t="shared" ref="E12622:E12685" si="197">COMBIN(A$4,A12622)*COMBIN(B$4,B12622)*COMBIN(C$4,C12622)*COMBIN(D$4,D12622)/COMBIN($G$4,$F$4)</f>
        <v>1.4750859306943706E-37</v>
      </c>
    </row>
    <row r="12623" spans="1:5" x14ac:dyDescent="0.25">
      <c r="A12623">
        <v>17</v>
      </c>
      <c r="B12623">
        <v>0</v>
      </c>
      <c r="C12623">
        <v>18</v>
      </c>
      <c r="D12623">
        <v>13</v>
      </c>
      <c r="E12623">
        <f t="shared" si="197"/>
        <v>4.5891562288269274E-37</v>
      </c>
    </row>
    <row r="12624" spans="1:5" x14ac:dyDescent="0.25">
      <c r="A12624">
        <v>17</v>
      </c>
      <c r="B12624">
        <v>0</v>
      </c>
      <c r="C12624">
        <v>19</v>
      </c>
      <c r="D12624">
        <v>12</v>
      </c>
      <c r="E12624">
        <f t="shared" si="197"/>
        <v>1.1352123302887666E-36</v>
      </c>
    </row>
    <row r="12625" spans="1:5" x14ac:dyDescent="0.25">
      <c r="A12625">
        <v>17</v>
      </c>
      <c r="B12625">
        <v>0</v>
      </c>
      <c r="C12625">
        <v>20</v>
      </c>
      <c r="D12625">
        <v>11</v>
      </c>
      <c r="E12625">
        <f t="shared" si="197"/>
        <v>2.2379900225692843E-36</v>
      </c>
    </row>
    <row r="12626" spans="1:5" x14ac:dyDescent="0.25">
      <c r="A12626">
        <v>17</v>
      </c>
      <c r="B12626">
        <v>0</v>
      </c>
      <c r="C12626">
        <v>21</v>
      </c>
      <c r="D12626">
        <v>10</v>
      </c>
      <c r="E12626">
        <f t="shared" si="197"/>
        <v>3.5168414640374423E-36</v>
      </c>
    </row>
    <row r="12627" spans="1:5" x14ac:dyDescent="0.25">
      <c r="A12627">
        <v>17</v>
      </c>
      <c r="B12627">
        <v>0</v>
      </c>
      <c r="C12627">
        <v>22</v>
      </c>
      <c r="D12627">
        <v>9</v>
      </c>
      <c r="E12627">
        <f t="shared" si="197"/>
        <v>4.3960518300468065E-36</v>
      </c>
    </row>
    <row r="12628" spans="1:5" x14ac:dyDescent="0.25">
      <c r="A12628">
        <v>17</v>
      </c>
      <c r="B12628">
        <v>0</v>
      </c>
      <c r="C12628">
        <v>23</v>
      </c>
      <c r="D12628">
        <v>8</v>
      </c>
      <c r="E12628">
        <f t="shared" si="197"/>
        <v>4.3510794328084742E-36</v>
      </c>
    </row>
    <row r="12629" spans="1:5" x14ac:dyDescent="0.25">
      <c r="A12629">
        <v>17</v>
      </c>
      <c r="B12629">
        <v>0</v>
      </c>
      <c r="C12629">
        <v>24</v>
      </c>
      <c r="D12629">
        <v>7</v>
      </c>
      <c r="E12629">
        <f t="shared" si="197"/>
        <v>3.3841728921843697E-36</v>
      </c>
    </row>
    <row r="12630" spans="1:5" x14ac:dyDescent="0.25">
      <c r="A12630">
        <v>17</v>
      </c>
      <c r="B12630">
        <v>0</v>
      </c>
      <c r="C12630">
        <v>25</v>
      </c>
      <c r="D12630">
        <v>6</v>
      </c>
      <c r="E12630">
        <f t="shared" si="197"/>
        <v>2.0447528843303455E-36</v>
      </c>
    </row>
    <row r="12631" spans="1:5" x14ac:dyDescent="0.25">
      <c r="A12631">
        <v>17</v>
      </c>
      <c r="B12631">
        <v>0</v>
      </c>
      <c r="C12631">
        <v>26</v>
      </c>
      <c r="D12631">
        <v>5</v>
      </c>
      <c r="E12631">
        <f t="shared" si="197"/>
        <v>9.4373210046015907E-37</v>
      </c>
    </row>
    <row r="12632" spans="1:5" x14ac:dyDescent="0.25">
      <c r="A12632">
        <v>17</v>
      </c>
      <c r="B12632">
        <v>0</v>
      </c>
      <c r="C12632">
        <v>27</v>
      </c>
      <c r="D12632">
        <v>4</v>
      </c>
      <c r="E12632">
        <f t="shared" si="197"/>
        <v>3.2456394989370554E-37</v>
      </c>
    </row>
    <row r="12633" spans="1:5" x14ac:dyDescent="0.25">
      <c r="A12633">
        <v>17</v>
      </c>
      <c r="B12633">
        <v>0</v>
      </c>
      <c r="C12633">
        <v>28</v>
      </c>
      <c r="D12633">
        <v>3</v>
      </c>
      <c r="E12633">
        <f t="shared" si="197"/>
        <v>8.0087208415329931E-38</v>
      </c>
    </row>
    <row r="12634" spans="1:5" x14ac:dyDescent="0.25">
      <c r="A12634">
        <v>17</v>
      </c>
      <c r="B12634">
        <v>0</v>
      </c>
      <c r="C12634">
        <v>29</v>
      </c>
      <c r="D12634">
        <v>2</v>
      </c>
      <c r="E12634">
        <f t="shared" si="197"/>
        <v>1.3327856273015929E-38</v>
      </c>
    </row>
    <row r="12635" spans="1:5" x14ac:dyDescent="0.25">
      <c r="A12635">
        <v>17</v>
      </c>
      <c r="B12635">
        <v>0</v>
      </c>
      <c r="C12635">
        <v>30</v>
      </c>
      <c r="D12635">
        <v>1</v>
      </c>
      <c r="E12635">
        <f t="shared" si="197"/>
        <v>1.3327856273015927E-39</v>
      </c>
    </row>
    <row r="12636" spans="1:5" x14ac:dyDescent="0.25">
      <c r="A12636">
        <v>17</v>
      </c>
      <c r="B12636">
        <v>0</v>
      </c>
      <c r="C12636">
        <v>31</v>
      </c>
      <c r="D12636">
        <v>0</v>
      </c>
      <c r="E12636">
        <f t="shared" si="197"/>
        <v>6.0190318652329986E-41</v>
      </c>
    </row>
    <row r="12637" spans="1:5" x14ac:dyDescent="0.25">
      <c r="A12637">
        <v>17</v>
      </c>
      <c r="B12637">
        <v>1</v>
      </c>
      <c r="C12637">
        <v>5</v>
      </c>
      <c r="D12637">
        <v>25</v>
      </c>
      <c r="E12637">
        <f t="shared" si="197"/>
        <v>4.2291662972211138E-50</v>
      </c>
    </row>
    <row r="12638" spans="1:5" x14ac:dyDescent="0.25">
      <c r="A12638">
        <v>17</v>
      </c>
      <c r="B12638">
        <v>1</v>
      </c>
      <c r="C12638">
        <v>6</v>
      </c>
      <c r="D12638">
        <v>24</v>
      </c>
      <c r="E12638">
        <f t="shared" si="197"/>
        <v>1.0572915743052783E-47</v>
      </c>
    </row>
    <row r="12639" spans="1:5" x14ac:dyDescent="0.25">
      <c r="A12639">
        <v>17</v>
      </c>
      <c r="B12639">
        <v>1</v>
      </c>
      <c r="C12639">
        <v>7</v>
      </c>
      <c r="D12639">
        <v>23</v>
      </c>
      <c r="E12639">
        <f t="shared" si="197"/>
        <v>1.0693749065830529E-45</v>
      </c>
    </row>
    <row r="12640" spans="1:5" x14ac:dyDescent="0.25">
      <c r="A12640">
        <v>17</v>
      </c>
      <c r="B12640">
        <v>1</v>
      </c>
      <c r="C12640">
        <v>8</v>
      </c>
      <c r="D12640">
        <v>22</v>
      </c>
      <c r="E12640">
        <f t="shared" si="197"/>
        <v>5.9439421890908033E-44</v>
      </c>
    </row>
    <row r="12641" spans="1:5" x14ac:dyDescent="0.25">
      <c r="A12641">
        <v>17</v>
      </c>
      <c r="B12641">
        <v>1</v>
      </c>
      <c r="C12641">
        <v>9</v>
      </c>
      <c r="D12641">
        <v>21</v>
      </c>
      <c r="E12641">
        <f t="shared" si="197"/>
        <v>2.0704731958666297E-42</v>
      </c>
    </row>
    <row r="12642" spans="1:5" x14ac:dyDescent="0.25">
      <c r="A12642">
        <v>17</v>
      </c>
      <c r="B12642">
        <v>1</v>
      </c>
      <c r="C12642">
        <v>10</v>
      </c>
      <c r="D12642">
        <v>20</v>
      </c>
      <c r="E12642">
        <f t="shared" si="197"/>
        <v>4.8697529566783127E-41</v>
      </c>
    </row>
    <row r="12643" spans="1:5" x14ac:dyDescent="0.25">
      <c r="A12643">
        <v>17</v>
      </c>
      <c r="B12643">
        <v>1</v>
      </c>
      <c r="C12643">
        <v>11</v>
      </c>
      <c r="D12643">
        <v>19</v>
      </c>
      <c r="E12643">
        <f t="shared" si="197"/>
        <v>8.1162549277971881E-40</v>
      </c>
    </row>
    <row r="12644" spans="1:5" x14ac:dyDescent="0.25">
      <c r="A12644">
        <v>17</v>
      </c>
      <c r="B12644">
        <v>1</v>
      </c>
      <c r="C12644">
        <v>12</v>
      </c>
      <c r="D12644">
        <v>18</v>
      </c>
      <c r="E12644">
        <f t="shared" si="197"/>
        <v>9.9134256618094205E-39</v>
      </c>
    </row>
    <row r="12645" spans="1:5" x14ac:dyDescent="0.25">
      <c r="A12645">
        <v>17</v>
      </c>
      <c r="B12645">
        <v>1</v>
      </c>
      <c r="C12645">
        <v>13</v>
      </c>
      <c r="D12645">
        <v>17</v>
      </c>
      <c r="E12645">
        <f t="shared" si="197"/>
        <v>9.0936616166982597E-38</v>
      </c>
    </row>
    <row r="12646" spans="1:5" x14ac:dyDescent="0.25">
      <c r="A12646">
        <v>17</v>
      </c>
      <c r="B12646">
        <v>1</v>
      </c>
      <c r="C12646">
        <v>14</v>
      </c>
      <c r="D12646">
        <v>16</v>
      </c>
      <c r="E12646">
        <f t="shared" si="197"/>
        <v>6.3799975152073517E-37</v>
      </c>
    </row>
    <row r="12647" spans="1:5" x14ac:dyDescent="0.25">
      <c r="A12647">
        <v>17</v>
      </c>
      <c r="B12647">
        <v>1</v>
      </c>
      <c r="C12647">
        <v>15</v>
      </c>
      <c r="D12647">
        <v>15</v>
      </c>
      <c r="E12647">
        <f t="shared" si="197"/>
        <v>3.4707186482727969E-36</v>
      </c>
    </row>
    <row r="12648" spans="1:5" x14ac:dyDescent="0.25">
      <c r="A12648">
        <v>17</v>
      </c>
      <c r="B12648">
        <v>1</v>
      </c>
      <c r="C12648">
        <v>16</v>
      </c>
      <c r="D12648">
        <v>14</v>
      </c>
      <c r="E12648">
        <f t="shared" si="197"/>
        <v>1.4789994239798854E-35</v>
      </c>
    </row>
    <row r="12649" spans="1:5" x14ac:dyDescent="0.25">
      <c r="A12649">
        <v>17</v>
      </c>
      <c r="B12649">
        <v>1</v>
      </c>
      <c r="C12649">
        <v>17</v>
      </c>
      <c r="D12649">
        <v>13</v>
      </c>
      <c r="E12649">
        <f t="shared" si="197"/>
        <v>4.9734980629911869E-35</v>
      </c>
    </row>
    <row r="12650" spans="1:5" x14ac:dyDescent="0.25">
      <c r="A12650">
        <v>17</v>
      </c>
      <c r="B12650">
        <v>1</v>
      </c>
      <c r="C12650">
        <v>18</v>
      </c>
      <c r="D12650">
        <v>12</v>
      </c>
      <c r="E12650">
        <f t="shared" si="197"/>
        <v>1.3262661501309819E-34</v>
      </c>
    </row>
    <row r="12651" spans="1:5" x14ac:dyDescent="0.25">
      <c r="A12651">
        <v>17</v>
      </c>
      <c r="B12651">
        <v>1</v>
      </c>
      <c r="C12651">
        <v>19</v>
      </c>
      <c r="D12651">
        <v>11</v>
      </c>
      <c r="E12651">
        <f t="shared" si="197"/>
        <v>2.8120831153153156E-34</v>
      </c>
    </row>
    <row r="12652" spans="1:5" x14ac:dyDescent="0.25">
      <c r="A12652">
        <v>17</v>
      </c>
      <c r="B12652">
        <v>1</v>
      </c>
      <c r="C12652">
        <v>20</v>
      </c>
      <c r="D12652">
        <v>10</v>
      </c>
      <c r="E12652">
        <f t="shared" si="197"/>
        <v>4.7430468544985023E-34</v>
      </c>
    </row>
    <row r="12653" spans="1:5" x14ac:dyDescent="0.25">
      <c r="A12653">
        <v>17</v>
      </c>
      <c r="B12653">
        <v>1</v>
      </c>
      <c r="C12653">
        <v>21</v>
      </c>
      <c r="D12653">
        <v>9</v>
      </c>
      <c r="E12653">
        <f t="shared" si="197"/>
        <v>6.3522948944176299E-34</v>
      </c>
    </row>
    <row r="12654" spans="1:5" x14ac:dyDescent="0.25">
      <c r="A12654">
        <v>17</v>
      </c>
      <c r="B12654">
        <v>1</v>
      </c>
      <c r="C12654">
        <v>22</v>
      </c>
      <c r="D12654">
        <v>8</v>
      </c>
      <c r="E12654">
        <f t="shared" si="197"/>
        <v>6.7259592999716132E-34</v>
      </c>
    </row>
    <row r="12655" spans="1:5" x14ac:dyDescent="0.25">
      <c r="A12655">
        <v>17</v>
      </c>
      <c r="B12655">
        <v>1</v>
      </c>
      <c r="C12655">
        <v>23</v>
      </c>
      <c r="D12655">
        <v>7</v>
      </c>
      <c r="E12655">
        <f t="shared" si="197"/>
        <v>5.5887198048073312E-34</v>
      </c>
    </row>
    <row r="12656" spans="1:5" x14ac:dyDescent="0.25">
      <c r="A12656">
        <v>17</v>
      </c>
      <c r="B12656">
        <v>1</v>
      </c>
      <c r="C12656">
        <v>24</v>
      </c>
      <c r="D12656">
        <v>6</v>
      </c>
      <c r="E12656">
        <f t="shared" si="197"/>
        <v>3.6032535583626195E-34</v>
      </c>
    </row>
    <row r="12657" spans="1:5" x14ac:dyDescent="0.25">
      <c r="A12657">
        <v>17</v>
      </c>
      <c r="B12657">
        <v>1</v>
      </c>
      <c r="C12657">
        <v>25</v>
      </c>
      <c r="D12657">
        <v>5</v>
      </c>
      <c r="E12657">
        <f t="shared" si="197"/>
        <v>1.7728007507144096E-34</v>
      </c>
    </row>
    <row r="12658" spans="1:5" x14ac:dyDescent="0.25">
      <c r="A12658">
        <v>17</v>
      </c>
      <c r="B12658">
        <v>1</v>
      </c>
      <c r="C12658">
        <v>26</v>
      </c>
      <c r="D12658">
        <v>4</v>
      </c>
      <c r="E12658">
        <f t="shared" si="197"/>
        <v>6.4937756436425245E-35</v>
      </c>
    </row>
    <row r="12659" spans="1:5" x14ac:dyDescent="0.25">
      <c r="A12659">
        <v>17</v>
      </c>
      <c r="B12659">
        <v>1</v>
      </c>
      <c r="C12659">
        <v>27</v>
      </c>
      <c r="D12659">
        <v>3</v>
      </c>
      <c r="E12659">
        <f t="shared" si="197"/>
        <v>1.7054360276232889E-35</v>
      </c>
    </row>
    <row r="12660" spans="1:5" x14ac:dyDescent="0.25">
      <c r="A12660">
        <v>17</v>
      </c>
      <c r="B12660">
        <v>1</v>
      </c>
      <c r="C12660">
        <v>28</v>
      </c>
      <c r="D12660">
        <v>2</v>
      </c>
      <c r="E12660">
        <f t="shared" si="197"/>
        <v>3.018939552003959E-36</v>
      </c>
    </row>
    <row r="12661" spans="1:5" x14ac:dyDescent="0.25">
      <c r="A12661">
        <v>17</v>
      </c>
      <c r="B12661">
        <v>1</v>
      </c>
      <c r="C12661">
        <v>29</v>
      </c>
      <c r="D12661">
        <v>1</v>
      </c>
      <c r="E12661">
        <f t="shared" si="197"/>
        <v>3.2097920524180032E-37</v>
      </c>
    </row>
    <row r="12662" spans="1:5" x14ac:dyDescent="0.25">
      <c r="A12662">
        <v>17</v>
      </c>
      <c r="B12662">
        <v>1</v>
      </c>
      <c r="C12662">
        <v>30</v>
      </c>
      <c r="D12662">
        <v>0</v>
      </c>
      <c r="E12662">
        <f t="shared" si="197"/>
        <v>1.5407001851606412E-38</v>
      </c>
    </row>
    <row r="12663" spans="1:5" x14ac:dyDescent="0.25">
      <c r="A12663">
        <v>17</v>
      </c>
      <c r="B12663">
        <v>2</v>
      </c>
      <c r="C12663">
        <v>4</v>
      </c>
      <c r="D12663">
        <v>25</v>
      </c>
      <c r="E12663">
        <f t="shared" si="197"/>
        <v>4.9918028426216417E-49</v>
      </c>
    </row>
    <row r="12664" spans="1:5" x14ac:dyDescent="0.25">
      <c r="A12664">
        <v>17</v>
      </c>
      <c r="B12664">
        <v>2</v>
      </c>
      <c r="C12664">
        <v>5</v>
      </c>
      <c r="D12664">
        <v>24</v>
      </c>
      <c r="E12664">
        <f t="shared" si="197"/>
        <v>1.522499866999601E-46</v>
      </c>
    </row>
    <row r="12665" spans="1:5" x14ac:dyDescent="0.25">
      <c r="A12665">
        <v>17</v>
      </c>
      <c r="B12665">
        <v>2</v>
      </c>
      <c r="C12665">
        <v>6</v>
      </c>
      <c r="D12665">
        <v>23</v>
      </c>
      <c r="E12665">
        <f t="shared" si="197"/>
        <v>1.8269998403995207E-44</v>
      </c>
    </row>
    <row r="12666" spans="1:5" x14ac:dyDescent="0.25">
      <c r="A12666">
        <v>17</v>
      </c>
      <c r="B12666">
        <v>2</v>
      </c>
      <c r="C12666">
        <v>7</v>
      </c>
      <c r="D12666">
        <v>22</v>
      </c>
      <c r="E12666">
        <f t="shared" si="197"/>
        <v>1.1805898968676904E-42</v>
      </c>
    </row>
    <row r="12667" spans="1:5" x14ac:dyDescent="0.25">
      <c r="A12667">
        <v>17</v>
      </c>
      <c r="B12667">
        <v>2</v>
      </c>
      <c r="C12667">
        <v>8</v>
      </c>
      <c r="D12667">
        <v>21</v>
      </c>
      <c r="E12667">
        <f t="shared" si="197"/>
        <v>4.7076022137599168E-41</v>
      </c>
    </row>
    <row r="12668" spans="1:5" x14ac:dyDescent="0.25">
      <c r="A12668">
        <v>17</v>
      </c>
      <c r="B12668">
        <v>2</v>
      </c>
      <c r="C12668">
        <v>9</v>
      </c>
      <c r="D12668">
        <v>20</v>
      </c>
      <c r="E12668">
        <f t="shared" si="197"/>
        <v>1.2522221888601374E-39</v>
      </c>
    </row>
    <row r="12669" spans="1:5" x14ac:dyDescent="0.25">
      <c r="A12669">
        <v>17</v>
      </c>
      <c r="B12669">
        <v>2</v>
      </c>
      <c r="C12669">
        <v>10</v>
      </c>
      <c r="D12669">
        <v>19</v>
      </c>
      <c r="E12669">
        <f t="shared" si="197"/>
        <v>2.3374814192055899E-38</v>
      </c>
    </row>
    <row r="12670" spans="1:5" x14ac:dyDescent="0.25">
      <c r="A12670">
        <v>17</v>
      </c>
      <c r="B12670">
        <v>2</v>
      </c>
      <c r="C12670">
        <v>11</v>
      </c>
      <c r="D12670">
        <v>18</v>
      </c>
      <c r="E12670">
        <f t="shared" si="197"/>
        <v>3.1722962117790166E-37</v>
      </c>
    </row>
    <row r="12671" spans="1:5" x14ac:dyDescent="0.25">
      <c r="A12671">
        <v>17</v>
      </c>
      <c r="B12671">
        <v>2</v>
      </c>
      <c r="C12671">
        <v>12</v>
      </c>
      <c r="D12671">
        <v>17</v>
      </c>
      <c r="E12671">
        <f t="shared" si="197"/>
        <v>3.2119499144262517E-36</v>
      </c>
    </row>
    <row r="12672" spans="1:5" x14ac:dyDescent="0.25">
      <c r="A12672">
        <v>17</v>
      </c>
      <c r="B12672">
        <v>2</v>
      </c>
      <c r="C12672">
        <v>13</v>
      </c>
      <c r="D12672">
        <v>16</v>
      </c>
      <c r="E12672">
        <f t="shared" si="197"/>
        <v>2.4734759597419267E-35</v>
      </c>
    </row>
    <row r="12673" spans="1:5" x14ac:dyDescent="0.25">
      <c r="A12673">
        <v>17</v>
      </c>
      <c r="B12673">
        <v>2</v>
      </c>
      <c r="C12673">
        <v>14</v>
      </c>
      <c r="D12673">
        <v>15</v>
      </c>
      <c r="E12673">
        <f t="shared" si="197"/>
        <v>1.4699514275037736E-34</v>
      </c>
    </row>
    <row r="12674" spans="1:5" x14ac:dyDescent="0.25">
      <c r="A12674">
        <v>17</v>
      </c>
      <c r="B12674">
        <v>2</v>
      </c>
      <c r="C12674">
        <v>15</v>
      </c>
      <c r="D12674">
        <v>14</v>
      </c>
      <c r="E12674">
        <f t="shared" si="197"/>
        <v>6.815229345699311E-34</v>
      </c>
    </row>
    <row r="12675" spans="1:5" x14ac:dyDescent="0.25">
      <c r="A12675">
        <v>17</v>
      </c>
      <c r="B12675">
        <v>2</v>
      </c>
      <c r="C12675">
        <v>16</v>
      </c>
      <c r="D12675">
        <v>13</v>
      </c>
      <c r="E12675">
        <f t="shared" si="197"/>
        <v>2.4847190322862079E-33</v>
      </c>
    </row>
    <row r="12676" spans="1:5" x14ac:dyDescent="0.25">
      <c r="A12676">
        <v>17</v>
      </c>
      <c r="B12676">
        <v>2</v>
      </c>
      <c r="C12676">
        <v>17</v>
      </c>
      <c r="D12676">
        <v>12</v>
      </c>
      <c r="E12676">
        <f t="shared" si="197"/>
        <v>7.1618372107073098E-33</v>
      </c>
    </row>
    <row r="12677" spans="1:5" x14ac:dyDescent="0.25">
      <c r="A12677">
        <v>17</v>
      </c>
      <c r="B12677">
        <v>2</v>
      </c>
      <c r="C12677">
        <v>18</v>
      </c>
      <c r="D12677">
        <v>11</v>
      </c>
      <c r="E12677">
        <f t="shared" si="197"/>
        <v>1.6369913624473831E-32</v>
      </c>
    </row>
    <row r="12678" spans="1:5" x14ac:dyDescent="0.25">
      <c r="A12678">
        <v>17</v>
      </c>
      <c r="B12678">
        <v>2</v>
      </c>
      <c r="C12678">
        <v>19</v>
      </c>
      <c r="D12678">
        <v>10</v>
      </c>
      <c r="E12678">
        <f t="shared" si="197"/>
        <v>2.969559769772973E-32</v>
      </c>
    </row>
    <row r="12679" spans="1:5" x14ac:dyDescent="0.25">
      <c r="A12679">
        <v>17</v>
      </c>
      <c r="B12679">
        <v>2</v>
      </c>
      <c r="C12679">
        <v>20</v>
      </c>
      <c r="D12679">
        <v>9</v>
      </c>
      <c r="E12679">
        <f t="shared" si="197"/>
        <v>4.2687421690486528E-32</v>
      </c>
    </row>
    <row r="12680" spans="1:5" x14ac:dyDescent="0.25">
      <c r="A12680">
        <v>17</v>
      </c>
      <c r="B12680">
        <v>2</v>
      </c>
      <c r="C12680">
        <v>21</v>
      </c>
      <c r="D12680">
        <v>8</v>
      </c>
      <c r="E12680">
        <f t="shared" si="197"/>
        <v>4.8426906959795589E-32</v>
      </c>
    </row>
    <row r="12681" spans="1:5" x14ac:dyDescent="0.25">
      <c r="A12681">
        <v>17</v>
      </c>
      <c r="B12681">
        <v>2</v>
      </c>
      <c r="C12681">
        <v>22</v>
      </c>
      <c r="D12681">
        <v>7</v>
      </c>
      <c r="E12681">
        <f t="shared" si="197"/>
        <v>4.304613951981833E-32</v>
      </c>
    </row>
    <row r="12682" spans="1:5" x14ac:dyDescent="0.25">
      <c r="A12682">
        <v>17</v>
      </c>
      <c r="B12682">
        <v>2</v>
      </c>
      <c r="C12682">
        <v>23</v>
      </c>
      <c r="D12682">
        <v>6</v>
      </c>
      <c r="E12682">
        <f t="shared" si="197"/>
        <v>2.9649629280240985E-32</v>
      </c>
    </row>
    <row r="12683" spans="1:5" x14ac:dyDescent="0.25">
      <c r="A12683">
        <v>17</v>
      </c>
      <c r="B12683">
        <v>2</v>
      </c>
      <c r="C12683">
        <v>24</v>
      </c>
      <c r="D12683">
        <v>5</v>
      </c>
      <c r="E12683">
        <f t="shared" si="197"/>
        <v>1.5566055372126518E-32</v>
      </c>
    </row>
    <row r="12684" spans="1:5" x14ac:dyDescent="0.25">
      <c r="A12684">
        <v>17</v>
      </c>
      <c r="B12684">
        <v>2</v>
      </c>
      <c r="C12684">
        <v>25</v>
      </c>
      <c r="D12684">
        <v>4</v>
      </c>
      <c r="E12684">
        <f t="shared" si="197"/>
        <v>6.0781740024494064E-33</v>
      </c>
    </row>
    <row r="12685" spans="1:5" x14ac:dyDescent="0.25">
      <c r="A12685">
        <v>17</v>
      </c>
      <c r="B12685">
        <v>2</v>
      </c>
      <c r="C12685">
        <v>26</v>
      </c>
      <c r="D12685">
        <v>3</v>
      </c>
      <c r="E12685">
        <f t="shared" si="197"/>
        <v>1.7001885321536784E-33</v>
      </c>
    </row>
    <row r="12686" spans="1:5" x14ac:dyDescent="0.25">
      <c r="A12686">
        <v>17</v>
      </c>
      <c r="B12686">
        <v>2</v>
      </c>
      <c r="C12686">
        <v>27</v>
      </c>
      <c r="D12686">
        <v>2</v>
      </c>
      <c r="E12686">
        <f t="shared" ref="E12686:E12749" si="198">COMBIN(A$4,A12686)*COMBIN(B$4,B12686)*COMBIN(C$4,C12686)*COMBIN(D$4,D12686)/COMBIN($G$4,$F$4)</f>
        <v>3.2032537562315686E-34</v>
      </c>
    </row>
    <row r="12687" spans="1:5" x14ac:dyDescent="0.25">
      <c r="A12687">
        <v>17</v>
      </c>
      <c r="B12687">
        <v>2</v>
      </c>
      <c r="C12687">
        <v>28</v>
      </c>
      <c r="D12687">
        <v>1</v>
      </c>
      <c r="E12687">
        <f t="shared" si="198"/>
        <v>3.6227274624047508E-35</v>
      </c>
    </row>
    <row r="12688" spans="1:5" x14ac:dyDescent="0.25">
      <c r="A12688">
        <v>17</v>
      </c>
      <c r="B12688">
        <v>2</v>
      </c>
      <c r="C12688">
        <v>29</v>
      </c>
      <c r="D12688">
        <v>0</v>
      </c>
      <c r="E12688">
        <f t="shared" si="198"/>
        <v>1.8488402221927694E-36</v>
      </c>
    </row>
    <row r="12689" spans="1:5" x14ac:dyDescent="0.25">
      <c r="A12689">
        <v>17</v>
      </c>
      <c r="B12689">
        <v>3</v>
      </c>
      <c r="C12689">
        <v>3</v>
      </c>
      <c r="D12689">
        <v>25</v>
      </c>
      <c r="E12689">
        <f t="shared" si="198"/>
        <v>3.0809621845858306E-48</v>
      </c>
    </row>
    <row r="12690" spans="1:5" x14ac:dyDescent="0.25">
      <c r="A12690">
        <v>17</v>
      </c>
      <c r="B12690">
        <v>3</v>
      </c>
      <c r="C12690">
        <v>4</v>
      </c>
      <c r="D12690">
        <v>24</v>
      </c>
      <c r="E12690">
        <f t="shared" si="198"/>
        <v>1.1938728465270093E-45</v>
      </c>
    </row>
    <row r="12691" spans="1:5" x14ac:dyDescent="0.25">
      <c r="A12691">
        <v>17</v>
      </c>
      <c r="B12691">
        <v>3</v>
      </c>
      <c r="C12691">
        <v>5</v>
      </c>
      <c r="D12691">
        <v>23</v>
      </c>
      <c r="E12691">
        <f t="shared" si="198"/>
        <v>1.7478298473155418E-43</v>
      </c>
    </row>
    <row r="12692" spans="1:5" x14ac:dyDescent="0.25">
      <c r="A12692">
        <v>17</v>
      </c>
      <c r="B12692">
        <v>3</v>
      </c>
      <c r="C12692">
        <v>6</v>
      </c>
      <c r="D12692">
        <v>22</v>
      </c>
      <c r="E12692">
        <f t="shared" si="198"/>
        <v>1.3400028829419152E-41</v>
      </c>
    </row>
    <row r="12693" spans="1:5" x14ac:dyDescent="0.25">
      <c r="A12693">
        <v>17</v>
      </c>
      <c r="B12693">
        <v>3</v>
      </c>
      <c r="C12693">
        <v>7</v>
      </c>
      <c r="D12693">
        <v>21</v>
      </c>
      <c r="E12693">
        <f t="shared" si="198"/>
        <v>6.2118705073521653E-40</v>
      </c>
    </row>
    <row r="12694" spans="1:5" x14ac:dyDescent="0.25">
      <c r="A12694">
        <v>17</v>
      </c>
      <c r="B12694">
        <v>3</v>
      </c>
      <c r="C12694">
        <v>8</v>
      </c>
      <c r="D12694">
        <v>20</v>
      </c>
      <c r="E12694">
        <f t="shared" si="198"/>
        <v>1.891514569488734E-38</v>
      </c>
    </row>
    <row r="12695" spans="1:5" x14ac:dyDescent="0.25">
      <c r="A12695">
        <v>17</v>
      </c>
      <c r="B12695">
        <v>3</v>
      </c>
      <c r="C12695">
        <v>9</v>
      </c>
      <c r="D12695">
        <v>19</v>
      </c>
      <c r="E12695">
        <f t="shared" si="198"/>
        <v>3.9931974244762151E-37</v>
      </c>
    </row>
    <row r="12696" spans="1:5" x14ac:dyDescent="0.25">
      <c r="A12696">
        <v>17</v>
      </c>
      <c r="B12696">
        <v>3</v>
      </c>
      <c r="C12696">
        <v>10</v>
      </c>
      <c r="D12696">
        <v>18</v>
      </c>
      <c r="E12696">
        <f t="shared" si="198"/>
        <v>6.0696600852038504E-36</v>
      </c>
    </row>
    <row r="12697" spans="1:5" x14ac:dyDescent="0.25">
      <c r="A12697">
        <v>17</v>
      </c>
      <c r="B12697">
        <v>3</v>
      </c>
      <c r="C12697">
        <v>11</v>
      </c>
      <c r="D12697">
        <v>17</v>
      </c>
      <c r="E12697">
        <f t="shared" si="198"/>
        <v>6.8283675958543321E-35</v>
      </c>
    </row>
    <row r="12698" spans="1:5" x14ac:dyDescent="0.25">
      <c r="A12698">
        <v>17</v>
      </c>
      <c r="B12698">
        <v>3</v>
      </c>
      <c r="C12698">
        <v>12</v>
      </c>
      <c r="D12698">
        <v>16</v>
      </c>
      <c r="E12698">
        <f t="shared" si="198"/>
        <v>5.8041124564761784E-34</v>
      </c>
    </row>
    <row r="12699" spans="1:5" x14ac:dyDescent="0.25">
      <c r="A12699">
        <v>17</v>
      </c>
      <c r="B12699">
        <v>3</v>
      </c>
      <c r="C12699">
        <v>13</v>
      </c>
      <c r="D12699">
        <v>15</v>
      </c>
      <c r="E12699">
        <f t="shared" si="198"/>
        <v>3.7860672023783079E-33</v>
      </c>
    </row>
    <row r="12700" spans="1:5" x14ac:dyDescent="0.25">
      <c r="A12700">
        <v>17</v>
      </c>
      <c r="B12700">
        <v>3</v>
      </c>
      <c r="C12700">
        <v>14</v>
      </c>
      <c r="D12700">
        <v>14</v>
      </c>
      <c r="E12700">
        <f t="shared" si="198"/>
        <v>1.9176184531526505E-32</v>
      </c>
    </row>
    <row r="12701" spans="1:5" x14ac:dyDescent="0.25">
      <c r="A12701">
        <v>17</v>
      </c>
      <c r="B12701">
        <v>3</v>
      </c>
      <c r="C12701">
        <v>15</v>
      </c>
      <c r="D12701">
        <v>13</v>
      </c>
      <c r="E12701">
        <f t="shared" si="198"/>
        <v>7.6065531975055104E-32</v>
      </c>
    </row>
    <row r="12702" spans="1:5" x14ac:dyDescent="0.25">
      <c r="A12702">
        <v>17</v>
      </c>
      <c r="B12702">
        <v>3</v>
      </c>
      <c r="C12702">
        <v>16</v>
      </c>
      <c r="D12702">
        <v>12</v>
      </c>
      <c r="E12702">
        <f t="shared" si="198"/>
        <v>2.3770478742204726E-31</v>
      </c>
    </row>
    <row r="12703" spans="1:5" x14ac:dyDescent="0.25">
      <c r="A12703">
        <v>17</v>
      </c>
      <c r="B12703">
        <v>3</v>
      </c>
      <c r="C12703">
        <v>17</v>
      </c>
      <c r="D12703">
        <v>11</v>
      </c>
      <c r="E12703">
        <f t="shared" si="198"/>
        <v>5.872706512779993E-31</v>
      </c>
    </row>
    <row r="12704" spans="1:5" x14ac:dyDescent="0.25">
      <c r="A12704">
        <v>17</v>
      </c>
      <c r="B12704">
        <v>3</v>
      </c>
      <c r="C12704">
        <v>18</v>
      </c>
      <c r="D12704">
        <v>10</v>
      </c>
      <c r="E12704">
        <f t="shared" si="198"/>
        <v>1.1484403847214198E-30</v>
      </c>
    </row>
    <row r="12705" spans="1:5" x14ac:dyDescent="0.25">
      <c r="A12705">
        <v>17</v>
      </c>
      <c r="B12705">
        <v>3</v>
      </c>
      <c r="C12705">
        <v>19</v>
      </c>
      <c r="D12705">
        <v>9</v>
      </c>
      <c r="E12705">
        <f t="shared" si="198"/>
        <v>1.7755492790100907E-30</v>
      </c>
    </row>
    <row r="12706" spans="1:5" x14ac:dyDescent="0.25">
      <c r="A12706">
        <v>17</v>
      </c>
      <c r="B12706">
        <v>3</v>
      </c>
      <c r="C12706">
        <v>20</v>
      </c>
      <c r="D12706">
        <v>8</v>
      </c>
      <c r="E12706">
        <f t="shared" si="198"/>
        <v>2.1619923573828765E-30</v>
      </c>
    </row>
    <row r="12707" spans="1:5" x14ac:dyDescent="0.25">
      <c r="A12707">
        <v>17</v>
      </c>
      <c r="B12707">
        <v>3</v>
      </c>
      <c r="C12707">
        <v>21</v>
      </c>
      <c r="D12707">
        <v>7</v>
      </c>
      <c r="E12707">
        <f t="shared" si="198"/>
        <v>2.0590403403646426E-30</v>
      </c>
    </row>
    <row r="12708" spans="1:5" x14ac:dyDescent="0.25">
      <c r="A12708">
        <v>17</v>
      </c>
      <c r="B12708">
        <v>3</v>
      </c>
      <c r="C12708">
        <v>22</v>
      </c>
      <c r="D12708">
        <v>6</v>
      </c>
      <c r="E12708">
        <f t="shared" si="198"/>
        <v>1.5171876192160528E-30</v>
      </c>
    </row>
    <row r="12709" spans="1:5" x14ac:dyDescent="0.25">
      <c r="A12709">
        <v>17</v>
      </c>
      <c r="B12709">
        <v>3</v>
      </c>
      <c r="C12709">
        <v>23</v>
      </c>
      <c r="D12709">
        <v>5</v>
      </c>
      <c r="E12709">
        <f t="shared" si="198"/>
        <v>8.5094436034291616E-31</v>
      </c>
    </row>
    <row r="12710" spans="1:5" x14ac:dyDescent="0.25">
      <c r="A12710">
        <v>17</v>
      </c>
      <c r="B12710">
        <v>3</v>
      </c>
      <c r="C12710">
        <v>24</v>
      </c>
      <c r="D12710">
        <v>4</v>
      </c>
      <c r="E12710">
        <f t="shared" si="198"/>
        <v>3.5456015014288188E-31</v>
      </c>
    </row>
    <row r="12711" spans="1:5" x14ac:dyDescent="0.25">
      <c r="A12711">
        <v>17</v>
      </c>
      <c r="B12711">
        <v>3</v>
      </c>
      <c r="C12711">
        <v>25</v>
      </c>
      <c r="D12711">
        <v>3</v>
      </c>
      <c r="E12711">
        <f t="shared" si="198"/>
        <v>1.0572339022442298E-31</v>
      </c>
    </row>
    <row r="12712" spans="1:5" x14ac:dyDescent="0.25">
      <c r="A12712">
        <v>17</v>
      </c>
      <c r="B12712">
        <v>3</v>
      </c>
      <c r="C12712">
        <v>26</v>
      </c>
      <c r="D12712">
        <v>2</v>
      </c>
      <c r="E12712">
        <f t="shared" si="198"/>
        <v>2.1215396031656772E-32</v>
      </c>
    </row>
    <row r="12713" spans="1:5" x14ac:dyDescent="0.25">
      <c r="A12713">
        <v>17</v>
      </c>
      <c r="B12713">
        <v>3</v>
      </c>
      <c r="C12713">
        <v>27</v>
      </c>
      <c r="D12713">
        <v>1</v>
      </c>
      <c r="E12713">
        <f t="shared" si="198"/>
        <v>2.5537050778846117E-33</v>
      </c>
    </row>
    <row r="12714" spans="1:5" x14ac:dyDescent="0.25">
      <c r="A12714">
        <v>17</v>
      </c>
      <c r="B12714">
        <v>3</v>
      </c>
      <c r="C12714">
        <v>28</v>
      </c>
      <c r="D12714">
        <v>0</v>
      </c>
      <c r="E12714">
        <f t="shared" si="198"/>
        <v>1.386297042280218E-34</v>
      </c>
    </row>
    <row r="12715" spans="1:5" x14ac:dyDescent="0.25">
      <c r="A12715">
        <v>17</v>
      </c>
      <c r="B12715">
        <v>4</v>
      </c>
      <c r="C12715">
        <v>2</v>
      </c>
      <c r="D12715">
        <v>25</v>
      </c>
      <c r="E12715">
        <f t="shared" si="198"/>
        <v>1.0489942676089851E-47</v>
      </c>
    </row>
    <row r="12716" spans="1:5" x14ac:dyDescent="0.25">
      <c r="A12716">
        <v>17</v>
      </c>
      <c r="B12716">
        <v>4</v>
      </c>
      <c r="C12716">
        <v>3</v>
      </c>
      <c r="D12716">
        <v>24</v>
      </c>
      <c r="E12716">
        <f t="shared" si="198"/>
        <v>5.5072199049471721E-45</v>
      </c>
    </row>
    <row r="12717" spans="1:5" x14ac:dyDescent="0.25">
      <c r="A12717">
        <v>17</v>
      </c>
      <c r="B12717">
        <v>4</v>
      </c>
      <c r="C12717">
        <v>4</v>
      </c>
      <c r="D12717">
        <v>23</v>
      </c>
      <c r="E12717">
        <f t="shared" si="198"/>
        <v>1.0243429023201738E-42</v>
      </c>
    </row>
    <row r="12718" spans="1:5" x14ac:dyDescent="0.25">
      <c r="A12718">
        <v>17</v>
      </c>
      <c r="B12718">
        <v>4</v>
      </c>
      <c r="C12718">
        <v>5</v>
      </c>
      <c r="D12718">
        <v>22</v>
      </c>
      <c r="E12718">
        <f t="shared" si="198"/>
        <v>9.5810206130346946E-41</v>
      </c>
    </row>
    <row r="12719" spans="1:5" x14ac:dyDescent="0.25">
      <c r="A12719">
        <v>17</v>
      </c>
      <c r="B12719">
        <v>4</v>
      </c>
      <c r="C12719">
        <v>6</v>
      </c>
      <c r="D12719">
        <v>21</v>
      </c>
      <c r="E12719">
        <f t="shared" si="198"/>
        <v>5.2695613371690821E-39</v>
      </c>
    </row>
    <row r="12720" spans="1:5" x14ac:dyDescent="0.25">
      <c r="A12720">
        <v>17</v>
      </c>
      <c r="B12720">
        <v>4</v>
      </c>
      <c r="C12720">
        <v>7</v>
      </c>
      <c r="D12720">
        <v>20</v>
      </c>
      <c r="E12720">
        <f t="shared" si="198"/>
        <v>1.8654247133578544E-37</v>
      </c>
    </row>
    <row r="12721" spans="1:5" x14ac:dyDescent="0.25">
      <c r="A12721">
        <v>17</v>
      </c>
      <c r="B12721">
        <v>4</v>
      </c>
      <c r="C12721">
        <v>8</v>
      </c>
      <c r="D12721">
        <v>19</v>
      </c>
      <c r="E12721">
        <f t="shared" si="198"/>
        <v>4.5081097239481493E-36</v>
      </c>
    </row>
    <row r="12722" spans="1:5" x14ac:dyDescent="0.25">
      <c r="A12722">
        <v>17</v>
      </c>
      <c r="B12722">
        <v>4</v>
      </c>
      <c r="C12722">
        <v>9</v>
      </c>
      <c r="D12722">
        <v>18</v>
      </c>
      <c r="E12722">
        <f t="shared" si="198"/>
        <v>7.7496552873584866E-35</v>
      </c>
    </row>
    <row r="12723" spans="1:5" x14ac:dyDescent="0.25">
      <c r="A12723">
        <v>17</v>
      </c>
      <c r="B12723">
        <v>4</v>
      </c>
      <c r="C12723">
        <v>10</v>
      </c>
      <c r="D12723">
        <v>17</v>
      </c>
      <c r="E12723">
        <f t="shared" si="198"/>
        <v>9.764565662071692E-34</v>
      </c>
    </row>
    <row r="12724" spans="1:5" x14ac:dyDescent="0.25">
      <c r="A12724">
        <v>17</v>
      </c>
      <c r="B12724">
        <v>4</v>
      </c>
      <c r="C12724">
        <v>11</v>
      </c>
      <c r="D12724">
        <v>16</v>
      </c>
      <c r="E12724">
        <f t="shared" si="198"/>
        <v>9.2220897919566009E-33</v>
      </c>
    </row>
    <row r="12725" spans="1:5" x14ac:dyDescent="0.25">
      <c r="A12725">
        <v>17</v>
      </c>
      <c r="B12725">
        <v>4</v>
      </c>
      <c r="C12725">
        <v>12</v>
      </c>
      <c r="D12725">
        <v>15</v>
      </c>
      <c r="E12725">
        <f t="shared" si="198"/>
        <v>6.639904650208747E-32</v>
      </c>
    </row>
    <row r="12726" spans="1:5" x14ac:dyDescent="0.25">
      <c r="A12726">
        <v>17</v>
      </c>
      <c r="B12726">
        <v>4</v>
      </c>
      <c r="C12726">
        <v>13</v>
      </c>
      <c r="D12726">
        <v>14</v>
      </c>
      <c r="E12726">
        <f t="shared" si="198"/>
        <v>3.6914155223188508E-31</v>
      </c>
    </row>
    <row r="12727" spans="1:5" x14ac:dyDescent="0.25">
      <c r="A12727">
        <v>17</v>
      </c>
      <c r="B12727">
        <v>4</v>
      </c>
      <c r="C12727">
        <v>14</v>
      </c>
      <c r="D12727">
        <v>13</v>
      </c>
      <c r="E12727">
        <f t="shared" si="198"/>
        <v>1.599613393004836E-30</v>
      </c>
    </row>
    <row r="12728" spans="1:5" x14ac:dyDescent="0.25">
      <c r="A12728">
        <v>17</v>
      </c>
      <c r="B12728">
        <v>4</v>
      </c>
      <c r="C12728">
        <v>15</v>
      </c>
      <c r="D12728">
        <v>12</v>
      </c>
      <c r="E12728">
        <f t="shared" si="198"/>
        <v>5.4386855362164399E-30</v>
      </c>
    </row>
    <row r="12729" spans="1:5" x14ac:dyDescent="0.25">
      <c r="A12729">
        <v>17</v>
      </c>
      <c r="B12729">
        <v>4</v>
      </c>
      <c r="C12729">
        <v>16</v>
      </c>
      <c r="D12729">
        <v>11</v>
      </c>
      <c r="E12729">
        <f t="shared" si="198"/>
        <v>1.4567907686294035E-29</v>
      </c>
    </row>
    <row r="12730" spans="1:5" x14ac:dyDescent="0.25">
      <c r="A12730">
        <v>17</v>
      </c>
      <c r="B12730">
        <v>4</v>
      </c>
      <c r="C12730">
        <v>17</v>
      </c>
      <c r="D12730">
        <v>10</v>
      </c>
      <c r="E12730">
        <f t="shared" si="198"/>
        <v>3.0792557815343094E-29</v>
      </c>
    </row>
    <row r="12731" spans="1:5" x14ac:dyDescent="0.25">
      <c r="A12731">
        <v>17</v>
      </c>
      <c r="B12731">
        <v>4</v>
      </c>
      <c r="C12731">
        <v>18</v>
      </c>
      <c r="D12731">
        <v>9</v>
      </c>
      <c r="E12731">
        <f t="shared" si="198"/>
        <v>5.1320929692238448E-29</v>
      </c>
    </row>
    <row r="12732" spans="1:5" x14ac:dyDescent="0.25">
      <c r="A12732">
        <v>17</v>
      </c>
      <c r="B12732">
        <v>4</v>
      </c>
      <c r="C12732">
        <v>19</v>
      </c>
      <c r="D12732">
        <v>8</v>
      </c>
      <c r="E12732">
        <f t="shared" si="198"/>
        <v>6.7209762414293715E-29</v>
      </c>
    </row>
    <row r="12733" spans="1:5" x14ac:dyDescent="0.25">
      <c r="A12733">
        <v>17</v>
      </c>
      <c r="B12733">
        <v>4</v>
      </c>
      <c r="C12733">
        <v>20</v>
      </c>
      <c r="D12733">
        <v>7</v>
      </c>
      <c r="E12733">
        <f t="shared" si="198"/>
        <v>6.8703312690166977E-29</v>
      </c>
    </row>
    <row r="12734" spans="1:5" x14ac:dyDescent="0.25">
      <c r="A12734">
        <v>17</v>
      </c>
      <c r="B12734">
        <v>4</v>
      </c>
      <c r="C12734">
        <v>21</v>
      </c>
      <c r="D12734">
        <v>6</v>
      </c>
      <c r="E12734">
        <f t="shared" si="198"/>
        <v>5.4239457386973842E-29</v>
      </c>
    </row>
    <row r="12735" spans="1:5" x14ac:dyDescent="0.25">
      <c r="A12735">
        <v>17</v>
      </c>
      <c r="B12735">
        <v>4</v>
      </c>
      <c r="C12735">
        <v>22</v>
      </c>
      <c r="D12735">
        <v>5</v>
      </c>
      <c r="E12735">
        <f t="shared" si="198"/>
        <v>3.254367443218433E-29</v>
      </c>
    </row>
    <row r="12736" spans="1:5" x14ac:dyDescent="0.25">
      <c r="A12736">
        <v>17</v>
      </c>
      <c r="B12736">
        <v>4</v>
      </c>
      <c r="C12736">
        <v>23</v>
      </c>
      <c r="D12736">
        <v>4</v>
      </c>
      <c r="E12736">
        <f t="shared" si="198"/>
        <v>1.4486314705837747E-29</v>
      </c>
    </row>
    <row r="12737" spans="1:5" x14ac:dyDescent="0.25">
      <c r="A12737">
        <v>17</v>
      </c>
      <c r="B12737">
        <v>4</v>
      </c>
      <c r="C12737">
        <v>24</v>
      </c>
      <c r="D12737">
        <v>3</v>
      </c>
      <c r="E12737">
        <f t="shared" si="198"/>
        <v>4.6092819518574642E-30</v>
      </c>
    </row>
    <row r="12738" spans="1:5" x14ac:dyDescent="0.25">
      <c r="A12738">
        <v>17</v>
      </c>
      <c r="B12738">
        <v>4</v>
      </c>
      <c r="C12738">
        <v>25</v>
      </c>
      <c r="D12738">
        <v>2</v>
      </c>
      <c r="E12738">
        <f t="shared" si="198"/>
        <v>9.8598553057124931E-31</v>
      </c>
    </row>
    <row r="12739" spans="1:5" x14ac:dyDescent="0.25">
      <c r="A12739">
        <v>17</v>
      </c>
      <c r="B12739">
        <v>4</v>
      </c>
      <c r="C12739">
        <v>26</v>
      </c>
      <c r="D12739">
        <v>1</v>
      </c>
      <c r="E12739">
        <f t="shared" si="198"/>
        <v>1.2640840135528825E-31</v>
      </c>
    </row>
    <row r="12740" spans="1:5" x14ac:dyDescent="0.25">
      <c r="A12740">
        <v>17</v>
      </c>
      <c r="B12740">
        <v>4</v>
      </c>
      <c r="C12740">
        <v>27</v>
      </c>
      <c r="D12740">
        <v>0</v>
      </c>
      <c r="E12740">
        <f t="shared" si="198"/>
        <v>7.303596522749989E-33</v>
      </c>
    </row>
    <row r="12741" spans="1:5" x14ac:dyDescent="0.25">
      <c r="A12741">
        <v>17</v>
      </c>
      <c r="B12741">
        <v>5</v>
      </c>
      <c r="C12741">
        <v>1</v>
      </c>
      <c r="D12741">
        <v>25</v>
      </c>
      <c r="E12741">
        <f t="shared" si="198"/>
        <v>1.8685210391785047E-47</v>
      </c>
    </row>
    <row r="12742" spans="1:5" x14ac:dyDescent="0.25">
      <c r="A12742">
        <v>17</v>
      </c>
      <c r="B12742">
        <v>5</v>
      </c>
      <c r="C12742">
        <v>2</v>
      </c>
      <c r="D12742">
        <v>24</v>
      </c>
      <c r="E12742">
        <f t="shared" si="198"/>
        <v>1.4948168313428038E-44</v>
      </c>
    </row>
    <row r="12743" spans="1:5" x14ac:dyDescent="0.25">
      <c r="A12743">
        <v>17</v>
      </c>
      <c r="B12743">
        <v>5</v>
      </c>
      <c r="C12743">
        <v>3</v>
      </c>
      <c r="D12743">
        <v>23</v>
      </c>
      <c r="E12743">
        <f t="shared" si="198"/>
        <v>3.7669384149838657E-42</v>
      </c>
    </row>
    <row r="12744" spans="1:5" x14ac:dyDescent="0.25">
      <c r="A12744">
        <v>17</v>
      </c>
      <c r="B12744">
        <v>5</v>
      </c>
      <c r="C12744">
        <v>4</v>
      </c>
      <c r="D12744">
        <v>22</v>
      </c>
      <c r="E12744">
        <f t="shared" si="198"/>
        <v>4.4763784831391606E-40</v>
      </c>
    </row>
    <row r="12745" spans="1:5" x14ac:dyDescent="0.25">
      <c r="A12745">
        <v>17</v>
      </c>
      <c r="B12745">
        <v>5</v>
      </c>
      <c r="C12745">
        <v>5</v>
      </c>
      <c r="D12745">
        <v>21</v>
      </c>
      <c r="E12745">
        <f t="shared" si="198"/>
        <v>3.0036499621863775E-38</v>
      </c>
    </row>
    <row r="12746" spans="1:5" x14ac:dyDescent="0.25">
      <c r="A12746">
        <v>17</v>
      </c>
      <c r="B12746">
        <v>5</v>
      </c>
      <c r="C12746">
        <v>6</v>
      </c>
      <c r="D12746">
        <v>20</v>
      </c>
      <c r="E12746">
        <f t="shared" si="198"/>
        <v>1.261532984118278E-36</v>
      </c>
    </row>
    <row r="12747" spans="1:5" x14ac:dyDescent="0.25">
      <c r="A12747">
        <v>17</v>
      </c>
      <c r="B12747">
        <v>5</v>
      </c>
      <c r="C12747">
        <v>7</v>
      </c>
      <c r="D12747">
        <v>19</v>
      </c>
      <c r="E12747">
        <f t="shared" si="198"/>
        <v>3.5443069553799235E-35</v>
      </c>
    </row>
    <row r="12748" spans="1:5" x14ac:dyDescent="0.25">
      <c r="A12748">
        <v>17</v>
      </c>
      <c r="B12748">
        <v>5</v>
      </c>
      <c r="C12748">
        <v>8</v>
      </c>
      <c r="D12748">
        <v>18</v>
      </c>
      <c r="E12748">
        <f t="shared" si="198"/>
        <v>6.9746897586226394E-34</v>
      </c>
    </row>
    <row r="12749" spans="1:5" x14ac:dyDescent="0.25">
      <c r="A12749">
        <v>17</v>
      </c>
      <c r="B12749">
        <v>5</v>
      </c>
      <c r="C12749">
        <v>9</v>
      </c>
      <c r="D12749">
        <v>17</v>
      </c>
      <c r="E12749">
        <f t="shared" si="198"/>
        <v>9.9389329060372582E-33</v>
      </c>
    </row>
    <row r="12750" spans="1:5" x14ac:dyDescent="0.25">
      <c r="A12750">
        <v>17</v>
      </c>
      <c r="B12750">
        <v>5</v>
      </c>
      <c r="C12750">
        <v>10</v>
      </c>
      <c r="D12750">
        <v>16</v>
      </c>
      <c r="E12750">
        <f t="shared" ref="E12750:E12813" si="199">COMBIN(A$4,A12750)*COMBIN(B$4,B12750)*COMBIN(C$4,C12750)*COMBIN(D$4,D12750)/COMBIN($G$4,$F$4)</f>
        <v>1.0513182362830524E-31</v>
      </c>
    </row>
    <row r="12751" spans="1:5" x14ac:dyDescent="0.25">
      <c r="A12751">
        <v>17</v>
      </c>
      <c r="B12751">
        <v>5</v>
      </c>
      <c r="C12751">
        <v>11</v>
      </c>
      <c r="D12751">
        <v>15</v>
      </c>
      <c r="E12751">
        <f t="shared" si="199"/>
        <v>8.4105458902644188E-31</v>
      </c>
    </row>
    <row r="12752" spans="1:5" x14ac:dyDescent="0.25">
      <c r="A12752">
        <v>17</v>
      </c>
      <c r="B12752">
        <v>5</v>
      </c>
      <c r="C12752">
        <v>12</v>
      </c>
      <c r="D12752">
        <v>14</v>
      </c>
      <c r="E12752">
        <f t="shared" si="199"/>
        <v>5.1610167962986177E-30</v>
      </c>
    </row>
    <row r="12753" spans="1:5" x14ac:dyDescent="0.25">
      <c r="A12753">
        <v>17</v>
      </c>
      <c r="B12753">
        <v>5</v>
      </c>
      <c r="C12753">
        <v>13</v>
      </c>
      <c r="D12753">
        <v>13</v>
      </c>
      <c r="E12753">
        <f t="shared" si="199"/>
        <v>2.4547913223420363E-29</v>
      </c>
    </row>
    <row r="12754" spans="1:5" x14ac:dyDescent="0.25">
      <c r="A12754">
        <v>17</v>
      </c>
      <c r="B12754">
        <v>5</v>
      </c>
      <c r="C12754">
        <v>14</v>
      </c>
      <c r="D12754">
        <v>12</v>
      </c>
      <c r="E12754">
        <f t="shared" si="199"/>
        <v>9.1177963401275657E-29</v>
      </c>
    </row>
    <row r="12755" spans="1:5" x14ac:dyDescent="0.25">
      <c r="A12755">
        <v>17</v>
      </c>
      <c r="B12755">
        <v>5</v>
      </c>
      <c r="C12755">
        <v>15</v>
      </c>
      <c r="D12755">
        <v>11</v>
      </c>
      <c r="E12755">
        <f t="shared" si="199"/>
        <v>2.6571863619800319E-28</v>
      </c>
    </row>
    <row r="12756" spans="1:5" x14ac:dyDescent="0.25">
      <c r="A12756">
        <v>17</v>
      </c>
      <c r="B12756">
        <v>5</v>
      </c>
      <c r="C12756">
        <v>16</v>
      </c>
      <c r="D12756">
        <v>10</v>
      </c>
      <c r="E12756">
        <f t="shared" si="199"/>
        <v>6.0893854128709054E-28</v>
      </c>
    </row>
    <row r="12757" spans="1:5" x14ac:dyDescent="0.25">
      <c r="A12757">
        <v>17</v>
      </c>
      <c r="B12757">
        <v>5</v>
      </c>
      <c r="C12757">
        <v>17</v>
      </c>
      <c r="D12757">
        <v>9</v>
      </c>
      <c r="E12757">
        <f t="shared" si="199"/>
        <v>1.0969848721715978E-27</v>
      </c>
    </row>
    <row r="12758" spans="1:5" x14ac:dyDescent="0.25">
      <c r="A12758">
        <v>17</v>
      </c>
      <c r="B12758">
        <v>5</v>
      </c>
      <c r="C12758">
        <v>18</v>
      </c>
      <c r="D12758">
        <v>8</v>
      </c>
      <c r="E12758">
        <f t="shared" si="199"/>
        <v>1.5486845254187248E-27</v>
      </c>
    </row>
    <row r="12759" spans="1:5" x14ac:dyDescent="0.25">
      <c r="A12759">
        <v>17</v>
      </c>
      <c r="B12759">
        <v>5</v>
      </c>
      <c r="C12759">
        <v>19</v>
      </c>
      <c r="D12759">
        <v>7</v>
      </c>
      <c r="E12759">
        <f t="shared" si="199"/>
        <v>1.7026473144954413E-27</v>
      </c>
    </row>
    <row r="12760" spans="1:5" x14ac:dyDescent="0.25">
      <c r="A12760">
        <v>17</v>
      </c>
      <c r="B12760">
        <v>5</v>
      </c>
      <c r="C12760">
        <v>20</v>
      </c>
      <c r="D12760">
        <v>6</v>
      </c>
      <c r="E12760">
        <f t="shared" si="199"/>
        <v>1.4427695664935061E-27</v>
      </c>
    </row>
    <row r="12761" spans="1:5" x14ac:dyDescent="0.25">
      <c r="A12761">
        <v>17</v>
      </c>
      <c r="B12761">
        <v>5</v>
      </c>
      <c r="C12761">
        <v>21</v>
      </c>
      <c r="D12761">
        <v>5</v>
      </c>
      <c r="E12761">
        <f t="shared" si="199"/>
        <v>9.2749472131725281E-28</v>
      </c>
    </row>
    <row r="12762" spans="1:5" x14ac:dyDescent="0.25">
      <c r="A12762">
        <v>17</v>
      </c>
      <c r="B12762">
        <v>5</v>
      </c>
      <c r="C12762">
        <v>22</v>
      </c>
      <c r="D12762">
        <v>4</v>
      </c>
      <c r="E12762">
        <f t="shared" si="199"/>
        <v>4.4166415300821603E-28</v>
      </c>
    </row>
    <row r="12763" spans="1:5" x14ac:dyDescent="0.25">
      <c r="A12763">
        <v>17</v>
      </c>
      <c r="B12763">
        <v>5</v>
      </c>
      <c r="C12763">
        <v>23</v>
      </c>
      <c r="D12763">
        <v>3</v>
      </c>
      <c r="E12763">
        <f t="shared" si="199"/>
        <v>1.5013089786050023E-28</v>
      </c>
    </row>
    <row r="12764" spans="1:5" x14ac:dyDescent="0.25">
      <c r="A12764">
        <v>17</v>
      </c>
      <c r="B12764">
        <v>5</v>
      </c>
      <c r="C12764">
        <v>24</v>
      </c>
      <c r="D12764">
        <v>2</v>
      </c>
      <c r="E12764">
        <f t="shared" si="199"/>
        <v>3.4269009294244625E-29</v>
      </c>
    </row>
    <row r="12765" spans="1:5" x14ac:dyDescent="0.25">
      <c r="A12765">
        <v>17</v>
      </c>
      <c r="B12765">
        <v>5</v>
      </c>
      <c r="C12765">
        <v>25</v>
      </c>
      <c r="D12765">
        <v>1</v>
      </c>
      <c r="E12765">
        <f t="shared" si="199"/>
        <v>4.6834312702134336E-30</v>
      </c>
    </row>
    <row r="12766" spans="1:5" x14ac:dyDescent="0.25">
      <c r="A12766">
        <v>17</v>
      </c>
      <c r="B12766">
        <v>5</v>
      </c>
      <c r="C12766">
        <v>26</v>
      </c>
      <c r="D12766">
        <v>0</v>
      </c>
      <c r="E12766">
        <f t="shared" si="199"/>
        <v>2.8821115509005723E-31</v>
      </c>
    </row>
    <row r="12767" spans="1:5" x14ac:dyDescent="0.25">
      <c r="A12767">
        <v>17</v>
      </c>
      <c r="B12767">
        <v>6</v>
      </c>
      <c r="C12767">
        <v>0</v>
      </c>
      <c r="D12767">
        <v>25</v>
      </c>
      <c r="E12767">
        <f t="shared" si="199"/>
        <v>1.3606666028889623E-47</v>
      </c>
    </row>
    <row r="12768" spans="1:5" x14ac:dyDescent="0.25">
      <c r="A12768">
        <v>17</v>
      </c>
      <c r="B12768">
        <v>6</v>
      </c>
      <c r="C12768">
        <v>1</v>
      </c>
      <c r="D12768">
        <v>24</v>
      </c>
      <c r="E12768">
        <f t="shared" si="199"/>
        <v>2.211083229694564E-44</v>
      </c>
    </row>
    <row r="12769" spans="1:5" x14ac:dyDescent="0.25">
      <c r="A12769">
        <v>17</v>
      </c>
      <c r="B12769">
        <v>6</v>
      </c>
      <c r="C12769">
        <v>2</v>
      </c>
      <c r="D12769">
        <v>23</v>
      </c>
      <c r="E12769">
        <f t="shared" si="199"/>
        <v>8.4905596020271263E-42</v>
      </c>
    </row>
    <row r="12770" spans="1:5" x14ac:dyDescent="0.25">
      <c r="A12770">
        <v>17</v>
      </c>
      <c r="B12770">
        <v>6</v>
      </c>
      <c r="C12770">
        <v>3</v>
      </c>
      <c r="D12770">
        <v>22</v>
      </c>
      <c r="E12770">
        <f t="shared" si="199"/>
        <v>1.3669800959263674E-39</v>
      </c>
    </row>
    <row r="12771" spans="1:5" x14ac:dyDescent="0.25">
      <c r="A12771">
        <v>17</v>
      </c>
      <c r="B12771">
        <v>6</v>
      </c>
      <c r="C12771">
        <v>4</v>
      </c>
      <c r="D12771">
        <v>21</v>
      </c>
      <c r="E12771">
        <f t="shared" si="199"/>
        <v>1.1653505317772283E-37</v>
      </c>
    </row>
    <row r="12772" spans="1:5" x14ac:dyDescent="0.25">
      <c r="A12772">
        <v>17</v>
      </c>
      <c r="B12772">
        <v>6</v>
      </c>
      <c r="C12772">
        <v>5</v>
      </c>
      <c r="D12772">
        <v>20</v>
      </c>
      <c r="E12772">
        <f t="shared" si="199"/>
        <v>5.9712561248265168E-36</v>
      </c>
    </row>
    <row r="12773" spans="1:5" x14ac:dyDescent="0.25">
      <c r="A12773">
        <v>17</v>
      </c>
      <c r="B12773">
        <v>6</v>
      </c>
      <c r="C12773">
        <v>6</v>
      </c>
      <c r="D12773">
        <v>19</v>
      </c>
      <c r="E12773">
        <f t="shared" si="199"/>
        <v>1.9904187082755049E-34</v>
      </c>
    </row>
    <row r="12774" spans="1:5" x14ac:dyDescent="0.25">
      <c r="A12774">
        <v>17</v>
      </c>
      <c r="B12774">
        <v>6</v>
      </c>
      <c r="C12774">
        <v>7</v>
      </c>
      <c r="D12774">
        <v>18</v>
      </c>
      <c r="E12774">
        <f t="shared" si="199"/>
        <v>4.5535905550547807E-33</v>
      </c>
    </row>
    <row r="12775" spans="1:5" x14ac:dyDescent="0.25">
      <c r="A12775">
        <v>17</v>
      </c>
      <c r="B12775">
        <v>6</v>
      </c>
      <c r="C12775">
        <v>8</v>
      </c>
      <c r="D12775">
        <v>17</v>
      </c>
      <c r="E12775">
        <f t="shared" si="199"/>
        <v>7.4280445929331091E-32</v>
      </c>
    </row>
    <row r="12776" spans="1:5" x14ac:dyDescent="0.25">
      <c r="A12776">
        <v>17</v>
      </c>
      <c r="B12776">
        <v>6</v>
      </c>
      <c r="C12776">
        <v>9</v>
      </c>
      <c r="D12776">
        <v>16</v>
      </c>
      <c r="E12776">
        <f t="shared" si="199"/>
        <v>8.886142235249607E-31</v>
      </c>
    </row>
    <row r="12777" spans="1:5" x14ac:dyDescent="0.25">
      <c r="A12777">
        <v>17</v>
      </c>
      <c r="B12777">
        <v>6</v>
      </c>
      <c r="C12777">
        <v>10</v>
      </c>
      <c r="D12777">
        <v>15</v>
      </c>
      <c r="E12777">
        <f t="shared" si="199"/>
        <v>7.9619834427836476E-30</v>
      </c>
    </row>
    <row r="12778" spans="1:5" x14ac:dyDescent="0.25">
      <c r="A12778">
        <v>17</v>
      </c>
      <c r="B12778">
        <v>6</v>
      </c>
      <c r="C12778">
        <v>11</v>
      </c>
      <c r="D12778">
        <v>14</v>
      </c>
      <c r="E12778">
        <f t="shared" si="199"/>
        <v>5.4286250746252157E-29</v>
      </c>
    </row>
    <row r="12779" spans="1:5" x14ac:dyDescent="0.25">
      <c r="A12779">
        <v>17</v>
      </c>
      <c r="B12779">
        <v>6</v>
      </c>
      <c r="C12779">
        <v>12</v>
      </c>
      <c r="D12779">
        <v>13</v>
      </c>
      <c r="E12779">
        <f t="shared" si="199"/>
        <v>2.8500281641782368E-28</v>
      </c>
    </row>
    <row r="12780" spans="1:5" x14ac:dyDescent="0.25">
      <c r="A12780">
        <v>17</v>
      </c>
      <c r="B12780">
        <v>6</v>
      </c>
      <c r="C12780">
        <v>13</v>
      </c>
      <c r="D12780">
        <v>12</v>
      </c>
      <c r="E12780">
        <f t="shared" si="199"/>
        <v>1.1619345592418973E-27</v>
      </c>
    </row>
    <row r="12781" spans="1:5" x14ac:dyDescent="0.25">
      <c r="A12781">
        <v>17</v>
      </c>
      <c r="B12781">
        <v>6</v>
      </c>
      <c r="C12781">
        <v>14</v>
      </c>
      <c r="D12781">
        <v>11</v>
      </c>
      <c r="E12781">
        <f t="shared" si="199"/>
        <v>3.6992202294231831E-27</v>
      </c>
    </row>
    <row r="12782" spans="1:5" x14ac:dyDescent="0.25">
      <c r="A12782">
        <v>17</v>
      </c>
      <c r="B12782">
        <v>6</v>
      </c>
      <c r="C12782">
        <v>15</v>
      </c>
      <c r="D12782">
        <v>10</v>
      </c>
      <c r="E12782">
        <f t="shared" si="199"/>
        <v>9.2233891053617976E-27</v>
      </c>
    </row>
    <row r="12783" spans="1:5" x14ac:dyDescent="0.25">
      <c r="A12783">
        <v>17</v>
      </c>
      <c r="B12783">
        <v>6</v>
      </c>
      <c r="C12783">
        <v>16</v>
      </c>
      <c r="D12783">
        <v>9</v>
      </c>
      <c r="E12783">
        <f t="shared" si="199"/>
        <v>1.8014431846409769E-26</v>
      </c>
    </row>
    <row r="12784" spans="1:5" x14ac:dyDescent="0.25">
      <c r="A12784">
        <v>17</v>
      </c>
      <c r="B12784">
        <v>6</v>
      </c>
      <c r="C12784">
        <v>17</v>
      </c>
      <c r="D12784">
        <v>8</v>
      </c>
      <c r="E12784">
        <f t="shared" si="199"/>
        <v>2.7489150326182392E-26</v>
      </c>
    </row>
    <row r="12785" spans="1:5" x14ac:dyDescent="0.25">
      <c r="A12785">
        <v>17</v>
      </c>
      <c r="B12785">
        <v>6</v>
      </c>
      <c r="C12785">
        <v>18</v>
      </c>
      <c r="D12785">
        <v>7</v>
      </c>
      <c r="E12785">
        <f t="shared" si="199"/>
        <v>3.2579733719919846E-26</v>
      </c>
    </row>
    <row r="12786" spans="1:5" x14ac:dyDescent="0.25">
      <c r="A12786">
        <v>17</v>
      </c>
      <c r="B12786">
        <v>6</v>
      </c>
      <c r="C12786">
        <v>19</v>
      </c>
      <c r="D12786">
        <v>6</v>
      </c>
      <c r="E12786">
        <f t="shared" si="199"/>
        <v>2.9691779484359086E-26</v>
      </c>
    </row>
    <row r="12787" spans="1:5" x14ac:dyDescent="0.25">
      <c r="A12787">
        <v>17</v>
      </c>
      <c r="B12787">
        <v>6</v>
      </c>
      <c r="C12787">
        <v>20</v>
      </c>
      <c r="D12787">
        <v>5</v>
      </c>
      <c r="E12787">
        <f t="shared" si="199"/>
        <v>2.0487327844207787E-26</v>
      </c>
    </row>
    <row r="12788" spans="1:5" x14ac:dyDescent="0.25">
      <c r="A12788">
        <v>17</v>
      </c>
      <c r="B12788">
        <v>6</v>
      </c>
      <c r="C12788">
        <v>21</v>
      </c>
      <c r="D12788">
        <v>4</v>
      </c>
      <c r="E12788">
        <f t="shared" si="199"/>
        <v>1.0452718287861105E-26</v>
      </c>
    </row>
    <row r="12789" spans="1:5" x14ac:dyDescent="0.25">
      <c r="A12789">
        <v>17</v>
      </c>
      <c r="B12789">
        <v>6</v>
      </c>
      <c r="C12789">
        <v>22</v>
      </c>
      <c r="D12789">
        <v>3</v>
      </c>
      <c r="E12789">
        <f t="shared" si="199"/>
        <v>3.8009884683131315E-27</v>
      </c>
    </row>
    <row r="12790" spans="1:5" x14ac:dyDescent="0.25">
      <c r="A12790">
        <v>17</v>
      </c>
      <c r="B12790">
        <v>6</v>
      </c>
      <c r="C12790">
        <v>23</v>
      </c>
      <c r="D12790">
        <v>2</v>
      </c>
      <c r="E12790">
        <f t="shared" si="199"/>
        <v>9.268951085300451E-28</v>
      </c>
    </row>
    <row r="12791" spans="1:5" x14ac:dyDescent="0.25">
      <c r="A12791">
        <v>17</v>
      </c>
      <c r="B12791">
        <v>6</v>
      </c>
      <c r="C12791">
        <v>24</v>
      </c>
      <c r="D12791">
        <v>1</v>
      </c>
      <c r="E12791">
        <f t="shared" si="199"/>
        <v>1.3517220332729825E-28</v>
      </c>
    </row>
    <row r="12792" spans="1:5" x14ac:dyDescent="0.25">
      <c r="A12792">
        <v>17</v>
      </c>
      <c r="B12792">
        <v>6</v>
      </c>
      <c r="C12792">
        <v>25</v>
      </c>
      <c r="D12792">
        <v>0</v>
      </c>
      <c r="E12792">
        <f t="shared" si="199"/>
        <v>8.8672965382707674E-30</v>
      </c>
    </row>
    <row r="12793" spans="1:5" x14ac:dyDescent="0.25">
      <c r="A12793">
        <v>17</v>
      </c>
      <c r="B12793">
        <v>7</v>
      </c>
      <c r="C12793">
        <v>0</v>
      </c>
      <c r="D12793">
        <v>24</v>
      </c>
      <c r="E12793">
        <f t="shared" si="199"/>
        <v>1.3752451736342015E-44</v>
      </c>
    </row>
    <row r="12794" spans="1:5" x14ac:dyDescent="0.25">
      <c r="A12794">
        <v>17</v>
      </c>
      <c r="B12794">
        <v>7</v>
      </c>
      <c r="C12794">
        <v>1</v>
      </c>
      <c r="D12794">
        <v>23</v>
      </c>
      <c r="E12794">
        <f t="shared" si="199"/>
        <v>1.072691235434677E-41</v>
      </c>
    </row>
    <row r="12795" spans="1:5" x14ac:dyDescent="0.25">
      <c r="A12795">
        <v>17</v>
      </c>
      <c r="B12795">
        <v>7</v>
      </c>
      <c r="C12795">
        <v>2</v>
      </c>
      <c r="D12795">
        <v>22</v>
      </c>
      <c r="E12795">
        <f t="shared" si="199"/>
        <v>2.6316691642664076E-39</v>
      </c>
    </row>
    <row r="12796" spans="1:5" x14ac:dyDescent="0.25">
      <c r="A12796">
        <v>17</v>
      </c>
      <c r="B12796">
        <v>7</v>
      </c>
      <c r="C12796">
        <v>3</v>
      </c>
      <c r="D12796">
        <v>21</v>
      </c>
      <c r="E12796">
        <f t="shared" si="199"/>
        <v>3.0395778847277012E-37</v>
      </c>
    </row>
    <row r="12797" spans="1:5" x14ac:dyDescent="0.25">
      <c r="A12797">
        <v>17</v>
      </c>
      <c r="B12797">
        <v>7</v>
      </c>
      <c r="C12797">
        <v>4</v>
      </c>
      <c r="D12797">
        <v>20</v>
      </c>
      <c r="E12797">
        <f t="shared" si="199"/>
        <v>1.9787652029577331E-35</v>
      </c>
    </row>
    <row r="12798" spans="1:5" x14ac:dyDescent="0.25">
      <c r="A12798">
        <v>17</v>
      </c>
      <c r="B12798">
        <v>7</v>
      </c>
      <c r="C12798">
        <v>5</v>
      </c>
      <c r="D12798">
        <v>19</v>
      </c>
      <c r="E12798">
        <f t="shared" si="199"/>
        <v>8.0469784920281149E-34</v>
      </c>
    </row>
    <row r="12799" spans="1:5" x14ac:dyDescent="0.25">
      <c r="A12799">
        <v>17</v>
      </c>
      <c r="B12799">
        <v>7</v>
      </c>
      <c r="C12799">
        <v>6</v>
      </c>
      <c r="D12799">
        <v>18</v>
      </c>
      <c r="E12799">
        <f t="shared" si="199"/>
        <v>2.1841798764076319E-32</v>
      </c>
    </row>
    <row r="12800" spans="1:5" x14ac:dyDescent="0.25">
      <c r="A12800">
        <v>17</v>
      </c>
      <c r="B12800">
        <v>7</v>
      </c>
      <c r="C12800">
        <v>7</v>
      </c>
      <c r="D12800">
        <v>17</v>
      </c>
      <c r="E12800">
        <f t="shared" si="199"/>
        <v>4.1421411227587587E-31</v>
      </c>
    </row>
    <row r="12801" spans="1:5" x14ac:dyDescent="0.25">
      <c r="A12801">
        <v>17</v>
      </c>
      <c r="B12801">
        <v>7</v>
      </c>
      <c r="C12801">
        <v>8</v>
      </c>
      <c r="D12801">
        <v>16</v>
      </c>
      <c r="E12801">
        <f t="shared" si="199"/>
        <v>5.6724321486668563E-30</v>
      </c>
    </row>
    <row r="12802" spans="1:5" x14ac:dyDescent="0.25">
      <c r="A12802">
        <v>17</v>
      </c>
      <c r="B12802">
        <v>7</v>
      </c>
      <c r="C12802">
        <v>9</v>
      </c>
      <c r="D12802">
        <v>15</v>
      </c>
      <c r="E12802">
        <f t="shared" si="199"/>
        <v>5.7480645773157458E-29</v>
      </c>
    </row>
    <row r="12803" spans="1:5" x14ac:dyDescent="0.25">
      <c r="A12803">
        <v>17</v>
      </c>
      <c r="B12803">
        <v>7</v>
      </c>
      <c r="C12803">
        <v>10</v>
      </c>
      <c r="D12803">
        <v>14</v>
      </c>
      <c r="E12803">
        <f t="shared" si="199"/>
        <v>4.389431131768389E-28</v>
      </c>
    </row>
    <row r="12804" spans="1:5" x14ac:dyDescent="0.25">
      <c r="A12804">
        <v>17</v>
      </c>
      <c r="B12804">
        <v>7</v>
      </c>
      <c r="C12804">
        <v>11</v>
      </c>
      <c r="D12804">
        <v>13</v>
      </c>
      <c r="E12804">
        <f t="shared" si="199"/>
        <v>2.560501493531561E-27</v>
      </c>
    </row>
    <row r="12805" spans="1:5" x14ac:dyDescent="0.25">
      <c r="A12805">
        <v>17</v>
      </c>
      <c r="B12805">
        <v>7</v>
      </c>
      <c r="C12805">
        <v>12</v>
      </c>
      <c r="D12805">
        <v>12</v>
      </c>
      <c r="E12805">
        <f t="shared" si="199"/>
        <v>1.1522256720892016E-26</v>
      </c>
    </row>
    <row r="12806" spans="1:5" x14ac:dyDescent="0.25">
      <c r="A12806">
        <v>17</v>
      </c>
      <c r="B12806">
        <v>7</v>
      </c>
      <c r="C12806">
        <v>13</v>
      </c>
      <c r="D12806">
        <v>11</v>
      </c>
      <c r="E12806">
        <f t="shared" si="199"/>
        <v>4.0264589420260027E-26</v>
      </c>
    </row>
    <row r="12807" spans="1:5" x14ac:dyDescent="0.25">
      <c r="A12807">
        <v>17</v>
      </c>
      <c r="B12807">
        <v>7</v>
      </c>
      <c r="C12807">
        <v>14</v>
      </c>
      <c r="D12807">
        <v>10</v>
      </c>
      <c r="E12807">
        <f t="shared" si="199"/>
        <v>1.0967307213518446E-25</v>
      </c>
    </row>
    <row r="12808" spans="1:5" x14ac:dyDescent="0.25">
      <c r="A12808">
        <v>17</v>
      </c>
      <c r="B12808">
        <v>7</v>
      </c>
      <c r="C12808">
        <v>15</v>
      </c>
      <c r="D12808">
        <v>9</v>
      </c>
      <c r="E12808">
        <f t="shared" si="199"/>
        <v>2.3305527828726693E-25</v>
      </c>
    </row>
    <row r="12809" spans="1:5" x14ac:dyDescent="0.25">
      <c r="A12809">
        <v>17</v>
      </c>
      <c r="B12809">
        <v>7</v>
      </c>
      <c r="C12809">
        <v>16</v>
      </c>
      <c r="D12809">
        <v>8</v>
      </c>
      <c r="E12809">
        <f t="shared" si="199"/>
        <v>3.8556939422525783E-25</v>
      </c>
    </row>
    <row r="12810" spans="1:5" x14ac:dyDescent="0.25">
      <c r="A12810">
        <v>17</v>
      </c>
      <c r="B12810">
        <v>7</v>
      </c>
      <c r="C12810">
        <v>17</v>
      </c>
      <c r="D12810">
        <v>7</v>
      </c>
      <c r="E12810">
        <f t="shared" si="199"/>
        <v>4.9393203443235688E-25</v>
      </c>
    </row>
    <row r="12811" spans="1:5" x14ac:dyDescent="0.25">
      <c r="A12811">
        <v>17</v>
      </c>
      <c r="B12811">
        <v>7</v>
      </c>
      <c r="C12811">
        <v>18</v>
      </c>
      <c r="D12811">
        <v>6</v>
      </c>
      <c r="E12811">
        <f t="shared" si="199"/>
        <v>4.8526656014406921E-25</v>
      </c>
    </row>
    <row r="12812" spans="1:5" x14ac:dyDescent="0.25">
      <c r="A12812">
        <v>17</v>
      </c>
      <c r="B12812">
        <v>7</v>
      </c>
      <c r="C12812">
        <v>19</v>
      </c>
      <c r="D12812">
        <v>5</v>
      </c>
      <c r="E12812">
        <f t="shared" si="199"/>
        <v>3.6011886831744095E-25</v>
      </c>
    </row>
    <row r="12813" spans="1:5" x14ac:dyDescent="0.25">
      <c r="A12813">
        <v>17</v>
      </c>
      <c r="B12813">
        <v>7</v>
      </c>
      <c r="C12813">
        <v>20</v>
      </c>
      <c r="D12813">
        <v>4</v>
      </c>
      <c r="E12813">
        <f t="shared" si="199"/>
        <v>1.9720795169764644E-25</v>
      </c>
    </row>
    <row r="12814" spans="1:5" x14ac:dyDescent="0.25">
      <c r="A12814">
        <v>17</v>
      </c>
      <c r="B12814">
        <v>7</v>
      </c>
      <c r="C12814">
        <v>21</v>
      </c>
      <c r="D12814">
        <v>3</v>
      </c>
      <c r="E12814">
        <f t="shared" ref="E12814:E12877" si="200">COMBIN(A$4,A12814)*COMBIN(B$4,B12814)*COMBIN(C$4,C12814)*COMBIN(D$4,D12814)/COMBIN($G$4,$F$4)</f>
        <v>7.6834266895186833E-26</v>
      </c>
    </row>
    <row r="12815" spans="1:5" x14ac:dyDescent="0.25">
      <c r="A12815">
        <v>17</v>
      </c>
      <c r="B12815">
        <v>7</v>
      </c>
      <c r="C12815">
        <v>22</v>
      </c>
      <c r="D12815">
        <v>2</v>
      </c>
      <c r="E12815">
        <f t="shared" si="200"/>
        <v>2.0043721798744403E-26</v>
      </c>
    </row>
    <row r="12816" spans="1:5" x14ac:dyDescent="0.25">
      <c r="A12816">
        <v>17</v>
      </c>
      <c r="B12816">
        <v>7</v>
      </c>
      <c r="C12816">
        <v>23</v>
      </c>
      <c r="D12816">
        <v>1</v>
      </c>
      <c r="E12816">
        <f t="shared" si="200"/>
        <v>3.1227537585000332E-27</v>
      </c>
    </row>
    <row r="12817" spans="1:5" x14ac:dyDescent="0.25">
      <c r="A12817">
        <v>17</v>
      </c>
      <c r="B12817">
        <v>7</v>
      </c>
      <c r="C12817">
        <v>24</v>
      </c>
      <c r="D12817">
        <v>0</v>
      </c>
      <c r="E12817">
        <f t="shared" si="200"/>
        <v>2.1859276309500232E-28</v>
      </c>
    </row>
    <row r="12818" spans="1:5" x14ac:dyDescent="0.25">
      <c r="A12818">
        <v>17</v>
      </c>
      <c r="B12818">
        <v>8</v>
      </c>
      <c r="C12818">
        <v>0</v>
      </c>
      <c r="D12818">
        <v>23</v>
      </c>
      <c r="E12818">
        <f t="shared" si="200"/>
        <v>5.817287084472671E-42</v>
      </c>
    </row>
    <row r="12819" spans="1:5" x14ac:dyDescent="0.25">
      <c r="A12819">
        <v>17</v>
      </c>
      <c r="B12819">
        <v>8</v>
      </c>
      <c r="C12819">
        <v>1</v>
      </c>
      <c r="D12819">
        <v>22</v>
      </c>
      <c r="E12819">
        <f t="shared" si="200"/>
        <v>2.8989480637622147E-39</v>
      </c>
    </row>
    <row r="12820" spans="1:5" x14ac:dyDescent="0.25">
      <c r="A12820">
        <v>17</v>
      </c>
      <c r="B12820">
        <v>8</v>
      </c>
      <c r="C12820">
        <v>2</v>
      </c>
      <c r="D12820">
        <v>21</v>
      </c>
      <c r="E12820">
        <f t="shared" si="200"/>
        <v>5.1021485922214994E-37</v>
      </c>
    </row>
    <row r="12821" spans="1:5" x14ac:dyDescent="0.25">
      <c r="A12821">
        <v>17</v>
      </c>
      <c r="B12821">
        <v>8</v>
      </c>
      <c r="C12821">
        <v>3</v>
      </c>
      <c r="D12821">
        <v>20</v>
      </c>
      <c r="E12821">
        <f t="shared" si="200"/>
        <v>4.5000950583393605E-35</v>
      </c>
    </row>
    <row r="12822" spans="1:5" x14ac:dyDescent="0.25">
      <c r="A12822">
        <v>17</v>
      </c>
      <c r="B12822">
        <v>8</v>
      </c>
      <c r="C12822">
        <v>4</v>
      </c>
      <c r="D12822">
        <v>19</v>
      </c>
      <c r="E12822">
        <f t="shared" si="200"/>
        <v>2.3250491134753364E-33</v>
      </c>
    </row>
    <row r="12823" spans="1:5" x14ac:dyDescent="0.25">
      <c r="A12823">
        <v>17</v>
      </c>
      <c r="B12823">
        <v>8</v>
      </c>
      <c r="C12823">
        <v>5</v>
      </c>
      <c r="D12823">
        <v>18</v>
      </c>
      <c r="E12823">
        <f t="shared" si="200"/>
        <v>7.6992340643369032E-32</v>
      </c>
    </row>
    <row r="12824" spans="1:5" x14ac:dyDescent="0.25">
      <c r="A12824">
        <v>17</v>
      </c>
      <c r="B12824">
        <v>8</v>
      </c>
      <c r="C12824">
        <v>6</v>
      </c>
      <c r="D12824">
        <v>17</v>
      </c>
      <c r="E12824">
        <f t="shared" si="200"/>
        <v>1.732327664475803E-30</v>
      </c>
    </row>
    <row r="12825" spans="1:5" x14ac:dyDescent="0.25">
      <c r="A12825">
        <v>17</v>
      </c>
      <c r="B12825">
        <v>8</v>
      </c>
      <c r="C12825">
        <v>7</v>
      </c>
      <c r="D12825">
        <v>16</v>
      </c>
      <c r="E12825">
        <f t="shared" si="200"/>
        <v>2.7579756309035395E-29</v>
      </c>
    </row>
    <row r="12826" spans="1:5" x14ac:dyDescent="0.25">
      <c r="A12826">
        <v>17</v>
      </c>
      <c r="B12826">
        <v>8</v>
      </c>
      <c r="C12826">
        <v>8</v>
      </c>
      <c r="D12826">
        <v>15</v>
      </c>
      <c r="E12826">
        <f t="shared" si="200"/>
        <v>3.1992517318481064E-28</v>
      </c>
    </row>
    <row r="12827" spans="1:5" x14ac:dyDescent="0.25">
      <c r="A12827">
        <v>17</v>
      </c>
      <c r="B12827">
        <v>8</v>
      </c>
      <c r="C12827">
        <v>9</v>
      </c>
      <c r="D12827">
        <v>14</v>
      </c>
      <c r="E12827">
        <f t="shared" si="200"/>
        <v>2.7629901320506374E-27</v>
      </c>
    </row>
    <row r="12828" spans="1:5" x14ac:dyDescent="0.25">
      <c r="A12828">
        <v>17</v>
      </c>
      <c r="B12828">
        <v>8</v>
      </c>
      <c r="C12828">
        <v>10</v>
      </c>
      <c r="D12828">
        <v>13</v>
      </c>
      <c r="E12828">
        <f t="shared" si="200"/>
        <v>1.8051535529397502E-26</v>
      </c>
    </row>
    <row r="12829" spans="1:5" x14ac:dyDescent="0.25">
      <c r="A12829">
        <v>17</v>
      </c>
      <c r="B12829">
        <v>8</v>
      </c>
      <c r="C12829">
        <v>11</v>
      </c>
      <c r="D12829">
        <v>12</v>
      </c>
      <c r="E12829">
        <f t="shared" si="200"/>
        <v>9.0257677646987517E-26</v>
      </c>
    </row>
    <row r="12830" spans="1:5" x14ac:dyDescent="0.25">
      <c r="A12830">
        <v>17</v>
      </c>
      <c r="B12830">
        <v>8</v>
      </c>
      <c r="C12830">
        <v>12</v>
      </c>
      <c r="D12830">
        <v>11</v>
      </c>
      <c r="E12830">
        <f t="shared" si="200"/>
        <v>3.4813675663838015E-25</v>
      </c>
    </row>
    <row r="12831" spans="1:5" x14ac:dyDescent="0.25">
      <c r="A12831">
        <v>17</v>
      </c>
      <c r="B12831">
        <v>8</v>
      </c>
      <c r="C12831">
        <v>13</v>
      </c>
      <c r="D12831">
        <v>10</v>
      </c>
      <c r="E12831">
        <f t="shared" si="200"/>
        <v>1.0408396365137216E-24</v>
      </c>
    </row>
    <row r="12832" spans="1:5" x14ac:dyDescent="0.25">
      <c r="A12832">
        <v>17</v>
      </c>
      <c r="B12832">
        <v>8</v>
      </c>
      <c r="C12832">
        <v>14</v>
      </c>
      <c r="D12832">
        <v>9</v>
      </c>
      <c r="E12832">
        <f t="shared" si="200"/>
        <v>2.4162348704782828E-24</v>
      </c>
    </row>
    <row r="12833" spans="1:5" x14ac:dyDescent="0.25">
      <c r="A12833">
        <v>17</v>
      </c>
      <c r="B12833">
        <v>8</v>
      </c>
      <c r="C12833">
        <v>15</v>
      </c>
      <c r="D12833">
        <v>8</v>
      </c>
      <c r="E12833">
        <f t="shared" si="200"/>
        <v>4.3492227668609067E-24</v>
      </c>
    </row>
    <row r="12834" spans="1:5" x14ac:dyDescent="0.25">
      <c r="A12834">
        <v>17</v>
      </c>
      <c r="B12834">
        <v>8</v>
      </c>
      <c r="C12834">
        <v>16</v>
      </c>
      <c r="D12834">
        <v>7</v>
      </c>
      <c r="E12834">
        <f t="shared" si="200"/>
        <v>6.0405871761957066E-24</v>
      </c>
    </row>
    <row r="12835" spans="1:5" x14ac:dyDescent="0.25">
      <c r="A12835">
        <v>17</v>
      </c>
      <c r="B12835">
        <v>8</v>
      </c>
      <c r="C12835">
        <v>17</v>
      </c>
      <c r="D12835">
        <v>6</v>
      </c>
      <c r="E12835">
        <f t="shared" si="200"/>
        <v>6.4146173419044205E-24</v>
      </c>
    </row>
    <row r="12836" spans="1:5" x14ac:dyDescent="0.25">
      <c r="A12836">
        <v>17</v>
      </c>
      <c r="B12836">
        <v>8</v>
      </c>
      <c r="C12836">
        <v>18</v>
      </c>
      <c r="D12836">
        <v>5</v>
      </c>
      <c r="E12836">
        <f t="shared" si="200"/>
        <v>5.1316938735235313E-24</v>
      </c>
    </row>
    <row r="12837" spans="1:5" x14ac:dyDescent="0.25">
      <c r="A12837">
        <v>17</v>
      </c>
      <c r="B12837">
        <v>8</v>
      </c>
      <c r="C12837">
        <v>19</v>
      </c>
      <c r="D12837">
        <v>4</v>
      </c>
      <c r="E12837">
        <f t="shared" si="200"/>
        <v>3.0224262162356661E-24</v>
      </c>
    </row>
    <row r="12838" spans="1:5" x14ac:dyDescent="0.25">
      <c r="A12838">
        <v>17</v>
      </c>
      <c r="B12838">
        <v>8</v>
      </c>
      <c r="C12838">
        <v>20</v>
      </c>
      <c r="D12838">
        <v>3</v>
      </c>
      <c r="E12838">
        <f t="shared" si="200"/>
        <v>1.2639236904258247E-24</v>
      </c>
    </row>
    <row r="12839" spans="1:5" x14ac:dyDescent="0.25">
      <c r="A12839">
        <v>17</v>
      </c>
      <c r="B12839">
        <v>8</v>
      </c>
      <c r="C12839">
        <v>21</v>
      </c>
      <c r="D12839">
        <v>2</v>
      </c>
      <c r="E12839">
        <f t="shared" si="200"/>
        <v>3.5327059670286984E-25</v>
      </c>
    </row>
    <row r="12840" spans="1:5" x14ac:dyDescent="0.25">
      <c r="A12840">
        <v>17</v>
      </c>
      <c r="B12840">
        <v>8</v>
      </c>
      <c r="C12840">
        <v>22</v>
      </c>
      <c r="D12840">
        <v>1</v>
      </c>
      <c r="E12840">
        <f t="shared" si="200"/>
        <v>5.8878432783811686E-26</v>
      </c>
    </row>
    <row r="12841" spans="1:5" x14ac:dyDescent="0.25">
      <c r="A12841">
        <v>17</v>
      </c>
      <c r="B12841">
        <v>8</v>
      </c>
      <c r="C12841">
        <v>23</v>
      </c>
      <c r="D12841">
        <v>0</v>
      </c>
      <c r="E12841">
        <f t="shared" si="200"/>
        <v>4.4030827994850459E-27</v>
      </c>
    </row>
    <row r="12842" spans="1:5" x14ac:dyDescent="0.25">
      <c r="A12842">
        <v>17</v>
      </c>
      <c r="B12842">
        <v>9</v>
      </c>
      <c r="C12842">
        <v>0</v>
      </c>
      <c r="D12842">
        <v>22</v>
      </c>
      <c r="E12842">
        <f t="shared" si="200"/>
        <v>1.3924861639609956E-39</v>
      </c>
    </row>
    <row r="12843" spans="1:5" x14ac:dyDescent="0.25">
      <c r="A12843">
        <v>17</v>
      </c>
      <c r="B12843">
        <v>9</v>
      </c>
      <c r="C12843">
        <v>1</v>
      </c>
      <c r="D12843">
        <v>21</v>
      </c>
      <c r="E12843">
        <f t="shared" si="200"/>
        <v>4.9781380361605592E-37</v>
      </c>
    </row>
    <row r="12844" spans="1:5" x14ac:dyDescent="0.25">
      <c r="A12844">
        <v>17</v>
      </c>
      <c r="B12844">
        <v>9</v>
      </c>
      <c r="C12844">
        <v>2</v>
      </c>
      <c r="D12844">
        <v>20</v>
      </c>
      <c r="E12844">
        <f t="shared" si="200"/>
        <v>6.6906175205997897E-35</v>
      </c>
    </row>
    <row r="12845" spans="1:5" x14ac:dyDescent="0.25">
      <c r="A12845">
        <v>17</v>
      </c>
      <c r="B12845">
        <v>9</v>
      </c>
      <c r="C12845">
        <v>3</v>
      </c>
      <c r="D12845">
        <v>19</v>
      </c>
      <c r="E12845">
        <f t="shared" si="200"/>
        <v>4.6834322644198527E-33</v>
      </c>
    </row>
    <row r="12846" spans="1:5" x14ac:dyDescent="0.25">
      <c r="A12846">
        <v>17</v>
      </c>
      <c r="B12846">
        <v>9</v>
      </c>
      <c r="C12846">
        <v>4</v>
      </c>
      <c r="D12846">
        <v>18</v>
      </c>
      <c r="E12846">
        <f t="shared" si="200"/>
        <v>1.970386859816639E-31</v>
      </c>
    </row>
    <row r="12847" spans="1:5" x14ac:dyDescent="0.25">
      <c r="A12847">
        <v>17</v>
      </c>
      <c r="B12847">
        <v>9</v>
      </c>
      <c r="C12847">
        <v>5</v>
      </c>
      <c r="D12847">
        <v>17</v>
      </c>
      <c r="E12847">
        <f t="shared" si="200"/>
        <v>5.4087119301966735E-30</v>
      </c>
    </row>
    <row r="12848" spans="1:5" x14ac:dyDescent="0.25">
      <c r="A12848">
        <v>17</v>
      </c>
      <c r="B12848">
        <v>9</v>
      </c>
      <c r="C12848">
        <v>6</v>
      </c>
      <c r="D12848">
        <v>16</v>
      </c>
      <c r="E12848">
        <f t="shared" si="200"/>
        <v>1.021645586814927E-28</v>
      </c>
    </row>
    <row r="12849" spans="1:5" x14ac:dyDescent="0.25">
      <c r="A12849">
        <v>17</v>
      </c>
      <c r="B12849">
        <v>9</v>
      </c>
      <c r="C12849">
        <v>7</v>
      </c>
      <c r="D12849">
        <v>15</v>
      </c>
      <c r="E12849">
        <f t="shared" si="200"/>
        <v>1.3777620485047014E-27</v>
      </c>
    </row>
    <row r="12850" spans="1:5" x14ac:dyDescent="0.25">
      <c r="A12850">
        <v>17</v>
      </c>
      <c r="B12850">
        <v>9</v>
      </c>
      <c r="C12850">
        <v>8</v>
      </c>
      <c r="D12850">
        <v>14</v>
      </c>
      <c r="E12850">
        <f t="shared" si="200"/>
        <v>1.3621056615898756E-26</v>
      </c>
    </row>
    <row r="12851" spans="1:5" x14ac:dyDescent="0.25">
      <c r="A12851">
        <v>17</v>
      </c>
      <c r="B12851">
        <v>9</v>
      </c>
      <c r="C12851">
        <v>9</v>
      </c>
      <c r="D12851">
        <v>13</v>
      </c>
      <c r="E12851">
        <f t="shared" si="200"/>
        <v>1.0064447388414081E-25</v>
      </c>
    </row>
    <row r="12852" spans="1:5" x14ac:dyDescent="0.25">
      <c r="A12852">
        <v>17</v>
      </c>
      <c r="B12852">
        <v>9</v>
      </c>
      <c r="C12852">
        <v>10</v>
      </c>
      <c r="D12852">
        <v>12</v>
      </c>
      <c r="E12852">
        <f t="shared" si="200"/>
        <v>5.6360905375118865E-25</v>
      </c>
    </row>
    <row r="12853" spans="1:5" x14ac:dyDescent="0.25">
      <c r="A12853">
        <v>17</v>
      </c>
      <c r="B12853">
        <v>9</v>
      </c>
      <c r="C12853">
        <v>11</v>
      </c>
      <c r="D12853">
        <v>11</v>
      </c>
      <c r="E12853">
        <f t="shared" si="200"/>
        <v>2.4154673732193801E-24</v>
      </c>
    </row>
    <row r="12854" spans="1:5" x14ac:dyDescent="0.25">
      <c r="A12854">
        <v>17</v>
      </c>
      <c r="B12854">
        <v>9</v>
      </c>
      <c r="C12854">
        <v>12</v>
      </c>
      <c r="D12854">
        <v>10</v>
      </c>
      <c r="E12854">
        <f t="shared" si="200"/>
        <v>7.9710423316239476E-24</v>
      </c>
    </row>
    <row r="12855" spans="1:5" x14ac:dyDescent="0.25">
      <c r="A12855">
        <v>17</v>
      </c>
      <c r="B12855">
        <v>9</v>
      </c>
      <c r="C12855">
        <v>13</v>
      </c>
      <c r="D12855">
        <v>9</v>
      </c>
      <c r="E12855">
        <f t="shared" si="200"/>
        <v>2.0310829018080265E-23</v>
      </c>
    </row>
    <row r="12856" spans="1:5" x14ac:dyDescent="0.25">
      <c r="A12856">
        <v>17</v>
      </c>
      <c r="B12856">
        <v>9</v>
      </c>
      <c r="C12856">
        <v>14</v>
      </c>
      <c r="D12856">
        <v>8</v>
      </c>
      <c r="E12856">
        <f t="shared" si="200"/>
        <v>3.9938941094376319E-23</v>
      </c>
    </row>
    <row r="12857" spans="1:5" x14ac:dyDescent="0.25">
      <c r="A12857">
        <v>17</v>
      </c>
      <c r="B12857">
        <v>9</v>
      </c>
      <c r="C12857">
        <v>15</v>
      </c>
      <c r="D12857">
        <v>7</v>
      </c>
      <c r="E12857">
        <f t="shared" si="200"/>
        <v>6.0352177653724208E-23</v>
      </c>
    </row>
    <row r="12858" spans="1:5" x14ac:dyDescent="0.25">
      <c r="A12858">
        <v>17</v>
      </c>
      <c r="B12858">
        <v>9</v>
      </c>
      <c r="C12858">
        <v>16</v>
      </c>
      <c r="D12858">
        <v>6</v>
      </c>
      <c r="E12858">
        <f t="shared" si="200"/>
        <v>6.9484415061853512E-23</v>
      </c>
    </row>
    <row r="12859" spans="1:5" x14ac:dyDescent="0.25">
      <c r="A12859">
        <v>17</v>
      </c>
      <c r="B12859">
        <v>9</v>
      </c>
      <c r="C12859">
        <v>17</v>
      </c>
      <c r="D12859">
        <v>5</v>
      </c>
      <c r="E12859">
        <f t="shared" si="200"/>
        <v>6.0083582435838071E-23</v>
      </c>
    </row>
    <row r="12860" spans="1:5" x14ac:dyDescent="0.25">
      <c r="A12860">
        <v>17</v>
      </c>
      <c r="B12860">
        <v>9</v>
      </c>
      <c r="C12860">
        <v>18</v>
      </c>
      <c r="D12860">
        <v>4</v>
      </c>
      <c r="E12860">
        <f t="shared" si="200"/>
        <v>3.8148306308468589E-23</v>
      </c>
    </row>
    <row r="12861" spans="1:5" x14ac:dyDescent="0.25">
      <c r="A12861">
        <v>17</v>
      </c>
      <c r="B12861">
        <v>9</v>
      </c>
      <c r="C12861">
        <v>19</v>
      </c>
      <c r="D12861">
        <v>3</v>
      </c>
      <c r="E12861">
        <f t="shared" si="200"/>
        <v>1.7157611449741858E-23</v>
      </c>
    </row>
    <row r="12862" spans="1:5" x14ac:dyDescent="0.25">
      <c r="A12862">
        <v>17</v>
      </c>
      <c r="B12862">
        <v>9</v>
      </c>
      <c r="C12862">
        <v>20</v>
      </c>
      <c r="D12862">
        <v>2</v>
      </c>
      <c r="E12862">
        <f t="shared" si="200"/>
        <v>5.1472834349225621E-24</v>
      </c>
    </row>
    <row r="12863" spans="1:5" x14ac:dyDescent="0.25">
      <c r="A12863">
        <v>17</v>
      </c>
      <c r="B12863">
        <v>9</v>
      </c>
      <c r="C12863">
        <v>21</v>
      </c>
      <c r="D12863">
        <v>1</v>
      </c>
      <c r="E12863">
        <f t="shared" si="200"/>
        <v>9.1915775623617062E-25</v>
      </c>
    </row>
    <row r="12864" spans="1:5" x14ac:dyDescent="0.25">
      <c r="A12864">
        <v>17</v>
      </c>
      <c r="B12864">
        <v>9</v>
      </c>
      <c r="C12864">
        <v>22</v>
      </c>
      <c r="D12864">
        <v>0</v>
      </c>
      <c r="E12864">
        <f t="shared" si="200"/>
        <v>7.3532620498893702E-26</v>
      </c>
    </row>
    <row r="12865" spans="1:5" x14ac:dyDescent="0.25">
      <c r="A12865">
        <v>17</v>
      </c>
      <c r="B12865">
        <v>10</v>
      </c>
      <c r="C12865">
        <v>0</v>
      </c>
      <c r="D12865">
        <v>21</v>
      </c>
      <c r="E12865">
        <f t="shared" si="200"/>
        <v>2.1444286924999334E-37</v>
      </c>
    </row>
    <row r="12866" spans="1:5" x14ac:dyDescent="0.25">
      <c r="A12866">
        <v>17</v>
      </c>
      <c r="B12866">
        <v>10</v>
      </c>
      <c r="C12866">
        <v>1</v>
      </c>
      <c r="D12866">
        <v>20</v>
      </c>
      <c r="E12866">
        <f t="shared" si="200"/>
        <v>5.8542903305248155E-35</v>
      </c>
    </row>
    <row r="12867" spans="1:5" x14ac:dyDescent="0.25">
      <c r="A12867">
        <v>17</v>
      </c>
      <c r="B12867">
        <v>10</v>
      </c>
      <c r="C12867">
        <v>2</v>
      </c>
      <c r="D12867">
        <v>19</v>
      </c>
      <c r="E12867">
        <f t="shared" si="200"/>
        <v>6.2445763525598045E-33</v>
      </c>
    </row>
    <row r="12868" spans="1:5" x14ac:dyDescent="0.25">
      <c r="A12868">
        <v>17</v>
      </c>
      <c r="B12868">
        <v>10</v>
      </c>
      <c r="C12868">
        <v>3</v>
      </c>
      <c r="D12868">
        <v>18</v>
      </c>
      <c r="E12868">
        <f t="shared" si="200"/>
        <v>3.5594085209590895E-31</v>
      </c>
    </row>
    <row r="12869" spans="1:5" x14ac:dyDescent="0.25">
      <c r="A12869">
        <v>17</v>
      </c>
      <c r="B12869">
        <v>10</v>
      </c>
      <c r="C12869">
        <v>4</v>
      </c>
      <c r="D12869">
        <v>17</v>
      </c>
      <c r="E12869">
        <f t="shared" si="200"/>
        <v>1.2413437216844823E-29</v>
      </c>
    </row>
    <row r="12870" spans="1:5" x14ac:dyDescent="0.25">
      <c r="A12870">
        <v>17</v>
      </c>
      <c r="B12870">
        <v>10</v>
      </c>
      <c r="C12870">
        <v>5</v>
      </c>
      <c r="D12870">
        <v>16</v>
      </c>
      <c r="E12870">
        <f t="shared" si="200"/>
        <v>2.8606076430817958E-28</v>
      </c>
    </row>
    <row r="12871" spans="1:5" x14ac:dyDescent="0.25">
      <c r="A12871">
        <v>17</v>
      </c>
      <c r="B12871">
        <v>10</v>
      </c>
      <c r="C12871">
        <v>6</v>
      </c>
      <c r="D12871">
        <v>15</v>
      </c>
      <c r="E12871">
        <f t="shared" si="200"/>
        <v>4.5769722289308725E-27</v>
      </c>
    </row>
    <row r="12872" spans="1:5" x14ac:dyDescent="0.25">
      <c r="A12872">
        <v>17</v>
      </c>
      <c r="B12872">
        <v>10</v>
      </c>
      <c r="C12872">
        <v>7</v>
      </c>
      <c r="D12872">
        <v>14</v>
      </c>
      <c r="E12872">
        <f t="shared" si="200"/>
        <v>5.260546003381588E-26</v>
      </c>
    </row>
    <row r="12873" spans="1:5" x14ac:dyDescent="0.25">
      <c r="A12873">
        <v>17</v>
      </c>
      <c r="B12873">
        <v>10</v>
      </c>
      <c r="C12873">
        <v>8</v>
      </c>
      <c r="D12873">
        <v>13</v>
      </c>
      <c r="E12873">
        <f t="shared" si="200"/>
        <v>4.4495451611935945E-25</v>
      </c>
    </row>
    <row r="12874" spans="1:5" x14ac:dyDescent="0.25">
      <c r="A12874">
        <v>17</v>
      </c>
      <c r="B12874">
        <v>10</v>
      </c>
      <c r="C12874">
        <v>9</v>
      </c>
      <c r="D12874">
        <v>12</v>
      </c>
      <c r="E12874">
        <f t="shared" si="200"/>
        <v>2.8180452687559428E-24</v>
      </c>
    </row>
    <row r="12875" spans="1:5" x14ac:dyDescent="0.25">
      <c r="A12875">
        <v>17</v>
      </c>
      <c r="B12875">
        <v>10</v>
      </c>
      <c r="C12875">
        <v>10</v>
      </c>
      <c r="D12875">
        <v>11</v>
      </c>
      <c r="E12875">
        <f t="shared" si="200"/>
        <v>1.3526617290028523E-23</v>
      </c>
    </row>
    <row r="12876" spans="1:5" x14ac:dyDescent="0.25">
      <c r="A12876">
        <v>17</v>
      </c>
      <c r="B12876">
        <v>10</v>
      </c>
      <c r="C12876">
        <v>11</v>
      </c>
      <c r="D12876">
        <v>10</v>
      </c>
      <c r="E12876">
        <f t="shared" si="200"/>
        <v>4.959759673010459E-23</v>
      </c>
    </row>
    <row r="12877" spans="1:5" x14ac:dyDescent="0.25">
      <c r="A12877">
        <v>17</v>
      </c>
      <c r="B12877">
        <v>10</v>
      </c>
      <c r="C12877">
        <v>12</v>
      </c>
      <c r="D12877">
        <v>9</v>
      </c>
      <c r="E12877">
        <f t="shared" si="200"/>
        <v>1.3949324080341907E-22</v>
      </c>
    </row>
    <row r="12878" spans="1:5" x14ac:dyDescent="0.25">
      <c r="A12878">
        <v>17</v>
      </c>
      <c r="B12878">
        <v>10</v>
      </c>
      <c r="C12878">
        <v>13</v>
      </c>
      <c r="D12878">
        <v>8</v>
      </c>
      <c r="E12878">
        <f t="shared" ref="E12878:E12941" si="201">COMBIN(A$4,A12878)*COMBIN(B$4,B12878)*COMBIN(C$4,C12878)*COMBIN(D$4,D12878)/COMBIN($G$4,$F$4)</f>
        <v>3.0107817132683685E-22</v>
      </c>
    </row>
    <row r="12879" spans="1:5" x14ac:dyDescent="0.25">
      <c r="A12879">
        <v>17</v>
      </c>
      <c r="B12879">
        <v>10</v>
      </c>
      <c r="C12879">
        <v>14</v>
      </c>
      <c r="D12879">
        <v>7</v>
      </c>
      <c r="E12879">
        <f t="shared" si="201"/>
        <v>4.9701793361890541E-22</v>
      </c>
    </row>
    <row r="12880" spans="1:5" x14ac:dyDescent="0.25">
      <c r="A12880">
        <v>17</v>
      </c>
      <c r="B12880">
        <v>10</v>
      </c>
      <c r="C12880">
        <v>15</v>
      </c>
      <c r="D12880">
        <v>6</v>
      </c>
      <c r="E12880">
        <f t="shared" si="201"/>
        <v>6.2258035895420732E-22</v>
      </c>
    </row>
    <row r="12881" spans="1:5" x14ac:dyDescent="0.25">
      <c r="A12881">
        <v>17</v>
      </c>
      <c r="B12881">
        <v>10</v>
      </c>
      <c r="C12881">
        <v>16</v>
      </c>
      <c r="D12881">
        <v>5</v>
      </c>
      <c r="E12881">
        <f t="shared" si="201"/>
        <v>5.8366908651956958E-22</v>
      </c>
    </row>
    <row r="12882" spans="1:5" x14ac:dyDescent="0.25">
      <c r="A12882">
        <v>17</v>
      </c>
      <c r="B12882">
        <v>10</v>
      </c>
      <c r="C12882">
        <v>17</v>
      </c>
      <c r="D12882">
        <v>4</v>
      </c>
      <c r="E12882">
        <f t="shared" si="201"/>
        <v>4.0055721623892063E-22</v>
      </c>
    </row>
    <row r="12883" spans="1:5" x14ac:dyDescent="0.25">
      <c r="A12883">
        <v>17</v>
      </c>
      <c r="B12883">
        <v>10</v>
      </c>
      <c r="C12883">
        <v>18</v>
      </c>
      <c r="D12883">
        <v>3</v>
      </c>
      <c r="E12883">
        <f t="shared" si="201"/>
        <v>1.9420955938856733E-22</v>
      </c>
    </row>
    <row r="12884" spans="1:5" x14ac:dyDescent="0.25">
      <c r="A12884">
        <v>17</v>
      </c>
      <c r="B12884">
        <v>10</v>
      </c>
      <c r="C12884">
        <v>19</v>
      </c>
      <c r="D12884">
        <v>2</v>
      </c>
      <c r="E12884">
        <f t="shared" si="201"/>
        <v>6.2662580946883304E-23</v>
      </c>
    </row>
    <row r="12885" spans="1:5" x14ac:dyDescent="0.25">
      <c r="A12885">
        <v>17</v>
      </c>
      <c r="B12885">
        <v>10</v>
      </c>
      <c r="C12885">
        <v>20</v>
      </c>
      <c r="D12885">
        <v>1</v>
      </c>
      <c r="E12885">
        <f t="shared" si="201"/>
        <v>1.2010328014819312E-23</v>
      </c>
    </row>
    <row r="12886" spans="1:5" x14ac:dyDescent="0.25">
      <c r="A12886">
        <v>17</v>
      </c>
      <c r="B12886">
        <v>10</v>
      </c>
      <c r="C12886">
        <v>21</v>
      </c>
      <c r="D12886">
        <v>0</v>
      </c>
      <c r="E12886">
        <f t="shared" si="201"/>
        <v>1.0294566869845112E-24</v>
      </c>
    </row>
    <row r="12887" spans="1:5" x14ac:dyDescent="0.25">
      <c r="A12887">
        <v>17</v>
      </c>
      <c r="B12887">
        <v>11</v>
      </c>
      <c r="C12887">
        <v>0</v>
      </c>
      <c r="D12887">
        <v>20</v>
      </c>
      <c r="E12887">
        <f t="shared" si="201"/>
        <v>2.2844014017012918E-35</v>
      </c>
    </row>
    <row r="12888" spans="1:5" x14ac:dyDescent="0.25">
      <c r="A12888">
        <v>17</v>
      </c>
      <c r="B12888">
        <v>11</v>
      </c>
      <c r="C12888">
        <v>1</v>
      </c>
      <c r="D12888">
        <v>19</v>
      </c>
      <c r="E12888">
        <f t="shared" si="201"/>
        <v>4.949536370352799E-33</v>
      </c>
    </row>
    <row r="12889" spans="1:5" x14ac:dyDescent="0.25">
      <c r="A12889">
        <v>17</v>
      </c>
      <c r="B12889">
        <v>11</v>
      </c>
      <c r="C12889">
        <v>2</v>
      </c>
      <c r="D12889">
        <v>18</v>
      </c>
      <c r="E12889">
        <f t="shared" si="201"/>
        <v>4.2990258759635755E-31</v>
      </c>
    </row>
    <row r="12890" spans="1:5" x14ac:dyDescent="0.25">
      <c r="A12890">
        <v>17</v>
      </c>
      <c r="B12890">
        <v>11</v>
      </c>
      <c r="C12890">
        <v>3</v>
      </c>
      <c r="D12890">
        <v>17</v>
      </c>
      <c r="E12890">
        <f t="shared" si="201"/>
        <v>2.0312897263927888E-29</v>
      </c>
    </row>
    <row r="12891" spans="1:5" x14ac:dyDescent="0.25">
      <c r="A12891">
        <v>17</v>
      </c>
      <c r="B12891">
        <v>11</v>
      </c>
      <c r="C12891">
        <v>4</v>
      </c>
      <c r="D12891">
        <v>16</v>
      </c>
      <c r="E12891">
        <f t="shared" si="201"/>
        <v>5.9471649211611102E-28</v>
      </c>
    </row>
    <row r="12892" spans="1:5" x14ac:dyDescent="0.25">
      <c r="A12892">
        <v>17</v>
      </c>
      <c r="B12892">
        <v>11</v>
      </c>
      <c r="C12892">
        <v>5</v>
      </c>
      <c r="D12892">
        <v>15</v>
      </c>
      <c r="E12892">
        <f t="shared" si="201"/>
        <v>1.1608865926106485E-26</v>
      </c>
    </row>
    <row r="12893" spans="1:5" x14ac:dyDescent="0.25">
      <c r="A12893">
        <v>17</v>
      </c>
      <c r="B12893">
        <v>11</v>
      </c>
      <c r="C12893">
        <v>6</v>
      </c>
      <c r="D12893">
        <v>14</v>
      </c>
      <c r="E12893">
        <f t="shared" si="201"/>
        <v>1.5830271717417938E-25</v>
      </c>
    </row>
    <row r="12894" spans="1:5" x14ac:dyDescent="0.25">
      <c r="A12894">
        <v>17</v>
      </c>
      <c r="B12894">
        <v>11</v>
      </c>
      <c r="C12894">
        <v>7</v>
      </c>
      <c r="D12894">
        <v>13</v>
      </c>
      <c r="E12894">
        <f t="shared" si="201"/>
        <v>1.5566433855460974E-24</v>
      </c>
    </row>
    <row r="12895" spans="1:5" x14ac:dyDescent="0.25">
      <c r="A12895">
        <v>17</v>
      </c>
      <c r="B12895">
        <v>11</v>
      </c>
      <c r="C12895">
        <v>8</v>
      </c>
      <c r="D12895">
        <v>12</v>
      </c>
      <c r="E12895">
        <f t="shared" si="201"/>
        <v>1.1285664545209207E-23</v>
      </c>
    </row>
    <row r="12896" spans="1:5" x14ac:dyDescent="0.25">
      <c r="A12896">
        <v>17</v>
      </c>
      <c r="B12896">
        <v>11</v>
      </c>
      <c r="C12896">
        <v>9</v>
      </c>
      <c r="D12896">
        <v>11</v>
      </c>
      <c r="E12896">
        <f t="shared" si="201"/>
        <v>6.1265036102564245E-23</v>
      </c>
    </row>
    <row r="12897" spans="1:5" x14ac:dyDescent="0.25">
      <c r="A12897">
        <v>17</v>
      </c>
      <c r="B12897">
        <v>11</v>
      </c>
      <c r="C12897">
        <v>10</v>
      </c>
      <c r="D12897">
        <v>10</v>
      </c>
      <c r="E12897">
        <f t="shared" si="201"/>
        <v>2.5159508159453053E-22</v>
      </c>
    </row>
    <row r="12898" spans="1:5" x14ac:dyDescent="0.25">
      <c r="A12898">
        <v>17</v>
      </c>
      <c r="B12898">
        <v>11</v>
      </c>
      <c r="C12898">
        <v>11</v>
      </c>
      <c r="D12898">
        <v>9</v>
      </c>
      <c r="E12898">
        <f t="shared" si="201"/>
        <v>7.8623462998290811E-22</v>
      </c>
    </row>
    <row r="12899" spans="1:5" x14ac:dyDescent="0.25">
      <c r="A12899">
        <v>17</v>
      </c>
      <c r="B12899">
        <v>11</v>
      </c>
      <c r="C12899">
        <v>12</v>
      </c>
      <c r="D12899">
        <v>8</v>
      </c>
      <c r="E12899">
        <f t="shared" si="201"/>
        <v>1.8730883831945739E-21</v>
      </c>
    </row>
    <row r="12900" spans="1:5" x14ac:dyDescent="0.25">
      <c r="A12900">
        <v>17</v>
      </c>
      <c r="B12900">
        <v>11</v>
      </c>
      <c r="C12900">
        <v>13</v>
      </c>
      <c r="D12900">
        <v>7</v>
      </c>
      <c r="E12900">
        <f t="shared" si="201"/>
        <v>3.3939721131388889E-21</v>
      </c>
    </row>
    <row r="12901" spans="1:5" x14ac:dyDescent="0.25">
      <c r="A12901">
        <v>17</v>
      </c>
      <c r="B12901">
        <v>11</v>
      </c>
      <c r="C12901">
        <v>14</v>
      </c>
      <c r="D12901">
        <v>6</v>
      </c>
      <c r="E12901">
        <f t="shared" si="201"/>
        <v>4.6443828916637414E-21</v>
      </c>
    </row>
    <row r="12902" spans="1:5" x14ac:dyDescent="0.25">
      <c r="A12902">
        <v>17</v>
      </c>
      <c r="B12902">
        <v>11</v>
      </c>
      <c r="C12902">
        <v>15</v>
      </c>
      <c r="D12902">
        <v>5</v>
      </c>
      <c r="E12902">
        <f t="shared" si="201"/>
        <v>4.7372705494970147E-21</v>
      </c>
    </row>
    <row r="12903" spans="1:5" x14ac:dyDescent="0.25">
      <c r="A12903">
        <v>17</v>
      </c>
      <c r="B12903">
        <v>11</v>
      </c>
      <c r="C12903">
        <v>16</v>
      </c>
      <c r="D12903">
        <v>4</v>
      </c>
      <c r="E12903">
        <f t="shared" si="201"/>
        <v>3.5247548731376606E-21</v>
      </c>
    </row>
    <row r="12904" spans="1:5" x14ac:dyDescent="0.25">
      <c r="A12904">
        <v>17</v>
      </c>
      <c r="B12904">
        <v>11</v>
      </c>
      <c r="C12904">
        <v>17</v>
      </c>
      <c r="D12904">
        <v>3</v>
      </c>
      <c r="E12904">
        <f t="shared" si="201"/>
        <v>1.8471977410026251E-21</v>
      </c>
    </row>
    <row r="12905" spans="1:5" x14ac:dyDescent="0.25">
      <c r="A12905">
        <v>17</v>
      </c>
      <c r="B12905">
        <v>11</v>
      </c>
      <c r="C12905">
        <v>18</v>
      </c>
      <c r="D12905">
        <v>2</v>
      </c>
      <c r="E12905">
        <f t="shared" si="201"/>
        <v>6.42503562087869E-22</v>
      </c>
    </row>
    <row r="12906" spans="1:5" x14ac:dyDescent="0.25">
      <c r="A12906">
        <v>17</v>
      </c>
      <c r="B12906">
        <v>11</v>
      </c>
      <c r="C12906">
        <v>19</v>
      </c>
      <c r="D12906">
        <v>1</v>
      </c>
      <c r="E12906">
        <f t="shared" si="201"/>
        <v>1.3244590972863971E-22</v>
      </c>
    </row>
    <row r="12907" spans="1:5" x14ac:dyDescent="0.25">
      <c r="A12907">
        <v>17</v>
      </c>
      <c r="B12907">
        <v>11</v>
      </c>
      <c r="C12907">
        <v>20</v>
      </c>
      <c r="D12907">
        <v>0</v>
      </c>
      <c r="E12907">
        <f t="shared" si="201"/>
        <v>1.2185023695034864E-23</v>
      </c>
    </row>
    <row r="12908" spans="1:5" x14ac:dyDescent="0.25">
      <c r="A12908">
        <v>17</v>
      </c>
      <c r="B12908">
        <v>12</v>
      </c>
      <c r="C12908">
        <v>0</v>
      </c>
      <c r="D12908">
        <v>19</v>
      </c>
      <c r="E12908">
        <f t="shared" si="201"/>
        <v>1.7640655268693309E-33</v>
      </c>
    </row>
    <row r="12909" spans="1:5" x14ac:dyDescent="0.25">
      <c r="A12909">
        <v>17</v>
      </c>
      <c r="B12909">
        <v>12</v>
      </c>
      <c r="C12909">
        <v>1</v>
      </c>
      <c r="D12909">
        <v>18</v>
      </c>
      <c r="E12909">
        <f t="shared" si="201"/>
        <v>3.112315608119463E-31</v>
      </c>
    </row>
    <row r="12910" spans="1:5" x14ac:dyDescent="0.25">
      <c r="A12910">
        <v>17</v>
      </c>
      <c r="B12910">
        <v>12</v>
      </c>
      <c r="C12910">
        <v>2</v>
      </c>
      <c r="D12910">
        <v>17</v>
      </c>
      <c r="E12910">
        <f t="shared" si="201"/>
        <v>2.2408672378460128E-29</v>
      </c>
    </row>
    <row r="12911" spans="1:5" x14ac:dyDescent="0.25">
      <c r="A12911">
        <v>17</v>
      </c>
      <c r="B12911">
        <v>12</v>
      </c>
      <c r="C12911">
        <v>3</v>
      </c>
      <c r="D12911">
        <v>16</v>
      </c>
      <c r="E12911">
        <f t="shared" si="201"/>
        <v>8.8887733767891863E-28</v>
      </c>
    </row>
    <row r="12912" spans="1:5" x14ac:dyDescent="0.25">
      <c r="A12912">
        <v>17</v>
      </c>
      <c r="B12912">
        <v>12</v>
      </c>
      <c r="C12912">
        <v>4</v>
      </c>
      <c r="D12912">
        <v>15</v>
      </c>
      <c r="E12912">
        <f t="shared" si="201"/>
        <v>2.2044157974437172E-26</v>
      </c>
    </row>
    <row r="12913" spans="1:5" x14ac:dyDescent="0.25">
      <c r="A12913">
        <v>17</v>
      </c>
      <c r="B12913">
        <v>12</v>
      </c>
      <c r="C12913">
        <v>5</v>
      </c>
      <c r="D12913">
        <v>14</v>
      </c>
      <c r="E12913">
        <f t="shared" si="201"/>
        <v>3.6673462812018214E-25</v>
      </c>
    </row>
    <row r="12914" spans="1:5" x14ac:dyDescent="0.25">
      <c r="A12914">
        <v>17</v>
      </c>
      <c r="B12914">
        <v>12</v>
      </c>
      <c r="C12914">
        <v>6</v>
      </c>
      <c r="D12914">
        <v>13</v>
      </c>
      <c r="E12914">
        <f t="shared" si="201"/>
        <v>4.2785706614021257E-24</v>
      </c>
    </row>
    <row r="12915" spans="1:5" x14ac:dyDescent="0.25">
      <c r="A12915">
        <v>17</v>
      </c>
      <c r="B12915">
        <v>12</v>
      </c>
      <c r="C12915">
        <v>7</v>
      </c>
      <c r="D12915">
        <v>12</v>
      </c>
      <c r="E12915">
        <f t="shared" si="201"/>
        <v>3.606223843181792E-23</v>
      </c>
    </row>
    <row r="12916" spans="1:5" x14ac:dyDescent="0.25">
      <c r="A12916">
        <v>17</v>
      </c>
      <c r="B12916">
        <v>12</v>
      </c>
      <c r="C12916">
        <v>8</v>
      </c>
      <c r="D12916">
        <v>11</v>
      </c>
      <c r="E12916">
        <f t="shared" si="201"/>
        <v>2.2410105311201134E-22</v>
      </c>
    </row>
    <row r="12917" spans="1:5" x14ac:dyDescent="0.25">
      <c r="A12917">
        <v>17</v>
      </c>
      <c r="B12917">
        <v>12</v>
      </c>
      <c r="C12917">
        <v>9</v>
      </c>
      <c r="D12917">
        <v>10</v>
      </c>
      <c r="E12917">
        <f t="shared" si="201"/>
        <v>1.0408248911202301E-21</v>
      </c>
    </row>
    <row r="12918" spans="1:5" x14ac:dyDescent="0.25">
      <c r="A12918">
        <v>17</v>
      </c>
      <c r="B12918">
        <v>12</v>
      </c>
      <c r="C12918">
        <v>10</v>
      </c>
      <c r="D12918">
        <v>9</v>
      </c>
      <c r="E12918">
        <f t="shared" si="201"/>
        <v>3.6428871189208064E-21</v>
      </c>
    </row>
    <row r="12919" spans="1:5" x14ac:dyDescent="0.25">
      <c r="A12919">
        <v>17</v>
      </c>
      <c r="B12919">
        <v>12</v>
      </c>
      <c r="C12919">
        <v>11</v>
      </c>
      <c r="D12919">
        <v>8</v>
      </c>
      <c r="E12919">
        <f t="shared" si="201"/>
        <v>9.6429364912609609E-21</v>
      </c>
    </row>
    <row r="12920" spans="1:5" x14ac:dyDescent="0.25">
      <c r="A12920">
        <v>17</v>
      </c>
      <c r="B12920">
        <v>12</v>
      </c>
      <c r="C12920">
        <v>12</v>
      </c>
      <c r="D12920">
        <v>7</v>
      </c>
      <c r="E12920">
        <f t="shared" si="201"/>
        <v>1.928587298252191E-20</v>
      </c>
    </row>
    <row r="12921" spans="1:5" x14ac:dyDescent="0.25">
      <c r="A12921">
        <v>17</v>
      </c>
      <c r="B12921">
        <v>12</v>
      </c>
      <c r="C12921">
        <v>13</v>
      </c>
      <c r="D12921">
        <v>6</v>
      </c>
      <c r="E12921">
        <f t="shared" si="201"/>
        <v>2.8967849702492427E-20</v>
      </c>
    </row>
    <row r="12922" spans="1:5" x14ac:dyDescent="0.25">
      <c r="A12922">
        <v>17</v>
      </c>
      <c r="B12922">
        <v>12</v>
      </c>
      <c r="C12922">
        <v>14</v>
      </c>
      <c r="D12922">
        <v>5</v>
      </c>
      <c r="E12922">
        <f t="shared" si="201"/>
        <v>3.2278461097062997E-20</v>
      </c>
    </row>
    <row r="12923" spans="1:5" x14ac:dyDescent="0.25">
      <c r="A12923">
        <v>17</v>
      </c>
      <c r="B12923">
        <v>12</v>
      </c>
      <c r="C12923">
        <v>15</v>
      </c>
      <c r="D12923">
        <v>4</v>
      </c>
      <c r="E12923">
        <f t="shared" si="201"/>
        <v>2.6130182792860517E-20</v>
      </c>
    </row>
    <row r="12924" spans="1:5" x14ac:dyDescent="0.25">
      <c r="A12924">
        <v>17</v>
      </c>
      <c r="B12924">
        <v>12</v>
      </c>
      <c r="C12924">
        <v>16</v>
      </c>
      <c r="D12924">
        <v>3</v>
      </c>
      <c r="E12924">
        <f t="shared" si="201"/>
        <v>1.484669476867075E-20</v>
      </c>
    </row>
    <row r="12925" spans="1:5" x14ac:dyDescent="0.25">
      <c r="A12925">
        <v>17</v>
      </c>
      <c r="B12925">
        <v>12</v>
      </c>
      <c r="C12925">
        <v>17</v>
      </c>
      <c r="D12925">
        <v>2</v>
      </c>
      <c r="E12925">
        <f t="shared" si="201"/>
        <v>5.5817496956383664E-21</v>
      </c>
    </row>
    <row r="12926" spans="1:5" x14ac:dyDescent="0.25">
      <c r="A12926">
        <v>17</v>
      </c>
      <c r="B12926">
        <v>12</v>
      </c>
      <c r="C12926">
        <v>18</v>
      </c>
      <c r="D12926">
        <v>1</v>
      </c>
      <c r="E12926">
        <f t="shared" si="201"/>
        <v>1.2403888212529692E-21</v>
      </c>
    </row>
    <row r="12927" spans="1:5" x14ac:dyDescent="0.25">
      <c r="A12927">
        <v>17</v>
      </c>
      <c r="B12927">
        <v>12</v>
      </c>
      <c r="C12927">
        <v>19</v>
      </c>
      <c r="D12927">
        <v>0</v>
      </c>
      <c r="E12927">
        <f t="shared" si="201"/>
        <v>1.2273320968187278E-22</v>
      </c>
    </row>
    <row r="12928" spans="1:5" x14ac:dyDescent="0.25">
      <c r="A12928">
        <v>17</v>
      </c>
      <c r="B12928">
        <v>13</v>
      </c>
      <c r="C12928">
        <v>0</v>
      </c>
      <c r="D12928">
        <v>18</v>
      </c>
      <c r="E12928">
        <f t="shared" si="201"/>
        <v>1.020250205265197E-31</v>
      </c>
    </row>
    <row r="12929" spans="1:5" x14ac:dyDescent="0.25">
      <c r="A12929">
        <v>17</v>
      </c>
      <c r="B12929">
        <v>13</v>
      </c>
      <c r="C12929">
        <v>1</v>
      </c>
      <c r="D12929">
        <v>17</v>
      </c>
      <c r="E12929">
        <f t="shared" si="201"/>
        <v>1.4921159252003502E-29</v>
      </c>
    </row>
    <row r="12930" spans="1:5" x14ac:dyDescent="0.25">
      <c r="A12930">
        <v>17</v>
      </c>
      <c r="B12930">
        <v>13</v>
      </c>
      <c r="C12930">
        <v>2</v>
      </c>
      <c r="D12930">
        <v>16</v>
      </c>
      <c r="E12930">
        <f t="shared" si="201"/>
        <v>9.0190118145443394E-28</v>
      </c>
    </row>
    <row r="12931" spans="1:5" x14ac:dyDescent="0.25">
      <c r="A12931">
        <v>17</v>
      </c>
      <c r="B12931">
        <v>13</v>
      </c>
      <c r="C12931">
        <v>3</v>
      </c>
      <c r="D12931">
        <v>15</v>
      </c>
      <c r="E12931">
        <f t="shared" si="201"/>
        <v>3.0303879696868973E-26</v>
      </c>
    </row>
    <row r="12932" spans="1:5" x14ac:dyDescent="0.25">
      <c r="A12932">
        <v>17</v>
      </c>
      <c r="B12932">
        <v>13</v>
      </c>
      <c r="C12932">
        <v>4</v>
      </c>
      <c r="D12932">
        <v>14</v>
      </c>
      <c r="E12932">
        <f t="shared" si="201"/>
        <v>6.4051382086563984E-25</v>
      </c>
    </row>
    <row r="12933" spans="1:5" x14ac:dyDescent="0.25">
      <c r="A12933">
        <v>17</v>
      </c>
      <c r="B12933">
        <v>13</v>
      </c>
      <c r="C12933">
        <v>5</v>
      </c>
      <c r="D12933">
        <v>13</v>
      </c>
      <c r="E12933">
        <f t="shared" si="201"/>
        <v>9.1166467169876102E-24</v>
      </c>
    </row>
    <row r="12934" spans="1:5" x14ac:dyDescent="0.25">
      <c r="A12934">
        <v>17</v>
      </c>
      <c r="B12934">
        <v>13</v>
      </c>
      <c r="C12934">
        <v>6</v>
      </c>
      <c r="D12934">
        <v>12</v>
      </c>
      <c r="E12934">
        <f t="shared" si="201"/>
        <v>9.1166467169876084E-23</v>
      </c>
    </row>
    <row r="12935" spans="1:5" x14ac:dyDescent="0.25">
      <c r="A12935">
        <v>17</v>
      </c>
      <c r="B12935">
        <v>13</v>
      </c>
      <c r="C12935">
        <v>7</v>
      </c>
      <c r="D12935">
        <v>11</v>
      </c>
      <c r="E12935">
        <f t="shared" si="201"/>
        <v>6.5863121179869647E-22</v>
      </c>
    </row>
    <row r="12936" spans="1:5" x14ac:dyDescent="0.25">
      <c r="A12936">
        <v>17</v>
      </c>
      <c r="B12936">
        <v>13</v>
      </c>
      <c r="C12936">
        <v>8</v>
      </c>
      <c r="D12936">
        <v>10</v>
      </c>
      <c r="E12936">
        <f t="shared" si="201"/>
        <v>3.5017226093964033E-21</v>
      </c>
    </row>
    <row r="12937" spans="1:5" x14ac:dyDescent="0.25">
      <c r="A12937">
        <v>17</v>
      </c>
      <c r="B12937">
        <v>13</v>
      </c>
      <c r="C12937">
        <v>9</v>
      </c>
      <c r="D12937">
        <v>9</v>
      </c>
      <c r="E12937">
        <f t="shared" si="201"/>
        <v>1.3860985328860764E-20</v>
      </c>
    </row>
    <row r="12938" spans="1:5" x14ac:dyDescent="0.25">
      <c r="A12938">
        <v>17</v>
      </c>
      <c r="B12938">
        <v>13</v>
      </c>
      <c r="C12938">
        <v>10</v>
      </c>
      <c r="D12938">
        <v>8</v>
      </c>
      <c r="E12938">
        <f t="shared" si="201"/>
        <v>4.1093744739681324E-20</v>
      </c>
    </row>
    <row r="12939" spans="1:5" x14ac:dyDescent="0.25">
      <c r="A12939">
        <v>17</v>
      </c>
      <c r="B12939">
        <v>13</v>
      </c>
      <c r="C12939">
        <v>11</v>
      </c>
      <c r="D12939">
        <v>7</v>
      </c>
      <c r="E12939">
        <f t="shared" si="201"/>
        <v>9.1319432754847418E-20</v>
      </c>
    </row>
    <row r="12940" spans="1:5" x14ac:dyDescent="0.25">
      <c r="A12940">
        <v>17</v>
      </c>
      <c r="B12940">
        <v>13</v>
      </c>
      <c r="C12940">
        <v>12</v>
      </c>
      <c r="D12940">
        <v>6</v>
      </c>
      <c r="E12940">
        <f t="shared" si="201"/>
        <v>1.513980069356679E-19</v>
      </c>
    </row>
    <row r="12941" spans="1:5" x14ac:dyDescent="0.25">
      <c r="A12941">
        <v>17</v>
      </c>
      <c r="B12941">
        <v>13</v>
      </c>
      <c r="C12941">
        <v>13</v>
      </c>
      <c r="D12941">
        <v>5</v>
      </c>
      <c r="E12941">
        <f t="shared" si="201"/>
        <v>1.8517140848285549E-19</v>
      </c>
    </row>
    <row r="12942" spans="1:5" x14ac:dyDescent="0.25">
      <c r="A12942">
        <v>17</v>
      </c>
      <c r="B12942">
        <v>13</v>
      </c>
      <c r="C12942">
        <v>14</v>
      </c>
      <c r="D12942">
        <v>4</v>
      </c>
      <c r="E12942">
        <f t="shared" ref="E12942:E13005" si="202">COMBIN(A$4,A12942)*COMBIN(B$4,B12942)*COMBIN(C$4,C12942)*COMBIN(D$4,D12942)/COMBIN($G$4,$F$4)</f>
        <v>1.6375702791000834E-19</v>
      </c>
    </row>
    <row r="12943" spans="1:5" x14ac:dyDescent="0.25">
      <c r="A12943">
        <v>17</v>
      </c>
      <c r="B12943">
        <v>13</v>
      </c>
      <c r="C12943">
        <v>15</v>
      </c>
      <c r="D12943">
        <v>3</v>
      </c>
      <c r="E12943">
        <f t="shared" si="202"/>
        <v>1.0123161725345963E-19</v>
      </c>
    </row>
    <row r="12944" spans="1:5" x14ac:dyDescent="0.25">
      <c r="A12944">
        <v>17</v>
      </c>
      <c r="B12944">
        <v>13</v>
      </c>
      <c r="C12944">
        <v>16</v>
      </c>
      <c r="D12944">
        <v>2</v>
      </c>
      <c r="E12944">
        <f t="shared" si="202"/>
        <v>4.1262887467442791E-20</v>
      </c>
    </row>
    <row r="12945" spans="1:5" x14ac:dyDescent="0.25">
      <c r="A12945">
        <v>17</v>
      </c>
      <c r="B12945">
        <v>13</v>
      </c>
      <c r="C12945">
        <v>17</v>
      </c>
      <c r="D12945">
        <v>1</v>
      </c>
      <c r="E12945">
        <f t="shared" si="202"/>
        <v>9.9111837544347932E-21</v>
      </c>
    </row>
    <row r="12946" spans="1:5" x14ac:dyDescent="0.25">
      <c r="A12946">
        <v>17</v>
      </c>
      <c r="B12946">
        <v>13</v>
      </c>
      <c r="C12946">
        <v>18</v>
      </c>
      <c r="D12946">
        <v>0</v>
      </c>
      <c r="E12946">
        <f t="shared" si="202"/>
        <v>1.057192933806377E-21</v>
      </c>
    </row>
    <row r="12947" spans="1:5" x14ac:dyDescent="0.25">
      <c r="A12947">
        <v>17</v>
      </c>
      <c r="B12947">
        <v>14</v>
      </c>
      <c r="C12947">
        <v>0</v>
      </c>
      <c r="D12947">
        <v>17</v>
      </c>
      <c r="E12947">
        <f t="shared" si="202"/>
        <v>4.5255384104977648E-30</v>
      </c>
    </row>
    <row r="12948" spans="1:5" x14ac:dyDescent="0.25">
      <c r="A12948">
        <v>17</v>
      </c>
      <c r="B12948">
        <v>14</v>
      </c>
      <c r="C12948">
        <v>1</v>
      </c>
      <c r="D12948">
        <v>16</v>
      </c>
      <c r="E12948">
        <f t="shared" si="202"/>
        <v>5.5563554928889228E-28</v>
      </c>
    </row>
    <row r="12949" spans="1:5" x14ac:dyDescent="0.25">
      <c r="A12949">
        <v>17</v>
      </c>
      <c r="B12949">
        <v>14</v>
      </c>
      <c r="C12949">
        <v>2</v>
      </c>
      <c r="D12949">
        <v>15</v>
      </c>
      <c r="E12949">
        <f t="shared" si="202"/>
        <v>2.8448540123591279E-26</v>
      </c>
    </row>
    <row r="12950" spans="1:5" x14ac:dyDescent="0.25">
      <c r="A12950">
        <v>17</v>
      </c>
      <c r="B12950">
        <v>14</v>
      </c>
      <c r="C12950">
        <v>3</v>
      </c>
      <c r="D12950">
        <v>14</v>
      </c>
      <c r="E12950">
        <f t="shared" si="202"/>
        <v>8.1466273990284136E-25</v>
      </c>
    </row>
    <row r="12951" spans="1:5" x14ac:dyDescent="0.25">
      <c r="A12951">
        <v>17</v>
      </c>
      <c r="B12951">
        <v>14</v>
      </c>
      <c r="C12951">
        <v>4</v>
      </c>
      <c r="D12951">
        <v>13</v>
      </c>
      <c r="E12951">
        <f t="shared" si="202"/>
        <v>1.4731817879909717E-23</v>
      </c>
    </row>
    <row r="12952" spans="1:5" x14ac:dyDescent="0.25">
      <c r="A12952">
        <v>17</v>
      </c>
      <c r="B12952">
        <v>14</v>
      </c>
      <c r="C12952">
        <v>5</v>
      </c>
      <c r="D12952">
        <v>12</v>
      </c>
      <c r="E12952">
        <f t="shared" si="202"/>
        <v>1.7972817813489857E-22</v>
      </c>
    </row>
    <row r="12953" spans="1:5" x14ac:dyDescent="0.25">
      <c r="A12953">
        <v>17</v>
      </c>
      <c r="B12953">
        <v>14</v>
      </c>
      <c r="C12953">
        <v>6</v>
      </c>
      <c r="D12953">
        <v>11</v>
      </c>
      <c r="E12953">
        <f t="shared" si="202"/>
        <v>1.540527241156273E-21</v>
      </c>
    </row>
    <row r="12954" spans="1:5" x14ac:dyDescent="0.25">
      <c r="A12954">
        <v>17</v>
      </c>
      <c r="B12954">
        <v>14</v>
      </c>
      <c r="C12954">
        <v>7</v>
      </c>
      <c r="D12954">
        <v>10</v>
      </c>
      <c r="E12954">
        <f t="shared" si="202"/>
        <v>9.5219255191468665E-21</v>
      </c>
    </row>
    <row r="12955" spans="1:5" x14ac:dyDescent="0.25">
      <c r="A12955">
        <v>17</v>
      </c>
      <c r="B12955">
        <v>14</v>
      </c>
      <c r="C12955">
        <v>8</v>
      </c>
      <c r="D12955">
        <v>9</v>
      </c>
      <c r="E12955">
        <f t="shared" si="202"/>
        <v>4.3146225008634257E-20</v>
      </c>
    </row>
    <row r="12956" spans="1:5" x14ac:dyDescent="0.25">
      <c r="A12956">
        <v>17</v>
      </c>
      <c r="B12956">
        <v>14</v>
      </c>
      <c r="C12956">
        <v>9</v>
      </c>
      <c r="D12956">
        <v>8</v>
      </c>
      <c r="E12956">
        <f t="shared" si="202"/>
        <v>1.4466675444071484E-19</v>
      </c>
    </row>
    <row r="12957" spans="1:5" x14ac:dyDescent="0.25">
      <c r="A12957">
        <v>17</v>
      </c>
      <c r="B12957">
        <v>14</v>
      </c>
      <c r="C12957">
        <v>10</v>
      </c>
      <c r="D12957">
        <v>7</v>
      </c>
      <c r="E12957">
        <f t="shared" si="202"/>
        <v>3.6005947771911258E-19</v>
      </c>
    </row>
    <row r="12958" spans="1:5" x14ac:dyDescent="0.25">
      <c r="A12958">
        <v>17</v>
      </c>
      <c r="B12958">
        <v>14</v>
      </c>
      <c r="C12958">
        <v>11</v>
      </c>
      <c r="D12958">
        <v>6</v>
      </c>
      <c r="E12958">
        <f t="shared" si="202"/>
        <v>6.632674589562599E-19</v>
      </c>
    </row>
    <row r="12959" spans="1:5" x14ac:dyDescent="0.25">
      <c r="A12959">
        <v>17</v>
      </c>
      <c r="B12959">
        <v>14</v>
      </c>
      <c r="C12959">
        <v>12</v>
      </c>
      <c r="D12959">
        <v>5</v>
      </c>
      <c r="E12959">
        <f t="shared" si="202"/>
        <v>8.9541106959095027E-19</v>
      </c>
    </row>
    <row r="12960" spans="1:5" x14ac:dyDescent="0.25">
      <c r="A12960">
        <v>17</v>
      </c>
      <c r="B12960">
        <v>14</v>
      </c>
      <c r="C12960">
        <v>13</v>
      </c>
      <c r="D12960">
        <v>4</v>
      </c>
      <c r="E12960">
        <f t="shared" si="202"/>
        <v>8.6917191736850552E-19</v>
      </c>
    </row>
    <row r="12961" spans="1:5" x14ac:dyDescent="0.25">
      <c r="A12961">
        <v>17</v>
      </c>
      <c r="B12961">
        <v>14</v>
      </c>
      <c r="C12961">
        <v>14</v>
      </c>
      <c r="D12961">
        <v>3</v>
      </c>
      <c r="E12961">
        <f t="shared" si="202"/>
        <v>5.8697324289821152E-19</v>
      </c>
    </row>
    <row r="12962" spans="1:5" x14ac:dyDescent="0.25">
      <c r="A12962">
        <v>17</v>
      </c>
      <c r="B12962">
        <v>14</v>
      </c>
      <c r="C12962">
        <v>15</v>
      </c>
      <c r="D12962">
        <v>2</v>
      </c>
      <c r="E12962">
        <f t="shared" si="202"/>
        <v>2.6030987293746762E-19</v>
      </c>
    </row>
    <row r="12963" spans="1:5" x14ac:dyDescent="0.25">
      <c r="A12963">
        <v>17</v>
      </c>
      <c r="B12963">
        <v>14</v>
      </c>
      <c r="C12963">
        <v>16</v>
      </c>
      <c r="D12963">
        <v>1</v>
      </c>
      <c r="E12963">
        <f t="shared" si="202"/>
        <v>6.7789029410798868E-20</v>
      </c>
    </row>
    <row r="12964" spans="1:5" x14ac:dyDescent="0.25">
      <c r="A12964">
        <v>17</v>
      </c>
      <c r="B12964">
        <v>14</v>
      </c>
      <c r="C12964">
        <v>17</v>
      </c>
      <c r="D12964">
        <v>0</v>
      </c>
      <c r="E12964">
        <f t="shared" si="202"/>
        <v>7.8156763320685791E-21</v>
      </c>
    </row>
    <row r="12965" spans="1:5" x14ac:dyDescent="0.25">
      <c r="A12965">
        <v>17</v>
      </c>
      <c r="B12965">
        <v>15</v>
      </c>
      <c r="C12965">
        <v>0</v>
      </c>
      <c r="D12965">
        <v>16</v>
      </c>
      <c r="E12965">
        <f t="shared" si="202"/>
        <v>1.5671771903020038E-28</v>
      </c>
    </row>
    <row r="12966" spans="1:5" x14ac:dyDescent="0.25">
      <c r="A12966">
        <v>17</v>
      </c>
      <c r="B12966">
        <v>15</v>
      </c>
      <c r="C12966">
        <v>1</v>
      </c>
      <c r="D12966">
        <v>15</v>
      </c>
      <c r="E12966">
        <f t="shared" si="202"/>
        <v>1.6298642779140836E-26</v>
      </c>
    </row>
    <row r="12967" spans="1:5" x14ac:dyDescent="0.25">
      <c r="A12967">
        <v>17</v>
      </c>
      <c r="B12967">
        <v>15</v>
      </c>
      <c r="C12967">
        <v>2</v>
      </c>
      <c r="D12967">
        <v>14</v>
      </c>
      <c r="E12967">
        <f t="shared" si="202"/>
        <v>7.1121350308978205E-25</v>
      </c>
    </row>
    <row r="12968" spans="1:5" x14ac:dyDescent="0.25">
      <c r="A12968">
        <v>17</v>
      </c>
      <c r="B12968">
        <v>15</v>
      </c>
      <c r="C12968">
        <v>3</v>
      </c>
      <c r="D12968">
        <v>13</v>
      </c>
      <c r="E12968">
        <f t="shared" si="202"/>
        <v>1.7424730825699664E-23</v>
      </c>
    </row>
    <row r="12969" spans="1:5" x14ac:dyDescent="0.25">
      <c r="A12969">
        <v>17</v>
      </c>
      <c r="B12969">
        <v>15</v>
      </c>
      <c r="C12969">
        <v>4</v>
      </c>
      <c r="D12969">
        <v>12</v>
      </c>
      <c r="E12969">
        <f t="shared" si="202"/>
        <v>2.7008332779834475E-22</v>
      </c>
    </row>
    <row r="12970" spans="1:5" x14ac:dyDescent="0.25">
      <c r="A12970">
        <v>17</v>
      </c>
      <c r="B12970">
        <v>15</v>
      </c>
      <c r="C12970">
        <v>5</v>
      </c>
      <c r="D12970">
        <v>11</v>
      </c>
      <c r="E12970">
        <f t="shared" si="202"/>
        <v>2.8242999421198334E-21</v>
      </c>
    </row>
    <row r="12971" spans="1:5" x14ac:dyDescent="0.25">
      <c r="A12971">
        <v>17</v>
      </c>
      <c r="B12971">
        <v>15</v>
      </c>
      <c r="C12971">
        <v>6</v>
      </c>
      <c r="D12971">
        <v>10</v>
      </c>
      <c r="E12971">
        <f t="shared" si="202"/>
        <v>2.0711532908878779E-20</v>
      </c>
    </row>
    <row r="12972" spans="1:5" x14ac:dyDescent="0.25">
      <c r="A12972">
        <v>17</v>
      </c>
      <c r="B12972">
        <v>15</v>
      </c>
      <c r="C12972">
        <v>7</v>
      </c>
      <c r="D12972">
        <v>9</v>
      </c>
      <c r="E12972">
        <f t="shared" si="202"/>
        <v>1.0910539657355786E-19</v>
      </c>
    </row>
    <row r="12973" spans="1:5" x14ac:dyDescent="0.25">
      <c r="A12973">
        <v>17</v>
      </c>
      <c r="B12973">
        <v>15</v>
      </c>
      <c r="C12973">
        <v>8</v>
      </c>
      <c r="D12973">
        <v>8</v>
      </c>
      <c r="E12973">
        <f t="shared" si="202"/>
        <v>4.1877218390733238E-19</v>
      </c>
    </row>
    <row r="12974" spans="1:5" x14ac:dyDescent="0.25">
      <c r="A12974">
        <v>17</v>
      </c>
      <c r="B12974">
        <v>15</v>
      </c>
      <c r="C12974">
        <v>9</v>
      </c>
      <c r="D12974">
        <v>7</v>
      </c>
      <c r="E12974">
        <f t="shared" si="202"/>
        <v>1.1787661472947137E-18</v>
      </c>
    </row>
    <row r="12975" spans="1:5" x14ac:dyDescent="0.25">
      <c r="A12975">
        <v>17</v>
      </c>
      <c r="B12975">
        <v>15</v>
      </c>
      <c r="C12975">
        <v>10</v>
      </c>
      <c r="D12975">
        <v>6</v>
      </c>
      <c r="E12975">
        <f t="shared" si="202"/>
        <v>2.4319806828396192E-18</v>
      </c>
    </row>
    <row r="12976" spans="1:5" x14ac:dyDescent="0.25">
      <c r="A12976">
        <v>17</v>
      </c>
      <c r="B12976">
        <v>15</v>
      </c>
      <c r="C12976">
        <v>11</v>
      </c>
      <c r="D12976">
        <v>5</v>
      </c>
      <c r="E12976">
        <f t="shared" si="202"/>
        <v>3.6479710242594285E-18</v>
      </c>
    </row>
    <row r="12977" spans="1:5" x14ac:dyDescent="0.25">
      <c r="A12977">
        <v>17</v>
      </c>
      <c r="B12977">
        <v>15</v>
      </c>
      <c r="C12977">
        <v>12</v>
      </c>
      <c r="D12977">
        <v>4</v>
      </c>
      <c r="E12977">
        <f t="shared" si="202"/>
        <v>3.9085403831351009E-18</v>
      </c>
    </row>
    <row r="12978" spans="1:5" x14ac:dyDescent="0.25">
      <c r="A12978">
        <v>17</v>
      </c>
      <c r="B12978">
        <v>15</v>
      </c>
      <c r="C12978">
        <v>13</v>
      </c>
      <c r="D12978">
        <v>3</v>
      </c>
      <c r="E12978">
        <f t="shared" si="202"/>
        <v>2.8972397245616846E-18</v>
      </c>
    </row>
    <row r="12979" spans="1:5" x14ac:dyDescent="0.25">
      <c r="A12979">
        <v>17</v>
      </c>
      <c r="B12979">
        <v>15</v>
      </c>
      <c r="C12979">
        <v>14</v>
      </c>
      <c r="D12979">
        <v>2</v>
      </c>
      <c r="E12979">
        <f t="shared" si="202"/>
        <v>1.4036316678000707E-18</v>
      </c>
    </row>
    <row r="12980" spans="1:5" x14ac:dyDescent="0.25">
      <c r="A12980">
        <v>17</v>
      </c>
      <c r="B12980">
        <v>15</v>
      </c>
      <c r="C12980">
        <v>15</v>
      </c>
      <c r="D12980">
        <v>1</v>
      </c>
      <c r="E12980">
        <f t="shared" si="202"/>
        <v>3.9769563921001994E-19</v>
      </c>
    </row>
    <row r="12981" spans="1:5" x14ac:dyDescent="0.25">
      <c r="A12981">
        <v>17</v>
      </c>
      <c r="B12981">
        <v>15</v>
      </c>
      <c r="C12981">
        <v>16</v>
      </c>
      <c r="D12981">
        <v>0</v>
      </c>
      <c r="E12981">
        <f t="shared" si="202"/>
        <v>4.9711954901252492E-20</v>
      </c>
    </row>
    <row r="12982" spans="1:5" x14ac:dyDescent="0.25">
      <c r="A12982">
        <v>17</v>
      </c>
      <c r="B12982">
        <v>16</v>
      </c>
      <c r="C12982">
        <v>0</v>
      </c>
      <c r="D12982">
        <v>15</v>
      </c>
      <c r="E12982">
        <f t="shared" si="202"/>
        <v>4.2940655014274892E-27</v>
      </c>
    </row>
    <row r="12983" spans="1:5" x14ac:dyDescent="0.25">
      <c r="A12983">
        <v>17</v>
      </c>
      <c r="B12983">
        <v>16</v>
      </c>
      <c r="C12983">
        <v>1</v>
      </c>
      <c r="D12983">
        <v>14</v>
      </c>
      <c r="E12983">
        <f t="shared" si="202"/>
        <v>3.8061035126289112E-25</v>
      </c>
    </row>
    <row r="12984" spans="1:5" x14ac:dyDescent="0.25">
      <c r="A12984">
        <v>17</v>
      </c>
      <c r="B12984">
        <v>16</v>
      </c>
      <c r="C12984">
        <v>2</v>
      </c>
      <c r="D12984">
        <v>13</v>
      </c>
      <c r="E12984">
        <f t="shared" si="202"/>
        <v>1.4209453113814605E-23</v>
      </c>
    </row>
    <row r="12985" spans="1:5" x14ac:dyDescent="0.25">
      <c r="A12985">
        <v>17</v>
      </c>
      <c r="B12985">
        <v>16</v>
      </c>
      <c r="C12985">
        <v>3</v>
      </c>
      <c r="D12985">
        <v>12</v>
      </c>
      <c r="E12985">
        <f t="shared" si="202"/>
        <v>2.9839851539010668E-22</v>
      </c>
    </row>
    <row r="12986" spans="1:5" x14ac:dyDescent="0.25">
      <c r="A12986">
        <v>17</v>
      </c>
      <c r="B12986">
        <v>16</v>
      </c>
      <c r="C12986">
        <v>4</v>
      </c>
      <c r="D12986">
        <v>11</v>
      </c>
      <c r="E12986">
        <f t="shared" si="202"/>
        <v>3.9644374187542741E-21</v>
      </c>
    </row>
    <row r="12987" spans="1:5" x14ac:dyDescent="0.25">
      <c r="A12987">
        <v>17</v>
      </c>
      <c r="B12987">
        <v>16</v>
      </c>
      <c r="C12987">
        <v>5</v>
      </c>
      <c r="D12987">
        <v>10</v>
      </c>
      <c r="E12987">
        <f t="shared" si="202"/>
        <v>3.5468500106454898E-20</v>
      </c>
    </row>
    <row r="12988" spans="1:5" x14ac:dyDescent="0.25">
      <c r="A12988">
        <v>17</v>
      </c>
      <c r="B12988">
        <v>16</v>
      </c>
      <c r="C12988">
        <v>6</v>
      </c>
      <c r="D12988">
        <v>9</v>
      </c>
      <c r="E12988">
        <f t="shared" si="202"/>
        <v>2.2167812566534315E-19</v>
      </c>
    </row>
    <row r="12989" spans="1:5" x14ac:dyDescent="0.25">
      <c r="A12989">
        <v>17</v>
      </c>
      <c r="B12989">
        <v>16</v>
      </c>
      <c r="C12989">
        <v>7</v>
      </c>
      <c r="D12989">
        <v>8</v>
      </c>
      <c r="E12989">
        <f t="shared" si="202"/>
        <v>9.8916877922938843E-19</v>
      </c>
    </row>
    <row r="12990" spans="1:5" x14ac:dyDescent="0.25">
      <c r="A12990">
        <v>17</v>
      </c>
      <c r="B12990">
        <v>16</v>
      </c>
      <c r="C12990">
        <v>8</v>
      </c>
      <c r="D12990">
        <v>7</v>
      </c>
      <c r="E12990">
        <f t="shared" si="202"/>
        <v>3.187321621961364E-18</v>
      </c>
    </row>
    <row r="12991" spans="1:5" x14ac:dyDescent="0.25">
      <c r="A12991">
        <v>17</v>
      </c>
      <c r="B12991">
        <v>16</v>
      </c>
      <c r="C12991">
        <v>9</v>
      </c>
      <c r="D12991">
        <v>6</v>
      </c>
      <c r="E12991">
        <f t="shared" si="202"/>
        <v>7.4370837845765116E-18</v>
      </c>
    </row>
    <row r="12992" spans="1:5" x14ac:dyDescent="0.25">
      <c r="A12992">
        <v>17</v>
      </c>
      <c r="B12992">
        <v>16</v>
      </c>
      <c r="C12992">
        <v>10</v>
      </c>
      <c r="D12992">
        <v>5</v>
      </c>
      <c r="E12992">
        <f t="shared" si="202"/>
        <v>1.2494300758088541E-17</v>
      </c>
    </row>
    <row r="12993" spans="1:5" x14ac:dyDescent="0.25">
      <c r="A12993">
        <v>17</v>
      </c>
      <c r="B12993">
        <v>16</v>
      </c>
      <c r="C12993">
        <v>11</v>
      </c>
      <c r="D12993">
        <v>4</v>
      </c>
      <c r="E12993">
        <f t="shared" si="202"/>
        <v>1.4874167569153032E-17</v>
      </c>
    </row>
    <row r="12994" spans="1:5" x14ac:dyDescent="0.25">
      <c r="A12994">
        <v>17</v>
      </c>
      <c r="B12994">
        <v>16</v>
      </c>
      <c r="C12994">
        <v>12</v>
      </c>
      <c r="D12994">
        <v>3</v>
      </c>
      <c r="E12994">
        <f t="shared" si="202"/>
        <v>1.2169773465670653E-17</v>
      </c>
    </row>
    <row r="12995" spans="1:5" x14ac:dyDescent="0.25">
      <c r="A12995">
        <v>17</v>
      </c>
      <c r="B12995">
        <v>16</v>
      </c>
      <c r="C12995">
        <v>13</v>
      </c>
      <c r="D12995">
        <v>2</v>
      </c>
      <c r="E12995">
        <f t="shared" si="202"/>
        <v>6.4715517760589796E-18</v>
      </c>
    </row>
    <row r="12996" spans="1:5" x14ac:dyDescent="0.25">
      <c r="A12996">
        <v>17</v>
      </c>
      <c r="B12996">
        <v>16</v>
      </c>
      <c r="C12996">
        <v>14</v>
      </c>
      <c r="D12996">
        <v>1</v>
      </c>
      <c r="E12996">
        <f t="shared" si="202"/>
        <v>2.0030993592563511E-18</v>
      </c>
    </row>
    <row r="12997" spans="1:5" x14ac:dyDescent="0.25">
      <c r="A12997">
        <v>17</v>
      </c>
      <c r="B12997">
        <v>16</v>
      </c>
      <c r="C12997">
        <v>15</v>
      </c>
      <c r="D12997">
        <v>0</v>
      </c>
      <c r="E12997">
        <f t="shared" si="202"/>
        <v>2.7242151285886363E-19</v>
      </c>
    </row>
    <row r="12998" spans="1:5" x14ac:dyDescent="0.25">
      <c r="A12998">
        <v>17</v>
      </c>
      <c r="B12998">
        <v>17</v>
      </c>
      <c r="C12998">
        <v>0</v>
      </c>
      <c r="D12998">
        <v>14</v>
      </c>
      <c r="E12998">
        <f t="shared" si="202"/>
        <v>9.4033145606126071E-26</v>
      </c>
    </row>
    <row r="12999" spans="1:5" x14ac:dyDescent="0.25">
      <c r="A12999">
        <v>17</v>
      </c>
      <c r="B12999">
        <v>17</v>
      </c>
      <c r="C12999">
        <v>1</v>
      </c>
      <c r="D12999">
        <v>13</v>
      </c>
      <c r="E12999">
        <f t="shared" si="202"/>
        <v>7.130846875131228E-24</v>
      </c>
    </row>
    <row r="13000" spans="1:5" x14ac:dyDescent="0.25">
      <c r="A13000">
        <v>17</v>
      </c>
      <c r="B13000">
        <v>17</v>
      </c>
      <c r="C13000">
        <v>2</v>
      </c>
      <c r="D13000">
        <v>12</v>
      </c>
      <c r="E13000">
        <f t="shared" si="202"/>
        <v>2.281871000041993E-22</v>
      </c>
    </row>
    <row r="13001" spans="1:5" x14ac:dyDescent="0.25">
      <c r="A13001">
        <v>17</v>
      </c>
      <c r="B13001">
        <v>17</v>
      </c>
      <c r="C13001">
        <v>3</v>
      </c>
      <c r="D13001">
        <v>11</v>
      </c>
      <c r="E13001">
        <f t="shared" si="202"/>
        <v>4.1073678000755873E-21</v>
      </c>
    </row>
    <row r="13002" spans="1:5" x14ac:dyDescent="0.25">
      <c r="A13002">
        <v>17</v>
      </c>
      <c r="B13002">
        <v>17</v>
      </c>
      <c r="C13002">
        <v>4</v>
      </c>
      <c r="D13002">
        <v>10</v>
      </c>
      <c r="E13002">
        <f t="shared" si="202"/>
        <v>4.6687080660859161E-20</v>
      </c>
    </row>
    <row r="13003" spans="1:5" x14ac:dyDescent="0.25">
      <c r="A13003">
        <v>17</v>
      </c>
      <c r="B13003">
        <v>17</v>
      </c>
      <c r="C13003">
        <v>5</v>
      </c>
      <c r="D13003">
        <v>9</v>
      </c>
      <c r="E13003">
        <f t="shared" si="202"/>
        <v>3.5598899003905123E-19</v>
      </c>
    </row>
    <row r="13004" spans="1:5" x14ac:dyDescent="0.25">
      <c r="A13004">
        <v>17</v>
      </c>
      <c r="B13004">
        <v>17</v>
      </c>
      <c r="C13004">
        <v>6</v>
      </c>
      <c r="D13004">
        <v>8</v>
      </c>
      <c r="E13004">
        <f t="shared" si="202"/>
        <v>1.8846475943243888E-18</v>
      </c>
    </row>
    <row r="13005" spans="1:5" x14ac:dyDescent="0.25">
      <c r="A13005">
        <v>17</v>
      </c>
      <c r="B13005">
        <v>17</v>
      </c>
      <c r="C13005">
        <v>7</v>
      </c>
      <c r="D13005">
        <v>7</v>
      </c>
      <c r="E13005">
        <f t="shared" si="202"/>
        <v>7.0599497184215209E-18</v>
      </c>
    </row>
    <row r="13006" spans="1:5" x14ac:dyDescent="0.25">
      <c r="A13006">
        <v>17</v>
      </c>
      <c r="B13006">
        <v>17</v>
      </c>
      <c r="C13006">
        <v>8</v>
      </c>
      <c r="D13006">
        <v>6</v>
      </c>
      <c r="E13006">
        <f t="shared" ref="E13006:E13069" si="203">COMBIN(A$4,A13006)*COMBIN(B$4,B13006)*COMBIN(C$4,C13006)*COMBIN(D$4,D13006)/COMBIN($G$4,$F$4)</f>
        <v>1.8857497274204846E-17</v>
      </c>
    </row>
    <row r="13007" spans="1:5" x14ac:dyDescent="0.25">
      <c r="A13007">
        <v>17</v>
      </c>
      <c r="B13007">
        <v>17</v>
      </c>
      <c r="C13007">
        <v>9</v>
      </c>
      <c r="D13007">
        <v>5</v>
      </c>
      <c r="E13007">
        <f t="shared" si="203"/>
        <v>3.5829244820989207E-17</v>
      </c>
    </row>
    <row r="13008" spans="1:5" x14ac:dyDescent="0.25">
      <c r="A13008">
        <v>17</v>
      </c>
      <c r="B13008">
        <v>17</v>
      </c>
      <c r="C13008">
        <v>10</v>
      </c>
      <c r="D13008">
        <v>4</v>
      </c>
      <c r="E13008">
        <f t="shared" si="203"/>
        <v>4.777232642798563E-17</v>
      </c>
    </row>
    <row r="13009" spans="1:5" x14ac:dyDescent="0.25">
      <c r="A13009">
        <v>17</v>
      </c>
      <c r="B13009">
        <v>17</v>
      </c>
      <c r="C13009">
        <v>11</v>
      </c>
      <c r="D13009">
        <v>3</v>
      </c>
      <c r="E13009">
        <f t="shared" si="203"/>
        <v>4.3429387661805119E-17</v>
      </c>
    </row>
    <row r="13010" spans="1:5" x14ac:dyDescent="0.25">
      <c r="A13010">
        <v>17</v>
      </c>
      <c r="B13010">
        <v>17</v>
      </c>
      <c r="C13010">
        <v>12</v>
      </c>
      <c r="D13010">
        <v>2</v>
      </c>
      <c r="E13010">
        <f t="shared" si="203"/>
        <v>2.5491162323233419E-17</v>
      </c>
    </row>
    <row r="13011" spans="1:5" x14ac:dyDescent="0.25">
      <c r="A13011">
        <v>17</v>
      </c>
      <c r="B13011">
        <v>17</v>
      </c>
      <c r="C13011">
        <v>13</v>
      </c>
      <c r="D13011">
        <v>1</v>
      </c>
      <c r="E13011">
        <f t="shared" si="203"/>
        <v>8.6604589944318725E-18</v>
      </c>
    </row>
    <row r="13012" spans="1:5" x14ac:dyDescent="0.25">
      <c r="A13012">
        <v>17</v>
      </c>
      <c r="B13012">
        <v>17</v>
      </c>
      <c r="C13012">
        <v>14</v>
      </c>
      <c r="D13012">
        <v>0</v>
      </c>
      <c r="E13012">
        <f t="shared" si="203"/>
        <v>1.2866967648870212E-18</v>
      </c>
    </row>
    <row r="13013" spans="1:5" x14ac:dyDescent="0.25">
      <c r="A13013">
        <v>17</v>
      </c>
      <c r="B13013">
        <v>18</v>
      </c>
      <c r="C13013">
        <v>0</v>
      </c>
      <c r="D13013">
        <v>13</v>
      </c>
      <c r="E13013">
        <f t="shared" si="203"/>
        <v>1.6577695299450377E-24</v>
      </c>
    </row>
    <row r="13014" spans="1:5" x14ac:dyDescent="0.25">
      <c r="A13014">
        <v>17</v>
      </c>
      <c r="B13014">
        <v>18</v>
      </c>
      <c r="C13014">
        <v>1</v>
      </c>
      <c r="D13014">
        <v>12</v>
      </c>
      <c r="E13014">
        <f t="shared" si="203"/>
        <v>1.0775501944642746E-22</v>
      </c>
    </row>
    <row r="13015" spans="1:5" x14ac:dyDescent="0.25">
      <c r="A13015">
        <v>17</v>
      </c>
      <c r="B13015">
        <v>18</v>
      </c>
      <c r="C13015">
        <v>2</v>
      </c>
      <c r="D13015">
        <v>11</v>
      </c>
      <c r="E13015">
        <f t="shared" si="203"/>
        <v>2.9555662476734386E-21</v>
      </c>
    </row>
    <row r="13016" spans="1:5" x14ac:dyDescent="0.25">
      <c r="A13016">
        <v>17</v>
      </c>
      <c r="B13016">
        <v>18</v>
      </c>
      <c r="C13016">
        <v>3</v>
      </c>
      <c r="D13016">
        <v>10</v>
      </c>
      <c r="E13016">
        <f t="shared" si="203"/>
        <v>4.5515720214170937E-20</v>
      </c>
    </row>
    <row r="13017" spans="1:5" x14ac:dyDescent="0.25">
      <c r="A13017">
        <v>17</v>
      </c>
      <c r="B13017">
        <v>18</v>
      </c>
      <c r="C13017">
        <v>4</v>
      </c>
      <c r="D13017">
        <v>9</v>
      </c>
      <c r="E13017">
        <f t="shared" si="203"/>
        <v>4.409335395747811E-19</v>
      </c>
    </row>
    <row r="13018" spans="1:5" x14ac:dyDescent="0.25">
      <c r="A13018">
        <v>17</v>
      </c>
      <c r="B13018">
        <v>18</v>
      </c>
      <c r="C13018">
        <v>5</v>
      </c>
      <c r="D13018">
        <v>8</v>
      </c>
      <c r="E13018">
        <f t="shared" si="203"/>
        <v>2.8479119203124098E-18</v>
      </c>
    </row>
    <row r="13019" spans="1:5" x14ac:dyDescent="0.25">
      <c r="A13019">
        <v>17</v>
      </c>
      <c r="B13019">
        <v>18</v>
      </c>
      <c r="C13019">
        <v>6</v>
      </c>
      <c r="D13019">
        <v>7</v>
      </c>
      <c r="E13019">
        <f t="shared" si="203"/>
        <v>1.26573863124996E-17</v>
      </c>
    </row>
    <row r="13020" spans="1:5" x14ac:dyDescent="0.25">
      <c r="A13020">
        <v>17</v>
      </c>
      <c r="B13020">
        <v>18</v>
      </c>
      <c r="C13020">
        <v>7</v>
      </c>
      <c r="D13020">
        <v>6</v>
      </c>
      <c r="E13020">
        <f t="shared" si="203"/>
        <v>3.9304515391446111E-17</v>
      </c>
    </row>
    <row r="13021" spans="1:5" x14ac:dyDescent="0.25">
      <c r="A13021">
        <v>17</v>
      </c>
      <c r="B13021">
        <v>18</v>
      </c>
      <c r="C13021">
        <v>8</v>
      </c>
      <c r="D13021">
        <v>5</v>
      </c>
      <c r="E13021">
        <f t="shared" si="203"/>
        <v>8.5487320976395304E-17</v>
      </c>
    </row>
    <row r="13022" spans="1:5" x14ac:dyDescent="0.25">
      <c r="A13022">
        <v>17</v>
      </c>
      <c r="B13022">
        <v>18</v>
      </c>
      <c r="C13022">
        <v>9</v>
      </c>
      <c r="D13022">
        <v>4</v>
      </c>
      <c r="E13022">
        <f t="shared" si="203"/>
        <v>1.2890945226599295E-16</v>
      </c>
    </row>
    <row r="13023" spans="1:5" x14ac:dyDescent="0.25">
      <c r="A13023">
        <v>17</v>
      </c>
      <c r="B13023">
        <v>18</v>
      </c>
      <c r="C13023">
        <v>10</v>
      </c>
      <c r="D13023">
        <v>3</v>
      </c>
      <c r="E13023">
        <f t="shared" si="203"/>
        <v>1.31253260489011E-16</v>
      </c>
    </row>
    <row r="13024" spans="1:5" x14ac:dyDescent="0.25">
      <c r="A13024">
        <v>17</v>
      </c>
      <c r="B13024">
        <v>18</v>
      </c>
      <c r="C13024">
        <v>11</v>
      </c>
      <c r="D13024">
        <v>2</v>
      </c>
      <c r="E13024">
        <f t="shared" si="203"/>
        <v>8.5599952492833257E-17</v>
      </c>
    </row>
    <row r="13025" spans="1:5" x14ac:dyDescent="0.25">
      <c r="A13025">
        <v>17</v>
      </c>
      <c r="B13025">
        <v>18</v>
      </c>
      <c r="C13025">
        <v>12</v>
      </c>
      <c r="D13025">
        <v>1</v>
      </c>
      <c r="E13025">
        <f t="shared" si="203"/>
        <v>3.2099982184812453E-17</v>
      </c>
    </row>
    <row r="13026" spans="1:5" x14ac:dyDescent="0.25">
      <c r="A13026">
        <v>17</v>
      </c>
      <c r="B13026">
        <v>18</v>
      </c>
      <c r="C13026">
        <v>13</v>
      </c>
      <c r="D13026">
        <v>0</v>
      </c>
      <c r="E13026">
        <f t="shared" si="203"/>
        <v>5.2347663255232643E-18</v>
      </c>
    </row>
    <row r="13027" spans="1:5" x14ac:dyDescent="0.25">
      <c r="A13027">
        <v>17</v>
      </c>
      <c r="B13027">
        <v>19</v>
      </c>
      <c r="C13027">
        <v>0</v>
      </c>
      <c r="D13027">
        <v>12</v>
      </c>
      <c r="E13027">
        <f t="shared" si="203"/>
        <v>2.3645028558689746E-23</v>
      </c>
    </row>
    <row r="13028" spans="1:5" x14ac:dyDescent="0.25">
      <c r="A13028">
        <v>17</v>
      </c>
      <c r="B13028">
        <v>19</v>
      </c>
      <c r="C13028">
        <v>1</v>
      </c>
      <c r="D13028">
        <v>11</v>
      </c>
      <c r="E13028">
        <f t="shared" si="203"/>
        <v>1.3173658768412853E-21</v>
      </c>
    </row>
    <row r="13029" spans="1:5" x14ac:dyDescent="0.25">
      <c r="A13029">
        <v>17</v>
      </c>
      <c r="B13029">
        <v>19</v>
      </c>
      <c r="C13029">
        <v>2</v>
      </c>
      <c r="D13029">
        <v>10</v>
      </c>
      <c r="E13029">
        <f t="shared" si="203"/>
        <v>3.0914185909875493E-20</v>
      </c>
    </row>
    <row r="13030" spans="1:5" x14ac:dyDescent="0.25">
      <c r="A13030">
        <v>17</v>
      </c>
      <c r="B13030">
        <v>19</v>
      </c>
      <c r="C13030">
        <v>3</v>
      </c>
      <c r="D13030">
        <v>9</v>
      </c>
      <c r="E13030">
        <f t="shared" si="203"/>
        <v>4.0574869006711599E-19</v>
      </c>
    </row>
    <row r="13031" spans="1:5" x14ac:dyDescent="0.25">
      <c r="A13031">
        <v>17</v>
      </c>
      <c r="B13031">
        <v>19</v>
      </c>
      <c r="C13031">
        <v>4</v>
      </c>
      <c r="D13031">
        <v>8</v>
      </c>
      <c r="E13031">
        <f t="shared" si="203"/>
        <v>3.3295260155507456E-18</v>
      </c>
    </row>
    <row r="13032" spans="1:5" x14ac:dyDescent="0.25">
      <c r="A13032">
        <v>17</v>
      </c>
      <c r="B13032">
        <v>19</v>
      </c>
      <c r="C13032">
        <v>5</v>
      </c>
      <c r="D13032">
        <v>7</v>
      </c>
      <c r="E13032">
        <f t="shared" si="203"/>
        <v>1.805342995098627E-17</v>
      </c>
    </row>
    <row r="13033" spans="1:5" x14ac:dyDescent="0.25">
      <c r="A13033">
        <v>17</v>
      </c>
      <c r="B13033">
        <v>19</v>
      </c>
      <c r="C13033">
        <v>6</v>
      </c>
      <c r="D13033">
        <v>6</v>
      </c>
      <c r="E13033">
        <f t="shared" si="203"/>
        <v>6.6512636661528336E-17</v>
      </c>
    </row>
    <row r="13034" spans="1:5" x14ac:dyDescent="0.25">
      <c r="A13034">
        <v>17</v>
      </c>
      <c r="B13034">
        <v>19</v>
      </c>
      <c r="C13034">
        <v>7</v>
      </c>
      <c r="D13034">
        <v>5</v>
      </c>
      <c r="E13034">
        <f t="shared" si="203"/>
        <v>1.6818195270129309E-16</v>
      </c>
    </row>
    <row r="13035" spans="1:5" x14ac:dyDescent="0.25">
      <c r="A13035">
        <v>17</v>
      </c>
      <c r="B13035">
        <v>19</v>
      </c>
      <c r="C13035">
        <v>8</v>
      </c>
      <c r="D13035">
        <v>4</v>
      </c>
      <c r="E13035">
        <f t="shared" si="203"/>
        <v>2.9031408502008936E-16</v>
      </c>
    </row>
    <row r="13036" spans="1:5" x14ac:dyDescent="0.25">
      <c r="A13036">
        <v>17</v>
      </c>
      <c r="B13036">
        <v>19</v>
      </c>
      <c r="C13036">
        <v>9</v>
      </c>
      <c r="D13036">
        <v>3</v>
      </c>
      <c r="E13036">
        <f t="shared" si="203"/>
        <v>3.343010675988907E-16</v>
      </c>
    </row>
    <row r="13037" spans="1:5" x14ac:dyDescent="0.25">
      <c r="A13037">
        <v>17</v>
      </c>
      <c r="B13037">
        <v>19</v>
      </c>
      <c r="C13037">
        <v>10</v>
      </c>
      <c r="D13037">
        <v>2</v>
      </c>
      <c r="E13037">
        <f t="shared" si="203"/>
        <v>2.4418512763745065E-16</v>
      </c>
    </row>
    <row r="13038" spans="1:5" x14ac:dyDescent="0.25">
      <c r="A13038">
        <v>17</v>
      </c>
      <c r="B13038">
        <v>19</v>
      </c>
      <c r="C13038">
        <v>11</v>
      </c>
      <c r="D13038">
        <v>1</v>
      </c>
      <c r="E13038">
        <f t="shared" si="203"/>
        <v>1.0174380318227111E-16</v>
      </c>
    </row>
    <row r="13039" spans="1:5" x14ac:dyDescent="0.25">
      <c r="A13039">
        <v>17</v>
      </c>
      <c r="B13039">
        <v>19</v>
      </c>
      <c r="C13039">
        <v>12</v>
      </c>
      <c r="D13039">
        <v>0</v>
      </c>
      <c r="E13039">
        <f t="shared" si="203"/>
        <v>1.8313884572808788E-17</v>
      </c>
    </row>
    <row r="13040" spans="1:5" x14ac:dyDescent="0.25">
      <c r="A13040">
        <v>17</v>
      </c>
      <c r="B13040">
        <v>20</v>
      </c>
      <c r="C13040">
        <v>0</v>
      </c>
      <c r="D13040">
        <v>11</v>
      </c>
      <c r="E13040">
        <f t="shared" si="203"/>
        <v>2.7360675903626702E-22</v>
      </c>
    </row>
    <row r="13041" spans="1:5" x14ac:dyDescent="0.25">
      <c r="A13041">
        <v>17</v>
      </c>
      <c r="B13041">
        <v>20</v>
      </c>
      <c r="C13041">
        <v>1</v>
      </c>
      <c r="D13041">
        <v>10</v>
      </c>
      <c r="E13041">
        <f t="shared" si="203"/>
        <v>1.3041922180728726E-20</v>
      </c>
    </row>
    <row r="13042" spans="1:5" x14ac:dyDescent="0.25">
      <c r="A13042">
        <v>17</v>
      </c>
      <c r="B13042">
        <v>20</v>
      </c>
      <c r="C13042">
        <v>2</v>
      </c>
      <c r="D13042">
        <v>9</v>
      </c>
      <c r="E13042">
        <f t="shared" si="203"/>
        <v>2.6083844361457456E-19</v>
      </c>
    </row>
    <row r="13043" spans="1:5" x14ac:dyDescent="0.25">
      <c r="A13043">
        <v>17</v>
      </c>
      <c r="B13043">
        <v>20</v>
      </c>
      <c r="C13043">
        <v>3</v>
      </c>
      <c r="D13043">
        <v>8</v>
      </c>
      <c r="E13043">
        <f t="shared" si="203"/>
        <v>2.8999097554796814E-18</v>
      </c>
    </row>
    <row r="13044" spans="1:5" x14ac:dyDescent="0.25">
      <c r="A13044">
        <v>17</v>
      </c>
      <c r="B13044">
        <v>20</v>
      </c>
      <c r="C13044">
        <v>4</v>
      </c>
      <c r="D13044">
        <v>7</v>
      </c>
      <c r="E13044">
        <f t="shared" si="203"/>
        <v>1.9977156093304479E-17</v>
      </c>
    </row>
    <row r="13045" spans="1:5" x14ac:dyDescent="0.25">
      <c r="A13045">
        <v>17</v>
      </c>
      <c r="B13045">
        <v>20</v>
      </c>
      <c r="C13045">
        <v>5</v>
      </c>
      <c r="D13045">
        <v>6</v>
      </c>
      <c r="E13045">
        <f t="shared" si="203"/>
        <v>8.9792059493063265E-17</v>
      </c>
    </row>
    <row r="13046" spans="1:5" x14ac:dyDescent="0.25">
      <c r="A13046">
        <v>17</v>
      </c>
      <c r="B13046">
        <v>20</v>
      </c>
      <c r="C13046">
        <v>6</v>
      </c>
      <c r="D13046">
        <v>5</v>
      </c>
      <c r="E13046">
        <f t="shared" si="203"/>
        <v>2.6937617847918972E-16</v>
      </c>
    </row>
    <row r="13047" spans="1:5" x14ac:dyDescent="0.25">
      <c r="A13047">
        <v>17</v>
      </c>
      <c r="B13047">
        <v>20</v>
      </c>
      <c r="C13047">
        <v>7</v>
      </c>
      <c r="D13047">
        <v>4</v>
      </c>
      <c r="E13047">
        <f t="shared" si="203"/>
        <v>5.4058484796844219E-16</v>
      </c>
    </row>
    <row r="13048" spans="1:5" x14ac:dyDescent="0.25">
      <c r="A13048">
        <v>17</v>
      </c>
      <c r="B13048">
        <v>20</v>
      </c>
      <c r="C13048">
        <v>8</v>
      </c>
      <c r="D13048">
        <v>3</v>
      </c>
      <c r="E13048">
        <f t="shared" si="203"/>
        <v>7.1258911777658299E-16</v>
      </c>
    </row>
    <row r="13049" spans="1:5" x14ac:dyDescent="0.25">
      <c r="A13049">
        <v>17</v>
      </c>
      <c r="B13049">
        <v>20</v>
      </c>
      <c r="C13049">
        <v>9</v>
      </c>
      <c r="D13049">
        <v>2</v>
      </c>
      <c r="E13049">
        <f t="shared" si="203"/>
        <v>5.8866057555456841E-16</v>
      </c>
    </row>
    <row r="13050" spans="1:5" x14ac:dyDescent="0.25">
      <c r="A13050">
        <v>17</v>
      </c>
      <c r="B13050">
        <v>20</v>
      </c>
      <c r="C13050">
        <v>10</v>
      </c>
      <c r="D13050">
        <v>1</v>
      </c>
      <c r="E13050">
        <f t="shared" si="203"/>
        <v>2.7470826859213192E-16</v>
      </c>
    </row>
    <row r="13051" spans="1:5" x14ac:dyDescent="0.25">
      <c r="A13051">
        <v>17</v>
      </c>
      <c r="B13051">
        <v>20</v>
      </c>
      <c r="C13051">
        <v>11</v>
      </c>
      <c r="D13051">
        <v>0</v>
      </c>
      <c r="E13051">
        <f t="shared" si="203"/>
        <v>5.49416537184264E-17</v>
      </c>
    </row>
    <row r="13052" spans="1:5" x14ac:dyDescent="0.25">
      <c r="A13052">
        <v>17</v>
      </c>
      <c r="B13052">
        <v>21</v>
      </c>
      <c r="C13052">
        <v>0</v>
      </c>
      <c r="D13052">
        <v>10</v>
      </c>
      <c r="E13052">
        <f t="shared" si="203"/>
        <v>2.5701663491692515E-21</v>
      </c>
    </row>
    <row r="13053" spans="1:5" x14ac:dyDescent="0.25">
      <c r="A13053">
        <v>17</v>
      </c>
      <c r="B13053">
        <v>21</v>
      </c>
      <c r="C13053">
        <v>1</v>
      </c>
      <c r="D13053">
        <v>9</v>
      </c>
      <c r="E13053">
        <f t="shared" si="203"/>
        <v>1.0441300793500086E-19</v>
      </c>
    </row>
    <row r="13054" spans="1:5" x14ac:dyDescent="0.25">
      <c r="A13054">
        <v>17</v>
      </c>
      <c r="B13054">
        <v>21</v>
      </c>
      <c r="C13054">
        <v>2</v>
      </c>
      <c r="D13054">
        <v>8</v>
      </c>
      <c r="E13054">
        <f t="shared" si="203"/>
        <v>1.7688791932517793E-18</v>
      </c>
    </row>
    <row r="13055" spans="1:5" x14ac:dyDescent="0.25">
      <c r="A13055">
        <v>17</v>
      </c>
      <c r="B13055">
        <v>21</v>
      </c>
      <c r="C13055">
        <v>3</v>
      </c>
      <c r="D13055">
        <v>7</v>
      </c>
      <c r="E13055">
        <f t="shared" si="203"/>
        <v>1.6509539137016611E-17</v>
      </c>
    </row>
    <row r="13056" spans="1:5" x14ac:dyDescent="0.25">
      <c r="A13056">
        <v>17</v>
      </c>
      <c r="B13056">
        <v>21</v>
      </c>
      <c r="C13056">
        <v>4</v>
      </c>
      <c r="D13056">
        <v>6</v>
      </c>
      <c r="E13056">
        <f t="shared" si="203"/>
        <v>9.4278157703489554E-17</v>
      </c>
    </row>
    <row r="13057" spans="1:5" x14ac:dyDescent="0.25">
      <c r="A13057">
        <v>17</v>
      </c>
      <c r="B13057">
        <v>21</v>
      </c>
      <c r="C13057">
        <v>5</v>
      </c>
      <c r="D13057">
        <v>5</v>
      </c>
      <c r="E13057">
        <f t="shared" si="203"/>
        <v>3.450580571947718E-16</v>
      </c>
    </row>
    <row r="13058" spans="1:5" x14ac:dyDescent="0.25">
      <c r="A13058">
        <v>17</v>
      </c>
      <c r="B13058">
        <v>21</v>
      </c>
      <c r="C13058">
        <v>6</v>
      </c>
      <c r="D13058">
        <v>4</v>
      </c>
      <c r="E13058">
        <f t="shared" si="203"/>
        <v>8.2156680284469498E-16</v>
      </c>
    </row>
    <row r="13059" spans="1:5" x14ac:dyDescent="0.25">
      <c r="A13059">
        <v>17</v>
      </c>
      <c r="B13059">
        <v>21</v>
      </c>
      <c r="C13059">
        <v>7</v>
      </c>
      <c r="D13059">
        <v>3</v>
      </c>
      <c r="E13059">
        <f t="shared" si="203"/>
        <v>1.2590244511126489E-15</v>
      </c>
    </row>
    <row r="13060" spans="1:5" x14ac:dyDescent="0.25">
      <c r="A13060">
        <v>17</v>
      </c>
      <c r="B13060">
        <v>21</v>
      </c>
      <c r="C13060">
        <v>8</v>
      </c>
      <c r="D13060">
        <v>2</v>
      </c>
      <c r="E13060">
        <f t="shared" si="203"/>
        <v>1.1905992092043533E-15</v>
      </c>
    </row>
    <row r="13061" spans="1:5" x14ac:dyDescent="0.25">
      <c r="A13061">
        <v>17</v>
      </c>
      <c r="B13061">
        <v>21</v>
      </c>
      <c r="C13061">
        <v>9</v>
      </c>
      <c r="D13061">
        <v>1</v>
      </c>
      <c r="E13061">
        <f t="shared" si="203"/>
        <v>6.2837180485785295E-16</v>
      </c>
    </row>
    <row r="13062" spans="1:5" x14ac:dyDescent="0.25">
      <c r="A13062">
        <v>17</v>
      </c>
      <c r="B13062">
        <v>21</v>
      </c>
      <c r="C13062">
        <v>10</v>
      </c>
      <c r="D13062">
        <v>0</v>
      </c>
      <c r="E13062">
        <f t="shared" si="203"/>
        <v>1.4075528428815909E-16</v>
      </c>
    </row>
    <row r="13063" spans="1:5" x14ac:dyDescent="0.25">
      <c r="A13063">
        <v>17</v>
      </c>
      <c r="B13063">
        <v>22</v>
      </c>
      <c r="C13063">
        <v>0</v>
      </c>
      <c r="D13063">
        <v>9</v>
      </c>
      <c r="E13063">
        <f t="shared" si="203"/>
        <v>1.956831197662953E-20</v>
      </c>
    </row>
    <row r="13064" spans="1:5" x14ac:dyDescent="0.25">
      <c r="A13064">
        <v>17</v>
      </c>
      <c r="B13064">
        <v>22</v>
      </c>
      <c r="C13064">
        <v>1</v>
      </c>
      <c r="D13064">
        <v>8</v>
      </c>
      <c r="E13064">
        <f t="shared" si="203"/>
        <v>6.7338014743107504E-19</v>
      </c>
    </row>
    <row r="13065" spans="1:5" x14ac:dyDescent="0.25">
      <c r="A13065">
        <v>17</v>
      </c>
      <c r="B13065">
        <v>22</v>
      </c>
      <c r="C13065">
        <v>2</v>
      </c>
      <c r="D13065">
        <v>7</v>
      </c>
      <c r="E13065">
        <f t="shared" si="203"/>
        <v>9.5769620967975156E-18</v>
      </c>
    </row>
    <row r="13066" spans="1:5" x14ac:dyDescent="0.25">
      <c r="A13066">
        <v>17</v>
      </c>
      <c r="B13066">
        <v>22</v>
      </c>
      <c r="C13066">
        <v>3</v>
      </c>
      <c r="D13066">
        <v>6</v>
      </c>
      <c r="E13066">
        <f t="shared" si="203"/>
        <v>7.4095443591012313E-17</v>
      </c>
    </row>
    <row r="13067" spans="1:5" x14ac:dyDescent="0.25">
      <c r="A13067">
        <v>17</v>
      </c>
      <c r="B13067">
        <v>22</v>
      </c>
      <c r="C13067">
        <v>4</v>
      </c>
      <c r="D13067">
        <v>5</v>
      </c>
      <c r="E13067">
        <f t="shared" si="203"/>
        <v>3.4454381269820725E-16</v>
      </c>
    </row>
    <row r="13068" spans="1:5" x14ac:dyDescent="0.25">
      <c r="A13068">
        <v>17</v>
      </c>
      <c r="B13068">
        <v>22</v>
      </c>
      <c r="C13068">
        <v>5</v>
      </c>
      <c r="D13068">
        <v>4</v>
      </c>
      <c r="E13068">
        <f t="shared" si="203"/>
        <v>1.0008177416471741E-15</v>
      </c>
    </row>
    <row r="13069" spans="1:5" x14ac:dyDescent="0.25">
      <c r="A13069">
        <v>17</v>
      </c>
      <c r="B13069">
        <v>22</v>
      </c>
      <c r="C13069">
        <v>6</v>
      </c>
      <c r="D13069">
        <v>3</v>
      </c>
      <c r="E13069">
        <f t="shared" si="203"/>
        <v>1.8196686211766792E-15</v>
      </c>
    </row>
    <row r="13070" spans="1:5" x14ac:dyDescent="0.25">
      <c r="A13070">
        <v>17</v>
      </c>
      <c r="B13070">
        <v>22</v>
      </c>
      <c r="C13070">
        <v>7</v>
      </c>
      <c r="D13070">
        <v>2</v>
      </c>
      <c r="E13070">
        <f t="shared" ref="E13070:E13133" si="204">COMBIN(A$4,A13070)*COMBIN(B$4,B13070)*COMBIN(C$4,C13070)*COMBIN(D$4,D13070)/COMBIN($G$4,$F$4)</f>
        <v>2.0005052543370945E-15</v>
      </c>
    </row>
    <row r="13071" spans="1:5" x14ac:dyDescent="0.25">
      <c r="A13071">
        <v>17</v>
      </c>
      <c r="B13071">
        <v>22</v>
      </c>
      <c r="C13071">
        <v>8</v>
      </c>
      <c r="D13071">
        <v>1</v>
      </c>
      <c r="E13071">
        <f t="shared" si="204"/>
        <v>1.2086385911619952E-15</v>
      </c>
    </row>
    <row r="13072" spans="1:5" x14ac:dyDescent="0.25">
      <c r="A13072">
        <v>17</v>
      </c>
      <c r="B13072">
        <v>22</v>
      </c>
      <c r="C13072">
        <v>9</v>
      </c>
      <c r="D13072">
        <v>0</v>
      </c>
      <c r="E13072">
        <f t="shared" si="204"/>
        <v>3.0618844309437197E-16</v>
      </c>
    </row>
    <row r="13073" spans="1:5" x14ac:dyDescent="0.25">
      <c r="A13073">
        <v>17</v>
      </c>
      <c r="B13073">
        <v>23</v>
      </c>
      <c r="C13073">
        <v>0</v>
      </c>
      <c r="D13073">
        <v>8</v>
      </c>
      <c r="E13073">
        <f t="shared" si="204"/>
        <v>1.2026254138066684E-19</v>
      </c>
    </row>
    <row r="13074" spans="1:5" x14ac:dyDescent="0.25">
      <c r="A13074">
        <v>17</v>
      </c>
      <c r="B13074">
        <v>23</v>
      </c>
      <c r="C13074">
        <v>1</v>
      </c>
      <c r="D13074">
        <v>7</v>
      </c>
      <c r="E13074">
        <f t="shared" si="204"/>
        <v>3.4742511954414873E-18</v>
      </c>
    </row>
    <row r="13075" spans="1:5" x14ac:dyDescent="0.25">
      <c r="A13075">
        <v>17</v>
      </c>
      <c r="B13075">
        <v>23</v>
      </c>
      <c r="C13075">
        <v>2</v>
      </c>
      <c r="D13075">
        <v>6</v>
      </c>
      <c r="E13075">
        <f t="shared" si="204"/>
        <v>4.0959593040994359E-17</v>
      </c>
    </row>
    <row r="13076" spans="1:5" x14ac:dyDescent="0.25">
      <c r="A13076">
        <v>17</v>
      </c>
      <c r="B13076">
        <v>23</v>
      </c>
      <c r="C13076">
        <v>3</v>
      </c>
      <c r="D13076">
        <v>5</v>
      </c>
      <c r="E13076">
        <f t="shared" si="204"/>
        <v>2.580454361582645E-16</v>
      </c>
    </row>
    <row r="13077" spans="1:5" x14ac:dyDescent="0.25">
      <c r="A13077">
        <v>17</v>
      </c>
      <c r="B13077">
        <v>23</v>
      </c>
      <c r="C13077">
        <v>4</v>
      </c>
      <c r="D13077">
        <v>4</v>
      </c>
      <c r="E13077">
        <f t="shared" si="204"/>
        <v>9.5231053820311901E-16</v>
      </c>
    </row>
    <row r="13078" spans="1:5" x14ac:dyDescent="0.25">
      <c r="A13078">
        <v>17</v>
      </c>
      <c r="B13078">
        <v>23</v>
      </c>
      <c r="C13078">
        <v>5</v>
      </c>
      <c r="D13078">
        <v>3</v>
      </c>
      <c r="E13078">
        <f t="shared" si="204"/>
        <v>2.1123979211051004E-15</v>
      </c>
    </row>
    <row r="13079" spans="1:5" x14ac:dyDescent="0.25">
      <c r="A13079">
        <v>17</v>
      </c>
      <c r="B13079">
        <v>23</v>
      </c>
      <c r="C13079">
        <v>6</v>
      </c>
      <c r="D13079">
        <v>2</v>
      </c>
      <c r="E13079">
        <f t="shared" si="204"/>
        <v>2.7553016362240444E-15</v>
      </c>
    </row>
    <row r="13080" spans="1:5" x14ac:dyDescent="0.25">
      <c r="A13080">
        <v>17</v>
      </c>
      <c r="B13080">
        <v>23</v>
      </c>
      <c r="C13080">
        <v>7</v>
      </c>
      <c r="D13080">
        <v>1</v>
      </c>
      <c r="E13080">
        <f t="shared" si="204"/>
        <v>1.9352713873478407E-15</v>
      </c>
    </row>
    <row r="13081" spans="1:5" x14ac:dyDescent="0.25">
      <c r="A13081">
        <v>17</v>
      </c>
      <c r="B13081">
        <v>23</v>
      </c>
      <c r="C13081">
        <v>8</v>
      </c>
      <c r="D13081">
        <v>0</v>
      </c>
      <c r="E13081">
        <f t="shared" si="204"/>
        <v>5.6122870233087383E-16</v>
      </c>
    </row>
    <row r="13082" spans="1:5" x14ac:dyDescent="0.25">
      <c r="A13082">
        <v>17</v>
      </c>
      <c r="B13082">
        <v>24</v>
      </c>
      <c r="C13082">
        <v>0</v>
      </c>
      <c r="D13082">
        <v>7</v>
      </c>
      <c r="E13082">
        <f t="shared" si="204"/>
        <v>5.9240437050476675E-19</v>
      </c>
    </row>
    <row r="13083" spans="1:5" x14ac:dyDescent="0.25">
      <c r="A13083">
        <v>17</v>
      </c>
      <c r="B13083">
        <v>24</v>
      </c>
      <c r="C13083">
        <v>1</v>
      </c>
      <c r="D13083">
        <v>6</v>
      </c>
      <c r="E13083">
        <f t="shared" si="204"/>
        <v>1.4186525714719409E-17</v>
      </c>
    </row>
    <row r="13084" spans="1:5" x14ac:dyDescent="0.25">
      <c r="A13084">
        <v>17</v>
      </c>
      <c r="B13084">
        <v>24</v>
      </c>
      <c r="C13084">
        <v>2</v>
      </c>
      <c r="D13084">
        <v>5</v>
      </c>
      <c r="E13084">
        <f t="shared" si="204"/>
        <v>1.3619064686130634E-16</v>
      </c>
    </row>
    <row r="13085" spans="1:5" x14ac:dyDescent="0.25">
      <c r="A13085">
        <v>17</v>
      </c>
      <c r="B13085">
        <v>24</v>
      </c>
      <c r="C13085">
        <v>3</v>
      </c>
      <c r="D13085">
        <v>4</v>
      </c>
      <c r="E13085">
        <f t="shared" si="204"/>
        <v>6.8095323430653186E-16</v>
      </c>
    </row>
    <row r="13086" spans="1:5" x14ac:dyDescent="0.25">
      <c r="A13086">
        <v>17</v>
      </c>
      <c r="B13086">
        <v>24</v>
      </c>
      <c r="C13086">
        <v>4</v>
      </c>
      <c r="D13086">
        <v>3</v>
      </c>
      <c r="E13086">
        <f t="shared" si="204"/>
        <v>1.9190500239547714E-15</v>
      </c>
    </row>
    <row r="13087" spans="1:5" x14ac:dyDescent="0.25">
      <c r="A13087">
        <v>17</v>
      </c>
      <c r="B13087">
        <v>24</v>
      </c>
      <c r="C13087">
        <v>5</v>
      </c>
      <c r="D13087">
        <v>2</v>
      </c>
      <c r="E13087">
        <f t="shared" si="204"/>
        <v>3.0537926468149837E-15</v>
      </c>
    </row>
    <row r="13088" spans="1:5" x14ac:dyDescent="0.25">
      <c r="A13088">
        <v>17</v>
      </c>
      <c r="B13088">
        <v>24</v>
      </c>
      <c r="C13088">
        <v>6</v>
      </c>
      <c r="D13088">
        <v>1</v>
      </c>
      <c r="E13088">
        <f t="shared" si="204"/>
        <v>2.5448272056791529E-15</v>
      </c>
    </row>
    <row r="13089" spans="1:5" x14ac:dyDescent="0.25">
      <c r="A13089">
        <v>17</v>
      </c>
      <c r="B13089">
        <v>24</v>
      </c>
      <c r="C13089">
        <v>7</v>
      </c>
      <c r="D13089">
        <v>0</v>
      </c>
      <c r="E13089">
        <f t="shared" si="204"/>
        <v>8.5797031505754312E-16</v>
      </c>
    </row>
    <row r="13090" spans="1:5" x14ac:dyDescent="0.25">
      <c r="A13090">
        <v>17</v>
      </c>
      <c r="B13090">
        <v>25</v>
      </c>
      <c r="C13090">
        <v>0</v>
      </c>
      <c r="D13090">
        <v>6</v>
      </c>
      <c r="E13090">
        <f t="shared" si="204"/>
        <v>2.3134949627080892E-18</v>
      </c>
    </row>
    <row r="13091" spans="1:5" x14ac:dyDescent="0.25">
      <c r="A13091">
        <v>17</v>
      </c>
      <c r="B13091">
        <v>25</v>
      </c>
      <c r="C13091">
        <v>1</v>
      </c>
      <c r="D13091">
        <v>5</v>
      </c>
      <c r="E13091">
        <f t="shared" si="204"/>
        <v>4.5113151772807736E-17</v>
      </c>
    </row>
    <row r="13092" spans="1:5" x14ac:dyDescent="0.25">
      <c r="A13092">
        <v>17</v>
      </c>
      <c r="B13092">
        <v>25</v>
      </c>
      <c r="C13092">
        <v>2</v>
      </c>
      <c r="D13092">
        <v>4</v>
      </c>
      <c r="E13092">
        <f t="shared" si="204"/>
        <v>3.4371925160234475E-16</v>
      </c>
    </row>
    <row r="13093" spans="1:5" x14ac:dyDescent="0.25">
      <c r="A13093">
        <v>17</v>
      </c>
      <c r="B13093">
        <v>25</v>
      </c>
      <c r="C13093">
        <v>3</v>
      </c>
      <c r="D13093">
        <v>3</v>
      </c>
      <c r="E13093">
        <f t="shared" si="204"/>
        <v>1.3123825970271343E-15</v>
      </c>
    </row>
    <row r="13094" spans="1:5" x14ac:dyDescent="0.25">
      <c r="A13094">
        <v>17</v>
      </c>
      <c r="B13094">
        <v>25</v>
      </c>
      <c r="C13094">
        <v>4</v>
      </c>
      <c r="D13094">
        <v>2</v>
      </c>
      <c r="E13094">
        <f t="shared" si="204"/>
        <v>2.6532952505113807E-15</v>
      </c>
    </row>
    <row r="13095" spans="1:5" x14ac:dyDescent="0.25">
      <c r="A13095">
        <v>17</v>
      </c>
      <c r="B13095">
        <v>25</v>
      </c>
      <c r="C13095">
        <v>5</v>
      </c>
      <c r="D13095">
        <v>1</v>
      </c>
      <c r="E13095">
        <f t="shared" si="204"/>
        <v>2.6975168380199038E-15</v>
      </c>
    </row>
    <row r="13096" spans="1:5" x14ac:dyDescent="0.25">
      <c r="A13096">
        <v>17</v>
      </c>
      <c r="B13096">
        <v>25</v>
      </c>
      <c r="C13096">
        <v>6</v>
      </c>
      <c r="D13096">
        <v>0</v>
      </c>
      <c r="E13096">
        <f t="shared" si="204"/>
        <v>1.0790067352079614E-15</v>
      </c>
    </row>
    <row r="13097" spans="1:5" x14ac:dyDescent="0.25">
      <c r="A13097">
        <v>17</v>
      </c>
      <c r="B13097">
        <v>26</v>
      </c>
      <c r="C13097">
        <v>0</v>
      </c>
      <c r="D13097">
        <v>5</v>
      </c>
      <c r="E13097">
        <f t="shared" si="204"/>
        <v>7.0472615787107883E-18</v>
      </c>
    </row>
    <row r="13098" spans="1:5" x14ac:dyDescent="0.25">
      <c r="A13098">
        <v>17</v>
      </c>
      <c r="B13098">
        <v>26</v>
      </c>
      <c r="C13098">
        <v>1</v>
      </c>
      <c r="D13098">
        <v>4</v>
      </c>
      <c r="E13098">
        <f t="shared" si="204"/>
        <v>1.09064762527667E-16</v>
      </c>
    </row>
    <row r="13099" spans="1:5" x14ac:dyDescent="0.25">
      <c r="A13099">
        <v>17</v>
      </c>
      <c r="B13099">
        <v>26</v>
      </c>
      <c r="C13099">
        <v>2</v>
      </c>
      <c r="D13099">
        <v>3</v>
      </c>
      <c r="E13099">
        <f t="shared" si="204"/>
        <v>6.3455861834278966E-16</v>
      </c>
    </row>
    <row r="13100" spans="1:5" x14ac:dyDescent="0.25">
      <c r="A13100">
        <v>17</v>
      </c>
      <c r="B13100">
        <v>26</v>
      </c>
      <c r="C13100">
        <v>3</v>
      </c>
      <c r="D13100">
        <v>2</v>
      </c>
      <c r="E13100">
        <f t="shared" si="204"/>
        <v>1.7381388241563372E-15</v>
      </c>
    </row>
    <row r="13101" spans="1:5" x14ac:dyDescent="0.25">
      <c r="A13101">
        <v>17</v>
      </c>
      <c r="B13101">
        <v>26</v>
      </c>
      <c r="C13101">
        <v>4</v>
      </c>
      <c r="D13101">
        <v>1</v>
      </c>
      <c r="E13101">
        <f t="shared" si="204"/>
        <v>2.2450959812019358E-15</v>
      </c>
    </row>
    <row r="13102" spans="1:5" x14ac:dyDescent="0.25">
      <c r="A13102">
        <v>17</v>
      </c>
      <c r="B13102">
        <v>26</v>
      </c>
      <c r="C13102">
        <v>5</v>
      </c>
      <c r="D13102">
        <v>0</v>
      </c>
      <c r="E13102">
        <f t="shared" si="204"/>
        <v>1.0956068388265444E-15</v>
      </c>
    </row>
    <row r="13103" spans="1:5" x14ac:dyDescent="0.25">
      <c r="A13103">
        <v>17</v>
      </c>
      <c r="B13103">
        <v>27</v>
      </c>
      <c r="C13103">
        <v>0</v>
      </c>
      <c r="D13103">
        <v>4</v>
      </c>
      <c r="E13103">
        <f t="shared" si="204"/>
        <v>1.6344178088191689E-17</v>
      </c>
    </row>
    <row r="13104" spans="1:5" x14ac:dyDescent="0.25">
      <c r="A13104">
        <v>17</v>
      </c>
      <c r="B13104">
        <v>27</v>
      </c>
      <c r="C13104">
        <v>1</v>
      </c>
      <c r="D13104">
        <v>3</v>
      </c>
      <c r="E13104">
        <f t="shared" si="204"/>
        <v>1.9315846831499266E-16</v>
      </c>
    </row>
    <row r="13105" spans="1:5" x14ac:dyDescent="0.25">
      <c r="A13105">
        <v>17</v>
      </c>
      <c r="B13105">
        <v>27</v>
      </c>
      <c r="C13105">
        <v>2</v>
      </c>
      <c r="D13105">
        <v>2</v>
      </c>
      <c r="E13105">
        <f t="shared" si="204"/>
        <v>8.0622665035823022E-16</v>
      </c>
    </row>
    <row r="13106" spans="1:5" x14ac:dyDescent="0.25">
      <c r="A13106">
        <v>17</v>
      </c>
      <c r="B13106">
        <v>27</v>
      </c>
      <c r="C13106">
        <v>3</v>
      </c>
      <c r="D13106">
        <v>1</v>
      </c>
      <c r="E13106">
        <f t="shared" si="204"/>
        <v>1.410896638126903E-15</v>
      </c>
    </row>
    <row r="13107" spans="1:5" x14ac:dyDescent="0.25">
      <c r="A13107">
        <v>17</v>
      </c>
      <c r="B13107">
        <v>27</v>
      </c>
      <c r="C13107">
        <v>4</v>
      </c>
      <c r="D13107">
        <v>0</v>
      </c>
      <c r="E13107">
        <f t="shared" si="204"/>
        <v>8.7475591563867982E-16</v>
      </c>
    </row>
    <row r="13108" spans="1:5" x14ac:dyDescent="0.25">
      <c r="A13108">
        <v>17</v>
      </c>
      <c r="B13108">
        <v>28</v>
      </c>
      <c r="C13108">
        <v>0</v>
      </c>
      <c r="D13108">
        <v>3</v>
      </c>
      <c r="E13108">
        <f t="shared" si="204"/>
        <v>2.780632895523524E-17</v>
      </c>
    </row>
    <row r="13109" spans="1:5" x14ac:dyDescent="0.25">
      <c r="A13109">
        <v>17</v>
      </c>
      <c r="B13109">
        <v>28</v>
      </c>
      <c r="C13109">
        <v>1</v>
      </c>
      <c r="D13109">
        <v>2</v>
      </c>
      <c r="E13109">
        <f t="shared" si="204"/>
        <v>2.3574931070742917E-16</v>
      </c>
    </row>
    <row r="13110" spans="1:5" x14ac:dyDescent="0.25">
      <c r="A13110">
        <v>17</v>
      </c>
      <c r="B13110">
        <v>28</v>
      </c>
      <c r="C13110">
        <v>2</v>
      </c>
      <c r="D13110">
        <v>1</v>
      </c>
      <c r="E13110">
        <f t="shared" si="204"/>
        <v>6.2866482855314446E-16</v>
      </c>
    </row>
    <row r="13111" spans="1:5" x14ac:dyDescent="0.25">
      <c r="A13111">
        <v>17</v>
      </c>
      <c r="B13111">
        <v>28</v>
      </c>
      <c r="C13111">
        <v>3</v>
      </c>
      <c r="D13111">
        <v>0</v>
      </c>
      <c r="E13111">
        <f t="shared" si="204"/>
        <v>5.2807845598464137E-16</v>
      </c>
    </row>
    <row r="13112" spans="1:5" x14ac:dyDescent="0.25">
      <c r="A13112">
        <v>17</v>
      </c>
      <c r="B13112">
        <v>29</v>
      </c>
      <c r="C13112">
        <v>0</v>
      </c>
      <c r="D13112">
        <v>2</v>
      </c>
      <c r="E13112">
        <f t="shared" si="204"/>
        <v>3.264221225179786E-17</v>
      </c>
    </row>
    <row r="13113" spans="1:5" x14ac:dyDescent="0.25">
      <c r="A13113">
        <v>17</v>
      </c>
      <c r="B13113">
        <v>29</v>
      </c>
      <c r="C13113">
        <v>1</v>
      </c>
      <c r="D13113">
        <v>1</v>
      </c>
      <c r="E13113">
        <f t="shared" si="204"/>
        <v>1.7681198303057172E-16</v>
      </c>
    </row>
    <row r="13114" spans="1:5" x14ac:dyDescent="0.25">
      <c r="A13114">
        <v>17</v>
      </c>
      <c r="B13114">
        <v>29</v>
      </c>
      <c r="C13114">
        <v>2</v>
      </c>
      <c r="D13114">
        <v>0</v>
      </c>
      <c r="E13114">
        <f t="shared" si="204"/>
        <v>2.263193382791318E-16</v>
      </c>
    </row>
    <row r="13115" spans="1:5" x14ac:dyDescent="0.25">
      <c r="A13115">
        <v>17</v>
      </c>
      <c r="B13115">
        <v>30</v>
      </c>
      <c r="C13115">
        <v>0</v>
      </c>
      <c r="D13115">
        <v>1</v>
      </c>
      <c r="E13115">
        <f t="shared" si="204"/>
        <v>2.357493107074289E-17</v>
      </c>
    </row>
    <row r="13116" spans="1:5" x14ac:dyDescent="0.25">
      <c r="A13116">
        <v>17</v>
      </c>
      <c r="B13116">
        <v>30</v>
      </c>
      <c r="C13116">
        <v>1</v>
      </c>
      <c r="D13116">
        <v>0</v>
      </c>
      <c r="E13116">
        <f t="shared" si="204"/>
        <v>6.1294820783931512E-17</v>
      </c>
    </row>
    <row r="13117" spans="1:5" x14ac:dyDescent="0.25">
      <c r="A13117">
        <v>17</v>
      </c>
      <c r="B13117">
        <v>31</v>
      </c>
      <c r="C13117">
        <v>0</v>
      </c>
      <c r="D13117">
        <v>0</v>
      </c>
      <c r="E13117">
        <f t="shared" si="204"/>
        <v>7.8785898675127948E-18</v>
      </c>
    </row>
    <row r="13118" spans="1:5" x14ac:dyDescent="0.25">
      <c r="A13118">
        <v>18</v>
      </c>
      <c r="B13118">
        <v>0</v>
      </c>
      <c r="C13118">
        <v>5</v>
      </c>
      <c r="D13118">
        <v>25</v>
      </c>
      <c r="E13118">
        <f t="shared" si="204"/>
        <v>3.2519540924422251E-53</v>
      </c>
    </row>
    <row r="13119" spans="1:5" x14ac:dyDescent="0.25">
      <c r="A13119">
        <v>18</v>
      </c>
      <c r="B13119">
        <v>0</v>
      </c>
      <c r="C13119">
        <v>6</v>
      </c>
      <c r="D13119">
        <v>24</v>
      </c>
      <c r="E13119">
        <f t="shared" si="204"/>
        <v>8.1298852311055618E-51</v>
      </c>
    </row>
    <row r="13120" spans="1:5" x14ac:dyDescent="0.25">
      <c r="A13120">
        <v>18</v>
      </c>
      <c r="B13120">
        <v>0</v>
      </c>
      <c r="C13120">
        <v>7</v>
      </c>
      <c r="D13120">
        <v>23</v>
      </c>
      <c r="E13120">
        <f t="shared" si="204"/>
        <v>8.2227982051753397E-49</v>
      </c>
    </row>
    <row r="13121" spans="1:5" x14ac:dyDescent="0.25">
      <c r="A13121">
        <v>18</v>
      </c>
      <c r="B13121">
        <v>0</v>
      </c>
      <c r="C13121">
        <v>8</v>
      </c>
      <c r="D13121">
        <v>22</v>
      </c>
      <c r="E13121">
        <f t="shared" si="204"/>
        <v>4.5705053357099596E-47</v>
      </c>
    </row>
    <row r="13122" spans="1:5" x14ac:dyDescent="0.25">
      <c r="A13122">
        <v>18</v>
      </c>
      <c r="B13122">
        <v>0</v>
      </c>
      <c r="C13122">
        <v>9</v>
      </c>
      <c r="D13122">
        <v>21</v>
      </c>
      <c r="E13122">
        <f t="shared" si="204"/>
        <v>1.5920593586056362E-45</v>
      </c>
    </row>
    <row r="13123" spans="1:5" x14ac:dyDescent="0.25">
      <c r="A13123">
        <v>18</v>
      </c>
      <c r="B13123">
        <v>0</v>
      </c>
      <c r="C13123">
        <v>10</v>
      </c>
      <c r="D13123">
        <v>20</v>
      </c>
      <c r="E13123">
        <f t="shared" si="204"/>
        <v>3.744523611440456E-44</v>
      </c>
    </row>
    <row r="13124" spans="1:5" x14ac:dyDescent="0.25">
      <c r="A13124">
        <v>18</v>
      </c>
      <c r="B13124">
        <v>0</v>
      </c>
      <c r="C13124">
        <v>11</v>
      </c>
      <c r="D13124">
        <v>19</v>
      </c>
      <c r="E13124">
        <f t="shared" si="204"/>
        <v>6.2408726857340937E-43</v>
      </c>
    </row>
    <row r="13125" spans="1:5" x14ac:dyDescent="0.25">
      <c r="A13125">
        <v>18</v>
      </c>
      <c r="B13125">
        <v>0</v>
      </c>
      <c r="C13125">
        <v>12</v>
      </c>
      <c r="D13125">
        <v>18</v>
      </c>
      <c r="E13125">
        <f t="shared" si="204"/>
        <v>7.6227802090037825E-42</v>
      </c>
    </row>
    <row r="13126" spans="1:5" x14ac:dyDescent="0.25">
      <c r="A13126">
        <v>18</v>
      </c>
      <c r="B13126">
        <v>0</v>
      </c>
      <c r="C13126">
        <v>13</v>
      </c>
      <c r="D13126">
        <v>17</v>
      </c>
      <c r="E13126">
        <f t="shared" si="204"/>
        <v>6.9924349224900112E-41</v>
      </c>
    </row>
    <row r="13127" spans="1:5" x14ac:dyDescent="0.25">
      <c r="A13127">
        <v>18</v>
      </c>
      <c r="B13127">
        <v>0</v>
      </c>
      <c r="C13127">
        <v>14</v>
      </c>
      <c r="D13127">
        <v>16</v>
      </c>
      <c r="E13127">
        <f t="shared" si="204"/>
        <v>4.9058035487945796E-40</v>
      </c>
    </row>
    <row r="13128" spans="1:5" x14ac:dyDescent="0.25">
      <c r="A13128">
        <v>18</v>
      </c>
      <c r="B13128">
        <v>0</v>
      </c>
      <c r="C13128">
        <v>15</v>
      </c>
      <c r="D13128">
        <v>15</v>
      </c>
      <c r="E13128">
        <f t="shared" si="204"/>
        <v>2.66875713054425E-39</v>
      </c>
    </row>
    <row r="13129" spans="1:5" x14ac:dyDescent="0.25">
      <c r="A13129">
        <v>18</v>
      </c>
      <c r="B13129">
        <v>0</v>
      </c>
      <c r="C13129">
        <v>16</v>
      </c>
      <c r="D13129">
        <v>14</v>
      </c>
      <c r="E13129">
        <f t="shared" si="204"/>
        <v>1.1372544590387433E-38</v>
      </c>
    </row>
    <row r="13130" spans="1:5" x14ac:dyDescent="0.25">
      <c r="A13130">
        <v>18</v>
      </c>
      <c r="B13130">
        <v>0</v>
      </c>
      <c r="C13130">
        <v>17</v>
      </c>
      <c r="D13130">
        <v>13</v>
      </c>
      <c r="E13130">
        <f t="shared" si="204"/>
        <v>3.8242968573557767E-38</v>
      </c>
    </row>
    <row r="13131" spans="1:5" x14ac:dyDescent="0.25">
      <c r="A13131">
        <v>18</v>
      </c>
      <c r="B13131">
        <v>0</v>
      </c>
      <c r="C13131">
        <v>18</v>
      </c>
      <c r="D13131">
        <v>12</v>
      </c>
      <c r="E13131">
        <f t="shared" si="204"/>
        <v>1.0198124952948728E-37</v>
      </c>
    </row>
    <row r="13132" spans="1:5" x14ac:dyDescent="0.25">
      <c r="A13132">
        <v>18</v>
      </c>
      <c r="B13132">
        <v>0</v>
      </c>
      <c r="C13132">
        <v>19</v>
      </c>
      <c r="D13132">
        <v>11</v>
      </c>
      <c r="E13132">
        <f t="shared" si="204"/>
        <v>2.1623092005500313E-37</v>
      </c>
    </row>
    <row r="13133" spans="1:5" x14ac:dyDescent="0.25">
      <c r="A13133">
        <v>18</v>
      </c>
      <c r="B13133">
        <v>0</v>
      </c>
      <c r="C13133">
        <v>20</v>
      </c>
      <c r="D13133">
        <v>10</v>
      </c>
      <c r="E13133">
        <f t="shared" si="204"/>
        <v>3.6470948515943892E-37</v>
      </c>
    </row>
    <row r="13134" spans="1:5" x14ac:dyDescent="0.25">
      <c r="A13134">
        <v>18</v>
      </c>
      <c r="B13134">
        <v>0</v>
      </c>
      <c r="C13134">
        <v>21</v>
      </c>
      <c r="D13134">
        <v>9</v>
      </c>
      <c r="E13134">
        <f t="shared" ref="E13134:E13197" si="205">COMBIN(A$4,A13134)*COMBIN(B$4,B13134)*COMBIN(C$4,C13134)*COMBIN(D$4,D13134)/COMBIN($G$4,$F$4)</f>
        <v>4.8845020333853365E-37</v>
      </c>
    </row>
    <row r="13135" spans="1:5" x14ac:dyDescent="0.25">
      <c r="A13135">
        <v>18</v>
      </c>
      <c r="B13135">
        <v>0</v>
      </c>
      <c r="C13135">
        <v>22</v>
      </c>
      <c r="D13135">
        <v>8</v>
      </c>
      <c r="E13135">
        <f t="shared" si="205"/>
        <v>5.1718256824080069E-37</v>
      </c>
    </row>
    <row r="13136" spans="1:5" x14ac:dyDescent="0.25">
      <c r="A13136">
        <v>18</v>
      </c>
      <c r="B13136">
        <v>0</v>
      </c>
      <c r="C13136">
        <v>23</v>
      </c>
      <c r="D13136">
        <v>7</v>
      </c>
      <c r="E13136">
        <f t="shared" si="205"/>
        <v>4.2973624027738031E-37</v>
      </c>
    </row>
    <row r="13137" spans="1:5" x14ac:dyDescent="0.25">
      <c r="A13137">
        <v>18</v>
      </c>
      <c r="B13137">
        <v>0</v>
      </c>
      <c r="C13137">
        <v>24</v>
      </c>
      <c r="D13137">
        <v>6</v>
      </c>
      <c r="E13137">
        <f t="shared" si="205"/>
        <v>2.7706678649462666E-37</v>
      </c>
    </row>
    <row r="13138" spans="1:5" x14ac:dyDescent="0.25">
      <c r="A13138">
        <v>18</v>
      </c>
      <c r="B13138">
        <v>0</v>
      </c>
      <c r="C13138">
        <v>25</v>
      </c>
      <c r="D13138">
        <v>5</v>
      </c>
      <c r="E13138">
        <f t="shared" si="205"/>
        <v>1.3631685895535638E-37</v>
      </c>
    </row>
    <row r="13139" spans="1:5" x14ac:dyDescent="0.25">
      <c r="A13139">
        <v>18</v>
      </c>
      <c r="B13139">
        <v>0</v>
      </c>
      <c r="C13139">
        <v>26</v>
      </c>
      <c r="D13139">
        <v>4</v>
      </c>
      <c r="E13139">
        <f t="shared" si="205"/>
        <v>4.9932915368262387E-38</v>
      </c>
    </row>
    <row r="13140" spans="1:5" x14ac:dyDescent="0.25">
      <c r="A13140">
        <v>18</v>
      </c>
      <c r="B13140">
        <v>0</v>
      </c>
      <c r="C13140">
        <v>27</v>
      </c>
      <c r="D13140">
        <v>3</v>
      </c>
      <c r="E13140">
        <f t="shared" si="205"/>
        <v>1.3113694945200223E-38</v>
      </c>
    </row>
    <row r="13141" spans="1:5" x14ac:dyDescent="0.25">
      <c r="A13141">
        <v>18</v>
      </c>
      <c r="B13141">
        <v>0</v>
      </c>
      <c r="C13141">
        <v>28</v>
      </c>
      <c r="D13141">
        <v>2</v>
      </c>
      <c r="E13141">
        <f t="shared" si="205"/>
        <v>2.3213683598646359E-39</v>
      </c>
    </row>
    <row r="13142" spans="1:5" x14ac:dyDescent="0.25">
      <c r="A13142">
        <v>18</v>
      </c>
      <c r="B13142">
        <v>0</v>
      </c>
      <c r="C13142">
        <v>29</v>
      </c>
      <c r="D13142">
        <v>1</v>
      </c>
      <c r="E13142">
        <f t="shared" si="205"/>
        <v>2.4681215320399871E-40</v>
      </c>
    </row>
    <row r="13143" spans="1:5" x14ac:dyDescent="0.25">
      <c r="A13143">
        <v>18</v>
      </c>
      <c r="B13143">
        <v>0</v>
      </c>
      <c r="C13143">
        <v>30</v>
      </c>
      <c r="D13143">
        <v>0</v>
      </c>
      <c r="E13143">
        <f t="shared" si="205"/>
        <v>1.1846983353791933E-41</v>
      </c>
    </row>
    <row r="13144" spans="1:5" x14ac:dyDescent="0.25">
      <c r="A13144">
        <v>18</v>
      </c>
      <c r="B13144">
        <v>1</v>
      </c>
      <c r="C13144">
        <v>4</v>
      </c>
      <c r="D13144">
        <v>25</v>
      </c>
      <c r="E13144">
        <f t="shared" si="205"/>
        <v>7.703399448490188E-52</v>
      </c>
    </row>
    <row r="13145" spans="1:5" x14ac:dyDescent="0.25">
      <c r="A13145">
        <v>18</v>
      </c>
      <c r="B13145">
        <v>1</v>
      </c>
      <c r="C13145">
        <v>5</v>
      </c>
      <c r="D13145">
        <v>24</v>
      </c>
      <c r="E13145">
        <f t="shared" si="205"/>
        <v>2.3495368317895079E-49</v>
      </c>
    </row>
    <row r="13146" spans="1:5" x14ac:dyDescent="0.25">
      <c r="A13146">
        <v>18</v>
      </c>
      <c r="B13146">
        <v>1</v>
      </c>
      <c r="C13146">
        <v>6</v>
      </c>
      <c r="D13146">
        <v>23</v>
      </c>
      <c r="E13146">
        <f t="shared" si="205"/>
        <v>2.8194441981474086E-47</v>
      </c>
    </row>
    <row r="13147" spans="1:5" x14ac:dyDescent="0.25">
      <c r="A13147">
        <v>18</v>
      </c>
      <c r="B13147">
        <v>1</v>
      </c>
      <c r="C13147">
        <v>7</v>
      </c>
      <c r="D13147">
        <v>22</v>
      </c>
      <c r="E13147">
        <f t="shared" si="205"/>
        <v>1.8218979889933492E-45</v>
      </c>
    </row>
    <row r="13148" spans="1:5" x14ac:dyDescent="0.25">
      <c r="A13148">
        <v>18</v>
      </c>
      <c r="B13148">
        <v>1</v>
      </c>
      <c r="C13148">
        <v>8</v>
      </c>
      <c r="D13148">
        <v>21</v>
      </c>
      <c r="E13148">
        <f t="shared" si="205"/>
        <v>7.2648182311109824E-44</v>
      </c>
    </row>
    <row r="13149" spans="1:5" x14ac:dyDescent="0.25">
      <c r="A13149">
        <v>18</v>
      </c>
      <c r="B13149">
        <v>1</v>
      </c>
      <c r="C13149">
        <v>9</v>
      </c>
      <c r="D13149">
        <v>20</v>
      </c>
      <c r="E13149">
        <f t="shared" si="205"/>
        <v>1.9324416494755206E-42</v>
      </c>
    </row>
    <row r="13150" spans="1:5" x14ac:dyDescent="0.25">
      <c r="A13150">
        <v>18</v>
      </c>
      <c r="B13150">
        <v>1</v>
      </c>
      <c r="C13150">
        <v>10</v>
      </c>
      <c r="D13150">
        <v>19</v>
      </c>
      <c r="E13150">
        <f t="shared" si="205"/>
        <v>3.6072244123543058E-41</v>
      </c>
    </row>
    <row r="13151" spans="1:5" x14ac:dyDescent="0.25">
      <c r="A13151">
        <v>18</v>
      </c>
      <c r="B13151">
        <v>1</v>
      </c>
      <c r="C13151">
        <v>11</v>
      </c>
      <c r="D13151">
        <v>18</v>
      </c>
      <c r="E13151">
        <f t="shared" si="205"/>
        <v>4.8955188453379886E-40</v>
      </c>
    </row>
    <row r="13152" spans="1:5" x14ac:dyDescent="0.25">
      <c r="A13152">
        <v>18</v>
      </c>
      <c r="B13152">
        <v>1</v>
      </c>
      <c r="C13152">
        <v>12</v>
      </c>
      <c r="D13152">
        <v>17</v>
      </c>
      <c r="E13152">
        <f t="shared" si="205"/>
        <v>4.9567128309047096E-39</v>
      </c>
    </row>
    <row r="13153" spans="1:5" x14ac:dyDescent="0.25">
      <c r="A13153">
        <v>18</v>
      </c>
      <c r="B13153">
        <v>1</v>
      </c>
      <c r="C13153">
        <v>13</v>
      </c>
      <c r="D13153">
        <v>16</v>
      </c>
      <c r="E13153">
        <f t="shared" si="205"/>
        <v>3.8170925304659362E-38</v>
      </c>
    </row>
    <row r="13154" spans="1:5" x14ac:dyDescent="0.25">
      <c r="A13154">
        <v>18</v>
      </c>
      <c r="B13154">
        <v>1</v>
      </c>
      <c r="C13154">
        <v>14</v>
      </c>
      <c r="D13154">
        <v>15</v>
      </c>
      <c r="E13154">
        <f t="shared" si="205"/>
        <v>2.2684435609626133E-37</v>
      </c>
    </row>
    <row r="13155" spans="1:5" x14ac:dyDescent="0.25">
      <c r="A13155">
        <v>18</v>
      </c>
      <c r="B13155">
        <v>1</v>
      </c>
      <c r="C13155">
        <v>15</v>
      </c>
      <c r="D13155">
        <v>14</v>
      </c>
      <c r="E13155">
        <f t="shared" si="205"/>
        <v>1.0517329237190296E-36</v>
      </c>
    </row>
    <row r="13156" spans="1:5" x14ac:dyDescent="0.25">
      <c r="A13156">
        <v>18</v>
      </c>
      <c r="B13156">
        <v>1</v>
      </c>
      <c r="C13156">
        <v>16</v>
      </c>
      <c r="D13156">
        <v>13</v>
      </c>
      <c r="E13156">
        <f t="shared" si="205"/>
        <v>3.8344429510589634E-36</v>
      </c>
    </row>
    <row r="13157" spans="1:5" x14ac:dyDescent="0.25">
      <c r="A13157">
        <v>18</v>
      </c>
      <c r="B13157">
        <v>1</v>
      </c>
      <c r="C13157">
        <v>17</v>
      </c>
      <c r="D13157">
        <v>12</v>
      </c>
      <c r="E13157">
        <f t="shared" si="205"/>
        <v>1.1052217917758194E-35</v>
      </c>
    </row>
    <row r="13158" spans="1:5" x14ac:dyDescent="0.25">
      <c r="A13158">
        <v>18</v>
      </c>
      <c r="B13158">
        <v>1</v>
      </c>
      <c r="C13158">
        <v>18</v>
      </c>
      <c r="D13158">
        <v>11</v>
      </c>
      <c r="E13158">
        <f t="shared" si="205"/>
        <v>2.5262212383447269E-35</v>
      </c>
    </row>
    <row r="13159" spans="1:5" x14ac:dyDescent="0.25">
      <c r="A13159">
        <v>18</v>
      </c>
      <c r="B13159">
        <v>1</v>
      </c>
      <c r="C13159">
        <v>19</v>
      </c>
      <c r="D13159">
        <v>10</v>
      </c>
      <c r="E13159">
        <f t="shared" si="205"/>
        <v>4.582653965699033E-35</v>
      </c>
    </row>
    <row r="13160" spans="1:5" x14ac:dyDescent="0.25">
      <c r="A13160">
        <v>18</v>
      </c>
      <c r="B13160">
        <v>1</v>
      </c>
      <c r="C13160">
        <v>20</v>
      </c>
      <c r="D13160">
        <v>9</v>
      </c>
      <c r="E13160">
        <f t="shared" si="205"/>
        <v>6.5875650756923666E-35</v>
      </c>
    </row>
    <row r="13161" spans="1:5" x14ac:dyDescent="0.25">
      <c r="A13161">
        <v>18</v>
      </c>
      <c r="B13161">
        <v>1</v>
      </c>
      <c r="C13161">
        <v>21</v>
      </c>
      <c r="D13161">
        <v>8</v>
      </c>
      <c r="E13161">
        <f t="shared" si="205"/>
        <v>7.4732881110795659E-35</v>
      </c>
    </row>
    <row r="13162" spans="1:5" x14ac:dyDescent="0.25">
      <c r="A13162">
        <v>18</v>
      </c>
      <c r="B13162">
        <v>1</v>
      </c>
      <c r="C13162">
        <v>22</v>
      </c>
      <c r="D13162">
        <v>7</v>
      </c>
      <c r="E13162">
        <f t="shared" si="205"/>
        <v>6.6429227654040638E-35</v>
      </c>
    </row>
    <row r="13163" spans="1:5" x14ac:dyDescent="0.25">
      <c r="A13163">
        <v>18</v>
      </c>
      <c r="B13163">
        <v>1</v>
      </c>
      <c r="C13163">
        <v>23</v>
      </c>
      <c r="D13163">
        <v>6</v>
      </c>
      <c r="E13163">
        <f t="shared" si="205"/>
        <v>4.5755600741112633E-35</v>
      </c>
    </row>
    <row r="13164" spans="1:5" x14ac:dyDescent="0.25">
      <c r="A13164">
        <v>18</v>
      </c>
      <c r="B13164">
        <v>1</v>
      </c>
      <c r="C13164">
        <v>24</v>
      </c>
      <c r="D13164">
        <v>5</v>
      </c>
      <c r="E13164">
        <f t="shared" si="205"/>
        <v>2.4021690389084132E-35</v>
      </c>
    </row>
    <row r="13165" spans="1:5" x14ac:dyDescent="0.25">
      <c r="A13165">
        <v>18</v>
      </c>
      <c r="B13165">
        <v>1</v>
      </c>
      <c r="C13165">
        <v>25</v>
      </c>
      <c r="D13165">
        <v>4</v>
      </c>
      <c r="E13165">
        <f t="shared" si="205"/>
        <v>9.3798981519280952E-36</v>
      </c>
    </row>
    <row r="13166" spans="1:5" x14ac:dyDescent="0.25">
      <c r="A13166">
        <v>18</v>
      </c>
      <c r="B13166">
        <v>1</v>
      </c>
      <c r="C13166">
        <v>26</v>
      </c>
      <c r="D13166">
        <v>3</v>
      </c>
      <c r="E13166">
        <f t="shared" si="205"/>
        <v>2.6237477348050599E-36</v>
      </c>
    </row>
    <row r="13167" spans="1:5" x14ac:dyDescent="0.25">
      <c r="A13167">
        <v>18</v>
      </c>
      <c r="B13167">
        <v>1</v>
      </c>
      <c r="C13167">
        <v>27</v>
      </c>
      <c r="D13167">
        <v>2</v>
      </c>
      <c r="E13167">
        <f t="shared" si="205"/>
        <v>4.9432928336906925E-37</v>
      </c>
    </row>
    <row r="13168" spans="1:5" x14ac:dyDescent="0.25">
      <c r="A13168">
        <v>18</v>
      </c>
      <c r="B13168">
        <v>1</v>
      </c>
      <c r="C13168">
        <v>28</v>
      </c>
      <c r="D13168">
        <v>1</v>
      </c>
      <c r="E13168">
        <f t="shared" si="205"/>
        <v>5.5906288000073308E-38</v>
      </c>
    </row>
    <row r="13169" spans="1:5" x14ac:dyDescent="0.25">
      <c r="A13169">
        <v>18</v>
      </c>
      <c r="B13169">
        <v>1</v>
      </c>
      <c r="C13169">
        <v>29</v>
      </c>
      <c r="D13169">
        <v>0</v>
      </c>
      <c r="E13169">
        <f t="shared" si="205"/>
        <v>2.8531484910382245E-39</v>
      </c>
    </row>
    <row r="13170" spans="1:5" x14ac:dyDescent="0.25">
      <c r="A13170">
        <v>18</v>
      </c>
      <c r="B13170">
        <v>2</v>
      </c>
      <c r="C13170">
        <v>3</v>
      </c>
      <c r="D13170">
        <v>25</v>
      </c>
      <c r="E13170">
        <f t="shared" si="205"/>
        <v>7.1567065844037877E-51</v>
      </c>
    </row>
    <row r="13171" spans="1:5" x14ac:dyDescent="0.25">
      <c r="A13171">
        <v>18</v>
      </c>
      <c r="B13171">
        <v>2</v>
      </c>
      <c r="C13171">
        <v>4</v>
      </c>
      <c r="D13171">
        <v>24</v>
      </c>
      <c r="E13171">
        <f t="shared" si="205"/>
        <v>2.7732238014564677E-48</v>
      </c>
    </row>
    <row r="13172" spans="1:5" x14ac:dyDescent="0.25">
      <c r="A13172">
        <v>18</v>
      </c>
      <c r="B13172">
        <v>2</v>
      </c>
      <c r="C13172">
        <v>5</v>
      </c>
      <c r="D13172">
        <v>23</v>
      </c>
      <c r="E13172">
        <f t="shared" si="205"/>
        <v>4.0599996453322687E-46</v>
      </c>
    </row>
    <row r="13173" spans="1:5" x14ac:dyDescent="0.25">
      <c r="A13173">
        <v>18</v>
      </c>
      <c r="B13173">
        <v>2</v>
      </c>
      <c r="C13173">
        <v>6</v>
      </c>
      <c r="D13173">
        <v>22</v>
      </c>
      <c r="E13173">
        <f t="shared" si="205"/>
        <v>3.1126663947547395E-44</v>
      </c>
    </row>
    <row r="13174" spans="1:5" x14ac:dyDescent="0.25">
      <c r="A13174">
        <v>18</v>
      </c>
      <c r="B13174">
        <v>2</v>
      </c>
      <c r="C13174">
        <v>7</v>
      </c>
      <c r="D13174">
        <v>21</v>
      </c>
      <c r="E13174">
        <f t="shared" si="205"/>
        <v>1.4429432072827329E-42</v>
      </c>
    </row>
    <row r="13175" spans="1:5" x14ac:dyDescent="0.25">
      <c r="A13175">
        <v>18</v>
      </c>
      <c r="B13175">
        <v>2</v>
      </c>
      <c r="C13175">
        <v>8</v>
      </c>
      <c r="D13175">
        <v>20</v>
      </c>
      <c r="E13175">
        <f t="shared" si="205"/>
        <v>4.3937620661759212E-41</v>
      </c>
    </row>
    <row r="13176" spans="1:5" x14ac:dyDescent="0.25">
      <c r="A13176">
        <v>18</v>
      </c>
      <c r="B13176">
        <v>2</v>
      </c>
      <c r="C13176">
        <v>9</v>
      </c>
      <c r="D13176">
        <v>19</v>
      </c>
      <c r="E13176">
        <f t="shared" si="205"/>
        <v>9.2757199174824988E-40</v>
      </c>
    </row>
    <row r="13177" spans="1:5" x14ac:dyDescent="0.25">
      <c r="A13177">
        <v>18</v>
      </c>
      <c r="B13177">
        <v>2</v>
      </c>
      <c r="C13177">
        <v>10</v>
      </c>
      <c r="D13177">
        <v>18</v>
      </c>
      <c r="E13177">
        <f t="shared" si="205"/>
        <v>1.4099094274573406E-38</v>
      </c>
    </row>
    <row r="13178" spans="1:5" x14ac:dyDescent="0.25">
      <c r="A13178">
        <v>18</v>
      </c>
      <c r="B13178">
        <v>2</v>
      </c>
      <c r="C13178">
        <v>11</v>
      </c>
      <c r="D13178">
        <v>17</v>
      </c>
      <c r="E13178">
        <f t="shared" si="205"/>
        <v>1.5861481058895081E-37</v>
      </c>
    </row>
    <row r="13179" spans="1:5" x14ac:dyDescent="0.25">
      <c r="A13179">
        <v>18</v>
      </c>
      <c r="B13179">
        <v>2</v>
      </c>
      <c r="C13179">
        <v>12</v>
      </c>
      <c r="D13179">
        <v>16</v>
      </c>
      <c r="E13179">
        <f t="shared" si="205"/>
        <v>1.3482258900060807E-36</v>
      </c>
    </row>
    <row r="13180" spans="1:5" x14ac:dyDescent="0.25">
      <c r="A13180">
        <v>18</v>
      </c>
      <c r="B13180">
        <v>2</v>
      </c>
      <c r="C13180">
        <v>13</v>
      </c>
      <c r="D13180">
        <v>15</v>
      </c>
      <c r="E13180">
        <f t="shared" si="205"/>
        <v>8.7945811901935148E-36</v>
      </c>
    </row>
    <row r="13181" spans="1:5" x14ac:dyDescent="0.25">
      <c r="A13181">
        <v>18</v>
      </c>
      <c r="B13181">
        <v>2</v>
      </c>
      <c r="C13181">
        <v>14</v>
      </c>
      <c r="D13181">
        <v>14</v>
      </c>
      <c r="E13181">
        <f t="shared" si="205"/>
        <v>4.4543982651629502E-35</v>
      </c>
    </row>
    <row r="13182" spans="1:5" x14ac:dyDescent="0.25">
      <c r="A13182">
        <v>18</v>
      </c>
      <c r="B13182">
        <v>2</v>
      </c>
      <c r="C13182">
        <v>15</v>
      </c>
      <c r="D13182">
        <v>13</v>
      </c>
      <c r="E13182">
        <f t="shared" si="205"/>
        <v>1.7669113118479701E-34</v>
      </c>
    </row>
    <row r="13183" spans="1:5" x14ac:dyDescent="0.25">
      <c r="A13183">
        <v>18</v>
      </c>
      <c r="B13183">
        <v>2</v>
      </c>
      <c r="C13183">
        <v>16</v>
      </c>
      <c r="D13183">
        <v>12</v>
      </c>
      <c r="E13183">
        <f t="shared" si="205"/>
        <v>5.5215978495249068E-34</v>
      </c>
    </row>
    <row r="13184" spans="1:5" x14ac:dyDescent="0.25">
      <c r="A13184">
        <v>18</v>
      </c>
      <c r="B13184">
        <v>2</v>
      </c>
      <c r="C13184">
        <v>17</v>
      </c>
      <c r="D13184">
        <v>11</v>
      </c>
      <c r="E13184">
        <f t="shared" si="205"/>
        <v>1.3641594687061539E-33</v>
      </c>
    </row>
    <row r="13185" spans="1:5" x14ac:dyDescent="0.25">
      <c r="A13185">
        <v>18</v>
      </c>
      <c r="B13185">
        <v>2</v>
      </c>
      <c r="C13185">
        <v>18</v>
      </c>
      <c r="D13185">
        <v>10</v>
      </c>
      <c r="E13185">
        <f t="shared" si="205"/>
        <v>2.6676896276920316E-33</v>
      </c>
    </row>
    <row r="13186" spans="1:5" x14ac:dyDescent="0.25">
      <c r="A13186">
        <v>18</v>
      </c>
      <c r="B13186">
        <v>2</v>
      </c>
      <c r="C13186">
        <v>19</v>
      </c>
      <c r="D13186">
        <v>9</v>
      </c>
      <c r="E13186">
        <f t="shared" si="205"/>
        <v>4.1243885691291304E-33</v>
      </c>
    </row>
    <row r="13187" spans="1:5" x14ac:dyDescent="0.25">
      <c r="A13187">
        <v>18</v>
      </c>
      <c r="B13187">
        <v>2</v>
      </c>
      <c r="C13187">
        <v>20</v>
      </c>
      <c r="D13187">
        <v>8</v>
      </c>
      <c r="E13187">
        <f t="shared" si="205"/>
        <v>5.0220496106454742E-33</v>
      </c>
    </row>
    <row r="13188" spans="1:5" x14ac:dyDescent="0.25">
      <c r="A13188">
        <v>18</v>
      </c>
      <c r="B13188">
        <v>2</v>
      </c>
      <c r="C13188">
        <v>21</v>
      </c>
      <c r="D13188">
        <v>7</v>
      </c>
      <c r="E13188">
        <f t="shared" si="205"/>
        <v>4.7829043910909229E-33</v>
      </c>
    </row>
    <row r="13189" spans="1:5" x14ac:dyDescent="0.25">
      <c r="A13189">
        <v>18</v>
      </c>
      <c r="B13189">
        <v>2</v>
      </c>
      <c r="C13189">
        <v>22</v>
      </c>
      <c r="D13189">
        <v>6</v>
      </c>
      <c r="E13189">
        <f t="shared" si="205"/>
        <v>3.5242453408038385E-33</v>
      </c>
    </row>
    <row r="13190" spans="1:5" x14ac:dyDescent="0.25">
      <c r="A13190">
        <v>18</v>
      </c>
      <c r="B13190">
        <v>2</v>
      </c>
      <c r="C13190">
        <v>23</v>
      </c>
      <c r="D13190">
        <v>5</v>
      </c>
      <c r="E13190">
        <f t="shared" si="205"/>
        <v>1.976641952016066E-33</v>
      </c>
    </row>
    <row r="13191" spans="1:5" x14ac:dyDescent="0.25">
      <c r="A13191">
        <v>18</v>
      </c>
      <c r="B13191">
        <v>2</v>
      </c>
      <c r="C13191">
        <v>24</v>
      </c>
      <c r="D13191">
        <v>4</v>
      </c>
      <c r="E13191">
        <f t="shared" si="205"/>
        <v>8.2360081334002747E-34</v>
      </c>
    </row>
    <row r="13192" spans="1:5" x14ac:dyDescent="0.25">
      <c r="A13192">
        <v>18</v>
      </c>
      <c r="B13192">
        <v>2</v>
      </c>
      <c r="C13192">
        <v>25</v>
      </c>
      <c r="D13192">
        <v>3</v>
      </c>
      <c r="E13192">
        <f t="shared" si="205"/>
        <v>2.4558278797775373E-34</v>
      </c>
    </row>
    <row r="13193" spans="1:5" x14ac:dyDescent="0.25">
      <c r="A13193">
        <v>18</v>
      </c>
      <c r="B13193">
        <v>2</v>
      </c>
      <c r="C13193">
        <v>26</v>
      </c>
      <c r="D13193">
        <v>2</v>
      </c>
      <c r="E13193">
        <f t="shared" si="205"/>
        <v>4.9280827018947208E-35</v>
      </c>
    </row>
    <row r="13194" spans="1:5" x14ac:dyDescent="0.25">
      <c r="A13194">
        <v>18</v>
      </c>
      <c r="B13194">
        <v>2</v>
      </c>
      <c r="C13194">
        <v>27</v>
      </c>
      <c r="D13194">
        <v>1</v>
      </c>
      <c r="E13194">
        <f t="shared" si="205"/>
        <v>5.931951400428831E-36</v>
      </c>
    </row>
    <row r="13195" spans="1:5" x14ac:dyDescent="0.25">
      <c r="A13195">
        <v>18</v>
      </c>
      <c r="B13195">
        <v>2</v>
      </c>
      <c r="C13195">
        <v>28</v>
      </c>
      <c r="D13195">
        <v>0</v>
      </c>
      <c r="E13195">
        <f t="shared" si="205"/>
        <v>3.2202021888042227E-37</v>
      </c>
    </row>
    <row r="13196" spans="1:5" x14ac:dyDescent="0.25">
      <c r="A13196">
        <v>18</v>
      </c>
      <c r="B13196">
        <v>3</v>
      </c>
      <c r="C13196">
        <v>2</v>
      </c>
      <c r="D13196">
        <v>25</v>
      </c>
      <c r="E13196">
        <f t="shared" si="205"/>
        <v>3.2602774440061696E-50</v>
      </c>
    </row>
    <row r="13197" spans="1:5" x14ac:dyDescent="0.25">
      <c r="A13197">
        <v>18</v>
      </c>
      <c r="B13197">
        <v>3</v>
      </c>
      <c r="C13197">
        <v>3</v>
      </c>
      <c r="D13197">
        <v>24</v>
      </c>
      <c r="E13197">
        <f t="shared" si="205"/>
        <v>1.7116456581032391E-47</v>
      </c>
    </row>
    <row r="13198" spans="1:5" x14ac:dyDescent="0.25">
      <c r="A13198">
        <v>18</v>
      </c>
      <c r="B13198">
        <v>3</v>
      </c>
      <c r="C13198">
        <v>4</v>
      </c>
      <c r="D13198">
        <v>23</v>
      </c>
      <c r="E13198">
        <f t="shared" ref="E13198:E13261" si="206">COMBIN(A$4,A13198)*COMBIN(B$4,B13198)*COMBIN(C$4,C13198)*COMBIN(D$4,D13198)/COMBIN($G$4,$F$4)</f>
        <v>3.1836609240720246E-45</v>
      </c>
    </row>
    <row r="13199" spans="1:5" x14ac:dyDescent="0.25">
      <c r="A13199">
        <v>18</v>
      </c>
      <c r="B13199">
        <v>3</v>
      </c>
      <c r="C13199">
        <v>5</v>
      </c>
      <c r="D13199">
        <v>22</v>
      </c>
      <c r="E13199">
        <f t="shared" si="206"/>
        <v>2.9777841843153675E-43</v>
      </c>
    </row>
    <row r="13200" spans="1:5" x14ac:dyDescent="0.25">
      <c r="A13200">
        <v>18</v>
      </c>
      <c r="B13200">
        <v>3</v>
      </c>
      <c r="C13200">
        <v>6</v>
      </c>
      <c r="D13200">
        <v>21</v>
      </c>
      <c r="E13200">
        <f t="shared" si="206"/>
        <v>1.6377813013734523E-41</v>
      </c>
    </row>
    <row r="13201" spans="1:5" x14ac:dyDescent="0.25">
      <c r="A13201">
        <v>18</v>
      </c>
      <c r="B13201">
        <v>3</v>
      </c>
      <c r="C13201">
        <v>7</v>
      </c>
      <c r="D13201">
        <v>20</v>
      </c>
      <c r="E13201">
        <f t="shared" si="206"/>
        <v>5.7977458068620188E-40</v>
      </c>
    </row>
    <row r="13202" spans="1:5" x14ac:dyDescent="0.25">
      <c r="A13202">
        <v>18</v>
      </c>
      <c r="B13202">
        <v>3</v>
      </c>
      <c r="C13202">
        <v>8</v>
      </c>
      <c r="D13202">
        <v>19</v>
      </c>
      <c r="E13202">
        <f t="shared" si="206"/>
        <v>1.401121903324988E-38</v>
      </c>
    </row>
    <row r="13203" spans="1:5" x14ac:dyDescent="0.25">
      <c r="A13203">
        <v>18</v>
      </c>
      <c r="B13203">
        <v>3</v>
      </c>
      <c r="C13203">
        <v>9</v>
      </c>
      <c r="D13203">
        <v>18</v>
      </c>
      <c r="E13203">
        <f t="shared" si="206"/>
        <v>2.4085952719062898E-37</v>
      </c>
    </row>
    <row r="13204" spans="1:5" x14ac:dyDescent="0.25">
      <c r="A13204">
        <v>18</v>
      </c>
      <c r="B13204">
        <v>3</v>
      </c>
      <c r="C13204">
        <v>10</v>
      </c>
      <c r="D13204">
        <v>17</v>
      </c>
      <c r="E13204">
        <f t="shared" si="206"/>
        <v>3.0348300426019245E-36</v>
      </c>
    </row>
    <row r="13205" spans="1:5" x14ac:dyDescent="0.25">
      <c r="A13205">
        <v>18</v>
      </c>
      <c r="B13205">
        <v>3</v>
      </c>
      <c r="C13205">
        <v>11</v>
      </c>
      <c r="D13205">
        <v>16</v>
      </c>
      <c r="E13205">
        <f t="shared" si="206"/>
        <v>2.8662283735684847E-35</v>
      </c>
    </row>
    <row r="13206" spans="1:5" x14ac:dyDescent="0.25">
      <c r="A13206">
        <v>18</v>
      </c>
      <c r="B13206">
        <v>3</v>
      </c>
      <c r="C13206">
        <v>12</v>
      </c>
      <c r="D13206">
        <v>15</v>
      </c>
      <c r="E13206">
        <f t="shared" si="206"/>
        <v>2.0636844289693072E-34</v>
      </c>
    </row>
    <row r="13207" spans="1:5" x14ac:dyDescent="0.25">
      <c r="A13207">
        <v>18</v>
      </c>
      <c r="B13207">
        <v>3</v>
      </c>
      <c r="C13207">
        <v>13</v>
      </c>
      <c r="D13207">
        <v>14</v>
      </c>
      <c r="E13207">
        <f t="shared" si="206"/>
        <v>1.1472930916297905E-33</v>
      </c>
    </row>
    <row r="13208" spans="1:5" x14ac:dyDescent="0.25">
      <c r="A13208">
        <v>18</v>
      </c>
      <c r="B13208">
        <v>3</v>
      </c>
      <c r="C13208">
        <v>14</v>
      </c>
      <c r="D13208">
        <v>13</v>
      </c>
      <c r="E13208">
        <f t="shared" si="206"/>
        <v>4.9716033970624276E-33</v>
      </c>
    </row>
    <row r="13209" spans="1:5" x14ac:dyDescent="0.25">
      <c r="A13209">
        <v>18</v>
      </c>
      <c r="B13209">
        <v>3</v>
      </c>
      <c r="C13209">
        <v>15</v>
      </c>
      <c r="D13209">
        <v>12</v>
      </c>
      <c r="E13209">
        <f t="shared" si="206"/>
        <v>1.6903451550012247E-32</v>
      </c>
    </row>
    <row r="13210" spans="1:5" x14ac:dyDescent="0.25">
      <c r="A13210">
        <v>18</v>
      </c>
      <c r="B13210">
        <v>3</v>
      </c>
      <c r="C13210">
        <v>16</v>
      </c>
      <c r="D13210">
        <v>11</v>
      </c>
      <c r="E13210">
        <f t="shared" si="206"/>
        <v>4.5277102366104231E-32</v>
      </c>
    </row>
    <row r="13211" spans="1:5" x14ac:dyDescent="0.25">
      <c r="A13211">
        <v>18</v>
      </c>
      <c r="B13211">
        <v>3</v>
      </c>
      <c r="C13211">
        <v>17</v>
      </c>
      <c r="D13211">
        <v>10</v>
      </c>
      <c r="E13211">
        <f t="shared" si="206"/>
        <v>9.5703365393451709E-32</v>
      </c>
    </row>
    <row r="13212" spans="1:5" x14ac:dyDescent="0.25">
      <c r="A13212">
        <v>18</v>
      </c>
      <c r="B13212">
        <v>3</v>
      </c>
      <c r="C13212">
        <v>18</v>
      </c>
      <c r="D13212">
        <v>9</v>
      </c>
      <c r="E13212">
        <f t="shared" si="206"/>
        <v>1.595056089890861E-31</v>
      </c>
    </row>
    <row r="13213" spans="1:5" x14ac:dyDescent="0.25">
      <c r="A13213">
        <v>18</v>
      </c>
      <c r="B13213">
        <v>3</v>
      </c>
      <c r="C13213">
        <v>19</v>
      </c>
      <c r="D13213">
        <v>8</v>
      </c>
      <c r="E13213">
        <f t="shared" si="206"/>
        <v>2.0888815047177536E-31</v>
      </c>
    </row>
    <row r="13214" spans="1:5" x14ac:dyDescent="0.25">
      <c r="A13214">
        <v>18</v>
      </c>
      <c r="B13214">
        <v>3</v>
      </c>
      <c r="C13214">
        <v>20</v>
      </c>
      <c r="D13214">
        <v>7</v>
      </c>
      <c r="E13214">
        <f t="shared" si="206"/>
        <v>2.1353010937114835E-31</v>
      </c>
    </row>
    <row r="13215" spans="1:5" x14ac:dyDescent="0.25">
      <c r="A13215">
        <v>18</v>
      </c>
      <c r="B13215">
        <v>3</v>
      </c>
      <c r="C13215">
        <v>21</v>
      </c>
      <c r="D13215">
        <v>6</v>
      </c>
      <c r="E13215">
        <f t="shared" si="206"/>
        <v>1.6857640213511686E-31</v>
      </c>
    </row>
    <row r="13216" spans="1:5" x14ac:dyDescent="0.25">
      <c r="A13216">
        <v>18</v>
      </c>
      <c r="B13216">
        <v>3</v>
      </c>
      <c r="C13216">
        <v>22</v>
      </c>
      <c r="D13216">
        <v>5</v>
      </c>
      <c r="E13216">
        <f t="shared" si="206"/>
        <v>1.0114584128107017E-31</v>
      </c>
    </row>
    <row r="13217" spans="1:5" x14ac:dyDescent="0.25">
      <c r="A13217">
        <v>18</v>
      </c>
      <c r="B13217">
        <v>3</v>
      </c>
      <c r="C13217">
        <v>23</v>
      </c>
      <c r="D13217">
        <v>4</v>
      </c>
      <c r="E13217">
        <f t="shared" si="206"/>
        <v>4.5023511129254841E-32</v>
      </c>
    </row>
    <row r="13218" spans="1:5" x14ac:dyDescent="0.25">
      <c r="A13218">
        <v>18</v>
      </c>
      <c r="B13218">
        <v>3</v>
      </c>
      <c r="C13218">
        <v>24</v>
      </c>
      <c r="D13218">
        <v>3</v>
      </c>
      <c r="E13218">
        <f t="shared" si="206"/>
        <v>1.4325662632035629E-32</v>
      </c>
    </row>
    <row r="13219" spans="1:5" x14ac:dyDescent="0.25">
      <c r="A13219">
        <v>18</v>
      </c>
      <c r="B13219">
        <v>3</v>
      </c>
      <c r="C13219">
        <v>25</v>
      </c>
      <c r="D13219">
        <v>2</v>
      </c>
      <c r="E13219">
        <f t="shared" si="206"/>
        <v>3.064446093461536E-33</v>
      </c>
    </row>
    <row r="13220" spans="1:5" x14ac:dyDescent="0.25">
      <c r="A13220">
        <v>18</v>
      </c>
      <c r="B13220">
        <v>3</v>
      </c>
      <c r="C13220">
        <v>26</v>
      </c>
      <c r="D13220">
        <v>1</v>
      </c>
      <c r="E13220">
        <f t="shared" si="206"/>
        <v>3.9287770428994027E-34</v>
      </c>
    </row>
    <row r="13221" spans="1:5" x14ac:dyDescent="0.25">
      <c r="A13221">
        <v>18</v>
      </c>
      <c r="B13221">
        <v>3</v>
      </c>
      <c r="C13221">
        <v>27</v>
      </c>
      <c r="D13221">
        <v>0</v>
      </c>
      <c r="E13221">
        <f t="shared" si="206"/>
        <v>2.2699600692307658E-35</v>
      </c>
    </row>
    <row r="13222" spans="1:5" x14ac:dyDescent="0.25">
      <c r="A13222">
        <v>18</v>
      </c>
      <c r="B13222">
        <v>4</v>
      </c>
      <c r="C13222">
        <v>1</v>
      </c>
      <c r="D13222">
        <v>25</v>
      </c>
      <c r="E13222">
        <f t="shared" si="206"/>
        <v>7.2846824139512853E-50</v>
      </c>
    </row>
    <row r="13223" spans="1:5" x14ac:dyDescent="0.25">
      <c r="A13223">
        <v>18</v>
      </c>
      <c r="B13223">
        <v>4</v>
      </c>
      <c r="C13223">
        <v>2</v>
      </c>
      <c r="D13223">
        <v>24</v>
      </c>
      <c r="E13223">
        <f t="shared" si="206"/>
        <v>5.8277459311610281E-47</v>
      </c>
    </row>
    <row r="13224" spans="1:5" x14ac:dyDescent="0.25">
      <c r="A13224">
        <v>18</v>
      </c>
      <c r="B13224">
        <v>4</v>
      </c>
      <c r="C13224">
        <v>3</v>
      </c>
      <c r="D13224">
        <v>23</v>
      </c>
      <c r="E13224">
        <f t="shared" si="206"/>
        <v>1.4685919746525791E-44</v>
      </c>
    </row>
    <row r="13225" spans="1:5" x14ac:dyDescent="0.25">
      <c r="A13225">
        <v>18</v>
      </c>
      <c r="B13225">
        <v>4</v>
      </c>
      <c r="C13225">
        <v>4</v>
      </c>
      <c r="D13225">
        <v>22</v>
      </c>
      <c r="E13225">
        <f t="shared" si="206"/>
        <v>1.7451767965454815E-42</v>
      </c>
    </row>
    <row r="13226" spans="1:5" x14ac:dyDescent="0.25">
      <c r="A13226">
        <v>18</v>
      </c>
      <c r="B13226">
        <v>4</v>
      </c>
      <c r="C13226">
        <v>5</v>
      </c>
      <c r="D13226">
        <v>21</v>
      </c>
      <c r="E13226">
        <f t="shared" si="206"/>
        <v>1.1710136304820185E-40</v>
      </c>
    </row>
    <row r="13227" spans="1:5" x14ac:dyDescent="0.25">
      <c r="A13227">
        <v>18</v>
      </c>
      <c r="B13227">
        <v>4</v>
      </c>
      <c r="C13227">
        <v>6</v>
      </c>
      <c r="D13227">
        <v>20</v>
      </c>
      <c r="E13227">
        <f t="shared" si="206"/>
        <v>4.9182572480244757E-39</v>
      </c>
    </row>
    <row r="13228" spans="1:5" x14ac:dyDescent="0.25">
      <c r="A13228">
        <v>18</v>
      </c>
      <c r="B13228">
        <v>4</v>
      </c>
      <c r="C13228">
        <v>7</v>
      </c>
      <c r="D13228">
        <v>19</v>
      </c>
      <c r="E13228">
        <f t="shared" si="206"/>
        <v>1.3817960839687813E-37</v>
      </c>
    </row>
    <row r="13229" spans="1:5" x14ac:dyDescent="0.25">
      <c r="A13229">
        <v>18</v>
      </c>
      <c r="B13229">
        <v>4</v>
      </c>
      <c r="C13229">
        <v>8</v>
      </c>
      <c r="D13229">
        <v>18</v>
      </c>
      <c r="E13229">
        <f t="shared" si="206"/>
        <v>2.719177293809996E-36</v>
      </c>
    </row>
    <row r="13230" spans="1:5" x14ac:dyDescent="0.25">
      <c r="A13230">
        <v>18</v>
      </c>
      <c r="B13230">
        <v>4</v>
      </c>
      <c r="C13230">
        <v>9</v>
      </c>
      <c r="D13230">
        <v>17</v>
      </c>
      <c r="E13230">
        <f t="shared" si="206"/>
        <v>3.8748276436792428E-35</v>
      </c>
    </row>
    <row r="13231" spans="1:5" x14ac:dyDescent="0.25">
      <c r="A13231">
        <v>18</v>
      </c>
      <c r="B13231">
        <v>4</v>
      </c>
      <c r="C13231">
        <v>10</v>
      </c>
      <c r="D13231">
        <v>16</v>
      </c>
      <c r="E13231">
        <f t="shared" si="206"/>
        <v>4.098706574202933E-34</v>
      </c>
    </row>
    <row r="13232" spans="1:5" x14ac:dyDescent="0.25">
      <c r="A13232">
        <v>18</v>
      </c>
      <c r="B13232">
        <v>4</v>
      </c>
      <c r="C13232">
        <v>11</v>
      </c>
      <c r="D13232">
        <v>15</v>
      </c>
      <c r="E13232">
        <f t="shared" si="206"/>
        <v>3.2789652593623464E-33</v>
      </c>
    </row>
    <row r="13233" spans="1:5" x14ac:dyDescent="0.25">
      <c r="A13233">
        <v>18</v>
      </c>
      <c r="B13233">
        <v>4</v>
      </c>
      <c r="C13233">
        <v>12</v>
      </c>
      <c r="D13233">
        <v>14</v>
      </c>
      <c r="E13233">
        <f t="shared" si="206"/>
        <v>2.0120923182450749E-32</v>
      </c>
    </row>
    <row r="13234" spans="1:5" x14ac:dyDescent="0.25">
      <c r="A13234">
        <v>18</v>
      </c>
      <c r="B13234">
        <v>4</v>
      </c>
      <c r="C13234">
        <v>13</v>
      </c>
      <c r="D13234">
        <v>13</v>
      </c>
      <c r="E13234">
        <f t="shared" si="206"/>
        <v>9.5703365393451709E-32</v>
      </c>
    </row>
    <row r="13235" spans="1:5" x14ac:dyDescent="0.25">
      <c r="A13235">
        <v>18</v>
      </c>
      <c r="B13235">
        <v>4</v>
      </c>
      <c r="C13235">
        <v>14</v>
      </c>
      <c r="D13235">
        <v>12</v>
      </c>
      <c r="E13235">
        <f t="shared" si="206"/>
        <v>3.5546964288996355E-31</v>
      </c>
    </row>
    <row r="13236" spans="1:5" x14ac:dyDescent="0.25">
      <c r="A13236">
        <v>18</v>
      </c>
      <c r="B13236">
        <v>4</v>
      </c>
      <c r="C13236">
        <v>15</v>
      </c>
      <c r="D13236">
        <v>11</v>
      </c>
      <c r="E13236">
        <f t="shared" si="206"/>
        <v>1.0359401021364644E-30</v>
      </c>
    </row>
    <row r="13237" spans="1:5" x14ac:dyDescent="0.25">
      <c r="A13237">
        <v>18</v>
      </c>
      <c r="B13237">
        <v>4</v>
      </c>
      <c r="C13237">
        <v>16</v>
      </c>
      <c r="D13237">
        <v>10</v>
      </c>
      <c r="E13237">
        <f t="shared" si="206"/>
        <v>2.3740294007293981E-30</v>
      </c>
    </row>
    <row r="13238" spans="1:5" x14ac:dyDescent="0.25">
      <c r="A13238">
        <v>18</v>
      </c>
      <c r="B13238">
        <v>4</v>
      </c>
      <c r="C13238">
        <v>17</v>
      </c>
      <c r="D13238">
        <v>9</v>
      </c>
      <c r="E13238">
        <f t="shared" si="206"/>
        <v>4.2767441410198737E-30</v>
      </c>
    </row>
    <row r="13239" spans="1:5" x14ac:dyDescent="0.25">
      <c r="A13239">
        <v>18</v>
      </c>
      <c r="B13239">
        <v>4</v>
      </c>
      <c r="C13239">
        <v>18</v>
      </c>
      <c r="D13239">
        <v>8</v>
      </c>
      <c r="E13239">
        <f t="shared" si="206"/>
        <v>6.0377564343809933E-30</v>
      </c>
    </row>
    <row r="13240" spans="1:5" x14ac:dyDescent="0.25">
      <c r="A13240">
        <v>18</v>
      </c>
      <c r="B13240">
        <v>4</v>
      </c>
      <c r="C13240">
        <v>19</v>
      </c>
      <c r="D13240">
        <v>7</v>
      </c>
      <c r="E13240">
        <f t="shared" si="206"/>
        <v>6.6380012261030845E-30</v>
      </c>
    </row>
    <row r="13241" spans="1:5" x14ac:dyDescent="0.25">
      <c r="A13241">
        <v>18</v>
      </c>
      <c r="B13241">
        <v>4</v>
      </c>
      <c r="C13241">
        <v>20</v>
      </c>
      <c r="D13241">
        <v>6</v>
      </c>
      <c r="E13241">
        <f t="shared" si="206"/>
        <v>5.6248326179084057E-30</v>
      </c>
    </row>
    <row r="13242" spans="1:5" x14ac:dyDescent="0.25">
      <c r="A13242">
        <v>18</v>
      </c>
      <c r="B13242">
        <v>4</v>
      </c>
      <c r="C13242">
        <v>21</v>
      </c>
      <c r="D13242">
        <v>5</v>
      </c>
      <c r="E13242">
        <f t="shared" si="206"/>
        <v>3.6159638257982565E-30</v>
      </c>
    </row>
    <row r="13243" spans="1:5" x14ac:dyDescent="0.25">
      <c r="A13243">
        <v>18</v>
      </c>
      <c r="B13243">
        <v>4</v>
      </c>
      <c r="C13243">
        <v>22</v>
      </c>
      <c r="D13243">
        <v>4</v>
      </c>
      <c r="E13243">
        <f t="shared" si="206"/>
        <v>1.7218875360944094E-30</v>
      </c>
    </row>
    <row r="13244" spans="1:5" x14ac:dyDescent="0.25">
      <c r="A13244">
        <v>18</v>
      </c>
      <c r="B13244">
        <v>4</v>
      </c>
      <c r="C13244">
        <v>23</v>
      </c>
      <c r="D13244">
        <v>3</v>
      </c>
      <c r="E13244">
        <f t="shared" si="206"/>
        <v>5.8530564468031284E-31</v>
      </c>
    </row>
    <row r="13245" spans="1:5" x14ac:dyDescent="0.25">
      <c r="A13245">
        <v>18</v>
      </c>
      <c r="B13245">
        <v>4</v>
      </c>
      <c r="C13245">
        <v>24</v>
      </c>
      <c r="D13245">
        <v>2</v>
      </c>
      <c r="E13245">
        <f t="shared" si="206"/>
        <v>1.3360237541615838E-31</v>
      </c>
    </row>
    <row r="13246" spans="1:5" x14ac:dyDescent="0.25">
      <c r="A13246">
        <v>18</v>
      </c>
      <c r="B13246">
        <v>4</v>
      </c>
      <c r="C13246">
        <v>25</v>
      </c>
      <c r="D13246">
        <v>1</v>
      </c>
      <c r="E13246">
        <f t="shared" si="206"/>
        <v>1.8258991306874984E-32</v>
      </c>
    </row>
    <row r="13247" spans="1:5" x14ac:dyDescent="0.25">
      <c r="A13247">
        <v>18</v>
      </c>
      <c r="B13247">
        <v>4</v>
      </c>
      <c r="C13247">
        <v>26</v>
      </c>
      <c r="D13247">
        <v>0</v>
      </c>
      <c r="E13247">
        <f t="shared" si="206"/>
        <v>1.123630234269229E-33</v>
      </c>
    </row>
    <row r="13248" spans="1:5" x14ac:dyDescent="0.25">
      <c r="A13248">
        <v>18</v>
      </c>
      <c r="B13248">
        <v>5</v>
      </c>
      <c r="C13248">
        <v>0</v>
      </c>
      <c r="D13248">
        <v>25</v>
      </c>
      <c r="E13248">
        <f t="shared" si="206"/>
        <v>6.3881061168495892E-50</v>
      </c>
    </row>
    <row r="13249" spans="1:5" x14ac:dyDescent="0.25">
      <c r="A13249">
        <v>18</v>
      </c>
      <c r="B13249">
        <v>5</v>
      </c>
      <c r="C13249">
        <v>1</v>
      </c>
      <c r="D13249">
        <v>24</v>
      </c>
      <c r="E13249">
        <f t="shared" si="206"/>
        <v>1.0380672439880582E-46</v>
      </c>
    </row>
    <row r="13250" spans="1:5" x14ac:dyDescent="0.25">
      <c r="A13250">
        <v>18</v>
      </c>
      <c r="B13250">
        <v>5</v>
      </c>
      <c r="C13250">
        <v>2</v>
      </c>
      <c r="D13250">
        <v>23</v>
      </c>
      <c r="E13250">
        <f t="shared" si="206"/>
        <v>3.9861782169141437E-44</v>
      </c>
    </row>
    <row r="13251" spans="1:5" x14ac:dyDescent="0.25">
      <c r="A13251">
        <v>18</v>
      </c>
      <c r="B13251">
        <v>5</v>
      </c>
      <c r="C13251">
        <v>3</v>
      </c>
      <c r="D13251">
        <v>22</v>
      </c>
      <c r="E13251">
        <f t="shared" si="206"/>
        <v>6.4177469292317718E-42</v>
      </c>
    </row>
    <row r="13252" spans="1:5" x14ac:dyDescent="0.25">
      <c r="A13252">
        <v>18</v>
      </c>
      <c r="B13252">
        <v>5</v>
      </c>
      <c r="C13252">
        <v>4</v>
      </c>
      <c r="D13252">
        <v>21</v>
      </c>
      <c r="E13252">
        <f t="shared" si="206"/>
        <v>5.4711292571700854E-40</v>
      </c>
    </row>
    <row r="13253" spans="1:5" x14ac:dyDescent="0.25">
      <c r="A13253">
        <v>18</v>
      </c>
      <c r="B13253">
        <v>5</v>
      </c>
      <c r="C13253">
        <v>5</v>
      </c>
      <c r="D13253">
        <v>20</v>
      </c>
      <c r="E13253">
        <f t="shared" si="206"/>
        <v>2.8034066313739514E-38</v>
      </c>
    </row>
    <row r="13254" spans="1:5" x14ac:dyDescent="0.25">
      <c r="A13254">
        <v>18</v>
      </c>
      <c r="B13254">
        <v>5</v>
      </c>
      <c r="C13254">
        <v>6</v>
      </c>
      <c r="D13254">
        <v>19</v>
      </c>
      <c r="E13254">
        <f t="shared" si="206"/>
        <v>9.3446887712465049E-37</v>
      </c>
    </row>
    <row r="13255" spans="1:5" x14ac:dyDescent="0.25">
      <c r="A13255">
        <v>18</v>
      </c>
      <c r="B13255">
        <v>5</v>
      </c>
      <c r="C13255">
        <v>7</v>
      </c>
      <c r="D13255">
        <v>18</v>
      </c>
      <c r="E13255">
        <f t="shared" si="206"/>
        <v>2.1378359413402726E-35</v>
      </c>
    </row>
    <row r="13256" spans="1:5" x14ac:dyDescent="0.25">
      <c r="A13256">
        <v>18</v>
      </c>
      <c r="B13256">
        <v>5</v>
      </c>
      <c r="C13256">
        <v>8</v>
      </c>
      <c r="D13256">
        <v>17</v>
      </c>
      <c r="E13256">
        <f t="shared" si="206"/>
        <v>3.4873448793113188E-34</v>
      </c>
    </row>
    <row r="13257" spans="1:5" x14ac:dyDescent="0.25">
      <c r="A13257">
        <v>18</v>
      </c>
      <c r="B13257">
        <v>5</v>
      </c>
      <c r="C13257">
        <v>9</v>
      </c>
      <c r="D13257">
        <v>16</v>
      </c>
      <c r="E13257">
        <f t="shared" si="206"/>
        <v>4.1718977630279855E-33</v>
      </c>
    </row>
    <row r="13258" spans="1:5" x14ac:dyDescent="0.25">
      <c r="A13258">
        <v>18</v>
      </c>
      <c r="B13258">
        <v>5</v>
      </c>
      <c r="C13258">
        <v>10</v>
      </c>
      <c r="D13258">
        <v>15</v>
      </c>
      <c r="E13258">
        <f t="shared" si="206"/>
        <v>3.7380203956730745E-32</v>
      </c>
    </row>
    <row r="13259" spans="1:5" x14ac:dyDescent="0.25">
      <c r="A13259">
        <v>18</v>
      </c>
      <c r="B13259">
        <v>5</v>
      </c>
      <c r="C13259">
        <v>11</v>
      </c>
      <c r="D13259">
        <v>14</v>
      </c>
      <c r="E13259">
        <f t="shared" si="206"/>
        <v>2.5486502697770965E-31</v>
      </c>
    </row>
    <row r="13260" spans="1:5" x14ac:dyDescent="0.25">
      <c r="A13260">
        <v>18</v>
      </c>
      <c r="B13260">
        <v>5</v>
      </c>
      <c r="C13260">
        <v>12</v>
      </c>
      <c r="D13260">
        <v>13</v>
      </c>
      <c r="E13260">
        <f t="shared" si="206"/>
        <v>1.338041391632975E-30</v>
      </c>
    </row>
    <row r="13261" spans="1:5" x14ac:dyDescent="0.25">
      <c r="A13261">
        <v>18</v>
      </c>
      <c r="B13261">
        <v>5</v>
      </c>
      <c r="C13261">
        <v>13</v>
      </c>
      <c r="D13261">
        <v>12</v>
      </c>
      <c r="E13261">
        <f t="shared" si="206"/>
        <v>5.455091827426747E-30</v>
      </c>
    </row>
    <row r="13262" spans="1:5" x14ac:dyDescent="0.25">
      <c r="A13262">
        <v>18</v>
      </c>
      <c r="B13262">
        <v>5</v>
      </c>
      <c r="C13262">
        <v>14</v>
      </c>
      <c r="D13262">
        <v>11</v>
      </c>
      <c r="E13262">
        <f t="shared" ref="E13262:E13325" si="207">COMBIN(A$4,A13262)*COMBIN(B$4,B13262)*COMBIN(C$4,C13262)*COMBIN(D$4,D13262)/COMBIN($G$4,$F$4)</f>
        <v>1.7367231124052502E-29</v>
      </c>
    </row>
    <row r="13263" spans="1:5" x14ac:dyDescent="0.25">
      <c r="A13263">
        <v>18</v>
      </c>
      <c r="B13263">
        <v>5</v>
      </c>
      <c r="C13263">
        <v>15</v>
      </c>
      <c r="D13263">
        <v>10</v>
      </c>
      <c r="E13263">
        <f t="shared" si="207"/>
        <v>4.3302296269304216E-29</v>
      </c>
    </row>
    <row r="13264" spans="1:5" x14ac:dyDescent="0.25">
      <c r="A13264">
        <v>18</v>
      </c>
      <c r="B13264">
        <v>5</v>
      </c>
      <c r="C13264">
        <v>16</v>
      </c>
      <c r="D13264">
        <v>9</v>
      </c>
      <c r="E13264">
        <f t="shared" si="207"/>
        <v>8.4574797400984811E-29</v>
      </c>
    </row>
    <row r="13265" spans="1:5" x14ac:dyDescent="0.25">
      <c r="A13265">
        <v>18</v>
      </c>
      <c r="B13265">
        <v>5</v>
      </c>
      <c r="C13265">
        <v>17</v>
      </c>
      <c r="D13265">
        <v>8</v>
      </c>
      <c r="E13265">
        <f t="shared" si="207"/>
        <v>1.2905704378489385E-28</v>
      </c>
    </row>
    <row r="13266" spans="1:5" x14ac:dyDescent="0.25">
      <c r="A13266">
        <v>18</v>
      </c>
      <c r="B13266">
        <v>5</v>
      </c>
      <c r="C13266">
        <v>18</v>
      </c>
      <c r="D13266">
        <v>7</v>
      </c>
      <c r="E13266">
        <f t="shared" si="207"/>
        <v>1.5295649633765188E-28</v>
      </c>
    </row>
    <row r="13267" spans="1:5" x14ac:dyDescent="0.25">
      <c r="A13267">
        <v>18</v>
      </c>
      <c r="B13267">
        <v>5</v>
      </c>
      <c r="C13267">
        <v>19</v>
      </c>
      <c r="D13267">
        <v>6</v>
      </c>
      <c r="E13267">
        <f t="shared" si="207"/>
        <v>1.3939802574816472E-28</v>
      </c>
    </row>
    <row r="13268" spans="1:5" x14ac:dyDescent="0.25">
      <c r="A13268">
        <v>18</v>
      </c>
      <c r="B13268">
        <v>5</v>
      </c>
      <c r="C13268">
        <v>20</v>
      </c>
      <c r="D13268">
        <v>5</v>
      </c>
      <c r="E13268">
        <f t="shared" si="207"/>
        <v>9.6184637766233737E-29</v>
      </c>
    </row>
    <row r="13269" spans="1:5" x14ac:dyDescent="0.25">
      <c r="A13269">
        <v>18</v>
      </c>
      <c r="B13269">
        <v>5</v>
      </c>
      <c r="C13269">
        <v>21</v>
      </c>
      <c r="D13269">
        <v>4</v>
      </c>
      <c r="E13269">
        <f t="shared" si="207"/>
        <v>4.9073794778690642E-29</v>
      </c>
    </row>
    <row r="13270" spans="1:5" x14ac:dyDescent="0.25">
      <c r="A13270">
        <v>18</v>
      </c>
      <c r="B13270">
        <v>5</v>
      </c>
      <c r="C13270">
        <v>22</v>
      </c>
      <c r="D13270">
        <v>3</v>
      </c>
      <c r="E13270">
        <f t="shared" si="207"/>
        <v>1.784501628316024E-29</v>
      </c>
    </row>
    <row r="13271" spans="1:5" x14ac:dyDescent="0.25">
      <c r="A13271">
        <v>18</v>
      </c>
      <c r="B13271">
        <v>5</v>
      </c>
      <c r="C13271">
        <v>23</v>
      </c>
      <c r="D13271">
        <v>2</v>
      </c>
      <c r="E13271">
        <f t="shared" si="207"/>
        <v>4.3516202278405868E-30</v>
      </c>
    </row>
    <row r="13272" spans="1:5" x14ac:dyDescent="0.25">
      <c r="A13272">
        <v>18</v>
      </c>
      <c r="B13272">
        <v>5</v>
      </c>
      <c r="C13272">
        <v>24</v>
      </c>
      <c r="D13272">
        <v>1</v>
      </c>
      <c r="E13272">
        <f t="shared" si="207"/>
        <v>6.3461128322675229E-31</v>
      </c>
    </row>
    <row r="13273" spans="1:5" x14ac:dyDescent="0.25">
      <c r="A13273">
        <v>18</v>
      </c>
      <c r="B13273">
        <v>5</v>
      </c>
      <c r="C13273">
        <v>25</v>
      </c>
      <c r="D13273">
        <v>0</v>
      </c>
      <c r="E13273">
        <f t="shared" si="207"/>
        <v>4.1630500179674964E-32</v>
      </c>
    </row>
    <row r="13274" spans="1:5" x14ac:dyDescent="0.25">
      <c r="A13274">
        <v>18</v>
      </c>
      <c r="B13274">
        <v>6</v>
      </c>
      <c r="C13274">
        <v>0</v>
      </c>
      <c r="D13274">
        <v>24</v>
      </c>
      <c r="E13274">
        <f t="shared" si="207"/>
        <v>7.5592589049386799E-47</v>
      </c>
    </row>
    <row r="13275" spans="1:5" x14ac:dyDescent="0.25">
      <c r="A13275">
        <v>18</v>
      </c>
      <c r="B13275">
        <v>6</v>
      </c>
      <c r="C13275">
        <v>1</v>
      </c>
      <c r="D13275">
        <v>23</v>
      </c>
      <c r="E13275">
        <f t="shared" si="207"/>
        <v>5.8962219458521699E-44</v>
      </c>
    </row>
    <row r="13276" spans="1:5" x14ac:dyDescent="0.25">
      <c r="A13276">
        <v>18</v>
      </c>
      <c r="B13276">
        <v>6</v>
      </c>
      <c r="C13276">
        <v>2</v>
      </c>
      <c r="D13276">
        <v>22</v>
      </c>
      <c r="E13276">
        <f t="shared" si="207"/>
        <v>1.4465397840490658E-41</v>
      </c>
    </row>
    <row r="13277" spans="1:5" x14ac:dyDescent="0.25">
      <c r="A13277">
        <v>18</v>
      </c>
      <c r="B13277">
        <v>6</v>
      </c>
      <c r="C13277">
        <v>3</v>
      </c>
      <c r="D13277">
        <v>21</v>
      </c>
      <c r="E13277">
        <f t="shared" si="207"/>
        <v>1.6707534505766713E-39</v>
      </c>
    </row>
    <row r="13278" spans="1:5" x14ac:dyDescent="0.25">
      <c r="A13278">
        <v>18</v>
      </c>
      <c r="B13278">
        <v>6</v>
      </c>
      <c r="C13278">
        <v>4</v>
      </c>
      <c r="D13278">
        <v>20</v>
      </c>
      <c r="E13278">
        <f t="shared" si="207"/>
        <v>1.0876604963254126E-37</v>
      </c>
    </row>
    <row r="13279" spans="1:5" x14ac:dyDescent="0.25">
      <c r="A13279">
        <v>18</v>
      </c>
      <c r="B13279">
        <v>6</v>
      </c>
      <c r="C13279">
        <v>5</v>
      </c>
      <c r="D13279">
        <v>19</v>
      </c>
      <c r="E13279">
        <f t="shared" si="207"/>
        <v>4.4231526850566784E-36</v>
      </c>
    </row>
    <row r="13280" spans="1:5" x14ac:dyDescent="0.25">
      <c r="A13280">
        <v>18</v>
      </c>
      <c r="B13280">
        <v>6</v>
      </c>
      <c r="C13280">
        <v>6</v>
      </c>
      <c r="D13280">
        <v>18</v>
      </c>
      <c r="E13280">
        <f t="shared" si="207"/>
        <v>1.2005700145153847E-34</v>
      </c>
    </row>
    <row r="13281" spans="1:5" x14ac:dyDescent="0.25">
      <c r="A13281">
        <v>18</v>
      </c>
      <c r="B13281">
        <v>6</v>
      </c>
      <c r="C13281">
        <v>7</v>
      </c>
      <c r="D13281">
        <v>17</v>
      </c>
      <c r="E13281">
        <f t="shared" si="207"/>
        <v>2.2767952775273893E-33</v>
      </c>
    </row>
    <row r="13282" spans="1:5" x14ac:dyDescent="0.25">
      <c r="A13282">
        <v>18</v>
      </c>
      <c r="B13282">
        <v>6</v>
      </c>
      <c r="C13282">
        <v>8</v>
      </c>
      <c r="D13282">
        <v>16</v>
      </c>
      <c r="E13282">
        <f t="shared" si="207"/>
        <v>3.1179446439472313E-32</v>
      </c>
    </row>
    <row r="13283" spans="1:5" x14ac:dyDescent="0.25">
      <c r="A13283">
        <v>18</v>
      </c>
      <c r="B13283">
        <v>6</v>
      </c>
      <c r="C13283">
        <v>9</v>
      </c>
      <c r="D13283">
        <v>15</v>
      </c>
      <c r="E13283">
        <f t="shared" si="207"/>
        <v>3.1595172391998599E-31</v>
      </c>
    </row>
    <row r="13284" spans="1:5" x14ac:dyDescent="0.25">
      <c r="A13284">
        <v>18</v>
      </c>
      <c r="B13284">
        <v>6</v>
      </c>
      <c r="C13284">
        <v>10</v>
      </c>
      <c r="D13284">
        <v>14</v>
      </c>
      <c r="E13284">
        <f t="shared" si="207"/>
        <v>2.4127222553889846E-30</v>
      </c>
    </row>
    <row r="13285" spans="1:5" x14ac:dyDescent="0.25">
      <c r="A13285">
        <v>18</v>
      </c>
      <c r="B13285">
        <v>6</v>
      </c>
      <c r="C13285">
        <v>11</v>
      </c>
      <c r="D13285">
        <v>13</v>
      </c>
      <c r="E13285">
        <f t="shared" si="207"/>
        <v>1.4074213156435747E-29</v>
      </c>
    </row>
    <row r="13286" spans="1:5" x14ac:dyDescent="0.25">
      <c r="A13286">
        <v>18</v>
      </c>
      <c r="B13286">
        <v>6</v>
      </c>
      <c r="C13286">
        <v>12</v>
      </c>
      <c r="D13286">
        <v>12</v>
      </c>
      <c r="E13286">
        <f t="shared" si="207"/>
        <v>6.3333959203960814E-29</v>
      </c>
    </row>
    <row r="13287" spans="1:5" x14ac:dyDescent="0.25">
      <c r="A13287">
        <v>18</v>
      </c>
      <c r="B13287">
        <v>6</v>
      </c>
      <c r="C13287">
        <v>13</v>
      </c>
      <c r="D13287">
        <v>11</v>
      </c>
      <c r="E13287">
        <f t="shared" si="207"/>
        <v>2.2132086842702798E-28</v>
      </c>
    </row>
    <row r="13288" spans="1:5" x14ac:dyDescent="0.25">
      <c r="A13288">
        <v>18</v>
      </c>
      <c r="B13288">
        <v>6</v>
      </c>
      <c r="C13288">
        <v>14</v>
      </c>
      <c r="D13288">
        <v>10</v>
      </c>
      <c r="E13288">
        <f t="shared" si="207"/>
        <v>6.0283588923933345E-28</v>
      </c>
    </row>
    <row r="13289" spans="1:5" x14ac:dyDescent="0.25">
      <c r="A13289">
        <v>18</v>
      </c>
      <c r="B13289">
        <v>6</v>
      </c>
      <c r="C13289">
        <v>15</v>
      </c>
      <c r="D13289">
        <v>9</v>
      </c>
      <c r="E13289">
        <f t="shared" si="207"/>
        <v>1.2810262646335832E-27</v>
      </c>
    </row>
    <row r="13290" spans="1:5" x14ac:dyDescent="0.25">
      <c r="A13290">
        <v>18</v>
      </c>
      <c r="B13290">
        <v>6</v>
      </c>
      <c r="C13290">
        <v>16</v>
      </c>
      <c r="D13290">
        <v>8</v>
      </c>
      <c r="E13290">
        <f t="shared" si="207"/>
        <v>2.1193449231070314E-27</v>
      </c>
    </row>
    <row r="13291" spans="1:5" x14ac:dyDescent="0.25">
      <c r="A13291">
        <v>18</v>
      </c>
      <c r="B13291">
        <v>6</v>
      </c>
      <c r="C13291">
        <v>17</v>
      </c>
      <c r="D13291">
        <v>7</v>
      </c>
      <c r="E13291">
        <f t="shared" si="207"/>
        <v>2.7149778099933233E-27</v>
      </c>
    </row>
    <row r="13292" spans="1:5" x14ac:dyDescent="0.25">
      <c r="A13292">
        <v>18</v>
      </c>
      <c r="B13292">
        <v>6</v>
      </c>
      <c r="C13292">
        <v>18</v>
      </c>
      <c r="D13292">
        <v>6</v>
      </c>
      <c r="E13292">
        <f t="shared" si="207"/>
        <v>2.6673466203443143E-27</v>
      </c>
    </row>
    <row r="13293" spans="1:5" x14ac:dyDescent="0.25">
      <c r="A13293">
        <v>18</v>
      </c>
      <c r="B13293">
        <v>6</v>
      </c>
      <c r="C13293">
        <v>19</v>
      </c>
      <c r="D13293">
        <v>5</v>
      </c>
      <c r="E13293">
        <f t="shared" si="207"/>
        <v>1.9794519656239395E-27</v>
      </c>
    </row>
    <row r="13294" spans="1:5" x14ac:dyDescent="0.25">
      <c r="A13294">
        <v>18</v>
      </c>
      <c r="B13294">
        <v>6</v>
      </c>
      <c r="C13294">
        <v>20</v>
      </c>
      <c r="D13294">
        <v>4</v>
      </c>
      <c r="E13294">
        <f t="shared" si="207"/>
        <v>1.0839856002226345E-27</v>
      </c>
    </row>
    <row r="13295" spans="1:5" x14ac:dyDescent="0.25">
      <c r="A13295">
        <v>18</v>
      </c>
      <c r="B13295">
        <v>6</v>
      </c>
      <c r="C13295">
        <v>21</v>
      </c>
      <c r="D13295">
        <v>3</v>
      </c>
      <c r="E13295">
        <f t="shared" si="207"/>
        <v>4.2233205203479214E-28</v>
      </c>
    </row>
    <row r="13296" spans="1:5" x14ac:dyDescent="0.25">
      <c r="A13296">
        <v>18</v>
      </c>
      <c r="B13296">
        <v>6</v>
      </c>
      <c r="C13296">
        <v>22</v>
      </c>
      <c r="D13296">
        <v>2</v>
      </c>
      <c r="E13296">
        <f t="shared" si="207"/>
        <v>1.1017357879168498E-28</v>
      </c>
    </row>
    <row r="13297" spans="1:5" x14ac:dyDescent="0.25">
      <c r="A13297">
        <v>18</v>
      </c>
      <c r="B13297">
        <v>6</v>
      </c>
      <c r="C13297">
        <v>23</v>
      </c>
      <c r="D13297">
        <v>1</v>
      </c>
      <c r="E13297">
        <f t="shared" si="207"/>
        <v>1.7164724232037872E-29</v>
      </c>
    </row>
    <row r="13298" spans="1:5" x14ac:dyDescent="0.25">
      <c r="A13298">
        <v>18</v>
      </c>
      <c r="B13298">
        <v>6</v>
      </c>
      <c r="C13298">
        <v>24</v>
      </c>
      <c r="D13298">
        <v>0</v>
      </c>
      <c r="E13298">
        <f t="shared" si="207"/>
        <v>1.2015306962426509E-30</v>
      </c>
    </row>
    <row r="13299" spans="1:5" x14ac:dyDescent="0.25">
      <c r="A13299">
        <v>18</v>
      </c>
      <c r="B13299">
        <v>7</v>
      </c>
      <c r="C13299">
        <v>0</v>
      </c>
      <c r="D13299">
        <v>23</v>
      </c>
      <c r="E13299">
        <f t="shared" si="207"/>
        <v>3.6673204630245379E-44</v>
      </c>
    </row>
    <row r="13300" spans="1:5" x14ac:dyDescent="0.25">
      <c r="A13300">
        <v>18</v>
      </c>
      <c r="B13300">
        <v>7</v>
      </c>
      <c r="C13300">
        <v>1</v>
      </c>
      <c r="D13300">
        <v>22</v>
      </c>
      <c r="E13300">
        <f t="shared" si="207"/>
        <v>1.8275480307405615E-41</v>
      </c>
    </row>
    <row r="13301" spans="1:5" x14ac:dyDescent="0.25">
      <c r="A13301">
        <v>18</v>
      </c>
      <c r="B13301">
        <v>7</v>
      </c>
      <c r="C13301">
        <v>2</v>
      </c>
      <c r="D13301">
        <v>21</v>
      </c>
      <c r="E13301">
        <f t="shared" si="207"/>
        <v>3.2164845341033886E-39</v>
      </c>
    </row>
    <row r="13302" spans="1:5" x14ac:dyDescent="0.25">
      <c r="A13302">
        <v>18</v>
      </c>
      <c r="B13302">
        <v>7</v>
      </c>
      <c r="C13302">
        <v>3</v>
      </c>
      <c r="D13302">
        <v>20</v>
      </c>
      <c r="E13302">
        <f t="shared" si="207"/>
        <v>2.8369393590791875E-37</v>
      </c>
    </row>
    <row r="13303" spans="1:5" x14ac:dyDescent="0.25">
      <c r="A13303">
        <v>18</v>
      </c>
      <c r="B13303">
        <v>7</v>
      </c>
      <c r="C13303">
        <v>4</v>
      </c>
      <c r="D13303">
        <v>19</v>
      </c>
      <c r="E13303">
        <f t="shared" si="207"/>
        <v>1.4657520021909137E-35</v>
      </c>
    </row>
    <row r="13304" spans="1:5" x14ac:dyDescent="0.25">
      <c r="A13304">
        <v>18</v>
      </c>
      <c r="B13304">
        <v>7</v>
      </c>
      <c r="C13304">
        <v>5</v>
      </c>
      <c r="D13304">
        <v>18</v>
      </c>
      <c r="E13304">
        <f t="shared" si="207"/>
        <v>4.8537330586836271E-34</v>
      </c>
    </row>
    <row r="13305" spans="1:5" x14ac:dyDescent="0.25">
      <c r="A13305">
        <v>18</v>
      </c>
      <c r="B13305">
        <v>7</v>
      </c>
      <c r="C13305">
        <v>6</v>
      </c>
      <c r="D13305">
        <v>17</v>
      </c>
      <c r="E13305">
        <f t="shared" si="207"/>
        <v>1.0920899382038158E-32</v>
      </c>
    </row>
    <row r="13306" spans="1:5" x14ac:dyDescent="0.25">
      <c r="A13306">
        <v>18</v>
      </c>
      <c r="B13306">
        <v>7</v>
      </c>
      <c r="C13306">
        <v>7</v>
      </c>
      <c r="D13306">
        <v>16</v>
      </c>
      <c r="E13306">
        <f t="shared" si="207"/>
        <v>1.7386765206641704E-31</v>
      </c>
    </row>
    <row r="13307" spans="1:5" x14ac:dyDescent="0.25">
      <c r="A13307">
        <v>18</v>
      </c>
      <c r="B13307">
        <v>7</v>
      </c>
      <c r="C13307">
        <v>8</v>
      </c>
      <c r="D13307">
        <v>15</v>
      </c>
      <c r="E13307">
        <f t="shared" si="207"/>
        <v>2.0168647639704376E-30</v>
      </c>
    </row>
    <row r="13308" spans="1:5" x14ac:dyDescent="0.25">
      <c r="A13308">
        <v>18</v>
      </c>
      <c r="B13308">
        <v>7</v>
      </c>
      <c r="C13308">
        <v>9</v>
      </c>
      <c r="D13308">
        <v>14</v>
      </c>
      <c r="E13308">
        <f t="shared" si="207"/>
        <v>1.7418377507017413E-29</v>
      </c>
    </row>
    <row r="13309" spans="1:5" x14ac:dyDescent="0.25">
      <c r="A13309">
        <v>18</v>
      </c>
      <c r="B13309">
        <v>7</v>
      </c>
      <c r="C13309">
        <v>10</v>
      </c>
      <c r="D13309">
        <v>13</v>
      </c>
      <c r="E13309">
        <f t="shared" si="207"/>
        <v>1.1380006637918047E-28</v>
      </c>
    </row>
    <row r="13310" spans="1:5" x14ac:dyDescent="0.25">
      <c r="A13310">
        <v>18</v>
      </c>
      <c r="B13310">
        <v>7</v>
      </c>
      <c r="C13310">
        <v>11</v>
      </c>
      <c r="D13310">
        <v>12</v>
      </c>
      <c r="E13310">
        <f t="shared" si="207"/>
        <v>5.6900033189590247E-28</v>
      </c>
    </row>
    <row r="13311" spans="1:5" x14ac:dyDescent="0.25">
      <c r="A13311">
        <v>18</v>
      </c>
      <c r="B13311">
        <v>7</v>
      </c>
      <c r="C13311">
        <v>12</v>
      </c>
      <c r="D13311">
        <v>11</v>
      </c>
      <c r="E13311">
        <f t="shared" si="207"/>
        <v>2.1947155658841937E-27</v>
      </c>
    </row>
    <row r="13312" spans="1:5" x14ac:dyDescent="0.25">
      <c r="A13312">
        <v>18</v>
      </c>
      <c r="B13312">
        <v>7</v>
      </c>
      <c r="C13312">
        <v>13</v>
      </c>
      <c r="D13312">
        <v>10</v>
      </c>
      <c r="E13312">
        <f t="shared" si="207"/>
        <v>6.5616367944127448E-27</v>
      </c>
    </row>
    <row r="13313" spans="1:5" x14ac:dyDescent="0.25">
      <c r="A13313">
        <v>18</v>
      </c>
      <c r="B13313">
        <v>7</v>
      </c>
      <c r="C13313">
        <v>14</v>
      </c>
      <c r="D13313">
        <v>9</v>
      </c>
      <c r="E13313">
        <f t="shared" si="207"/>
        <v>1.5232371129886733E-26</v>
      </c>
    </row>
    <row r="13314" spans="1:5" x14ac:dyDescent="0.25">
      <c r="A13314">
        <v>18</v>
      </c>
      <c r="B13314">
        <v>7</v>
      </c>
      <c r="C13314">
        <v>15</v>
      </c>
      <c r="D13314">
        <v>8</v>
      </c>
      <c r="E13314">
        <f t="shared" si="207"/>
        <v>2.7418268033796109E-26</v>
      </c>
    </row>
    <row r="13315" spans="1:5" x14ac:dyDescent="0.25">
      <c r="A13315">
        <v>18</v>
      </c>
      <c r="B13315">
        <v>7</v>
      </c>
      <c r="C13315">
        <v>16</v>
      </c>
      <c r="D13315">
        <v>7</v>
      </c>
      <c r="E13315">
        <f t="shared" si="207"/>
        <v>3.8080927824716827E-26</v>
      </c>
    </row>
    <row r="13316" spans="1:5" x14ac:dyDescent="0.25">
      <c r="A13316">
        <v>18</v>
      </c>
      <c r="B13316">
        <v>7</v>
      </c>
      <c r="C13316">
        <v>17</v>
      </c>
      <c r="D13316">
        <v>6</v>
      </c>
      <c r="E13316">
        <f t="shared" si="207"/>
        <v>4.0438880012005812E-26</v>
      </c>
    </row>
    <row r="13317" spans="1:5" x14ac:dyDescent="0.25">
      <c r="A13317">
        <v>18</v>
      </c>
      <c r="B13317">
        <v>7</v>
      </c>
      <c r="C13317">
        <v>18</v>
      </c>
      <c r="D13317">
        <v>5</v>
      </c>
      <c r="E13317">
        <f t="shared" si="207"/>
        <v>3.2351104009604614E-26</v>
      </c>
    </row>
    <row r="13318" spans="1:5" x14ac:dyDescent="0.25">
      <c r="A13318">
        <v>18</v>
      </c>
      <c r="B13318">
        <v>7</v>
      </c>
      <c r="C13318">
        <v>19</v>
      </c>
      <c r="D13318">
        <v>4</v>
      </c>
      <c r="E13318">
        <f t="shared" si="207"/>
        <v>1.9053908376584185E-26</v>
      </c>
    </row>
    <row r="13319" spans="1:5" x14ac:dyDescent="0.25">
      <c r="A13319">
        <v>18</v>
      </c>
      <c r="B13319">
        <v>7</v>
      </c>
      <c r="C13319">
        <v>20</v>
      </c>
      <c r="D13319">
        <v>3</v>
      </c>
      <c r="E13319">
        <f t="shared" si="207"/>
        <v>7.9679980483897555E-27</v>
      </c>
    </row>
    <row r="13320" spans="1:5" x14ac:dyDescent="0.25">
      <c r="A13320">
        <v>18</v>
      </c>
      <c r="B13320">
        <v>7</v>
      </c>
      <c r="C13320">
        <v>21</v>
      </c>
      <c r="D13320">
        <v>2</v>
      </c>
      <c r="E13320">
        <f t="shared" si="207"/>
        <v>2.2270801998604881E-27</v>
      </c>
    </row>
    <row r="13321" spans="1:5" x14ac:dyDescent="0.25">
      <c r="A13321">
        <v>18</v>
      </c>
      <c r="B13321">
        <v>7</v>
      </c>
      <c r="C13321">
        <v>22</v>
      </c>
      <c r="D13321">
        <v>1</v>
      </c>
      <c r="E13321">
        <f t="shared" si="207"/>
        <v>3.7118003331008156E-28</v>
      </c>
    </row>
    <row r="13322" spans="1:5" x14ac:dyDescent="0.25">
      <c r="A13322">
        <v>18</v>
      </c>
      <c r="B13322">
        <v>7</v>
      </c>
      <c r="C13322">
        <v>23</v>
      </c>
      <c r="D13322">
        <v>0</v>
      </c>
      <c r="E13322">
        <f t="shared" si="207"/>
        <v>2.7757811186666962E-29</v>
      </c>
    </row>
    <row r="13323" spans="1:5" x14ac:dyDescent="0.25">
      <c r="A13323">
        <v>18</v>
      </c>
      <c r="B13323">
        <v>8</v>
      </c>
      <c r="C13323">
        <v>0</v>
      </c>
      <c r="D13323">
        <v>22</v>
      </c>
      <c r="E13323">
        <f t="shared" si="207"/>
        <v>9.9109335513238115E-42</v>
      </c>
    </row>
    <row r="13324" spans="1:5" x14ac:dyDescent="0.25">
      <c r="A13324">
        <v>18</v>
      </c>
      <c r="B13324">
        <v>8</v>
      </c>
      <c r="C13324">
        <v>1</v>
      </c>
      <c r="D13324">
        <v>21</v>
      </c>
      <c r="E13324">
        <f t="shared" si="207"/>
        <v>3.5431587445982625E-39</v>
      </c>
    </row>
    <row r="13325" spans="1:5" x14ac:dyDescent="0.25">
      <c r="A13325">
        <v>18</v>
      </c>
      <c r="B13325">
        <v>8</v>
      </c>
      <c r="C13325">
        <v>2</v>
      </c>
      <c r="D13325">
        <v>20</v>
      </c>
      <c r="E13325">
        <f t="shared" si="207"/>
        <v>4.762005352740064E-37</v>
      </c>
    </row>
    <row r="13326" spans="1:5" x14ac:dyDescent="0.25">
      <c r="A13326">
        <v>18</v>
      </c>
      <c r="B13326">
        <v>8</v>
      </c>
      <c r="C13326">
        <v>3</v>
      </c>
      <c r="D13326">
        <v>19</v>
      </c>
      <c r="E13326">
        <f t="shared" ref="E13326:E13389" si="208">COMBIN(A$4,A13326)*COMBIN(B$4,B13326)*COMBIN(C$4,C13326)*COMBIN(D$4,D13326)/COMBIN($G$4,$F$4)</f>
        <v>3.3334037469180447E-35</v>
      </c>
    </row>
    <row r="13327" spans="1:5" x14ac:dyDescent="0.25">
      <c r="A13327">
        <v>18</v>
      </c>
      <c r="B13327">
        <v>8</v>
      </c>
      <c r="C13327">
        <v>4</v>
      </c>
      <c r="D13327">
        <v>18</v>
      </c>
      <c r="E13327">
        <f t="shared" si="208"/>
        <v>1.4024105763819493E-33</v>
      </c>
    </row>
    <row r="13328" spans="1:5" x14ac:dyDescent="0.25">
      <c r="A13328">
        <v>18</v>
      </c>
      <c r="B13328">
        <v>8</v>
      </c>
      <c r="C13328">
        <v>5</v>
      </c>
      <c r="D13328">
        <v>17</v>
      </c>
      <c r="E13328">
        <f t="shared" si="208"/>
        <v>3.8496170321684505E-32</v>
      </c>
    </row>
    <row r="13329" spans="1:5" x14ac:dyDescent="0.25">
      <c r="A13329">
        <v>18</v>
      </c>
      <c r="B13329">
        <v>8</v>
      </c>
      <c r="C13329">
        <v>6</v>
      </c>
      <c r="D13329">
        <v>16</v>
      </c>
      <c r="E13329">
        <f t="shared" si="208"/>
        <v>7.2714988385404058E-31</v>
      </c>
    </row>
    <row r="13330" spans="1:5" x14ac:dyDescent="0.25">
      <c r="A13330">
        <v>18</v>
      </c>
      <c r="B13330">
        <v>8</v>
      </c>
      <c r="C13330">
        <v>7</v>
      </c>
      <c r="D13330">
        <v>15</v>
      </c>
      <c r="E13330">
        <f t="shared" si="208"/>
        <v>9.8061355765459186E-30</v>
      </c>
    </row>
    <row r="13331" spans="1:5" x14ac:dyDescent="0.25">
      <c r="A13331">
        <v>18</v>
      </c>
      <c r="B13331">
        <v>8</v>
      </c>
      <c r="C13331">
        <v>8</v>
      </c>
      <c r="D13331">
        <v>14</v>
      </c>
      <c r="E13331">
        <f t="shared" si="208"/>
        <v>9.6947022177215348E-29</v>
      </c>
    </row>
    <row r="13332" spans="1:5" x14ac:dyDescent="0.25">
      <c r="A13332">
        <v>18</v>
      </c>
      <c r="B13332">
        <v>8</v>
      </c>
      <c r="C13332">
        <v>9</v>
      </c>
      <c r="D13332">
        <v>13</v>
      </c>
      <c r="E13332">
        <f t="shared" si="208"/>
        <v>7.1633077497609111E-28</v>
      </c>
    </row>
    <row r="13333" spans="1:5" x14ac:dyDescent="0.25">
      <c r="A13333">
        <v>18</v>
      </c>
      <c r="B13333">
        <v>8</v>
      </c>
      <c r="C13333">
        <v>10</v>
      </c>
      <c r="D13333">
        <v>12</v>
      </c>
      <c r="E13333">
        <f t="shared" si="208"/>
        <v>4.0114523398661113E-27</v>
      </c>
    </row>
    <row r="13334" spans="1:5" x14ac:dyDescent="0.25">
      <c r="A13334">
        <v>18</v>
      </c>
      <c r="B13334">
        <v>8</v>
      </c>
      <c r="C13334">
        <v>11</v>
      </c>
      <c r="D13334">
        <v>11</v>
      </c>
      <c r="E13334">
        <f t="shared" si="208"/>
        <v>1.7191938599426189E-26</v>
      </c>
    </row>
    <row r="13335" spans="1:5" x14ac:dyDescent="0.25">
      <c r="A13335">
        <v>18</v>
      </c>
      <c r="B13335">
        <v>8</v>
      </c>
      <c r="C13335">
        <v>12</v>
      </c>
      <c r="D13335">
        <v>10</v>
      </c>
      <c r="E13335">
        <f t="shared" si="208"/>
        <v>5.6733397378106379E-26</v>
      </c>
    </row>
    <row r="13336" spans="1:5" x14ac:dyDescent="0.25">
      <c r="A13336">
        <v>18</v>
      </c>
      <c r="B13336">
        <v>8</v>
      </c>
      <c r="C13336">
        <v>13</v>
      </c>
      <c r="D13336">
        <v>9</v>
      </c>
      <c r="E13336">
        <f t="shared" si="208"/>
        <v>1.445610606269058E-25</v>
      </c>
    </row>
    <row r="13337" spans="1:5" x14ac:dyDescent="0.25">
      <c r="A13337">
        <v>18</v>
      </c>
      <c r="B13337">
        <v>8</v>
      </c>
      <c r="C13337">
        <v>14</v>
      </c>
      <c r="D13337">
        <v>8</v>
      </c>
      <c r="E13337">
        <f t="shared" si="208"/>
        <v>2.8426292593862147E-25</v>
      </c>
    </row>
    <row r="13338" spans="1:5" x14ac:dyDescent="0.25">
      <c r="A13338">
        <v>18</v>
      </c>
      <c r="B13338">
        <v>8</v>
      </c>
      <c r="C13338">
        <v>15</v>
      </c>
      <c r="D13338">
        <v>7</v>
      </c>
      <c r="E13338">
        <f t="shared" si="208"/>
        <v>4.2955286586280578E-25</v>
      </c>
    </row>
    <row r="13339" spans="1:5" x14ac:dyDescent="0.25">
      <c r="A13339">
        <v>18</v>
      </c>
      <c r="B13339">
        <v>8</v>
      </c>
      <c r="C13339">
        <v>16</v>
      </c>
      <c r="D13339">
        <v>6</v>
      </c>
      <c r="E13339">
        <f t="shared" si="208"/>
        <v>4.9455099688151963E-25</v>
      </c>
    </row>
    <row r="13340" spans="1:5" x14ac:dyDescent="0.25">
      <c r="A13340">
        <v>18</v>
      </c>
      <c r="B13340">
        <v>8</v>
      </c>
      <c r="C13340">
        <v>17</v>
      </c>
      <c r="D13340">
        <v>5</v>
      </c>
      <c r="E13340">
        <f t="shared" si="208"/>
        <v>4.2764115612696128E-25</v>
      </c>
    </row>
    <row r="13341" spans="1:5" x14ac:dyDescent="0.25">
      <c r="A13341">
        <v>18</v>
      </c>
      <c r="B13341">
        <v>8</v>
      </c>
      <c r="C13341">
        <v>18</v>
      </c>
      <c r="D13341">
        <v>4</v>
      </c>
      <c r="E13341">
        <f t="shared" si="208"/>
        <v>2.7151819436632448E-25</v>
      </c>
    </row>
    <row r="13342" spans="1:5" x14ac:dyDescent="0.25">
      <c r="A13342">
        <v>18</v>
      </c>
      <c r="B13342">
        <v>8</v>
      </c>
      <c r="C13342">
        <v>19</v>
      </c>
      <c r="D13342">
        <v>3</v>
      </c>
      <c r="E13342">
        <f t="shared" si="208"/>
        <v>1.221182309590168E-25</v>
      </c>
    </row>
    <row r="13343" spans="1:5" x14ac:dyDescent="0.25">
      <c r="A13343">
        <v>18</v>
      </c>
      <c r="B13343">
        <v>8</v>
      </c>
      <c r="C13343">
        <v>20</v>
      </c>
      <c r="D13343">
        <v>2</v>
      </c>
      <c r="E13343">
        <f t="shared" si="208"/>
        <v>3.6635469287705065E-26</v>
      </c>
    </row>
    <row r="13344" spans="1:5" x14ac:dyDescent="0.25">
      <c r="A13344">
        <v>18</v>
      </c>
      <c r="B13344">
        <v>8</v>
      </c>
      <c r="C13344">
        <v>21</v>
      </c>
      <c r="D13344">
        <v>1</v>
      </c>
      <c r="E13344">
        <f t="shared" si="208"/>
        <v>6.5420480870901809E-27</v>
      </c>
    </row>
    <row r="13345" spans="1:5" x14ac:dyDescent="0.25">
      <c r="A13345">
        <v>18</v>
      </c>
      <c r="B13345">
        <v>8</v>
      </c>
      <c r="C13345">
        <v>22</v>
      </c>
      <c r="D13345">
        <v>0</v>
      </c>
      <c r="E13345">
        <f t="shared" si="208"/>
        <v>5.2336384696721492E-28</v>
      </c>
    </row>
    <row r="13346" spans="1:5" x14ac:dyDescent="0.25">
      <c r="A13346">
        <v>18</v>
      </c>
      <c r="B13346">
        <v>9</v>
      </c>
      <c r="C13346">
        <v>0</v>
      </c>
      <c r="D13346">
        <v>21</v>
      </c>
      <c r="E13346">
        <f t="shared" si="208"/>
        <v>1.7019275337301056E-39</v>
      </c>
    </row>
    <row r="13347" spans="1:5" x14ac:dyDescent="0.25">
      <c r="A13347">
        <v>18</v>
      </c>
      <c r="B13347">
        <v>9</v>
      </c>
      <c r="C13347">
        <v>1</v>
      </c>
      <c r="D13347">
        <v>20</v>
      </c>
      <c r="E13347">
        <f t="shared" si="208"/>
        <v>4.6462621670831868E-37</v>
      </c>
    </row>
    <row r="13348" spans="1:5" x14ac:dyDescent="0.25">
      <c r="A13348">
        <v>18</v>
      </c>
      <c r="B13348">
        <v>9</v>
      </c>
      <c r="C13348">
        <v>2</v>
      </c>
      <c r="D13348">
        <v>19</v>
      </c>
      <c r="E13348">
        <f t="shared" si="208"/>
        <v>4.9560129782220654E-35</v>
      </c>
    </row>
    <row r="13349" spans="1:5" x14ac:dyDescent="0.25">
      <c r="A13349">
        <v>18</v>
      </c>
      <c r="B13349">
        <v>9</v>
      </c>
      <c r="C13349">
        <v>3</v>
      </c>
      <c r="D13349">
        <v>18</v>
      </c>
      <c r="E13349">
        <f t="shared" si="208"/>
        <v>2.8249273975865788E-33</v>
      </c>
    </row>
    <row r="13350" spans="1:5" x14ac:dyDescent="0.25">
      <c r="A13350">
        <v>18</v>
      </c>
      <c r="B13350">
        <v>9</v>
      </c>
      <c r="C13350">
        <v>4</v>
      </c>
      <c r="D13350">
        <v>17</v>
      </c>
      <c r="E13350">
        <f t="shared" si="208"/>
        <v>9.8519342990831908E-32</v>
      </c>
    </row>
    <row r="13351" spans="1:5" x14ac:dyDescent="0.25">
      <c r="A13351">
        <v>18</v>
      </c>
      <c r="B13351">
        <v>9</v>
      </c>
      <c r="C13351">
        <v>5</v>
      </c>
      <c r="D13351">
        <v>16</v>
      </c>
      <c r="E13351">
        <f t="shared" si="208"/>
        <v>2.2703235262553931E-30</v>
      </c>
    </row>
    <row r="13352" spans="1:5" x14ac:dyDescent="0.25">
      <c r="A13352">
        <v>18</v>
      </c>
      <c r="B13352">
        <v>9</v>
      </c>
      <c r="C13352">
        <v>6</v>
      </c>
      <c r="D13352">
        <v>15</v>
      </c>
      <c r="E13352">
        <f t="shared" si="208"/>
        <v>3.6325176420086289E-29</v>
      </c>
    </row>
    <row r="13353" spans="1:5" x14ac:dyDescent="0.25">
      <c r="A13353">
        <v>18</v>
      </c>
      <c r="B13353">
        <v>9</v>
      </c>
      <c r="C13353">
        <v>7</v>
      </c>
      <c r="D13353">
        <v>14</v>
      </c>
      <c r="E13353">
        <f t="shared" si="208"/>
        <v>4.175036510620308E-28</v>
      </c>
    </row>
    <row r="13354" spans="1:5" x14ac:dyDescent="0.25">
      <c r="A13354">
        <v>18</v>
      </c>
      <c r="B13354">
        <v>9</v>
      </c>
      <c r="C13354">
        <v>8</v>
      </c>
      <c r="D13354">
        <v>13</v>
      </c>
      <c r="E13354">
        <f t="shared" si="208"/>
        <v>3.5313850485663451E-27</v>
      </c>
    </row>
    <row r="13355" spans="1:5" x14ac:dyDescent="0.25">
      <c r="A13355">
        <v>18</v>
      </c>
      <c r="B13355">
        <v>9</v>
      </c>
      <c r="C13355">
        <v>9</v>
      </c>
      <c r="D13355">
        <v>12</v>
      </c>
      <c r="E13355">
        <f t="shared" si="208"/>
        <v>2.2365438640920177E-26</v>
      </c>
    </row>
    <row r="13356" spans="1:5" x14ac:dyDescent="0.25">
      <c r="A13356">
        <v>18</v>
      </c>
      <c r="B13356">
        <v>9</v>
      </c>
      <c r="C13356">
        <v>10</v>
      </c>
      <c r="D13356">
        <v>11</v>
      </c>
      <c r="E13356">
        <f t="shared" si="208"/>
        <v>1.0735410547641686E-25</v>
      </c>
    </row>
    <row r="13357" spans="1:5" x14ac:dyDescent="0.25">
      <c r="A13357">
        <v>18</v>
      </c>
      <c r="B13357">
        <v>9</v>
      </c>
      <c r="C13357">
        <v>11</v>
      </c>
      <c r="D13357">
        <v>10</v>
      </c>
      <c r="E13357">
        <f t="shared" si="208"/>
        <v>3.936317200801952E-25</v>
      </c>
    </row>
    <row r="13358" spans="1:5" x14ac:dyDescent="0.25">
      <c r="A13358">
        <v>18</v>
      </c>
      <c r="B13358">
        <v>9</v>
      </c>
      <c r="C13358">
        <v>12</v>
      </c>
      <c r="D13358">
        <v>9</v>
      </c>
      <c r="E13358">
        <f t="shared" si="208"/>
        <v>1.1070892127255482E-24</v>
      </c>
    </row>
    <row r="13359" spans="1:5" x14ac:dyDescent="0.25">
      <c r="A13359">
        <v>18</v>
      </c>
      <c r="B13359">
        <v>9</v>
      </c>
      <c r="C13359">
        <v>13</v>
      </c>
      <c r="D13359">
        <v>8</v>
      </c>
      <c r="E13359">
        <f t="shared" si="208"/>
        <v>2.3895092962447361E-24</v>
      </c>
    </row>
    <row r="13360" spans="1:5" x14ac:dyDescent="0.25">
      <c r="A13360">
        <v>18</v>
      </c>
      <c r="B13360">
        <v>9</v>
      </c>
      <c r="C13360">
        <v>14</v>
      </c>
      <c r="D13360">
        <v>7</v>
      </c>
      <c r="E13360">
        <f t="shared" si="208"/>
        <v>3.9445867747532179E-24</v>
      </c>
    </row>
    <row r="13361" spans="1:5" x14ac:dyDescent="0.25">
      <c r="A13361">
        <v>18</v>
      </c>
      <c r="B13361">
        <v>9</v>
      </c>
      <c r="C13361">
        <v>15</v>
      </c>
      <c r="D13361">
        <v>6</v>
      </c>
      <c r="E13361">
        <f t="shared" si="208"/>
        <v>4.9411139599540264E-24</v>
      </c>
    </row>
    <row r="13362" spans="1:5" x14ac:dyDescent="0.25">
      <c r="A13362">
        <v>18</v>
      </c>
      <c r="B13362">
        <v>9</v>
      </c>
      <c r="C13362">
        <v>16</v>
      </c>
      <c r="D13362">
        <v>5</v>
      </c>
      <c r="E13362">
        <f t="shared" si="208"/>
        <v>4.6322943374569003E-24</v>
      </c>
    </row>
    <row r="13363" spans="1:5" x14ac:dyDescent="0.25">
      <c r="A13363">
        <v>18</v>
      </c>
      <c r="B13363">
        <v>9</v>
      </c>
      <c r="C13363">
        <v>17</v>
      </c>
      <c r="D13363">
        <v>4</v>
      </c>
      <c r="E13363">
        <f t="shared" si="208"/>
        <v>3.1790255257057186E-24</v>
      </c>
    </row>
    <row r="13364" spans="1:5" x14ac:dyDescent="0.25">
      <c r="A13364">
        <v>18</v>
      </c>
      <c r="B13364">
        <v>9</v>
      </c>
      <c r="C13364">
        <v>18</v>
      </c>
      <c r="D13364">
        <v>3</v>
      </c>
      <c r="E13364">
        <f t="shared" si="208"/>
        <v>1.541345709433074E-24</v>
      </c>
    </row>
    <row r="13365" spans="1:5" x14ac:dyDescent="0.25">
      <c r="A13365">
        <v>18</v>
      </c>
      <c r="B13365">
        <v>9</v>
      </c>
      <c r="C13365">
        <v>19</v>
      </c>
      <c r="D13365">
        <v>2</v>
      </c>
      <c r="E13365">
        <f t="shared" si="208"/>
        <v>4.9732207100701033E-25</v>
      </c>
    </row>
    <row r="13366" spans="1:5" x14ac:dyDescent="0.25">
      <c r="A13366">
        <v>18</v>
      </c>
      <c r="B13366">
        <v>9</v>
      </c>
      <c r="C13366">
        <v>20</v>
      </c>
      <c r="D13366">
        <v>1</v>
      </c>
      <c r="E13366">
        <f t="shared" si="208"/>
        <v>9.5320063609677062E-26</v>
      </c>
    </row>
    <row r="13367" spans="1:5" x14ac:dyDescent="0.25">
      <c r="A13367">
        <v>18</v>
      </c>
      <c r="B13367">
        <v>9</v>
      </c>
      <c r="C13367">
        <v>21</v>
      </c>
      <c r="D13367">
        <v>0</v>
      </c>
      <c r="E13367">
        <f t="shared" si="208"/>
        <v>8.1702911665437385E-27</v>
      </c>
    </row>
    <row r="13368" spans="1:5" x14ac:dyDescent="0.25">
      <c r="A13368">
        <v>18</v>
      </c>
      <c r="B13368">
        <v>10</v>
      </c>
      <c r="C13368">
        <v>0</v>
      </c>
      <c r="D13368">
        <v>20</v>
      </c>
      <c r="E13368">
        <f t="shared" si="208"/>
        <v>2.0014667796666039E-37</v>
      </c>
    </row>
    <row r="13369" spans="1:5" x14ac:dyDescent="0.25">
      <c r="A13369">
        <v>18</v>
      </c>
      <c r="B13369">
        <v>10</v>
      </c>
      <c r="C13369">
        <v>1</v>
      </c>
      <c r="D13369">
        <v>19</v>
      </c>
      <c r="E13369">
        <f t="shared" si="208"/>
        <v>4.336511355944308E-35</v>
      </c>
    </row>
    <row r="13370" spans="1:5" x14ac:dyDescent="0.25">
      <c r="A13370">
        <v>18</v>
      </c>
      <c r="B13370">
        <v>10</v>
      </c>
      <c r="C13370">
        <v>2</v>
      </c>
      <c r="D13370">
        <v>18</v>
      </c>
      <c r="E13370">
        <f t="shared" si="208"/>
        <v>3.7665698634487722E-33</v>
      </c>
    </row>
    <row r="13371" spans="1:5" x14ac:dyDescent="0.25">
      <c r="A13371">
        <v>18</v>
      </c>
      <c r="B13371">
        <v>10</v>
      </c>
      <c r="C13371">
        <v>3</v>
      </c>
      <c r="D13371">
        <v>17</v>
      </c>
      <c r="E13371">
        <f t="shared" si="208"/>
        <v>1.7797042604795443E-31</v>
      </c>
    </row>
    <row r="13372" spans="1:5" x14ac:dyDescent="0.25">
      <c r="A13372">
        <v>18</v>
      </c>
      <c r="B13372">
        <v>10</v>
      </c>
      <c r="C13372">
        <v>4</v>
      </c>
      <c r="D13372">
        <v>16</v>
      </c>
      <c r="E13372">
        <f t="shared" si="208"/>
        <v>5.2105785848484438E-30</v>
      </c>
    </row>
    <row r="13373" spans="1:5" x14ac:dyDescent="0.25">
      <c r="A13373">
        <v>18</v>
      </c>
      <c r="B13373">
        <v>10</v>
      </c>
      <c r="C13373">
        <v>5</v>
      </c>
      <c r="D13373">
        <v>15</v>
      </c>
      <c r="E13373">
        <f t="shared" si="208"/>
        <v>1.0171049397624161E-28</v>
      </c>
    </row>
    <row r="13374" spans="1:5" x14ac:dyDescent="0.25">
      <c r="A13374">
        <v>18</v>
      </c>
      <c r="B13374">
        <v>10</v>
      </c>
      <c r="C13374">
        <v>6</v>
      </c>
      <c r="D13374">
        <v>14</v>
      </c>
      <c r="E13374">
        <f t="shared" si="208"/>
        <v>1.3869612814942041E-27</v>
      </c>
    </row>
    <row r="13375" spans="1:5" x14ac:dyDescent="0.25">
      <c r="A13375">
        <v>18</v>
      </c>
      <c r="B13375">
        <v>10</v>
      </c>
      <c r="C13375">
        <v>7</v>
      </c>
      <c r="D13375">
        <v>13</v>
      </c>
      <c r="E13375">
        <f t="shared" si="208"/>
        <v>1.3638452601359674E-26</v>
      </c>
    </row>
    <row r="13376" spans="1:5" x14ac:dyDescent="0.25">
      <c r="A13376">
        <v>18</v>
      </c>
      <c r="B13376">
        <v>10</v>
      </c>
      <c r="C13376">
        <v>8</v>
      </c>
      <c r="D13376">
        <v>12</v>
      </c>
      <c r="E13376">
        <f t="shared" si="208"/>
        <v>9.8878781359857663E-26</v>
      </c>
    </row>
    <row r="13377" spans="1:5" x14ac:dyDescent="0.25">
      <c r="A13377">
        <v>18</v>
      </c>
      <c r="B13377">
        <v>10</v>
      </c>
      <c r="C13377">
        <v>9</v>
      </c>
      <c r="D13377">
        <v>11</v>
      </c>
      <c r="E13377">
        <f t="shared" si="208"/>
        <v>5.3677052738208432E-25</v>
      </c>
    </row>
    <row r="13378" spans="1:5" x14ac:dyDescent="0.25">
      <c r="A13378">
        <v>18</v>
      </c>
      <c r="B13378">
        <v>10</v>
      </c>
      <c r="C13378">
        <v>10</v>
      </c>
      <c r="D13378">
        <v>10</v>
      </c>
      <c r="E13378">
        <f t="shared" si="208"/>
        <v>2.2043376324490928E-24</v>
      </c>
    </row>
    <row r="13379" spans="1:5" x14ac:dyDescent="0.25">
      <c r="A13379">
        <v>18</v>
      </c>
      <c r="B13379">
        <v>10</v>
      </c>
      <c r="C13379">
        <v>11</v>
      </c>
      <c r="D13379">
        <v>9</v>
      </c>
      <c r="E13379">
        <f t="shared" si="208"/>
        <v>6.888555101403417E-24</v>
      </c>
    </row>
    <row r="13380" spans="1:5" x14ac:dyDescent="0.25">
      <c r="A13380">
        <v>18</v>
      </c>
      <c r="B13380">
        <v>10</v>
      </c>
      <c r="C13380">
        <v>12</v>
      </c>
      <c r="D13380">
        <v>8</v>
      </c>
      <c r="E13380">
        <f t="shared" si="208"/>
        <v>1.6410969506284598E-23</v>
      </c>
    </row>
    <row r="13381" spans="1:5" x14ac:dyDescent="0.25">
      <c r="A13381">
        <v>18</v>
      </c>
      <c r="B13381">
        <v>10</v>
      </c>
      <c r="C13381">
        <v>13</v>
      </c>
      <c r="D13381">
        <v>7</v>
      </c>
      <c r="E13381">
        <f t="shared" si="208"/>
        <v>2.9736115686601178E-23</v>
      </c>
    </row>
    <row r="13382" spans="1:5" x14ac:dyDescent="0.25">
      <c r="A13382">
        <v>18</v>
      </c>
      <c r="B13382">
        <v>10</v>
      </c>
      <c r="C13382">
        <v>14</v>
      </c>
      <c r="D13382">
        <v>6</v>
      </c>
      <c r="E13382">
        <f t="shared" si="208"/>
        <v>4.0691526729033176E-23</v>
      </c>
    </row>
    <row r="13383" spans="1:5" x14ac:dyDescent="0.25">
      <c r="A13383">
        <v>18</v>
      </c>
      <c r="B13383">
        <v>10</v>
      </c>
      <c r="C13383">
        <v>15</v>
      </c>
      <c r="D13383">
        <v>5</v>
      </c>
      <c r="E13383">
        <f t="shared" si="208"/>
        <v>4.1505357263613825E-23</v>
      </c>
    </row>
    <row r="13384" spans="1:5" x14ac:dyDescent="0.25">
      <c r="A13384">
        <v>18</v>
      </c>
      <c r="B13384">
        <v>10</v>
      </c>
      <c r="C13384">
        <v>16</v>
      </c>
      <c r="D13384">
        <v>4</v>
      </c>
      <c r="E13384">
        <f t="shared" si="208"/>
        <v>3.0881962249712679E-23</v>
      </c>
    </row>
    <row r="13385" spans="1:5" x14ac:dyDescent="0.25">
      <c r="A13385">
        <v>18</v>
      </c>
      <c r="B13385">
        <v>10</v>
      </c>
      <c r="C13385">
        <v>17</v>
      </c>
      <c r="D13385">
        <v>3</v>
      </c>
      <c r="E13385">
        <f t="shared" si="208"/>
        <v>1.6184129949047296E-23</v>
      </c>
    </row>
    <row r="13386" spans="1:5" x14ac:dyDescent="0.25">
      <c r="A13386">
        <v>18</v>
      </c>
      <c r="B13386">
        <v>10</v>
      </c>
      <c r="C13386">
        <v>18</v>
      </c>
      <c r="D13386">
        <v>2</v>
      </c>
      <c r="E13386">
        <f t="shared" si="208"/>
        <v>5.6292625909729666E-24</v>
      </c>
    </row>
    <row r="13387" spans="1:5" x14ac:dyDescent="0.25">
      <c r="A13387">
        <v>18</v>
      </c>
      <c r="B13387">
        <v>10</v>
      </c>
      <c r="C13387">
        <v>19</v>
      </c>
      <c r="D13387">
        <v>1</v>
      </c>
      <c r="E13387">
        <f t="shared" si="208"/>
        <v>1.1604181656830242E-24</v>
      </c>
    </row>
    <row r="13388" spans="1:5" x14ac:dyDescent="0.25">
      <c r="A13388">
        <v>18</v>
      </c>
      <c r="B13388">
        <v>10</v>
      </c>
      <c r="C13388">
        <v>20</v>
      </c>
      <c r="D13388">
        <v>0</v>
      </c>
      <c r="E13388">
        <f t="shared" si="208"/>
        <v>1.0675847124283833E-25</v>
      </c>
    </row>
    <row r="13389" spans="1:5" x14ac:dyDescent="0.25">
      <c r="A13389">
        <v>18</v>
      </c>
      <c r="B13389">
        <v>11</v>
      </c>
      <c r="C13389">
        <v>0</v>
      </c>
      <c r="D13389">
        <v>19</v>
      </c>
      <c r="E13389">
        <f t="shared" si="208"/>
        <v>1.6921491864454011E-35</v>
      </c>
    </row>
    <row r="13390" spans="1:5" x14ac:dyDescent="0.25">
      <c r="A13390">
        <v>18</v>
      </c>
      <c r="B13390">
        <v>11</v>
      </c>
      <c r="C13390">
        <v>1</v>
      </c>
      <c r="D13390">
        <v>18</v>
      </c>
      <c r="E13390">
        <f t="shared" ref="E13390:E13453" si="209">COMBIN(A$4,A13390)*COMBIN(B$4,B13390)*COMBIN(C$4,C13390)*COMBIN(D$4,D13390)/COMBIN($G$4,$F$4)</f>
        <v>2.9854346360858164E-33</v>
      </c>
    </row>
    <row r="13391" spans="1:5" x14ac:dyDescent="0.25">
      <c r="A13391">
        <v>18</v>
      </c>
      <c r="B13391">
        <v>11</v>
      </c>
      <c r="C13391">
        <v>2</v>
      </c>
      <c r="D13391">
        <v>17</v>
      </c>
      <c r="E13391">
        <f t="shared" si="209"/>
        <v>2.1495129379817873E-31</v>
      </c>
    </row>
    <row r="13392" spans="1:5" x14ac:dyDescent="0.25">
      <c r="A13392">
        <v>18</v>
      </c>
      <c r="B13392">
        <v>11</v>
      </c>
      <c r="C13392">
        <v>3</v>
      </c>
      <c r="D13392">
        <v>16</v>
      </c>
      <c r="E13392">
        <f t="shared" si="209"/>
        <v>8.5264013206610887E-30</v>
      </c>
    </row>
    <row r="13393" spans="1:5" x14ac:dyDescent="0.25">
      <c r="A13393">
        <v>18</v>
      </c>
      <c r="B13393">
        <v>11</v>
      </c>
      <c r="C13393">
        <v>4</v>
      </c>
      <c r="D13393">
        <v>15</v>
      </c>
      <c r="E13393">
        <f t="shared" si="209"/>
        <v>2.1145475275239496E-28</v>
      </c>
    </row>
    <row r="13394" spans="1:5" x14ac:dyDescent="0.25">
      <c r="A13394">
        <v>18</v>
      </c>
      <c r="B13394">
        <v>11</v>
      </c>
      <c r="C13394">
        <v>5</v>
      </c>
      <c r="D13394">
        <v>14</v>
      </c>
      <c r="E13394">
        <f t="shared" si="209"/>
        <v>3.5178381594262085E-27</v>
      </c>
    </row>
    <row r="13395" spans="1:5" x14ac:dyDescent="0.25">
      <c r="A13395">
        <v>18</v>
      </c>
      <c r="B13395">
        <v>11</v>
      </c>
      <c r="C13395">
        <v>6</v>
      </c>
      <c r="D13395">
        <v>13</v>
      </c>
      <c r="E13395">
        <f t="shared" si="209"/>
        <v>4.1041445193305765E-26</v>
      </c>
    </row>
    <row r="13396" spans="1:5" x14ac:dyDescent="0.25">
      <c r="A13396">
        <v>18</v>
      </c>
      <c r="B13396">
        <v>11</v>
      </c>
      <c r="C13396">
        <v>7</v>
      </c>
      <c r="D13396">
        <v>12</v>
      </c>
      <c r="E13396">
        <f t="shared" si="209"/>
        <v>3.4592075234357715E-25</v>
      </c>
    </row>
    <row r="13397" spans="1:5" x14ac:dyDescent="0.25">
      <c r="A13397">
        <v>18</v>
      </c>
      <c r="B13397">
        <v>11</v>
      </c>
      <c r="C13397">
        <v>8</v>
      </c>
      <c r="D13397">
        <v>11</v>
      </c>
      <c r="E13397">
        <f t="shared" si="209"/>
        <v>2.1496503895636584E-24</v>
      </c>
    </row>
    <row r="13398" spans="1:5" x14ac:dyDescent="0.25">
      <c r="A13398">
        <v>18</v>
      </c>
      <c r="B13398">
        <v>11</v>
      </c>
      <c r="C13398">
        <v>9</v>
      </c>
      <c r="D13398">
        <v>10</v>
      </c>
      <c r="E13398">
        <f t="shared" si="209"/>
        <v>9.9839318093067646E-24</v>
      </c>
    </row>
    <row r="13399" spans="1:5" x14ac:dyDescent="0.25">
      <c r="A13399">
        <v>18</v>
      </c>
      <c r="B13399">
        <v>11</v>
      </c>
      <c r="C13399">
        <v>10</v>
      </c>
      <c r="D13399">
        <v>9</v>
      </c>
      <c r="E13399">
        <f t="shared" si="209"/>
        <v>3.494376133257369E-23</v>
      </c>
    </row>
    <row r="13400" spans="1:5" x14ac:dyDescent="0.25">
      <c r="A13400">
        <v>18</v>
      </c>
      <c r="B13400">
        <v>11</v>
      </c>
      <c r="C13400">
        <v>11</v>
      </c>
      <c r="D13400">
        <v>8</v>
      </c>
      <c r="E13400">
        <f t="shared" si="209"/>
        <v>9.249819176269506E-23</v>
      </c>
    </row>
    <row r="13401" spans="1:5" x14ac:dyDescent="0.25">
      <c r="A13401">
        <v>18</v>
      </c>
      <c r="B13401">
        <v>11</v>
      </c>
      <c r="C13401">
        <v>12</v>
      </c>
      <c r="D13401">
        <v>7</v>
      </c>
      <c r="E13401">
        <f t="shared" si="209"/>
        <v>1.8499638352539005E-22</v>
      </c>
    </row>
    <row r="13402" spans="1:5" x14ac:dyDescent="0.25">
      <c r="A13402">
        <v>18</v>
      </c>
      <c r="B13402">
        <v>11</v>
      </c>
      <c r="C13402">
        <v>13</v>
      </c>
      <c r="D13402">
        <v>6</v>
      </c>
      <c r="E13402">
        <f t="shared" si="209"/>
        <v>2.7786906189441176E-22</v>
      </c>
    </row>
    <row r="13403" spans="1:5" x14ac:dyDescent="0.25">
      <c r="A13403">
        <v>18</v>
      </c>
      <c r="B13403">
        <v>11</v>
      </c>
      <c r="C13403">
        <v>14</v>
      </c>
      <c r="D13403">
        <v>5</v>
      </c>
      <c r="E13403">
        <f t="shared" si="209"/>
        <v>3.0962552611091608E-22</v>
      </c>
    </row>
    <row r="13404" spans="1:5" x14ac:dyDescent="0.25">
      <c r="A13404">
        <v>18</v>
      </c>
      <c r="B13404">
        <v>11</v>
      </c>
      <c r="C13404">
        <v>15</v>
      </c>
      <c r="D13404">
        <v>4</v>
      </c>
      <c r="E13404">
        <f t="shared" si="209"/>
        <v>2.5064923542312247E-22</v>
      </c>
    </row>
    <row r="13405" spans="1:5" x14ac:dyDescent="0.25">
      <c r="A13405">
        <v>18</v>
      </c>
      <c r="B13405">
        <v>11</v>
      </c>
      <c r="C13405">
        <v>16</v>
      </c>
      <c r="D13405">
        <v>3</v>
      </c>
      <c r="E13405">
        <f t="shared" si="209"/>
        <v>1.4241433830859231E-22</v>
      </c>
    </row>
    <row r="13406" spans="1:5" x14ac:dyDescent="0.25">
      <c r="A13406">
        <v>18</v>
      </c>
      <c r="B13406">
        <v>11</v>
      </c>
      <c r="C13406">
        <v>17</v>
      </c>
      <c r="D13406">
        <v>2</v>
      </c>
      <c r="E13406">
        <f t="shared" si="209"/>
        <v>5.3541963507322464E-23</v>
      </c>
    </row>
    <row r="13407" spans="1:5" x14ac:dyDescent="0.25">
      <c r="A13407">
        <v>18</v>
      </c>
      <c r="B13407">
        <v>11</v>
      </c>
      <c r="C13407">
        <v>18</v>
      </c>
      <c r="D13407">
        <v>1</v>
      </c>
      <c r="E13407">
        <f t="shared" si="209"/>
        <v>1.1898214112738313E-23</v>
      </c>
    </row>
    <row r="13408" spans="1:5" x14ac:dyDescent="0.25">
      <c r="A13408">
        <v>18</v>
      </c>
      <c r="B13408">
        <v>11</v>
      </c>
      <c r="C13408">
        <v>19</v>
      </c>
      <c r="D13408">
        <v>0</v>
      </c>
      <c r="E13408">
        <f t="shared" si="209"/>
        <v>1.1772969753656863E-24</v>
      </c>
    </row>
    <row r="13409" spans="1:5" x14ac:dyDescent="0.25">
      <c r="A13409">
        <v>18</v>
      </c>
      <c r="B13409">
        <v>12</v>
      </c>
      <c r="C13409">
        <v>0</v>
      </c>
      <c r="D13409">
        <v>18</v>
      </c>
      <c r="E13409">
        <f t="shared" si="209"/>
        <v>1.0640395241434064E-33</v>
      </c>
    </row>
    <row r="13410" spans="1:5" x14ac:dyDescent="0.25">
      <c r="A13410">
        <v>18</v>
      </c>
      <c r="B13410">
        <v>12</v>
      </c>
      <c r="C13410">
        <v>1</v>
      </c>
      <c r="D13410">
        <v>17</v>
      </c>
      <c r="E13410">
        <f t="shared" si="209"/>
        <v>1.5561578040597315E-31</v>
      </c>
    </row>
    <row r="13411" spans="1:5" x14ac:dyDescent="0.25">
      <c r="A13411">
        <v>18</v>
      </c>
      <c r="B13411">
        <v>12</v>
      </c>
      <c r="C13411">
        <v>2</v>
      </c>
      <c r="D13411">
        <v>16</v>
      </c>
      <c r="E13411">
        <f t="shared" si="209"/>
        <v>9.4061093934277093E-30</v>
      </c>
    </row>
    <row r="13412" spans="1:5" x14ac:dyDescent="0.25">
      <c r="A13412">
        <v>18</v>
      </c>
      <c r="B13412">
        <v>12</v>
      </c>
      <c r="C13412">
        <v>3</v>
      </c>
      <c r="D13412">
        <v>15</v>
      </c>
      <c r="E13412">
        <f t="shared" si="209"/>
        <v>3.1604527561917104E-28</v>
      </c>
    </row>
    <row r="13413" spans="1:5" x14ac:dyDescent="0.25">
      <c r="A13413">
        <v>18</v>
      </c>
      <c r="B13413">
        <v>12</v>
      </c>
      <c r="C13413">
        <v>4</v>
      </c>
      <c r="D13413">
        <v>14</v>
      </c>
      <c r="E13413">
        <f t="shared" si="209"/>
        <v>6.6800478710415709E-27</v>
      </c>
    </row>
    <row r="13414" spans="1:5" x14ac:dyDescent="0.25">
      <c r="A13414">
        <v>18</v>
      </c>
      <c r="B13414">
        <v>12</v>
      </c>
      <c r="C13414">
        <v>5</v>
      </c>
      <c r="D13414">
        <v>13</v>
      </c>
      <c r="E13414">
        <f t="shared" si="209"/>
        <v>9.5079348031158363E-26</v>
      </c>
    </row>
    <row r="13415" spans="1:5" x14ac:dyDescent="0.25">
      <c r="A13415">
        <v>18</v>
      </c>
      <c r="B13415">
        <v>12</v>
      </c>
      <c r="C13415">
        <v>6</v>
      </c>
      <c r="D13415">
        <v>12</v>
      </c>
      <c r="E13415">
        <f t="shared" si="209"/>
        <v>9.5079348031158361E-25</v>
      </c>
    </row>
    <row r="13416" spans="1:5" x14ac:dyDescent="0.25">
      <c r="A13416">
        <v>18</v>
      </c>
      <c r="B13416">
        <v>12</v>
      </c>
      <c r="C13416">
        <v>7</v>
      </c>
      <c r="D13416">
        <v>11</v>
      </c>
      <c r="E13416">
        <f t="shared" si="209"/>
        <v>6.8689977965367466E-24</v>
      </c>
    </row>
    <row r="13417" spans="1:5" x14ac:dyDescent="0.25">
      <c r="A13417">
        <v>18</v>
      </c>
      <c r="B13417">
        <v>12</v>
      </c>
      <c r="C13417">
        <v>8</v>
      </c>
      <c r="D13417">
        <v>10</v>
      </c>
      <c r="E13417">
        <f t="shared" si="209"/>
        <v>3.6520171618253704E-23</v>
      </c>
    </row>
    <row r="13418" spans="1:5" x14ac:dyDescent="0.25">
      <c r="A13418">
        <v>18</v>
      </c>
      <c r="B13418">
        <v>12</v>
      </c>
      <c r="C13418">
        <v>9</v>
      </c>
      <c r="D13418">
        <v>9</v>
      </c>
      <c r="E13418">
        <f t="shared" si="209"/>
        <v>1.4455901265558756E-22</v>
      </c>
    </row>
    <row r="13419" spans="1:5" x14ac:dyDescent="0.25">
      <c r="A13419">
        <v>18</v>
      </c>
      <c r="B13419">
        <v>12</v>
      </c>
      <c r="C13419">
        <v>10</v>
      </c>
      <c r="D13419">
        <v>8</v>
      </c>
      <c r="E13419">
        <f t="shared" si="209"/>
        <v>4.2857495516715378E-22</v>
      </c>
    </row>
    <row r="13420" spans="1:5" x14ac:dyDescent="0.25">
      <c r="A13420">
        <v>18</v>
      </c>
      <c r="B13420">
        <v>12</v>
      </c>
      <c r="C13420">
        <v>11</v>
      </c>
      <c r="D13420">
        <v>7</v>
      </c>
      <c r="E13420">
        <f t="shared" si="209"/>
        <v>9.5238878926034199E-22</v>
      </c>
    </row>
    <row r="13421" spans="1:5" x14ac:dyDescent="0.25">
      <c r="A13421">
        <v>18</v>
      </c>
      <c r="B13421">
        <v>12</v>
      </c>
      <c r="C13421">
        <v>12</v>
      </c>
      <c r="D13421">
        <v>6</v>
      </c>
      <c r="E13421">
        <f t="shared" si="209"/>
        <v>1.5789603611421444E-21</v>
      </c>
    </row>
    <row r="13422" spans="1:5" x14ac:dyDescent="0.25">
      <c r="A13422">
        <v>18</v>
      </c>
      <c r="B13422">
        <v>12</v>
      </c>
      <c r="C13422">
        <v>13</v>
      </c>
      <c r="D13422">
        <v>5</v>
      </c>
      <c r="E13422">
        <f t="shared" si="209"/>
        <v>1.931189980166162E-21</v>
      </c>
    </row>
    <row r="13423" spans="1:5" x14ac:dyDescent="0.25">
      <c r="A13423">
        <v>18</v>
      </c>
      <c r="B13423">
        <v>12</v>
      </c>
      <c r="C13423">
        <v>14</v>
      </c>
      <c r="D13423">
        <v>4</v>
      </c>
      <c r="E13423">
        <f t="shared" si="209"/>
        <v>1.7078550845006883E-21</v>
      </c>
    </row>
    <row r="13424" spans="1:5" x14ac:dyDescent="0.25">
      <c r="A13424">
        <v>18</v>
      </c>
      <c r="B13424">
        <v>12</v>
      </c>
      <c r="C13424">
        <v>15</v>
      </c>
      <c r="D13424">
        <v>3</v>
      </c>
      <c r="E13424">
        <f t="shared" si="209"/>
        <v>1.0557649613276976E-21</v>
      </c>
    </row>
    <row r="13425" spans="1:5" x14ac:dyDescent="0.25">
      <c r="A13425">
        <v>18</v>
      </c>
      <c r="B13425">
        <v>12</v>
      </c>
      <c r="C13425">
        <v>16</v>
      </c>
      <c r="D13425">
        <v>2</v>
      </c>
      <c r="E13425">
        <f t="shared" si="209"/>
        <v>4.303389788020507E-22</v>
      </c>
    </row>
    <row r="13426" spans="1:5" x14ac:dyDescent="0.25">
      <c r="A13426">
        <v>18</v>
      </c>
      <c r="B13426">
        <v>12</v>
      </c>
      <c r="C13426">
        <v>17</v>
      </c>
      <c r="D13426">
        <v>1</v>
      </c>
      <c r="E13426">
        <f t="shared" si="209"/>
        <v>1.0336573510441419E-22</v>
      </c>
    </row>
    <row r="13427" spans="1:5" x14ac:dyDescent="0.25">
      <c r="A13427">
        <v>18</v>
      </c>
      <c r="B13427">
        <v>12</v>
      </c>
      <c r="C13427">
        <v>18</v>
      </c>
      <c r="D13427">
        <v>0</v>
      </c>
      <c r="E13427">
        <f t="shared" si="209"/>
        <v>1.1025678411137506E-23</v>
      </c>
    </row>
    <row r="13428" spans="1:5" x14ac:dyDescent="0.25">
      <c r="A13428">
        <v>18</v>
      </c>
      <c r="B13428">
        <v>13</v>
      </c>
      <c r="C13428">
        <v>0</v>
      </c>
      <c r="D13428">
        <v>17</v>
      </c>
      <c r="E13428">
        <f t="shared" si="209"/>
        <v>5.1012510263259839E-32</v>
      </c>
    </row>
    <row r="13429" spans="1:5" x14ac:dyDescent="0.25">
      <c r="A13429">
        <v>18</v>
      </c>
      <c r="B13429">
        <v>13</v>
      </c>
      <c r="C13429">
        <v>1</v>
      </c>
      <c r="D13429">
        <v>16</v>
      </c>
      <c r="E13429">
        <f t="shared" si="209"/>
        <v>6.2632026489891246E-30</v>
      </c>
    </row>
    <row r="13430" spans="1:5" x14ac:dyDescent="0.25">
      <c r="A13430">
        <v>18</v>
      </c>
      <c r="B13430">
        <v>13</v>
      </c>
      <c r="C13430">
        <v>2</v>
      </c>
      <c r="D13430">
        <v>15</v>
      </c>
      <c r="E13430">
        <f t="shared" si="209"/>
        <v>3.2067597562824317E-28</v>
      </c>
    </row>
    <row r="13431" spans="1:5" x14ac:dyDescent="0.25">
      <c r="A13431">
        <v>18</v>
      </c>
      <c r="B13431">
        <v>13</v>
      </c>
      <c r="C13431">
        <v>3</v>
      </c>
      <c r="D13431">
        <v>14</v>
      </c>
      <c r="E13431">
        <f t="shared" si="209"/>
        <v>9.1829938475360552E-27</v>
      </c>
    </row>
    <row r="13432" spans="1:5" x14ac:dyDescent="0.25">
      <c r="A13432">
        <v>18</v>
      </c>
      <c r="B13432">
        <v>13</v>
      </c>
      <c r="C13432">
        <v>4</v>
      </c>
      <c r="D13432">
        <v>13</v>
      </c>
      <c r="E13432">
        <f t="shared" si="209"/>
        <v>1.6605913874294368E-25</v>
      </c>
    </row>
    <row r="13433" spans="1:5" x14ac:dyDescent="0.25">
      <c r="A13433">
        <v>18</v>
      </c>
      <c r="B13433">
        <v>13</v>
      </c>
      <c r="C13433">
        <v>5</v>
      </c>
      <c r="D13433">
        <v>12</v>
      </c>
      <c r="E13433">
        <f t="shared" si="209"/>
        <v>2.025921492663913E-24</v>
      </c>
    </row>
    <row r="13434" spans="1:5" x14ac:dyDescent="0.25">
      <c r="A13434">
        <v>18</v>
      </c>
      <c r="B13434">
        <v>13</v>
      </c>
      <c r="C13434">
        <v>6</v>
      </c>
      <c r="D13434">
        <v>11</v>
      </c>
      <c r="E13434">
        <f t="shared" si="209"/>
        <v>1.7365041365690682E-23</v>
      </c>
    </row>
    <row r="13435" spans="1:5" x14ac:dyDescent="0.25">
      <c r="A13435">
        <v>18</v>
      </c>
      <c r="B13435">
        <v>13</v>
      </c>
      <c r="C13435">
        <v>7</v>
      </c>
      <c r="D13435">
        <v>10</v>
      </c>
      <c r="E13435">
        <f t="shared" si="209"/>
        <v>1.0733249377460236E-22</v>
      </c>
    </row>
    <row r="13436" spans="1:5" x14ac:dyDescent="0.25">
      <c r="A13436">
        <v>18</v>
      </c>
      <c r="B13436">
        <v>13</v>
      </c>
      <c r="C13436">
        <v>8</v>
      </c>
      <c r="D13436">
        <v>9</v>
      </c>
      <c r="E13436">
        <f t="shared" si="209"/>
        <v>4.8635036241616718E-22</v>
      </c>
    </row>
    <row r="13437" spans="1:5" x14ac:dyDescent="0.25">
      <c r="A13437">
        <v>18</v>
      </c>
      <c r="B13437">
        <v>13</v>
      </c>
      <c r="C13437">
        <v>9</v>
      </c>
      <c r="D13437">
        <v>8</v>
      </c>
      <c r="E13437">
        <f t="shared" si="209"/>
        <v>1.63070415633656E-21</v>
      </c>
    </row>
    <row r="13438" spans="1:5" x14ac:dyDescent="0.25">
      <c r="A13438">
        <v>18</v>
      </c>
      <c r="B13438">
        <v>13</v>
      </c>
      <c r="C13438">
        <v>10</v>
      </c>
      <c r="D13438">
        <v>7</v>
      </c>
      <c r="E13438">
        <f t="shared" si="209"/>
        <v>4.0586414557709958E-21</v>
      </c>
    </row>
    <row r="13439" spans="1:5" x14ac:dyDescent="0.25">
      <c r="A13439">
        <v>18</v>
      </c>
      <c r="B13439">
        <v>13</v>
      </c>
      <c r="C13439">
        <v>11</v>
      </c>
      <c r="D13439">
        <v>6</v>
      </c>
      <c r="E13439">
        <f t="shared" si="209"/>
        <v>7.4764447869465688E-21</v>
      </c>
    </row>
    <row r="13440" spans="1:5" x14ac:dyDescent="0.25">
      <c r="A13440">
        <v>18</v>
      </c>
      <c r="B13440">
        <v>13</v>
      </c>
      <c r="C13440">
        <v>12</v>
      </c>
      <c r="D13440">
        <v>5</v>
      </c>
      <c r="E13440">
        <f t="shared" si="209"/>
        <v>1.0093200462377862E-20</v>
      </c>
    </row>
    <row r="13441" spans="1:5" x14ac:dyDescent="0.25">
      <c r="A13441">
        <v>18</v>
      </c>
      <c r="B13441">
        <v>13</v>
      </c>
      <c r="C13441">
        <v>13</v>
      </c>
      <c r="D13441">
        <v>4</v>
      </c>
      <c r="E13441">
        <f t="shared" si="209"/>
        <v>9.7974290202569052E-21</v>
      </c>
    </row>
    <row r="13442" spans="1:5" x14ac:dyDescent="0.25">
      <c r="A13442">
        <v>18</v>
      </c>
      <c r="B13442">
        <v>13</v>
      </c>
      <c r="C13442">
        <v>14</v>
      </c>
      <c r="D13442">
        <v>3</v>
      </c>
      <c r="E13442">
        <f t="shared" si="209"/>
        <v>6.616445572121547E-21</v>
      </c>
    </row>
    <row r="13443" spans="1:5" x14ac:dyDescent="0.25">
      <c r="A13443">
        <v>18</v>
      </c>
      <c r="B13443">
        <v>13</v>
      </c>
      <c r="C13443">
        <v>15</v>
      </c>
      <c r="D13443">
        <v>2</v>
      </c>
      <c r="E13443">
        <f t="shared" si="209"/>
        <v>2.9342497754625983E-21</v>
      </c>
    </row>
    <row r="13444" spans="1:5" x14ac:dyDescent="0.25">
      <c r="A13444">
        <v>18</v>
      </c>
      <c r="B13444">
        <v>13</v>
      </c>
      <c r="C13444">
        <v>16</v>
      </c>
      <c r="D13444">
        <v>1</v>
      </c>
      <c r="E13444">
        <f t="shared" si="209"/>
        <v>7.6412754569338501E-22</v>
      </c>
    </row>
    <row r="13445" spans="1:5" x14ac:dyDescent="0.25">
      <c r="A13445">
        <v>18</v>
      </c>
      <c r="B13445">
        <v>13</v>
      </c>
      <c r="C13445">
        <v>17</v>
      </c>
      <c r="D13445">
        <v>0</v>
      </c>
      <c r="E13445">
        <f t="shared" si="209"/>
        <v>8.8099411150531508E-23</v>
      </c>
    </row>
    <row r="13446" spans="1:5" x14ac:dyDescent="0.25">
      <c r="A13446">
        <v>18</v>
      </c>
      <c r="B13446">
        <v>14</v>
      </c>
      <c r="C13446">
        <v>0</v>
      </c>
      <c r="D13446">
        <v>16</v>
      </c>
      <c r="E13446">
        <f t="shared" si="209"/>
        <v>1.8996087155175802E-30</v>
      </c>
    </row>
    <row r="13447" spans="1:5" x14ac:dyDescent="0.25">
      <c r="A13447">
        <v>18</v>
      </c>
      <c r="B13447">
        <v>14</v>
      </c>
      <c r="C13447">
        <v>1</v>
      </c>
      <c r="D13447">
        <v>15</v>
      </c>
      <c r="E13447">
        <f t="shared" si="209"/>
        <v>1.9755930641382834E-28</v>
      </c>
    </row>
    <row r="13448" spans="1:5" x14ac:dyDescent="0.25">
      <c r="A13448">
        <v>18</v>
      </c>
      <c r="B13448">
        <v>14</v>
      </c>
      <c r="C13448">
        <v>2</v>
      </c>
      <c r="D13448">
        <v>14</v>
      </c>
      <c r="E13448">
        <f t="shared" si="209"/>
        <v>8.6207697344216013E-27</v>
      </c>
    </row>
    <row r="13449" spans="1:5" x14ac:dyDescent="0.25">
      <c r="A13449">
        <v>18</v>
      </c>
      <c r="B13449">
        <v>14</v>
      </c>
      <c r="C13449">
        <v>3</v>
      </c>
      <c r="D13449">
        <v>13</v>
      </c>
      <c r="E13449">
        <f t="shared" si="209"/>
        <v>2.1120885849332927E-25</v>
      </c>
    </row>
    <row r="13450" spans="1:5" x14ac:dyDescent="0.25">
      <c r="A13450">
        <v>18</v>
      </c>
      <c r="B13450">
        <v>14</v>
      </c>
      <c r="C13450">
        <v>4</v>
      </c>
      <c r="D13450">
        <v>12</v>
      </c>
      <c r="E13450">
        <f t="shared" si="209"/>
        <v>3.2737373066466035E-24</v>
      </c>
    </row>
    <row r="13451" spans="1:5" x14ac:dyDescent="0.25">
      <c r="A13451">
        <v>18</v>
      </c>
      <c r="B13451">
        <v>14</v>
      </c>
      <c r="C13451">
        <v>5</v>
      </c>
      <c r="D13451">
        <v>11</v>
      </c>
      <c r="E13451">
        <f t="shared" si="209"/>
        <v>3.4233938692361623E-23</v>
      </c>
    </row>
    <row r="13452" spans="1:5" x14ac:dyDescent="0.25">
      <c r="A13452">
        <v>18</v>
      </c>
      <c r="B13452">
        <v>14</v>
      </c>
      <c r="C13452">
        <v>6</v>
      </c>
      <c r="D13452">
        <v>10</v>
      </c>
      <c r="E13452">
        <f t="shared" si="209"/>
        <v>2.5104888374398517E-22</v>
      </c>
    </row>
    <row r="13453" spans="1:5" x14ac:dyDescent="0.25">
      <c r="A13453">
        <v>18</v>
      </c>
      <c r="B13453">
        <v>14</v>
      </c>
      <c r="C13453">
        <v>7</v>
      </c>
      <c r="D13453">
        <v>9</v>
      </c>
      <c r="E13453">
        <f t="shared" si="209"/>
        <v>1.3224896554370649E-21</v>
      </c>
    </row>
    <row r="13454" spans="1:5" x14ac:dyDescent="0.25">
      <c r="A13454">
        <v>18</v>
      </c>
      <c r="B13454">
        <v>14</v>
      </c>
      <c r="C13454">
        <v>8</v>
      </c>
      <c r="D13454">
        <v>8</v>
      </c>
      <c r="E13454">
        <f t="shared" ref="E13454:E13517" si="210">COMBIN(A$4,A13454)*COMBIN(B$4,B13454)*COMBIN(C$4,C13454)*COMBIN(D$4,D13454)/COMBIN($G$4,$F$4)</f>
        <v>5.07602647160403E-21</v>
      </c>
    </row>
    <row r="13455" spans="1:5" x14ac:dyDescent="0.25">
      <c r="A13455">
        <v>18</v>
      </c>
      <c r="B13455">
        <v>14</v>
      </c>
      <c r="C13455">
        <v>9</v>
      </c>
      <c r="D13455">
        <v>7</v>
      </c>
      <c r="E13455">
        <f t="shared" si="210"/>
        <v>1.4288074512663197E-20</v>
      </c>
    </row>
    <row r="13456" spans="1:5" x14ac:dyDescent="0.25">
      <c r="A13456">
        <v>18</v>
      </c>
      <c r="B13456">
        <v>14</v>
      </c>
      <c r="C13456">
        <v>10</v>
      </c>
      <c r="D13456">
        <v>6</v>
      </c>
      <c r="E13456">
        <f t="shared" si="210"/>
        <v>2.9478553731389318E-20</v>
      </c>
    </row>
    <row r="13457" spans="1:5" x14ac:dyDescent="0.25">
      <c r="A13457">
        <v>18</v>
      </c>
      <c r="B13457">
        <v>14</v>
      </c>
      <c r="C13457">
        <v>11</v>
      </c>
      <c r="D13457">
        <v>5</v>
      </c>
      <c r="E13457">
        <f t="shared" si="210"/>
        <v>4.4217830597083995E-20</v>
      </c>
    </row>
    <row r="13458" spans="1:5" x14ac:dyDescent="0.25">
      <c r="A13458">
        <v>18</v>
      </c>
      <c r="B13458">
        <v>14</v>
      </c>
      <c r="C13458">
        <v>12</v>
      </c>
      <c r="D13458">
        <v>4</v>
      </c>
      <c r="E13458">
        <f t="shared" si="210"/>
        <v>4.7376247068304257E-20</v>
      </c>
    </row>
    <row r="13459" spans="1:5" x14ac:dyDescent="0.25">
      <c r="A13459">
        <v>18</v>
      </c>
      <c r="B13459">
        <v>14</v>
      </c>
      <c r="C13459">
        <v>13</v>
      </c>
      <c r="D13459">
        <v>3</v>
      </c>
      <c r="E13459">
        <f t="shared" si="210"/>
        <v>3.5118057267414359E-20</v>
      </c>
    </row>
    <row r="13460" spans="1:5" x14ac:dyDescent="0.25">
      <c r="A13460">
        <v>18</v>
      </c>
      <c r="B13460">
        <v>14</v>
      </c>
      <c r="C13460">
        <v>14</v>
      </c>
      <c r="D13460">
        <v>2</v>
      </c>
      <c r="E13460">
        <f t="shared" si="210"/>
        <v>1.7013717185455405E-20</v>
      </c>
    </row>
    <row r="13461" spans="1:5" x14ac:dyDescent="0.25">
      <c r="A13461">
        <v>18</v>
      </c>
      <c r="B13461">
        <v>14</v>
      </c>
      <c r="C13461">
        <v>15</v>
      </c>
      <c r="D13461">
        <v>1</v>
      </c>
      <c r="E13461">
        <f t="shared" si="210"/>
        <v>4.8205532025456967E-21</v>
      </c>
    </row>
    <row r="13462" spans="1:5" x14ac:dyDescent="0.25">
      <c r="A13462">
        <v>18</v>
      </c>
      <c r="B13462">
        <v>14</v>
      </c>
      <c r="C13462">
        <v>16</v>
      </c>
      <c r="D13462">
        <v>0</v>
      </c>
      <c r="E13462">
        <f t="shared" si="210"/>
        <v>6.0256915031821208E-22</v>
      </c>
    </row>
    <row r="13463" spans="1:5" x14ac:dyDescent="0.25">
      <c r="A13463">
        <v>18</v>
      </c>
      <c r="B13463">
        <v>15</v>
      </c>
      <c r="C13463">
        <v>0</v>
      </c>
      <c r="D13463">
        <v>15</v>
      </c>
      <c r="E13463">
        <f t="shared" si="210"/>
        <v>5.5721855655182339E-29</v>
      </c>
    </row>
    <row r="13464" spans="1:5" x14ac:dyDescent="0.25">
      <c r="A13464">
        <v>18</v>
      </c>
      <c r="B13464">
        <v>15</v>
      </c>
      <c r="C13464">
        <v>1</v>
      </c>
      <c r="D13464">
        <v>14</v>
      </c>
      <c r="E13464">
        <f t="shared" si="210"/>
        <v>4.9389826603457091E-27</v>
      </c>
    </row>
    <row r="13465" spans="1:5" x14ac:dyDescent="0.25">
      <c r="A13465">
        <v>18</v>
      </c>
      <c r="B13465">
        <v>15</v>
      </c>
      <c r="C13465">
        <v>2</v>
      </c>
      <c r="D13465">
        <v>13</v>
      </c>
      <c r="E13465">
        <f t="shared" si="210"/>
        <v>1.8438868598623983E-25</v>
      </c>
    </row>
    <row r="13466" spans="1:5" x14ac:dyDescent="0.25">
      <c r="A13466">
        <v>18</v>
      </c>
      <c r="B13466">
        <v>15</v>
      </c>
      <c r="C13466">
        <v>3</v>
      </c>
      <c r="D13466">
        <v>12</v>
      </c>
      <c r="E13466">
        <f t="shared" si="210"/>
        <v>3.8721624057110366E-24</v>
      </c>
    </row>
    <row r="13467" spans="1:5" x14ac:dyDescent="0.25">
      <c r="A13467">
        <v>18</v>
      </c>
      <c r="B13467">
        <v>15</v>
      </c>
      <c r="C13467">
        <v>4</v>
      </c>
      <c r="D13467">
        <v>11</v>
      </c>
      <c r="E13467">
        <f t="shared" si="210"/>
        <v>5.1444443390160903E-23</v>
      </c>
    </row>
    <row r="13468" spans="1:5" x14ac:dyDescent="0.25">
      <c r="A13468">
        <v>18</v>
      </c>
      <c r="B13468">
        <v>15</v>
      </c>
      <c r="C13468">
        <v>5</v>
      </c>
      <c r="D13468">
        <v>10</v>
      </c>
      <c r="E13468">
        <f t="shared" si="210"/>
        <v>4.6025628686397281E-22</v>
      </c>
    </row>
    <row r="13469" spans="1:5" x14ac:dyDescent="0.25">
      <c r="A13469">
        <v>18</v>
      </c>
      <c r="B13469">
        <v>15</v>
      </c>
      <c r="C13469">
        <v>6</v>
      </c>
      <c r="D13469">
        <v>9</v>
      </c>
      <c r="E13469">
        <f t="shared" si="210"/>
        <v>2.8766017928998302E-21</v>
      </c>
    </row>
    <row r="13470" spans="1:5" x14ac:dyDescent="0.25">
      <c r="A13470">
        <v>18</v>
      </c>
      <c r="B13470">
        <v>15</v>
      </c>
      <c r="C13470">
        <v>7</v>
      </c>
      <c r="D13470">
        <v>8</v>
      </c>
      <c r="E13470">
        <f t="shared" si="210"/>
        <v>1.2835929008653864E-20</v>
      </c>
    </row>
    <row r="13471" spans="1:5" x14ac:dyDescent="0.25">
      <c r="A13471">
        <v>18</v>
      </c>
      <c r="B13471">
        <v>15</v>
      </c>
      <c r="C13471">
        <v>8</v>
      </c>
      <c r="D13471">
        <v>7</v>
      </c>
      <c r="E13471">
        <f t="shared" si="210"/>
        <v>4.1360215694551355E-20</v>
      </c>
    </row>
    <row r="13472" spans="1:5" x14ac:dyDescent="0.25">
      <c r="A13472">
        <v>18</v>
      </c>
      <c r="B13472">
        <v>15</v>
      </c>
      <c r="C13472">
        <v>9</v>
      </c>
      <c r="D13472">
        <v>6</v>
      </c>
      <c r="E13472">
        <f t="shared" si="210"/>
        <v>9.650716995395311E-20</v>
      </c>
    </row>
    <row r="13473" spans="1:5" x14ac:dyDescent="0.25">
      <c r="A13473">
        <v>18</v>
      </c>
      <c r="B13473">
        <v>15</v>
      </c>
      <c r="C13473">
        <v>10</v>
      </c>
      <c r="D13473">
        <v>5</v>
      </c>
      <c r="E13473">
        <f t="shared" si="210"/>
        <v>1.6213204552264126E-19</v>
      </c>
    </row>
    <row r="13474" spans="1:5" x14ac:dyDescent="0.25">
      <c r="A13474">
        <v>18</v>
      </c>
      <c r="B13474">
        <v>15</v>
      </c>
      <c r="C13474">
        <v>11</v>
      </c>
      <c r="D13474">
        <v>4</v>
      </c>
      <c r="E13474">
        <f t="shared" si="210"/>
        <v>1.9301433990790634E-19</v>
      </c>
    </row>
    <row r="13475" spans="1:5" x14ac:dyDescent="0.25">
      <c r="A13475">
        <v>18</v>
      </c>
      <c r="B13475">
        <v>15</v>
      </c>
      <c r="C13475">
        <v>12</v>
      </c>
      <c r="D13475">
        <v>3</v>
      </c>
      <c r="E13475">
        <f t="shared" si="210"/>
        <v>1.5792082356101416E-19</v>
      </c>
    </row>
    <row r="13476" spans="1:5" x14ac:dyDescent="0.25">
      <c r="A13476">
        <v>18</v>
      </c>
      <c r="B13476">
        <v>15</v>
      </c>
      <c r="C13476">
        <v>13</v>
      </c>
      <c r="D13476">
        <v>2</v>
      </c>
      <c r="E13476">
        <f t="shared" si="210"/>
        <v>8.3977963030773462E-20</v>
      </c>
    </row>
    <row r="13477" spans="1:5" x14ac:dyDescent="0.25">
      <c r="A13477">
        <v>18</v>
      </c>
      <c r="B13477">
        <v>15</v>
      </c>
      <c r="C13477">
        <v>14</v>
      </c>
      <c r="D13477">
        <v>1</v>
      </c>
      <c r="E13477">
        <f t="shared" si="210"/>
        <v>2.5993179033334643E-20</v>
      </c>
    </row>
    <row r="13478" spans="1:5" x14ac:dyDescent="0.25">
      <c r="A13478">
        <v>18</v>
      </c>
      <c r="B13478">
        <v>15</v>
      </c>
      <c r="C13478">
        <v>15</v>
      </c>
      <c r="D13478">
        <v>0</v>
      </c>
      <c r="E13478">
        <f t="shared" si="210"/>
        <v>3.5350723485335099E-21</v>
      </c>
    </row>
    <row r="13479" spans="1:5" x14ac:dyDescent="0.25">
      <c r="A13479">
        <v>18</v>
      </c>
      <c r="B13479">
        <v>16</v>
      </c>
      <c r="C13479">
        <v>0</v>
      </c>
      <c r="D13479">
        <v>14</v>
      </c>
      <c r="E13479">
        <f t="shared" si="210"/>
        <v>1.3012319701295426E-27</v>
      </c>
    </row>
    <row r="13480" spans="1:5" x14ac:dyDescent="0.25">
      <c r="A13480">
        <v>18</v>
      </c>
      <c r="B13480">
        <v>16</v>
      </c>
      <c r="C13480">
        <v>1</v>
      </c>
      <c r="D13480">
        <v>13</v>
      </c>
      <c r="E13480">
        <f t="shared" si="210"/>
        <v>9.8676757734823657E-26</v>
      </c>
    </row>
    <row r="13481" spans="1:5" x14ac:dyDescent="0.25">
      <c r="A13481">
        <v>18</v>
      </c>
      <c r="B13481">
        <v>16</v>
      </c>
      <c r="C13481">
        <v>2</v>
      </c>
      <c r="D13481">
        <v>12</v>
      </c>
      <c r="E13481">
        <f t="shared" si="210"/>
        <v>3.157656247514357E-24</v>
      </c>
    </row>
    <row r="13482" spans="1:5" x14ac:dyDescent="0.25">
      <c r="A13482">
        <v>18</v>
      </c>
      <c r="B13482">
        <v>16</v>
      </c>
      <c r="C13482">
        <v>3</v>
      </c>
      <c r="D13482">
        <v>11</v>
      </c>
      <c r="E13482">
        <f t="shared" si="210"/>
        <v>5.683781245525842E-23</v>
      </c>
    </row>
    <row r="13483" spans="1:5" x14ac:dyDescent="0.25">
      <c r="A13483">
        <v>18</v>
      </c>
      <c r="B13483">
        <v>16</v>
      </c>
      <c r="C13483">
        <v>4</v>
      </c>
      <c r="D13483">
        <v>10</v>
      </c>
      <c r="E13483">
        <f t="shared" si="210"/>
        <v>6.4605646824143713E-22</v>
      </c>
    </row>
    <row r="13484" spans="1:5" x14ac:dyDescent="0.25">
      <c r="A13484">
        <v>18</v>
      </c>
      <c r="B13484">
        <v>16</v>
      </c>
      <c r="C13484">
        <v>5</v>
      </c>
      <c r="D13484">
        <v>9</v>
      </c>
      <c r="E13484">
        <f t="shared" si="210"/>
        <v>4.9261805703409607E-21</v>
      </c>
    </row>
    <row r="13485" spans="1:5" x14ac:dyDescent="0.25">
      <c r="A13485">
        <v>18</v>
      </c>
      <c r="B13485">
        <v>16</v>
      </c>
      <c r="C13485">
        <v>6</v>
      </c>
      <c r="D13485">
        <v>8</v>
      </c>
      <c r="E13485">
        <f t="shared" si="210"/>
        <v>2.6079779490040373E-20</v>
      </c>
    </row>
    <row r="13486" spans="1:5" x14ac:dyDescent="0.25">
      <c r="A13486">
        <v>18</v>
      </c>
      <c r="B13486">
        <v>16</v>
      </c>
      <c r="C13486">
        <v>7</v>
      </c>
      <c r="D13486">
        <v>7</v>
      </c>
      <c r="E13486">
        <f t="shared" si="210"/>
        <v>9.7695681899198896E-20</v>
      </c>
    </row>
    <row r="13487" spans="1:5" x14ac:dyDescent="0.25">
      <c r="A13487">
        <v>18</v>
      </c>
      <c r="B13487">
        <v>16</v>
      </c>
      <c r="C13487">
        <v>8</v>
      </c>
      <c r="D13487">
        <v>6</v>
      </c>
      <c r="E13487">
        <f t="shared" si="210"/>
        <v>2.6095030823075487E-19</v>
      </c>
    </row>
    <row r="13488" spans="1:5" x14ac:dyDescent="0.25">
      <c r="A13488">
        <v>18</v>
      </c>
      <c r="B13488">
        <v>16</v>
      </c>
      <c r="C13488">
        <v>9</v>
      </c>
      <c r="D13488">
        <v>5</v>
      </c>
      <c r="E13488">
        <f t="shared" si="210"/>
        <v>4.9580558563843413E-19</v>
      </c>
    </row>
    <row r="13489" spans="1:5" x14ac:dyDescent="0.25">
      <c r="A13489">
        <v>18</v>
      </c>
      <c r="B13489">
        <v>16</v>
      </c>
      <c r="C13489">
        <v>10</v>
      </c>
      <c r="D13489">
        <v>4</v>
      </c>
      <c r="E13489">
        <f t="shared" si="210"/>
        <v>6.610741141845792E-19</v>
      </c>
    </row>
    <row r="13490" spans="1:5" x14ac:dyDescent="0.25">
      <c r="A13490">
        <v>18</v>
      </c>
      <c r="B13490">
        <v>16</v>
      </c>
      <c r="C13490">
        <v>11</v>
      </c>
      <c r="D13490">
        <v>3</v>
      </c>
      <c r="E13490">
        <f t="shared" si="210"/>
        <v>6.0097646744052653E-19</v>
      </c>
    </row>
    <row r="13491" spans="1:5" x14ac:dyDescent="0.25">
      <c r="A13491">
        <v>18</v>
      </c>
      <c r="B13491">
        <v>16</v>
      </c>
      <c r="C13491">
        <v>12</v>
      </c>
      <c r="D13491">
        <v>2</v>
      </c>
      <c r="E13491">
        <f t="shared" si="210"/>
        <v>3.5274705697596102E-19</v>
      </c>
    </row>
    <row r="13492" spans="1:5" x14ac:dyDescent="0.25">
      <c r="A13492">
        <v>18</v>
      </c>
      <c r="B13492">
        <v>16</v>
      </c>
      <c r="C13492">
        <v>13</v>
      </c>
      <c r="D13492">
        <v>1</v>
      </c>
      <c r="E13492">
        <f t="shared" si="210"/>
        <v>1.1984355140849963E-19</v>
      </c>
    </row>
    <row r="13493" spans="1:5" x14ac:dyDescent="0.25">
      <c r="A13493">
        <v>18</v>
      </c>
      <c r="B13493">
        <v>16</v>
      </c>
      <c r="C13493">
        <v>14</v>
      </c>
      <c r="D13493">
        <v>0</v>
      </c>
      <c r="E13493">
        <f t="shared" si="210"/>
        <v>1.780532763783423E-20</v>
      </c>
    </row>
    <row r="13494" spans="1:5" x14ac:dyDescent="0.25">
      <c r="A13494">
        <v>18</v>
      </c>
      <c r="B13494">
        <v>17</v>
      </c>
      <c r="C13494">
        <v>0</v>
      </c>
      <c r="D13494">
        <v>13</v>
      </c>
      <c r="E13494">
        <f t="shared" si="210"/>
        <v>2.4378963675662322E-26</v>
      </c>
    </row>
    <row r="13495" spans="1:5" x14ac:dyDescent="0.25">
      <c r="A13495">
        <v>18</v>
      </c>
      <c r="B13495">
        <v>17</v>
      </c>
      <c r="C13495">
        <v>1</v>
      </c>
      <c r="D13495">
        <v>12</v>
      </c>
      <c r="E13495">
        <f t="shared" si="210"/>
        <v>1.5846326389180511E-24</v>
      </c>
    </row>
    <row r="13496" spans="1:5" x14ac:dyDescent="0.25">
      <c r="A13496">
        <v>18</v>
      </c>
      <c r="B13496">
        <v>17</v>
      </c>
      <c r="C13496">
        <v>2</v>
      </c>
      <c r="D13496">
        <v>11</v>
      </c>
      <c r="E13496">
        <f t="shared" si="210"/>
        <v>4.3464209524609399E-23</v>
      </c>
    </row>
    <row r="13497" spans="1:5" x14ac:dyDescent="0.25">
      <c r="A13497">
        <v>18</v>
      </c>
      <c r="B13497">
        <v>17</v>
      </c>
      <c r="C13497">
        <v>3</v>
      </c>
      <c r="D13497">
        <v>10</v>
      </c>
      <c r="E13497">
        <f t="shared" si="210"/>
        <v>6.6934882667898462E-22</v>
      </c>
    </row>
    <row r="13498" spans="1:5" x14ac:dyDescent="0.25">
      <c r="A13498">
        <v>18</v>
      </c>
      <c r="B13498">
        <v>17</v>
      </c>
      <c r="C13498">
        <v>4</v>
      </c>
      <c r="D13498">
        <v>9</v>
      </c>
      <c r="E13498">
        <f t="shared" si="210"/>
        <v>6.4843167584526632E-21</v>
      </c>
    </row>
    <row r="13499" spans="1:5" x14ac:dyDescent="0.25">
      <c r="A13499">
        <v>18</v>
      </c>
      <c r="B13499">
        <v>17</v>
      </c>
      <c r="C13499">
        <v>5</v>
      </c>
      <c r="D13499">
        <v>8</v>
      </c>
      <c r="E13499">
        <f t="shared" si="210"/>
        <v>4.1881057651653096E-20</v>
      </c>
    </row>
    <row r="13500" spans="1:5" x14ac:dyDescent="0.25">
      <c r="A13500">
        <v>18</v>
      </c>
      <c r="B13500">
        <v>17</v>
      </c>
      <c r="C13500">
        <v>6</v>
      </c>
      <c r="D13500">
        <v>7</v>
      </c>
      <c r="E13500">
        <f t="shared" si="210"/>
        <v>1.861380340073471E-19</v>
      </c>
    </row>
    <row r="13501" spans="1:5" x14ac:dyDescent="0.25">
      <c r="A13501">
        <v>18</v>
      </c>
      <c r="B13501">
        <v>17</v>
      </c>
      <c r="C13501">
        <v>7</v>
      </c>
      <c r="D13501">
        <v>6</v>
      </c>
      <c r="E13501">
        <f t="shared" si="210"/>
        <v>5.7800757928597234E-19</v>
      </c>
    </row>
    <row r="13502" spans="1:5" x14ac:dyDescent="0.25">
      <c r="A13502">
        <v>18</v>
      </c>
      <c r="B13502">
        <v>17</v>
      </c>
      <c r="C13502">
        <v>8</v>
      </c>
      <c r="D13502">
        <v>5</v>
      </c>
      <c r="E13502">
        <f t="shared" si="210"/>
        <v>1.25716648494699E-18</v>
      </c>
    </row>
    <row r="13503" spans="1:5" x14ac:dyDescent="0.25">
      <c r="A13503">
        <v>18</v>
      </c>
      <c r="B13503">
        <v>17</v>
      </c>
      <c r="C13503">
        <v>9</v>
      </c>
      <c r="D13503">
        <v>4</v>
      </c>
      <c r="E13503">
        <f t="shared" si="210"/>
        <v>1.8957272392057786E-18</v>
      </c>
    </row>
    <row r="13504" spans="1:5" x14ac:dyDescent="0.25">
      <c r="A13504">
        <v>18</v>
      </c>
      <c r="B13504">
        <v>17</v>
      </c>
      <c r="C13504">
        <v>10</v>
      </c>
      <c r="D13504">
        <v>3</v>
      </c>
      <c r="E13504">
        <f t="shared" si="210"/>
        <v>1.9301950071913385E-18</v>
      </c>
    </row>
    <row r="13505" spans="1:5" x14ac:dyDescent="0.25">
      <c r="A13505">
        <v>18</v>
      </c>
      <c r="B13505">
        <v>17</v>
      </c>
      <c r="C13505">
        <v>11</v>
      </c>
      <c r="D13505">
        <v>2</v>
      </c>
      <c r="E13505">
        <f t="shared" si="210"/>
        <v>1.2588228307769601E-18</v>
      </c>
    </row>
    <row r="13506" spans="1:5" x14ac:dyDescent="0.25">
      <c r="A13506">
        <v>18</v>
      </c>
      <c r="B13506">
        <v>17</v>
      </c>
      <c r="C13506">
        <v>12</v>
      </c>
      <c r="D13506">
        <v>1</v>
      </c>
      <c r="E13506">
        <f t="shared" si="210"/>
        <v>4.7205856154135969E-19</v>
      </c>
    </row>
    <row r="13507" spans="1:5" x14ac:dyDescent="0.25">
      <c r="A13507">
        <v>18</v>
      </c>
      <c r="B13507">
        <v>17</v>
      </c>
      <c r="C13507">
        <v>13</v>
      </c>
      <c r="D13507">
        <v>0</v>
      </c>
      <c r="E13507">
        <f t="shared" si="210"/>
        <v>7.6981857728283315E-20</v>
      </c>
    </row>
    <row r="13508" spans="1:5" x14ac:dyDescent="0.25">
      <c r="A13508">
        <v>18</v>
      </c>
      <c r="B13508">
        <v>18</v>
      </c>
      <c r="C13508">
        <v>0</v>
      </c>
      <c r="D13508">
        <v>12</v>
      </c>
      <c r="E13508">
        <f t="shared" si="210"/>
        <v>3.6839322887667509E-25</v>
      </c>
    </row>
    <row r="13509" spans="1:5" x14ac:dyDescent="0.25">
      <c r="A13509">
        <v>18</v>
      </c>
      <c r="B13509">
        <v>18</v>
      </c>
      <c r="C13509">
        <v>1</v>
      </c>
      <c r="D13509">
        <v>11</v>
      </c>
      <c r="E13509">
        <f t="shared" si="210"/>
        <v>2.0524765608843318E-23</v>
      </c>
    </row>
    <row r="13510" spans="1:5" x14ac:dyDescent="0.25">
      <c r="A13510">
        <v>18</v>
      </c>
      <c r="B13510">
        <v>18</v>
      </c>
      <c r="C13510">
        <v>2</v>
      </c>
      <c r="D13510">
        <v>10</v>
      </c>
      <c r="E13510">
        <f t="shared" si="210"/>
        <v>4.8164783295418986E-22</v>
      </c>
    </row>
    <row r="13511" spans="1:5" x14ac:dyDescent="0.25">
      <c r="A13511">
        <v>18</v>
      </c>
      <c r="B13511">
        <v>18</v>
      </c>
      <c r="C13511">
        <v>3</v>
      </c>
      <c r="D13511">
        <v>9</v>
      </c>
      <c r="E13511">
        <f t="shared" si="210"/>
        <v>6.3216278075237431E-21</v>
      </c>
    </row>
    <row r="13512" spans="1:5" x14ac:dyDescent="0.25">
      <c r="A13512">
        <v>18</v>
      </c>
      <c r="B13512">
        <v>18</v>
      </c>
      <c r="C13512">
        <v>4</v>
      </c>
      <c r="D13512">
        <v>8</v>
      </c>
      <c r="E13512">
        <f t="shared" si="210"/>
        <v>5.1874534067621306E-20</v>
      </c>
    </row>
    <row r="13513" spans="1:5" x14ac:dyDescent="0.25">
      <c r="A13513">
        <v>18</v>
      </c>
      <c r="B13513">
        <v>18</v>
      </c>
      <c r="C13513">
        <v>5</v>
      </c>
      <c r="D13513">
        <v>7</v>
      </c>
      <c r="E13513">
        <f t="shared" si="210"/>
        <v>2.8127525138888004E-19</v>
      </c>
    </row>
    <row r="13514" spans="1:5" x14ac:dyDescent="0.25">
      <c r="A13514">
        <v>18</v>
      </c>
      <c r="B13514">
        <v>18</v>
      </c>
      <c r="C13514">
        <v>6</v>
      </c>
      <c r="D13514">
        <v>6</v>
      </c>
      <c r="E13514">
        <f t="shared" si="210"/>
        <v>1.0362772419590312E-18</v>
      </c>
    </row>
    <row r="13515" spans="1:5" x14ac:dyDescent="0.25">
      <c r="A13515">
        <v>18</v>
      </c>
      <c r="B13515">
        <v>18</v>
      </c>
      <c r="C13515">
        <v>7</v>
      </c>
      <c r="D13515">
        <v>5</v>
      </c>
      <c r="E13515">
        <f t="shared" si="210"/>
        <v>2.6203010260964079E-18</v>
      </c>
    </row>
    <row r="13516" spans="1:5" x14ac:dyDescent="0.25">
      <c r="A13516">
        <v>18</v>
      </c>
      <c r="B13516">
        <v>18</v>
      </c>
      <c r="C13516">
        <v>8</v>
      </c>
      <c r="D13516">
        <v>4</v>
      </c>
      <c r="E13516">
        <f t="shared" si="210"/>
        <v>4.5231386759997536E-18</v>
      </c>
    </row>
    <row r="13517" spans="1:5" x14ac:dyDescent="0.25">
      <c r="A13517">
        <v>18</v>
      </c>
      <c r="B13517">
        <v>18</v>
      </c>
      <c r="C13517">
        <v>9</v>
      </c>
      <c r="D13517">
        <v>3</v>
      </c>
      <c r="E13517">
        <f t="shared" si="210"/>
        <v>5.208462717817896E-18</v>
      </c>
    </row>
    <row r="13518" spans="1:5" x14ac:dyDescent="0.25">
      <c r="A13518">
        <v>18</v>
      </c>
      <c r="B13518">
        <v>18</v>
      </c>
      <c r="C13518">
        <v>10</v>
      </c>
      <c r="D13518">
        <v>2</v>
      </c>
      <c r="E13518">
        <f t="shared" ref="E13518:E13581" si="211">COMBIN(A$4,A13518)*COMBIN(B$4,B13518)*COMBIN(C$4,C13518)*COMBIN(D$4,D13518)/COMBIN($G$4,$F$4)</f>
        <v>3.8044423330148114E-18</v>
      </c>
    </row>
    <row r="13519" spans="1:5" x14ac:dyDescent="0.25">
      <c r="A13519">
        <v>18</v>
      </c>
      <c r="B13519">
        <v>18</v>
      </c>
      <c r="C13519">
        <v>11</v>
      </c>
      <c r="D13519">
        <v>1</v>
      </c>
      <c r="E13519">
        <f t="shared" si="211"/>
        <v>1.5851843054228383E-18</v>
      </c>
    </row>
    <row r="13520" spans="1:5" x14ac:dyDescent="0.25">
      <c r="A13520">
        <v>18</v>
      </c>
      <c r="B13520">
        <v>18</v>
      </c>
      <c r="C13520">
        <v>12</v>
      </c>
      <c r="D13520">
        <v>0</v>
      </c>
      <c r="E13520">
        <f t="shared" si="211"/>
        <v>2.8533317497611072E-19</v>
      </c>
    </row>
    <row r="13521" spans="1:5" x14ac:dyDescent="0.25">
      <c r="A13521">
        <v>18</v>
      </c>
      <c r="B13521">
        <v>19</v>
      </c>
      <c r="C13521">
        <v>0</v>
      </c>
      <c r="D13521">
        <v>11</v>
      </c>
      <c r="E13521">
        <f t="shared" si="211"/>
        <v>4.5038149635599507E-24</v>
      </c>
    </row>
    <row r="13522" spans="1:5" x14ac:dyDescent="0.25">
      <c r="A13522">
        <v>18</v>
      </c>
      <c r="B13522">
        <v>19</v>
      </c>
      <c r="C13522">
        <v>1</v>
      </c>
      <c r="D13522">
        <v>10</v>
      </c>
      <c r="E13522">
        <f t="shared" si="211"/>
        <v>2.1468184659635761E-22</v>
      </c>
    </row>
    <row r="13523" spans="1:5" x14ac:dyDescent="0.25">
      <c r="A13523">
        <v>18</v>
      </c>
      <c r="B13523">
        <v>19</v>
      </c>
      <c r="C13523">
        <v>2</v>
      </c>
      <c r="D13523">
        <v>9</v>
      </c>
      <c r="E13523">
        <f t="shared" si="211"/>
        <v>4.2936369319271531E-21</v>
      </c>
    </row>
    <row r="13524" spans="1:5" x14ac:dyDescent="0.25">
      <c r="A13524">
        <v>18</v>
      </c>
      <c r="B13524">
        <v>19</v>
      </c>
      <c r="C13524">
        <v>3</v>
      </c>
      <c r="D13524">
        <v>8</v>
      </c>
      <c r="E13524">
        <f t="shared" si="211"/>
        <v>4.7735140007895993E-20</v>
      </c>
    </row>
    <row r="13525" spans="1:5" x14ac:dyDescent="0.25">
      <c r="A13525">
        <v>18</v>
      </c>
      <c r="B13525">
        <v>19</v>
      </c>
      <c r="C13525">
        <v>4</v>
      </c>
      <c r="D13525">
        <v>7</v>
      </c>
      <c r="E13525">
        <f t="shared" si="211"/>
        <v>3.2884207560995026E-19</v>
      </c>
    </row>
    <row r="13526" spans="1:5" x14ac:dyDescent="0.25">
      <c r="A13526">
        <v>18</v>
      </c>
      <c r="B13526">
        <v>19</v>
      </c>
      <c r="C13526">
        <v>5</v>
      </c>
      <c r="D13526">
        <v>6</v>
      </c>
      <c r="E13526">
        <f t="shared" si="211"/>
        <v>1.4780585924784076E-18</v>
      </c>
    </row>
    <row r="13527" spans="1:5" x14ac:dyDescent="0.25">
      <c r="A13527">
        <v>18</v>
      </c>
      <c r="B13527">
        <v>19</v>
      </c>
      <c r="C13527">
        <v>6</v>
      </c>
      <c r="D13527">
        <v>5</v>
      </c>
      <c r="E13527">
        <f t="shared" si="211"/>
        <v>4.4341757774352223E-18</v>
      </c>
    </row>
    <row r="13528" spans="1:5" x14ac:dyDescent="0.25">
      <c r="A13528">
        <v>18</v>
      </c>
      <c r="B13528">
        <v>19</v>
      </c>
      <c r="C13528">
        <v>7</v>
      </c>
      <c r="D13528">
        <v>4</v>
      </c>
      <c r="E13528">
        <f t="shared" si="211"/>
        <v>8.8985160159414359E-18</v>
      </c>
    </row>
    <row r="13529" spans="1:5" x14ac:dyDescent="0.25">
      <c r="A13529">
        <v>18</v>
      </c>
      <c r="B13529">
        <v>19</v>
      </c>
      <c r="C13529">
        <v>8</v>
      </c>
      <c r="D13529">
        <v>3</v>
      </c>
      <c r="E13529">
        <f t="shared" si="211"/>
        <v>1.1729862021013712E-17</v>
      </c>
    </row>
    <row r="13530" spans="1:5" x14ac:dyDescent="0.25">
      <c r="A13530">
        <v>18</v>
      </c>
      <c r="B13530">
        <v>19</v>
      </c>
      <c r="C13530">
        <v>9</v>
      </c>
      <c r="D13530">
        <v>2</v>
      </c>
      <c r="E13530">
        <f t="shared" si="211"/>
        <v>9.6898860173591495E-18</v>
      </c>
    </row>
    <row r="13531" spans="1:5" x14ac:dyDescent="0.25">
      <c r="A13531">
        <v>18</v>
      </c>
      <c r="B13531">
        <v>19</v>
      </c>
      <c r="C13531">
        <v>10</v>
      </c>
      <c r="D13531">
        <v>1</v>
      </c>
      <c r="E13531">
        <f t="shared" si="211"/>
        <v>4.5219468081009373E-18</v>
      </c>
    </row>
    <row r="13532" spans="1:5" x14ac:dyDescent="0.25">
      <c r="A13532">
        <v>18</v>
      </c>
      <c r="B13532">
        <v>19</v>
      </c>
      <c r="C13532">
        <v>11</v>
      </c>
      <c r="D13532">
        <v>0</v>
      </c>
      <c r="E13532">
        <f t="shared" si="211"/>
        <v>9.0438936162018755E-19</v>
      </c>
    </row>
    <row r="13533" spans="1:5" x14ac:dyDescent="0.25">
      <c r="A13533">
        <v>18</v>
      </c>
      <c r="B13533">
        <v>20</v>
      </c>
      <c r="C13533">
        <v>0</v>
      </c>
      <c r="D13533">
        <v>10</v>
      </c>
      <c r="E13533">
        <f t="shared" si="211"/>
        <v>4.4587768139243505E-23</v>
      </c>
    </row>
    <row r="13534" spans="1:5" x14ac:dyDescent="0.25">
      <c r="A13534">
        <v>18</v>
      </c>
      <c r="B13534">
        <v>20</v>
      </c>
      <c r="C13534">
        <v>1</v>
      </c>
      <c r="D13534">
        <v>9</v>
      </c>
      <c r="E13534">
        <f t="shared" si="211"/>
        <v>1.8113780806567677E-21</v>
      </c>
    </row>
    <row r="13535" spans="1:5" x14ac:dyDescent="0.25">
      <c r="A13535">
        <v>18</v>
      </c>
      <c r="B13535">
        <v>20</v>
      </c>
      <c r="C13535">
        <v>2</v>
      </c>
      <c r="D13535">
        <v>8</v>
      </c>
      <c r="E13535">
        <f t="shared" si="211"/>
        <v>3.0686875719361713E-20</v>
      </c>
    </row>
    <row r="13536" spans="1:5" x14ac:dyDescent="0.25">
      <c r="A13536">
        <v>18</v>
      </c>
      <c r="B13536">
        <v>20</v>
      </c>
      <c r="C13536">
        <v>3</v>
      </c>
      <c r="D13536">
        <v>7</v>
      </c>
      <c r="E13536">
        <f t="shared" si="211"/>
        <v>2.8641084004737602E-19</v>
      </c>
    </row>
    <row r="13537" spans="1:5" x14ac:dyDescent="0.25">
      <c r="A13537">
        <v>18</v>
      </c>
      <c r="B13537">
        <v>20</v>
      </c>
      <c r="C13537">
        <v>4</v>
      </c>
      <c r="D13537">
        <v>6</v>
      </c>
      <c r="E13537">
        <f t="shared" si="211"/>
        <v>1.6355566392179095E-18</v>
      </c>
    </row>
    <row r="13538" spans="1:5" x14ac:dyDescent="0.25">
      <c r="A13538">
        <v>18</v>
      </c>
      <c r="B13538">
        <v>20</v>
      </c>
      <c r="C13538">
        <v>5</v>
      </c>
      <c r="D13538">
        <v>5</v>
      </c>
      <c r="E13538">
        <f t="shared" si="211"/>
        <v>5.9861372995375505E-18</v>
      </c>
    </row>
    <row r="13539" spans="1:5" x14ac:dyDescent="0.25">
      <c r="A13539">
        <v>18</v>
      </c>
      <c r="B13539">
        <v>20</v>
      </c>
      <c r="C13539">
        <v>6</v>
      </c>
      <c r="D13539">
        <v>4</v>
      </c>
      <c r="E13539">
        <f t="shared" si="211"/>
        <v>1.4252707856041791E-17</v>
      </c>
    </row>
    <row r="13540" spans="1:5" x14ac:dyDescent="0.25">
      <c r="A13540">
        <v>18</v>
      </c>
      <c r="B13540">
        <v>20</v>
      </c>
      <c r="C13540">
        <v>7</v>
      </c>
      <c r="D13540">
        <v>3</v>
      </c>
      <c r="E13540">
        <f t="shared" si="211"/>
        <v>2.1841812039128975E-17</v>
      </c>
    </row>
    <row r="13541" spans="1:5" x14ac:dyDescent="0.25">
      <c r="A13541">
        <v>18</v>
      </c>
      <c r="B13541">
        <v>20</v>
      </c>
      <c r="C13541">
        <v>8</v>
      </c>
      <c r="D13541">
        <v>2</v>
      </c>
      <c r="E13541">
        <f t="shared" si="211"/>
        <v>2.0654757037002402E-17</v>
      </c>
    </row>
    <row r="13542" spans="1:5" x14ac:dyDescent="0.25">
      <c r="A13542">
        <v>18</v>
      </c>
      <c r="B13542">
        <v>20</v>
      </c>
      <c r="C13542">
        <v>9</v>
      </c>
      <c r="D13542">
        <v>1</v>
      </c>
      <c r="E13542">
        <f t="shared" si="211"/>
        <v>1.0901121769529043E-17</v>
      </c>
    </row>
    <row r="13543" spans="1:5" x14ac:dyDescent="0.25">
      <c r="A13543">
        <v>18</v>
      </c>
      <c r="B13543">
        <v>20</v>
      </c>
      <c r="C13543">
        <v>10</v>
      </c>
      <c r="D13543">
        <v>0</v>
      </c>
      <c r="E13543">
        <f t="shared" si="211"/>
        <v>2.4418512763745059E-18</v>
      </c>
    </row>
    <row r="13544" spans="1:5" x14ac:dyDescent="0.25">
      <c r="A13544">
        <v>18</v>
      </c>
      <c r="B13544">
        <v>21</v>
      </c>
      <c r="C13544">
        <v>0</v>
      </c>
      <c r="D13544">
        <v>9</v>
      </c>
      <c r="E13544">
        <f t="shared" si="211"/>
        <v>3.5696754849572943E-22</v>
      </c>
    </row>
    <row r="13545" spans="1:5" x14ac:dyDescent="0.25">
      <c r="A13545">
        <v>18</v>
      </c>
      <c r="B13545">
        <v>21</v>
      </c>
      <c r="C13545">
        <v>1</v>
      </c>
      <c r="D13545">
        <v>8</v>
      </c>
      <c r="E13545">
        <f t="shared" si="211"/>
        <v>1.2283883286470689E-20</v>
      </c>
    </row>
    <row r="13546" spans="1:5" x14ac:dyDescent="0.25">
      <c r="A13546">
        <v>18</v>
      </c>
      <c r="B13546">
        <v>21</v>
      </c>
      <c r="C13546">
        <v>2</v>
      </c>
      <c r="D13546">
        <v>7</v>
      </c>
      <c r="E13546">
        <f t="shared" si="211"/>
        <v>1.7470411785202761E-19</v>
      </c>
    </row>
    <row r="13547" spans="1:5" x14ac:dyDescent="0.25">
      <c r="A13547">
        <v>18</v>
      </c>
      <c r="B13547">
        <v>21</v>
      </c>
      <c r="C13547">
        <v>3</v>
      </c>
      <c r="D13547">
        <v>6</v>
      </c>
      <c r="E13547">
        <f t="shared" si="211"/>
        <v>1.3516581749604238E-18</v>
      </c>
    </row>
    <row r="13548" spans="1:5" x14ac:dyDescent="0.25">
      <c r="A13548">
        <v>18</v>
      </c>
      <c r="B13548">
        <v>21</v>
      </c>
      <c r="C13548">
        <v>4</v>
      </c>
      <c r="D13548">
        <v>5</v>
      </c>
      <c r="E13548">
        <f t="shared" si="211"/>
        <v>6.2852105135659699E-18</v>
      </c>
    </row>
    <row r="13549" spans="1:5" x14ac:dyDescent="0.25">
      <c r="A13549">
        <v>18</v>
      </c>
      <c r="B13549">
        <v>21</v>
      </c>
      <c r="C13549">
        <v>5</v>
      </c>
      <c r="D13549">
        <v>4</v>
      </c>
      <c r="E13549">
        <f t="shared" si="211"/>
        <v>1.8257040063215442E-17</v>
      </c>
    </row>
    <row r="13550" spans="1:5" x14ac:dyDescent="0.25">
      <c r="A13550">
        <v>18</v>
      </c>
      <c r="B13550">
        <v>21</v>
      </c>
      <c r="C13550">
        <v>6</v>
      </c>
      <c r="D13550">
        <v>3</v>
      </c>
      <c r="E13550">
        <f t="shared" si="211"/>
        <v>3.3194618296755342E-17</v>
      </c>
    </row>
    <row r="13551" spans="1:5" x14ac:dyDescent="0.25">
      <c r="A13551">
        <v>18</v>
      </c>
      <c r="B13551">
        <v>21</v>
      </c>
      <c r="C13551">
        <v>7</v>
      </c>
      <c r="D13551">
        <v>2</v>
      </c>
      <c r="E13551">
        <f t="shared" si="211"/>
        <v>3.6493462351091283E-17</v>
      </c>
    </row>
    <row r="13552" spans="1:5" x14ac:dyDescent="0.25">
      <c r="A13552">
        <v>18</v>
      </c>
      <c r="B13552">
        <v>21</v>
      </c>
      <c r="C13552">
        <v>8</v>
      </c>
      <c r="D13552">
        <v>1</v>
      </c>
      <c r="E13552">
        <f t="shared" si="211"/>
        <v>2.2048133503784317E-17</v>
      </c>
    </row>
    <row r="13553" spans="1:5" x14ac:dyDescent="0.25">
      <c r="A13553">
        <v>18</v>
      </c>
      <c r="B13553">
        <v>21</v>
      </c>
      <c r="C13553">
        <v>9</v>
      </c>
      <c r="D13553">
        <v>0</v>
      </c>
      <c r="E13553">
        <f t="shared" si="211"/>
        <v>5.5855271542920264E-18</v>
      </c>
    </row>
    <row r="13554" spans="1:5" x14ac:dyDescent="0.25">
      <c r="A13554">
        <v>18</v>
      </c>
      <c r="B13554">
        <v>22</v>
      </c>
      <c r="C13554">
        <v>0</v>
      </c>
      <c r="D13554">
        <v>8</v>
      </c>
      <c r="E13554">
        <f t="shared" si="211"/>
        <v>2.3021543501917092E-21</v>
      </c>
    </row>
    <row r="13555" spans="1:5" x14ac:dyDescent="0.25">
      <c r="A13555">
        <v>18</v>
      </c>
      <c r="B13555">
        <v>22</v>
      </c>
      <c r="C13555">
        <v>1</v>
      </c>
      <c r="D13555">
        <v>7</v>
      </c>
      <c r="E13555">
        <f t="shared" si="211"/>
        <v>6.6506681227760505E-20</v>
      </c>
    </row>
    <row r="13556" spans="1:5" x14ac:dyDescent="0.25">
      <c r="A13556">
        <v>18</v>
      </c>
      <c r="B13556">
        <v>22</v>
      </c>
      <c r="C13556">
        <v>2</v>
      </c>
      <c r="D13556">
        <v>6</v>
      </c>
      <c r="E13556">
        <f t="shared" si="211"/>
        <v>7.8407876815886044E-19</v>
      </c>
    </row>
    <row r="13557" spans="1:5" x14ac:dyDescent="0.25">
      <c r="A13557">
        <v>18</v>
      </c>
      <c r="B13557">
        <v>22</v>
      </c>
      <c r="C13557">
        <v>3</v>
      </c>
      <c r="D13557">
        <v>5</v>
      </c>
      <c r="E13557">
        <f t="shared" si="211"/>
        <v>4.9396962394008209E-18</v>
      </c>
    </row>
    <row r="13558" spans="1:5" x14ac:dyDescent="0.25">
      <c r="A13558">
        <v>18</v>
      </c>
      <c r="B13558">
        <v>22</v>
      </c>
      <c r="C13558">
        <v>4</v>
      </c>
      <c r="D13558">
        <v>4</v>
      </c>
      <c r="E13558">
        <f t="shared" si="211"/>
        <v>1.8229831359693511E-17</v>
      </c>
    </row>
    <row r="13559" spans="1:5" x14ac:dyDescent="0.25">
      <c r="A13559">
        <v>18</v>
      </c>
      <c r="B13559">
        <v>22</v>
      </c>
      <c r="C13559">
        <v>5</v>
      </c>
      <c r="D13559">
        <v>3</v>
      </c>
      <c r="E13559">
        <f t="shared" si="211"/>
        <v>4.0437080470592877E-17</v>
      </c>
    </row>
    <row r="13560" spans="1:5" x14ac:dyDescent="0.25">
      <c r="A13560">
        <v>18</v>
      </c>
      <c r="B13560">
        <v>22</v>
      </c>
      <c r="C13560">
        <v>6</v>
      </c>
      <c r="D13560">
        <v>2</v>
      </c>
      <c r="E13560">
        <f t="shared" si="211"/>
        <v>5.274401800512114E-17</v>
      </c>
    </row>
    <row r="13561" spans="1:5" x14ac:dyDescent="0.25">
      <c r="A13561">
        <v>18</v>
      </c>
      <c r="B13561">
        <v>22</v>
      </c>
      <c r="C13561">
        <v>7</v>
      </c>
      <c r="D13561">
        <v>1</v>
      </c>
      <c r="E13561">
        <f t="shared" si="211"/>
        <v>3.7046393598835085E-17</v>
      </c>
    </row>
    <row r="13562" spans="1:5" x14ac:dyDescent="0.25">
      <c r="A13562">
        <v>18</v>
      </c>
      <c r="B13562">
        <v>22</v>
      </c>
      <c r="C13562">
        <v>8</v>
      </c>
      <c r="D13562">
        <v>0</v>
      </c>
      <c r="E13562">
        <f t="shared" si="211"/>
        <v>1.0743454143662175E-17</v>
      </c>
    </row>
    <row r="13563" spans="1:5" x14ac:dyDescent="0.25">
      <c r="A13563">
        <v>18</v>
      </c>
      <c r="B13563">
        <v>23</v>
      </c>
      <c r="C13563">
        <v>0</v>
      </c>
      <c r="D13563">
        <v>7</v>
      </c>
      <c r="E13563">
        <f t="shared" si="211"/>
        <v>1.1877781864757223E-20</v>
      </c>
    </row>
    <row r="13564" spans="1:5" x14ac:dyDescent="0.25">
      <c r="A13564">
        <v>18</v>
      </c>
      <c r="B13564">
        <v>23</v>
      </c>
      <c r="C13564">
        <v>1</v>
      </c>
      <c r="D13564">
        <v>6</v>
      </c>
      <c r="E13564">
        <f t="shared" si="211"/>
        <v>2.8444161834023864E-19</v>
      </c>
    </row>
    <row r="13565" spans="1:5" x14ac:dyDescent="0.25">
      <c r="A13565">
        <v>18</v>
      </c>
      <c r="B13565">
        <v>23</v>
      </c>
      <c r="C13565">
        <v>2</v>
      </c>
      <c r="D13565">
        <v>5</v>
      </c>
      <c r="E13565">
        <f t="shared" si="211"/>
        <v>2.730639536066291E-18</v>
      </c>
    </row>
    <row r="13566" spans="1:5" x14ac:dyDescent="0.25">
      <c r="A13566">
        <v>18</v>
      </c>
      <c r="B13566">
        <v>23</v>
      </c>
      <c r="C13566">
        <v>3</v>
      </c>
      <c r="D13566">
        <v>4</v>
      </c>
      <c r="E13566">
        <f t="shared" si="211"/>
        <v>1.3653197680331458E-17</v>
      </c>
    </row>
    <row r="13567" spans="1:5" x14ac:dyDescent="0.25">
      <c r="A13567">
        <v>18</v>
      </c>
      <c r="B13567">
        <v>23</v>
      </c>
      <c r="C13567">
        <v>4</v>
      </c>
      <c r="D13567">
        <v>3</v>
      </c>
      <c r="E13567">
        <f t="shared" si="211"/>
        <v>3.8477193462752293E-17</v>
      </c>
    </row>
    <row r="13568" spans="1:5" x14ac:dyDescent="0.25">
      <c r="A13568">
        <v>18</v>
      </c>
      <c r="B13568">
        <v>23</v>
      </c>
      <c r="C13568">
        <v>5</v>
      </c>
      <c r="D13568">
        <v>2</v>
      </c>
      <c r="E13568">
        <f t="shared" si="211"/>
        <v>6.1228925249423207E-17</v>
      </c>
    </row>
    <row r="13569" spans="1:5" x14ac:dyDescent="0.25">
      <c r="A13569">
        <v>18</v>
      </c>
      <c r="B13569">
        <v>23</v>
      </c>
      <c r="C13569">
        <v>6</v>
      </c>
      <c r="D13569">
        <v>1</v>
      </c>
      <c r="E13569">
        <f t="shared" si="211"/>
        <v>5.1024104374519339E-17</v>
      </c>
    </row>
    <row r="13570" spans="1:5" x14ac:dyDescent="0.25">
      <c r="A13570">
        <v>18</v>
      </c>
      <c r="B13570">
        <v>23</v>
      </c>
      <c r="C13570">
        <v>7</v>
      </c>
      <c r="D13570">
        <v>0</v>
      </c>
      <c r="E13570">
        <f t="shared" si="211"/>
        <v>1.7202412331980803E-17</v>
      </c>
    </row>
    <row r="13571" spans="1:5" x14ac:dyDescent="0.25">
      <c r="A13571">
        <v>18</v>
      </c>
      <c r="B13571">
        <v>24</v>
      </c>
      <c r="C13571">
        <v>0</v>
      </c>
      <c r="D13571">
        <v>6</v>
      </c>
      <c r="E13571">
        <f t="shared" si="211"/>
        <v>4.8500942614425331E-20</v>
      </c>
    </row>
    <row r="13572" spans="1:5" x14ac:dyDescent="0.25">
      <c r="A13572">
        <v>18</v>
      </c>
      <c r="B13572">
        <v>24</v>
      </c>
      <c r="C13572">
        <v>1</v>
      </c>
      <c r="D13572">
        <v>5</v>
      </c>
      <c r="E13572">
        <f t="shared" si="211"/>
        <v>9.4576838098129403E-19</v>
      </c>
    </row>
    <row r="13573" spans="1:5" x14ac:dyDescent="0.25">
      <c r="A13573">
        <v>18</v>
      </c>
      <c r="B13573">
        <v>24</v>
      </c>
      <c r="C13573">
        <v>2</v>
      </c>
      <c r="D13573">
        <v>4</v>
      </c>
      <c r="E13573">
        <f t="shared" si="211"/>
        <v>7.2058543312860511E-18</v>
      </c>
    </row>
    <row r="13574" spans="1:5" x14ac:dyDescent="0.25">
      <c r="A13574">
        <v>18</v>
      </c>
      <c r="B13574">
        <v>24</v>
      </c>
      <c r="C13574">
        <v>3</v>
      </c>
      <c r="D13574">
        <v>3</v>
      </c>
      <c r="E13574">
        <f t="shared" si="211"/>
        <v>2.75132619921831E-17</v>
      </c>
    </row>
    <row r="13575" spans="1:5" x14ac:dyDescent="0.25">
      <c r="A13575">
        <v>18</v>
      </c>
      <c r="B13575">
        <v>24</v>
      </c>
      <c r="C13575">
        <v>4</v>
      </c>
      <c r="D13575">
        <v>2</v>
      </c>
      <c r="E13575">
        <f t="shared" si="211"/>
        <v>5.5624638375500619E-17</v>
      </c>
    </row>
    <row r="13576" spans="1:5" x14ac:dyDescent="0.25">
      <c r="A13576">
        <v>18</v>
      </c>
      <c r="B13576">
        <v>24</v>
      </c>
      <c r="C13576">
        <v>5</v>
      </c>
      <c r="D13576">
        <v>1</v>
      </c>
      <c r="E13576">
        <f t="shared" si="211"/>
        <v>5.6551715681758962E-17</v>
      </c>
    </row>
    <row r="13577" spans="1:5" x14ac:dyDescent="0.25">
      <c r="A13577">
        <v>18</v>
      </c>
      <c r="B13577">
        <v>24</v>
      </c>
      <c r="C13577">
        <v>6</v>
      </c>
      <c r="D13577">
        <v>0</v>
      </c>
      <c r="E13577">
        <f t="shared" si="211"/>
        <v>2.2620686272703584E-17</v>
      </c>
    </row>
    <row r="13578" spans="1:5" x14ac:dyDescent="0.25">
      <c r="A13578">
        <v>18</v>
      </c>
      <c r="B13578">
        <v>25</v>
      </c>
      <c r="C13578">
        <v>0</v>
      </c>
      <c r="D13578">
        <v>5</v>
      </c>
      <c r="E13578">
        <f t="shared" si="211"/>
        <v>1.5423299751387261E-19</v>
      </c>
    </row>
    <row r="13579" spans="1:5" x14ac:dyDescent="0.25">
      <c r="A13579">
        <v>18</v>
      </c>
      <c r="B13579">
        <v>25</v>
      </c>
      <c r="C13579">
        <v>1</v>
      </c>
      <c r="D13579">
        <v>4</v>
      </c>
      <c r="E13579">
        <f t="shared" si="211"/>
        <v>2.386939247238505E-18</v>
      </c>
    </row>
    <row r="13580" spans="1:5" x14ac:dyDescent="0.25">
      <c r="A13580">
        <v>18</v>
      </c>
      <c r="B13580">
        <v>25</v>
      </c>
      <c r="C13580">
        <v>2</v>
      </c>
      <c r="D13580">
        <v>3</v>
      </c>
      <c r="E13580">
        <f t="shared" si="211"/>
        <v>1.3887646529387666E-17</v>
      </c>
    </row>
    <row r="13581" spans="1:5" x14ac:dyDescent="0.25">
      <c r="A13581">
        <v>18</v>
      </c>
      <c r="B13581">
        <v>25</v>
      </c>
      <c r="C13581">
        <v>3</v>
      </c>
      <c r="D13581">
        <v>2</v>
      </c>
      <c r="E13581">
        <f t="shared" si="211"/>
        <v>3.8040075276148818E-17</v>
      </c>
    </row>
    <row r="13582" spans="1:5" x14ac:dyDescent="0.25">
      <c r="A13582">
        <v>18</v>
      </c>
      <c r="B13582">
        <v>25</v>
      </c>
      <c r="C13582">
        <v>4</v>
      </c>
      <c r="D13582">
        <v>1</v>
      </c>
      <c r="E13582">
        <f t="shared" ref="E13582:E13645" si="212">COMBIN(A$4,A13582)*COMBIN(B$4,B13582)*COMBIN(C$4,C13582)*COMBIN(D$4,D13582)/COMBIN($G$4,$F$4)</f>
        <v>4.9135097231692225E-17</v>
      </c>
    </row>
    <row r="13583" spans="1:5" x14ac:dyDescent="0.25">
      <c r="A13583">
        <v>18</v>
      </c>
      <c r="B13583">
        <v>25</v>
      </c>
      <c r="C13583">
        <v>5</v>
      </c>
      <c r="D13583">
        <v>0</v>
      </c>
      <c r="E13583">
        <f t="shared" si="212"/>
        <v>2.397792744906581E-17</v>
      </c>
    </row>
    <row r="13584" spans="1:5" x14ac:dyDescent="0.25">
      <c r="A13584">
        <v>18</v>
      </c>
      <c r="B13584">
        <v>26</v>
      </c>
      <c r="C13584">
        <v>0</v>
      </c>
      <c r="D13584">
        <v>4</v>
      </c>
      <c r="E13584">
        <f t="shared" si="212"/>
        <v>3.7287098300057097E-19</v>
      </c>
    </row>
    <row r="13585" spans="1:5" x14ac:dyDescent="0.25">
      <c r="A13585">
        <v>18</v>
      </c>
      <c r="B13585">
        <v>26</v>
      </c>
      <c r="C13585">
        <v>1</v>
      </c>
      <c r="D13585">
        <v>3</v>
      </c>
      <c r="E13585">
        <f t="shared" si="212"/>
        <v>4.406657071824928E-18</v>
      </c>
    </row>
    <row r="13586" spans="1:5" x14ac:dyDescent="0.25">
      <c r="A13586">
        <v>18</v>
      </c>
      <c r="B13586">
        <v>26</v>
      </c>
      <c r="C13586">
        <v>2</v>
      </c>
      <c r="D13586">
        <v>2</v>
      </c>
      <c r="E13586">
        <f t="shared" si="212"/>
        <v>1.839300343022579E-17</v>
      </c>
    </row>
    <row r="13587" spans="1:5" x14ac:dyDescent="0.25">
      <c r="A13587">
        <v>18</v>
      </c>
      <c r="B13587">
        <v>26</v>
      </c>
      <c r="C13587">
        <v>3</v>
      </c>
      <c r="D13587">
        <v>1</v>
      </c>
      <c r="E13587">
        <f t="shared" si="212"/>
        <v>3.2187756002895129E-17</v>
      </c>
    </row>
    <row r="13588" spans="1:5" x14ac:dyDescent="0.25">
      <c r="A13588">
        <v>18</v>
      </c>
      <c r="B13588">
        <v>26</v>
      </c>
      <c r="C13588">
        <v>4</v>
      </c>
      <c r="D13588">
        <v>0</v>
      </c>
      <c r="E13588">
        <f t="shared" si="212"/>
        <v>1.9956408721794979E-17</v>
      </c>
    </row>
    <row r="13589" spans="1:5" x14ac:dyDescent="0.25">
      <c r="A13589">
        <v>18</v>
      </c>
      <c r="B13589">
        <v>27</v>
      </c>
      <c r="C13589">
        <v>0</v>
      </c>
      <c r="D13589">
        <v>3</v>
      </c>
      <c r="E13589">
        <f t="shared" si="212"/>
        <v>6.6037083184612871E-19</v>
      </c>
    </row>
    <row r="13590" spans="1:5" x14ac:dyDescent="0.25">
      <c r="A13590">
        <v>18</v>
      </c>
      <c r="B13590">
        <v>27</v>
      </c>
      <c r="C13590">
        <v>1</v>
      </c>
      <c r="D13590">
        <v>2</v>
      </c>
      <c r="E13590">
        <f t="shared" si="212"/>
        <v>5.5987961830432657E-18</v>
      </c>
    </row>
    <row r="13591" spans="1:5" x14ac:dyDescent="0.25">
      <c r="A13591">
        <v>18</v>
      </c>
      <c r="B13591">
        <v>27</v>
      </c>
      <c r="C13591">
        <v>2</v>
      </c>
      <c r="D13591">
        <v>1</v>
      </c>
      <c r="E13591">
        <f t="shared" si="212"/>
        <v>1.4930123154782041E-17</v>
      </c>
    </row>
    <row r="13592" spans="1:5" x14ac:dyDescent="0.25">
      <c r="A13592">
        <v>18</v>
      </c>
      <c r="B13592">
        <v>27</v>
      </c>
      <c r="C13592">
        <v>3</v>
      </c>
      <c r="D13592">
        <v>0</v>
      </c>
      <c r="E13592">
        <f t="shared" si="212"/>
        <v>1.2541303450016915E-17</v>
      </c>
    </row>
    <row r="13593" spans="1:5" x14ac:dyDescent="0.25">
      <c r="A13593">
        <v>18</v>
      </c>
      <c r="B13593">
        <v>28</v>
      </c>
      <c r="C13593">
        <v>0</v>
      </c>
      <c r="D13593">
        <v>2</v>
      </c>
      <c r="E13593">
        <f t="shared" si="212"/>
        <v>8.0598054942710834E-19</v>
      </c>
    </row>
    <row r="13594" spans="1:5" x14ac:dyDescent="0.25">
      <c r="A13594">
        <v>18</v>
      </c>
      <c r="B13594">
        <v>28</v>
      </c>
      <c r="C13594">
        <v>1</v>
      </c>
      <c r="D13594">
        <v>1</v>
      </c>
      <c r="E13594">
        <f t="shared" si="212"/>
        <v>4.3657279760635042E-18</v>
      </c>
    </row>
    <row r="13595" spans="1:5" x14ac:dyDescent="0.25">
      <c r="A13595">
        <v>18</v>
      </c>
      <c r="B13595">
        <v>28</v>
      </c>
      <c r="C13595">
        <v>2</v>
      </c>
      <c r="D13595">
        <v>0</v>
      </c>
      <c r="E13595">
        <f t="shared" si="212"/>
        <v>5.5881318093612853E-18</v>
      </c>
    </row>
    <row r="13596" spans="1:5" x14ac:dyDescent="0.25">
      <c r="A13596">
        <v>18</v>
      </c>
      <c r="B13596">
        <v>29</v>
      </c>
      <c r="C13596">
        <v>0</v>
      </c>
      <c r="D13596">
        <v>1</v>
      </c>
      <c r="E13596">
        <f t="shared" si="212"/>
        <v>6.0448541207033063E-19</v>
      </c>
    </row>
    <row r="13597" spans="1:5" x14ac:dyDescent="0.25">
      <c r="A13597">
        <v>18</v>
      </c>
      <c r="B13597">
        <v>29</v>
      </c>
      <c r="C13597">
        <v>1</v>
      </c>
      <c r="D13597">
        <v>0</v>
      </c>
      <c r="E13597">
        <f t="shared" si="212"/>
        <v>1.5716620713828596E-18</v>
      </c>
    </row>
    <row r="13598" spans="1:5" x14ac:dyDescent="0.25">
      <c r="A13598">
        <v>18</v>
      </c>
      <c r="B13598">
        <v>30</v>
      </c>
      <c r="C13598">
        <v>0</v>
      </c>
      <c r="D13598">
        <v>0</v>
      </c>
      <c r="E13598">
        <f t="shared" si="212"/>
        <v>2.0955494285104793E-19</v>
      </c>
    </row>
    <row r="13599" spans="1:5" x14ac:dyDescent="0.25">
      <c r="A13599">
        <v>19</v>
      </c>
      <c r="B13599">
        <v>0</v>
      </c>
      <c r="C13599">
        <v>4</v>
      </c>
      <c r="D13599">
        <v>25</v>
      </c>
      <c r="E13599">
        <f t="shared" si="212"/>
        <v>4.2087412758096089E-55</v>
      </c>
    </row>
    <row r="13600" spans="1:5" x14ac:dyDescent="0.25">
      <c r="A13600">
        <v>19</v>
      </c>
      <c r="B13600">
        <v>0</v>
      </c>
      <c r="C13600">
        <v>5</v>
      </c>
      <c r="D13600">
        <v>24</v>
      </c>
      <c r="E13600">
        <f t="shared" si="212"/>
        <v>1.283666089121931E-52</v>
      </c>
    </row>
    <row r="13601" spans="1:5" x14ac:dyDescent="0.25">
      <c r="A13601">
        <v>19</v>
      </c>
      <c r="B13601">
        <v>0</v>
      </c>
      <c r="C13601">
        <v>6</v>
      </c>
      <c r="D13601">
        <v>23</v>
      </c>
      <c r="E13601">
        <f t="shared" si="212"/>
        <v>1.5403993069463169E-50</v>
      </c>
    </row>
    <row r="13602" spans="1:5" x14ac:dyDescent="0.25">
      <c r="A13602">
        <v>19</v>
      </c>
      <c r="B13602">
        <v>0</v>
      </c>
      <c r="C13602">
        <v>7</v>
      </c>
      <c r="D13602">
        <v>22</v>
      </c>
      <c r="E13602">
        <f t="shared" si="212"/>
        <v>9.9539136167912009E-49</v>
      </c>
    </row>
    <row r="13603" spans="1:5" x14ac:dyDescent="0.25">
      <c r="A13603">
        <v>19</v>
      </c>
      <c r="B13603">
        <v>0</v>
      </c>
      <c r="C13603">
        <v>8</v>
      </c>
      <c r="D13603">
        <v>21</v>
      </c>
      <c r="E13603">
        <f t="shared" si="212"/>
        <v>3.9691230546954928E-47</v>
      </c>
    </row>
    <row r="13604" spans="1:5" x14ac:dyDescent="0.25">
      <c r="A13604">
        <v>19</v>
      </c>
      <c r="B13604">
        <v>0</v>
      </c>
      <c r="C13604">
        <v>9</v>
      </c>
      <c r="D13604">
        <v>20</v>
      </c>
      <c r="E13604">
        <f t="shared" si="212"/>
        <v>1.0557867325490005E-45</v>
      </c>
    </row>
    <row r="13605" spans="1:5" x14ac:dyDescent="0.25">
      <c r="A13605">
        <v>19</v>
      </c>
      <c r="B13605">
        <v>0</v>
      </c>
      <c r="C13605">
        <v>10</v>
      </c>
      <c r="D13605">
        <v>19</v>
      </c>
      <c r="E13605">
        <f t="shared" si="212"/>
        <v>1.9708019007581347E-44</v>
      </c>
    </row>
    <row r="13606" spans="1:5" x14ac:dyDescent="0.25">
      <c r="A13606">
        <v>19</v>
      </c>
      <c r="B13606">
        <v>0</v>
      </c>
      <c r="C13606">
        <v>11</v>
      </c>
      <c r="D13606">
        <v>18</v>
      </c>
      <c r="E13606">
        <f t="shared" si="212"/>
        <v>2.6746597224574699E-43</v>
      </c>
    </row>
    <row r="13607" spans="1:5" x14ac:dyDescent="0.25">
      <c r="A13607">
        <v>19</v>
      </c>
      <c r="B13607">
        <v>0</v>
      </c>
      <c r="C13607">
        <v>12</v>
      </c>
      <c r="D13607">
        <v>17</v>
      </c>
      <c r="E13607">
        <f t="shared" si="212"/>
        <v>2.7080929689881858E-42</v>
      </c>
    </row>
    <row r="13608" spans="1:5" x14ac:dyDescent="0.25">
      <c r="A13608">
        <v>19</v>
      </c>
      <c r="B13608">
        <v>0</v>
      </c>
      <c r="C13608">
        <v>13</v>
      </c>
      <c r="D13608">
        <v>16</v>
      </c>
      <c r="E13608">
        <f t="shared" si="212"/>
        <v>2.0854630470584243E-41</v>
      </c>
    </row>
    <row r="13609" spans="1:5" x14ac:dyDescent="0.25">
      <c r="A13609">
        <v>19</v>
      </c>
      <c r="B13609">
        <v>0</v>
      </c>
      <c r="C13609">
        <v>14</v>
      </c>
      <c r="D13609">
        <v>15</v>
      </c>
      <c r="E13609">
        <f t="shared" si="212"/>
        <v>1.2393608965375779E-40</v>
      </c>
    </row>
    <row r="13610" spans="1:5" x14ac:dyDescent="0.25">
      <c r="A13610">
        <v>19</v>
      </c>
      <c r="B13610">
        <v>0</v>
      </c>
      <c r="C13610">
        <v>15</v>
      </c>
      <c r="D13610">
        <v>14</v>
      </c>
      <c r="E13610">
        <f t="shared" si="212"/>
        <v>5.746127793037859E-40</v>
      </c>
    </row>
    <row r="13611" spans="1:5" x14ac:dyDescent="0.25">
      <c r="A13611">
        <v>19</v>
      </c>
      <c r="B13611">
        <v>0</v>
      </c>
      <c r="C13611">
        <v>16</v>
      </c>
      <c r="D13611">
        <v>13</v>
      </c>
      <c r="E13611">
        <f t="shared" si="212"/>
        <v>2.0949424245450539E-39</v>
      </c>
    </row>
    <row r="13612" spans="1:5" x14ac:dyDescent="0.25">
      <c r="A13612">
        <v>19</v>
      </c>
      <c r="B13612">
        <v>0</v>
      </c>
      <c r="C13612">
        <v>17</v>
      </c>
      <c r="D13612">
        <v>12</v>
      </c>
      <c r="E13612">
        <f t="shared" si="212"/>
        <v>6.0383634589828055E-39</v>
      </c>
    </row>
    <row r="13613" spans="1:5" x14ac:dyDescent="0.25">
      <c r="A13613">
        <v>19</v>
      </c>
      <c r="B13613">
        <v>0</v>
      </c>
      <c r="C13613">
        <v>18</v>
      </c>
      <c r="D13613">
        <v>11</v>
      </c>
      <c r="E13613">
        <f t="shared" si="212"/>
        <v>1.3801973620532109E-38</v>
      </c>
    </row>
    <row r="13614" spans="1:5" x14ac:dyDescent="0.25">
      <c r="A13614">
        <v>19</v>
      </c>
      <c r="B13614">
        <v>0</v>
      </c>
      <c r="C13614">
        <v>19</v>
      </c>
      <c r="D13614">
        <v>10</v>
      </c>
      <c r="E13614">
        <f t="shared" si="212"/>
        <v>2.5037264427421412E-38</v>
      </c>
    </row>
    <row r="13615" spans="1:5" x14ac:dyDescent="0.25">
      <c r="A13615">
        <v>19</v>
      </c>
      <c r="B13615">
        <v>0</v>
      </c>
      <c r="C13615">
        <v>20</v>
      </c>
      <c r="D13615">
        <v>9</v>
      </c>
      <c r="E13615">
        <f t="shared" si="212"/>
        <v>3.5991067614418318E-38</v>
      </c>
    </row>
    <row r="13616" spans="1:5" x14ac:dyDescent="0.25">
      <c r="A13616">
        <v>19</v>
      </c>
      <c r="B13616">
        <v>0</v>
      </c>
      <c r="C13616">
        <v>21</v>
      </c>
      <c r="D13616">
        <v>8</v>
      </c>
      <c r="E13616">
        <f t="shared" si="212"/>
        <v>4.0830202755852665E-38</v>
      </c>
    </row>
    <row r="13617" spans="1:5" x14ac:dyDescent="0.25">
      <c r="A13617">
        <v>19</v>
      </c>
      <c r="B13617">
        <v>0</v>
      </c>
      <c r="C13617">
        <v>22</v>
      </c>
      <c r="D13617">
        <v>7</v>
      </c>
      <c r="E13617">
        <f t="shared" si="212"/>
        <v>3.6293513560757954E-38</v>
      </c>
    </row>
    <row r="13618" spans="1:5" x14ac:dyDescent="0.25">
      <c r="A13618">
        <v>19</v>
      </c>
      <c r="B13618">
        <v>0</v>
      </c>
      <c r="C13618">
        <v>23</v>
      </c>
      <c r="D13618">
        <v>6</v>
      </c>
      <c r="E13618">
        <f t="shared" si="212"/>
        <v>2.4998507052146764E-38</v>
      </c>
    </row>
    <row r="13619" spans="1:5" x14ac:dyDescent="0.25">
      <c r="A13619">
        <v>19</v>
      </c>
      <c r="B13619">
        <v>0</v>
      </c>
      <c r="C13619">
        <v>24</v>
      </c>
      <c r="D13619">
        <v>5</v>
      </c>
      <c r="E13619">
        <f t="shared" si="212"/>
        <v>1.3124216202377053E-38</v>
      </c>
    </row>
    <row r="13620" spans="1:5" x14ac:dyDescent="0.25">
      <c r="A13620">
        <v>19</v>
      </c>
      <c r="B13620">
        <v>0</v>
      </c>
      <c r="C13620">
        <v>25</v>
      </c>
      <c r="D13620">
        <v>4</v>
      </c>
      <c r="E13620">
        <f t="shared" si="212"/>
        <v>5.124693945690091E-39</v>
      </c>
    </row>
    <row r="13621" spans="1:5" x14ac:dyDescent="0.25">
      <c r="A13621">
        <v>19</v>
      </c>
      <c r="B13621">
        <v>0</v>
      </c>
      <c r="C13621">
        <v>26</v>
      </c>
      <c r="D13621">
        <v>3</v>
      </c>
      <c r="E13621">
        <f t="shared" si="212"/>
        <v>1.433480823969255E-39</v>
      </c>
    </row>
    <row r="13622" spans="1:5" x14ac:dyDescent="0.25">
      <c r="A13622">
        <v>19</v>
      </c>
      <c r="B13622">
        <v>0</v>
      </c>
      <c r="C13622">
        <v>27</v>
      </c>
      <c r="D13622">
        <v>2</v>
      </c>
      <c r="E13622">
        <f t="shared" si="212"/>
        <v>2.7007609726956978E-40</v>
      </c>
    </row>
    <row r="13623" spans="1:5" x14ac:dyDescent="0.25">
      <c r="A13623">
        <v>19</v>
      </c>
      <c r="B13623">
        <v>0</v>
      </c>
      <c r="C13623">
        <v>28</v>
      </c>
      <c r="D13623">
        <v>1</v>
      </c>
      <c r="E13623">
        <f t="shared" si="212"/>
        <v>3.054432052453468E-41</v>
      </c>
    </row>
    <row r="13624" spans="1:5" x14ac:dyDescent="0.25">
      <c r="A13624">
        <v>19</v>
      </c>
      <c r="B13624">
        <v>0</v>
      </c>
      <c r="C13624">
        <v>29</v>
      </c>
      <c r="D13624">
        <v>0</v>
      </c>
      <c r="E13624">
        <f t="shared" si="212"/>
        <v>1.5588135991831496E-42</v>
      </c>
    </row>
    <row r="13625" spans="1:5" x14ac:dyDescent="0.25">
      <c r="A13625">
        <v>19</v>
      </c>
      <c r="B13625">
        <v>1</v>
      </c>
      <c r="C13625">
        <v>3</v>
      </c>
      <c r="D13625">
        <v>25</v>
      </c>
      <c r="E13625">
        <f t="shared" si="212"/>
        <v>7.8472659916708199E-54</v>
      </c>
    </row>
    <row r="13626" spans="1:5" x14ac:dyDescent="0.25">
      <c r="A13626">
        <v>19</v>
      </c>
      <c r="B13626">
        <v>1</v>
      </c>
      <c r="C13626">
        <v>4</v>
      </c>
      <c r="D13626">
        <v>24</v>
      </c>
      <c r="E13626">
        <f t="shared" si="212"/>
        <v>3.0408155717724423E-51</v>
      </c>
    </row>
    <row r="13627" spans="1:5" x14ac:dyDescent="0.25">
      <c r="A13627">
        <v>19</v>
      </c>
      <c r="B13627">
        <v>1</v>
      </c>
      <c r="C13627">
        <v>5</v>
      </c>
      <c r="D13627">
        <v>23</v>
      </c>
      <c r="E13627">
        <f t="shared" si="212"/>
        <v>4.4517539970748565E-49</v>
      </c>
    </row>
    <row r="13628" spans="1:5" x14ac:dyDescent="0.25">
      <c r="A13628">
        <v>19</v>
      </c>
      <c r="B13628">
        <v>1</v>
      </c>
      <c r="C13628">
        <v>6</v>
      </c>
      <c r="D13628">
        <v>22</v>
      </c>
      <c r="E13628">
        <f t="shared" si="212"/>
        <v>3.4130113977573896E-47</v>
      </c>
    </row>
    <row r="13629" spans="1:5" x14ac:dyDescent="0.25">
      <c r="A13629">
        <v>19</v>
      </c>
      <c r="B13629">
        <v>1</v>
      </c>
      <c r="C13629">
        <v>7</v>
      </c>
      <c r="D13629">
        <v>21</v>
      </c>
      <c r="E13629">
        <f t="shared" si="212"/>
        <v>1.5821745693889616E-45</v>
      </c>
    </row>
    <row r="13630" spans="1:5" x14ac:dyDescent="0.25">
      <c r="A13630">
        <v>19</v>
      </c>
      <c r="B13630">
        <v>1</v>
      </c>
      <c r="C13630">
        <v>8</v>
      </c>
      <c r="D13630">
        <v>20</v>
      </c>
      <c r="E13630">
        <f t="shared" si="212"/>
        <v>4.8177215637893869E-44</v>
      </c>
    </row>
    <row r="13631" spans="1:5" x14ac:dyDescent="0.25">
      <c r="A13631">
        <v>19</v>
      </c>
      <c r="B13631">
        <v>1</v>
      </c>
      <c r="C13631">
        <v>9</v>
      </c>
      <c r="D13631">
        <v>19</v>
      </c>
      <c r="E13631">
        <f t="shared" si="212"/>
        <v>1.0170745523555372E-42</v>
      </c>
    </row>
    <row r="13632" spans="1:5" x14ac:dyDescent="0.25">
      <c r="A13632">
        <v>19</v>
      </c>
      <c r="B13632">
        <v>1</v>
      </c>
      <c r="C13632">
        <v>10</v>
      </c>
      <c r="D13632">
        <v>18</v>
      </c>
      <c r="E13632">
        <f t="shared" si="212"/>
        <v>1.5459533195804175E-41</v>
      </c>
    </row>
    <row r="13633" spans="1:5" x14ac:dyDescent="0.25">
      <c r="A13633">
        <v>19</v>
      </c>
      <c r="B13633">
        <v>1</v>
      </c>
      <c r="C13633">
        <v>11</v>
      </c>
      <c r="D13633">
        <v>17</v>
      </c>
      <c r="E13633">
        <f t="shared" si="212"/>
        <v>1.7391974845279693E-40</v>
      </c>
    </row>
    <row r="13634" spans="1:5" x14ac:dyDescent="0.25">
      <c r="A13634">
        <v>19</v>
      </c>
      <c r="B13634">
        <v>1</v>
      </c>
      <c r="C13634">
        <v>12</v>
      </c>
      <c r="D13634">
        <v>16</v>
      </c>
      <c r="E13634">
        <f t="shared" si="212"/>
        <v>1.4783178618487728E-39</v>
      </c>
    </row>
    <row r="13635" spans="1:5" x14ac:dyDescent="0.25">
      <c r="A13635">
        <v>19</v>
      </c>
      <c r="B13635">
        <v>1</v>
      </c>
      <c r="C13635">
        <v>13</v>
      </c>
      <c r="D13635">
        <v>15</v>
      </c>
      <c r="E13635">
        <f t="shared" si="212"/>
        <v>9.6431811295981513E-39</v>
      </c>
    </row>
    <row r="13636" spans="1:5" x14ac:dyDescent="0.25">
      <c r="A13636">
        <v>19</v>
      </c>
      <c r="B13636">
        <v>1</v>
      </c>
      <c r="C13636">
        <v>14</v>
      </c>
      <c r="D13636">
        <v>14</v>
      </c>
      <c r="E13636">
        <f t="shared" si="212"/>
        <v>4.884208624082182E-38</v>
      </c>
    </row>
    <row r="13637" spans="1:5" x14ac:dyDescent="0.25">
      <c r="A13637">
        <v>19</v>
      </c>
      <c r="B13637">
        <v>1</v>
      </c>
      <c r="C13637">
        <v>15</v>
      </c>
      <c r="D13637">
        <v>13</v>
      </c>
      <c r="E13637">
        <f t="shared" si="212"/>
        <v>1.9374027542192652E-37</v>
      </c>
    </row>
    <row r="13638" spans="1:5" x14ac:dyDescent="0.25">
      <c r="A13638">
        <v>19</v>
      </c>
      <c r="B13638">
        <v>1</v>
      </c>
      <c r="C13638">
        <v>16</v>
      </c>
      <c r="D13638">
        <v>12</v>
      </c>
      <c r="E13638">
        <f t="shared" si="212"/>
        <v>6.0543836069352055E-37</v>
      </c>
    </row>
    <row r="13639" spans="1:5" x14ac:dyDescent="0.25">
      <c r="A13639">
        <v>19</v>
      </c>
      <c r="B13639">
        <v>1</v>
      </c>
      <c r="C13639">
        <v>17</v>
      </c>
      <c r="D13639">
        <v>11</v>
      </c>
      <c r="E13639">
        <f t="shared" si="212"/>
        <v>1.4957888911251686E-36</v>
      </c>
    </row>
    <row r="13640" spans="1:5" x14ac:dyDescent="0.25">
      <c r="A13640">
        <v>19</v>
      </c>
      <c r="B13640">
        <v>1</v>
      </c>
      <c r="C13640">
        <v>18</v>
      </c>
      <c r="D13640">
        <v>10</v>
      </c>
      <c r="E13640">
        <f t="shared" si="212"/>
        <v>2.9250982759781046E-36</v>
      </c>
    </row>
    <row r="13641" spans="1:5" x14ac:dyDescent="0.25">
      <c r="A13641">
        <v>19</v>
      </c>
      <c r="B13641">
        <v>1</v>
      </c>
      <c r="C13641">
        <v>19</v>
      </c>
      <c r="D13641">
        <v>9</v>
      </c>
      <c r="E13641">
        <f t="shared" si="212"/>
        <v>4.5223558872029932E-36</v>
      </c>
    </row>
    <row r="13642" spans="1:5" x14ac:dyDescent="0.25">
      <c r="A13642">
        <v>19</v>
      </c>
      <c r="B13642">
        <v>1</v>
      </c>
      <c r="C13642">
        <v>20</v>
      </c>
      <c r="D13642">
        <v>8</v>
      </c>
      <c r="E13642">
        <f t="shared" si="212"/>
        <v>5.5066333450060027E-36</v>
      </c>
    </row>
    <row r="13643" spans="1:5" x14ac:dyDescent="0.25">
      <c r="A13643">
        <v>19</v>
      </c>
      <c r="B13643">
        <v>1</v>
      </c>
      <c r="C13643">
        <v>21</v>
      </c>
      <c r="D13643">
        <v>7</v>
      </c>
      <c r="E13643">
        <f t="shared" si="212"/>
        <v>5.2444127095295215E-36</v>
      </c>
    </row>
    <row r="13644" spans="1:5" x14ac:dyDescent="0.25">
      <c r="A13644">
        <v>19</v>
      </c>
      <c r="B13644">
        <v>1</v>
      </c>
      <c r="C13644">
        <v>22</v>
      </c>
      <c r="D13644">
        <v>6</v>
      </c>
      <c r="E13644">
        <f t="shared" si="212"/>
        <v>3.8643041017585952E-36</v>
      </c>
    </row>
    <row r="13645" spans="1:5" x14ac:dyDescent="0.25">
      <c r="A13645">
        <v>19</v>
      </c>
      <c r="B13645">
        <v>1</v>
      </c>
      <c r="C13645">
        <v>23</v>
      </c>
      <c r="D13645">
        <v>5</v>
      </c>
      <c r="E13645">
        <f t="shared" si="212"/>
        <v>2.1673705614211247E-36</v>
      </c>
    </row>
    <row r="13646" spans="1:5" x14ac:dyDescent="0.25">
      <c r="A13646">
        <v>19</v>
      </c>
      <c r="B13646">
        <v>1</v>
      </c>
      <c r="C13646">
        <v>24</v>
      </c>
      <c r="D13646">
        <v>4</v>
      </c>
      <c r="E13646">
        <f t="shared" ref="E13646:E13709" si="213">COMBIN(A$4,A13646)*COMBIN(B$4,B13646)*COMBIN(C$4,C13646)*COMBIN(D$4,D13646)/COMBIN($G$4,$F$4)</f>
        <v>9.0307106725880213E-37</v>
      </c>
    </row>
    <row r="13647" spans="1:5" x14ac:dyDescent="0.25">
      <c r="A13647">
        <v>19</v>
      </c>
      <c r="B13647">
        <v>1</v>
      </c>
      <c r="C13647">
        <v>25</v>
      </c>
      <c r="D13647">
        <v>3</v>
      </c>
      <c r="E13647">
        <f t="shared" si="213"/>
        <v>2.692793727826247E-37</v>
      </c>
    </row>
    <row r="13648" spans="1:5" x14ac:dyDescent="0.25">
      <c r="A13648">
        <v>19</v>
      </c>
      <c r="B13648">
        <v>1</v>
      </c>
      <c r="C13648">
        <v>26</v>
      </c>
      <c r="D13648">
        <v>2</v>
      </c>
      <c r="E13648">
        <f t="shared" si="213"/>
        <v>5.4035994538319303E-38</v>
      </c>
    </row>
    <row r="13649" spans="1:5" x14ac:dyDescent="0.25">
      <c r="A13649">
        <v>19</v>
      </c>
      <c r="B13649">
        <v>1</v>
      </c>
      <c r="C13649">
        <v>27</v>
      </c>
      <c r="D13649">
        <v>1</v>
      </c>
      <c r="E13649">
        <f t="shared" si="213"/>
        <v>6.5043326759088061E-39</v>
      </c>
    </row>
    <row r="13650" spans="1:5" x14ac:dyDescent="0.25">
      <c r="A13650">
        <v>19</v>
      </c>
      <c r="B13650">
        <v>1</v>
      </c>
      <c r="C13650">
        <v>28</v>
      </c>
      <c r="D13650">
        <v>0</v>
      </c>
      <c r="E13650">
        <f t="shared" si="213"/>
        <v>3.5309234526362094E-40</v>
      </c>
    </row>
    <row r="13651" spans="1:5" x14ac:dyDescent="0.25">
      <c r="A13651">
        <v>19</v>
      </c>
      <c r="B13651">
        <v>2</v>
      </c>
      <c r="C13651">
        <v>2</v>
      </c>
      <c r="D13651">
        <v>25</v>
      </c>
      <c r="E13651">
        <f t="shared" si="213"/>
        <v>5.3809823942885616E-53</v>
      </c>
    </row>
    <row r="13652" spans="1:5" x14ac:dyDescent="0.25">
      <c r="A13652">
        <v>19</v>
      </c>
      <c r="B13652">
        <v>2</v>
      </c>
      <c r="C13652">
        <v>3</v>
      </c>
      <c r="D13652">
        <v>24</v>
      </c>
      <c r="E13652">
        <f t="shared" si="213"/>
        <v>2.8250157570014949E-50</v>
      </c>
    </row>
    <row r="13653" spans="1:5" x14ac:dyDescent="0.25">
      <c r="A13653">
        <v>19</v>
      </c>
      <c r="B13653">
        <v>2</v>
      </c>
      <c r="C13653">
        <v>4</v>
      </c>
      <c r="D13653">
        <v>23</v>
      </c>
      <c r="E13653">
        <f t="shared" si="213"/>
        <v>5.2545293080227808E-48</v>
      </c>
    </row>
    <row r="13654" spans="1:5" x14ac:dyDescent="0.25">
      <c r="A13654">
        <v>19</v>
      </c>
      <c r="B13654">
        <v>2</v>
      </c>
      <c r="C13654">
        <v>5</v>
      </c>
      <c r="D13654">
        <v>22</v>
      </c>
      <c r="E13654">
        <f t="shared" si="213"/>
        <v>4.9147364127706421E-46</v>
      </c>
    </row>
    <row r="13655" spans="1:5" x14ac:dyDescent="0.25">
      <c r="A13655">
        <v>19</v>
      </c>
      <c r="B13655">
        <v>2</v>
      </c>
      <c r="C13655">
        <v>6</v>
      </c>
      <c r="D13655">
        <v>21</v>
      </c>
      <c r="E13655">
        <f t="shared" si="213"/>
        <v>2.7031050270238529E-44</v>
      </c>
    </row>
    <row r="13656" spans="1:5" x14ac:dyDescent="0.25">
      <c r="A13656">
        <v>19</v>
      </c>
      <c r="B13656">
        <v>2</v>
      </c>
      <c r="C13656">
        <v>7</v>
      </c>
      <c r="D13656">
        <v>20</v>
      </c>
      <c r="E13656">
        <f t="shared" si="213"/>
        <v>9.5689917956644373E-43</v>
      </c>
    </row>
    <row r="13657" spans="1:5" x14ac:dyDescent="0.25">
      <c r="A13657">
        <v>19</v>
      </c>
      <c r="B13657">
        <v>2</v>
      </c>
      <c r="C13657">
        <v>8</v>
      </c>
      <c r="D13657">
        <v>19</v>
      </c>
      <c r="E13657">
        <f t="shared" si="213"/>
        <v>2.3125063506189057E-41</v>
      </c>
    </row>
    <row r="13658" spans="1:5" x14ac:dyDescent="0.25">
      <c r="A13658">
        <v>19</v>
      </c>
      <c r="B13658">
        <v>2</v>
      </c>
      <c r="C13658">
        <v>9</v>
      </c>
      <c r="D13658">
        <v>18</v>
      </c>
      <c r="E13658">
        <f t="shared" si="213"/>
        <v>3.9753085360639293E-40</v>
      </c>
    </row>
    <row r="13659" spans="1:5" x14ac:dyDescent="0.25">
      <c r="A13659">
        <v>19</v>
      </c>
      <c r="B13659">
        <v>2</v>
      </c>
      <c r="C13659">
        <v>10</v>
      </c>
      <c r="D13659">
        <v>17</v>
      </c>
      <c r="E13659">
        <f t="shared" si="213"/>
        <v>5.0088887554405509E-39</v>
      </c>
    </row>
    <row r="13660" spans="1:5" x14ac:dyDescent="0.25">
      <c r="A13660">
        <v>19</v>
      </c>
      <c r="B13660">
        <v>2</v>
      </c>
      <c r="C13660">
        <v>11</v>
      </c>
      <c r="D13660">
        <v>16</v>
      </c>
      <c r="E13660">
        <f t="shared" si="213"/>
        <v>4.7306171579160762E-38</v>
      </c>
    </row>
    <row r="13661" spans="1:5" x14ac:dyDescent="0.25">
      <c r="A13661">
        <v>19</v>
      </c>
      <c r="B13661">
        <v>2</v>
      </c>
      <c r="C13661">
        <v>12</v>
      </c>
      <c r="D13661">
        <v>15</v>
      </c>
      <c r="E13661">
        <f t="shared" si="213"/>
        <v>3.4060443536995725E-37</v>
      </c>
    </row>
    <row r="13662" spans="1:5" x14ac:dyDescent="0.25">
      <c r="A13662">
        <v>19</v>
      </c>
      <c r="B13662">
        <v>2</v>
      </c>
      <c r="C13662">
        <v>13</v>
      </c>
      <c r="D13662">
        <v>14</v>
      </c>
      <c r="E13662">
        <f t="shared" si="213"/>
        <v>1.8935701127210919E-36</v>
      </c>
    </row>
    <row r="13663" spans="1:5" x14ac:dyDescent="0.25">
      <c r="A13663">
        <v>19</v>
      </c>
      <c r="B13663">
        <v>2</v>
      </c>
      <c r="C13663">
        <v>14</v>
      </c>
      <c r="D13663">
        <v>13</v>
      </c>
      <c r="E13663">
        <f t="shared" si="213"/>
        <v>8.2054704884580687E-36</v>
      </c>
    </row>
    <row r="13664" spans="1:5" x14ac:dyDescent="0.25">
      <c r="A13664">
        <v>19</v>
      </c>
      <c r="B13664">
        <v>2</v>
      </c>
      <c r="C13664">
        <v>15</v>
      </c>
      <c r="D13664">
        <v>12</v>
      </c>
      <c r="E13664">
        <f t="shared" si="213"/>
        <v>2.7898599660757421E-35</v>
      </c>
    </row>
    <row r="13665" spans="1:5" x14ac:dyDescent="0.25">
      <c r="A13665">
        <v>19</v>
      </c>
      <c r="B13665">
        <v>2</v>
      </c>
      <c r="C13665">
        <v>16</v>
      </c>
      <c r="D13665">
        <v>11</v>
      </c>
      <c r="E13665">
        <f t="shared" si="213"/>
        <v>7.4728391948457368E-35</v>
      </c>
    </row>
    <row r="13666" spans="1:5" x14ac:dyDescent="0.25">
      <c r="A13666">
        <v>19</v>
      </c>
      <c r="B13666">
        <v>2</v>
      </c>
      <c r="C13666">
        <v>17</v>
      </c>
      <c r="D13666">
        <v>10</v>
      </c>
      <c r="E13666">
        <f t="shared" si="213"/>
        <v>1.5795530690281783E-34</v>
      </c>
    </row>
    <row r="13667" spans="1:5" x14ac:dyDescent="0.25">
      <c r="A13667">
        <v>19</v>
      </c>
      <c r="B13667">
        <v>2</v>
      </c>
      <c r="C13667">
        <v>18</v>
      </c>
      <c r="D13667">
        <v>9</v>
      </c>
      <c r="E13667">
        <f t="shared" si="213"/>
        <v>2.6325884483802947E-34</v>
      </c>
    </row>
    <row r="13668" spans="1:5" x14ac:dyDescent="0.25">
      <c r="A13668">
        <v>19</v>
      </c>
      <c r="B13668">
        <v>2</v>
      </c>
      <c r="C13668">
        <v>19</v>
      </c>
      <c r="D13668">
        <v>8</v>
      </c>
      <c r="E13668">
        <f t="shared" si="213"/>
        <v>3.4476313116559291E-34</v>
      </c>
    </row>
    <row r="13669" spans="1:5" x14ac:dyDescent="0.25">
      <c r="A13669">
        <v>19</v>
      </c>
      <c r="B13669">
        <v>2</v>
      </c>
      <c r="C13669">
        <v>20</v>
      </c>
      <c r="D13669">
        <v>7</v>
      </c>
      <c r="E13669">
        <f t="shared" si="213"/>
        <v>3.5242453408038421E-34</v>
      </c>
    </row>
    <row r="13670" spans="1:5" x14ac:dyDescent="0.25">
      <c r="A13670">
        <v>19</v>
      </c>
      <c r="B13670">
        <v>2</v>
      </c>
      <c r="C13670">
        <v>21</v>
      </c>
      <c r="D13670">
        <v>6</v>
      </c>
      <c r="E13670">
        <f t="shared" si="213"/>
        <v>2.7822989532661868E-34</v>
      </c>
    </row>
    <row r="13671" spans="1:5" x14ac:dyDescent="0.25">
      <c r="A13671">
        <v>19</v>
      </c>
      <c r="B13671">
        <v>2</v>
      </c>
      <c r="C13671">
        <v>22</v>
      </c>
      <c r="D13671">
        <v>5</v>
      </c>
      <c r="E13671">
        <f t="shared" si="213"/>
        <v>1.6693793719597132E-34</v>
      </c>
    </row>
    <row r="13672" spans="1:5" x14ac:dyDescent="0.25">
      <c r="A13672">
        <v>19</v>
      </c>
      <c r="B13672">
        <v>2</v>
      </c>
      <c r="C13672">
        <v>23</v>
      </c>
      <c r="D13672">
        <v>4</v>
      </c>
      <c r="E13672">
        <f t="shared" si="213"/>
        <v>7.4309847820152866E-35</v>
      </c>
    </row>
    <row r="13673" spans="1:5" x14ac:dyDescent="0.25">
      <c r="A13673">
        <v>19</v>
      </c>
      <c r="B13673">
        <v>2</v>
      </c>
      <c r="C13673">
        <v>24</v>
      </c>
      <c r="D13673">
        <v>3</v>
      </c>
      <c r="E13673">
        <f t="shared" si="213"/>
        <v>2.3644042488230455E-35</v>
      </c>
    </row>
    <row r="13674" spans="1:5" x14ac:dyDescent="0.25">
      <c r="A13674">
        <v>19</v>
      </c>
      <c r="B13674">
        <v>2</v>
      </c>
      <c r="C13674">
        <v>25</v>
      </c>
      <c r="D13674">
        <v>2</v>
      </c>
      <c r="E13674">
        <f t="shared" si="213"/>
        <v>5.0577690887866904E-36</v>
      </c>
    </row>
    <row r="13675" spans="1:5" x14ac:dyDescent="0.25">
      <c r="A13675">
        <v>19</v>
      </c>
      <c r="B13675">
        <v>2</v>
      </c>
      <c r="C13675">
        <v>26</v>
      </c>
      <c r="D13675">
        <v>1</v>
      </c>
      <c r="E13675">
        <f t="shared" si="213"/>
        <v>6.4843193445983167E-37</v>
      </c>
    </row>
    <row r="13676" spans="1:5" x14ac:dyDescent="0.25">
      <c r="A13676">
        <v>19</v>
      </c>
      <c r="B13676">
        <v>2</v>
      </c>
      <c r="C13676">
        <v>27</v>
      </c>
      <c r="D13676">
        <v>0</v>
      </c>
      <c r="E13676">
        <f t="shared" si="213"/>
        <v>3.7464956213234719E-38</v>
      </c>
    </row>
    <row r="13677" spans="1:5" x14ac:dyDescent="0.25">
      <c r="A13677">
        <v>19</v>
      </c>
      <c r="B13677">
        <v>3</v>
      </c>
      <c r="C13677">
        <v>1</v>
      </c>
      <c r="D13677">
        <v>25</v>
      </c>
      <c r="E13677">
        <f t="shared" si="213"/>
        <v>1.608689528292518E-52</v>
      </c>
    </row>
    <row r="13678" spans="1:5" x14ac:dyDescent="0.25">
      <c r="A13678">
        <v>19</v>
      </c>
      <c r="B13678">
        <v>3</v>
      </c>
      <c r="C13678">
        <v>2</v>
      </c>
      <c r="D13678">
        <v>24</v>
      </c>
      <c r="E13678">
        <f t="shared" si="213"/>
        <v>1.2869516226340143E-49</v>
      </c>
    </row>
    <row r="13679" spans="1:5" x14ac:dyDescent="0.25">
      <c r="A13679">
        <v>19</v>
      </c>
      <c r="B13679">
        <v>3</v>
      </c>
      <c r="C13679">
        <v>3</v>
      </c>
      <c r="D13679">
        <v>23</v>
      </c>
      <c r="E13679">
        <f t="shared" si="213"/>
        <v>3.2431180890377164E-47</v>
      </c>
    </row>
    <row r="13680" spans="1:5" x14ac:dyDescent="0.25">
      <c r="A13680">
        <v>19</v>
      </c>
      <c r="B13680">
        <v>3</v>
      </c>
      <c r="C13680">
        <v>4</v>
      </c>
      <c r="D13680">
        <v>22</v>
      </c>
      <c r="E13680">
        <f t="shared" si="213"/>
        <v>3.8539053291398197E-45</v>
      </c>
    </row>
    <row r="13681" spans="1:5" x14ac:dyDescent="0.25">
      <c r="A13681">
        <v>19</v>
      </c>
      <c r="B13681">
        <v>3</v>
      </c>
      <c r="C13681">
        <v>5</v>
      </c>
      <c r="D13681">
        <v>21</v>
      </c>
      <c r="E13681">
        <f t="shared" si="213"/>
        <v>2.5859704758528197E-43</v>
      </c>
    </row>
    <row r="13682" spans="1:5" x14ac:dyDescent="0.25">
      <c r="A13682">
        <v>19</v>
      </c>
      <c r="B13682">
        <v>3</v>
      </c>
      <c r="C13682">
        <v>6</v>
      </c>
      <c r="D13682">
        <v>20</v>
      </c>
      <c r="E13682">
        <f t="shared" si="213"/>
        <v>1.0861075998581838E-41</v>
      </c>
    </row>
    <row r="13683" spans="1:5" x14ac:dyDescent="0.25">
      <c r="A13683">
        <v>19</v>
      </c>
      <c r="B13683">
        <v>3</v>
      </c>
      <c r="C13683">
        <v>7</v>
      </c>
      <c r="D13683">
        <v>19</v>
      </c>
      <c r="E13683">
        <f t="shared" si="213"/>
        <v>3.0514451615063257E-40</v>
      </c>
    </row>
    <row r="13684" spans="1:5" x14ac:dyDescent="0.25">
      <c r="A13684">
        <v>19</v>
      </c>
      <c r="B13684">
        <v>3</v>
      </c>
      <c r="C13684">
        <v>8</v>
      </c>
      <c r="D13684">
        <v>18</v>
      </c>
      <c r="E13684">
        <f t="shared" si="213"/>
        <v>6.0048081571070944E-39</v>
      </c>
    </row>
    <row r="13685" spans="1:5" x14ac:dyDescent="0.25">
      <c r="A13685">
        <v>19</v>
      </c>
      <c r="B13685">
        <v>3</v>
      </c>
      <c r="C13685">
        <v>9</v>
      </c>
      <c r="D13685">
        <v>17</v>
      </c>
      <c r="E13685">
        <f t="shared" si="213"/>
        <v>8.5568516238776055E-38</v>
      </c>
    </row>
    <row r="13686" spans="1:5" x14ac:dyDescent="0.25">
      <c r="A13686">
        <v>19</v>
      </c>
      <c r="B13686">
        <v>3</v>
      </c>
      <c r="C13686">
        <v>10</v>
      </c>
      <c r="D13686">
        <v>16</v>
      </c>
      <c r="E13686">
        <f t="shared" si="213"/>
        <v>9.0512474954794257E-37</v>
      </c>
    </row>
    <row r="13687" spans="1:5" x14ac:dyDescent="0.25">
      <c r="A13687">
        <v>19</v>
      </c>
      <c r="B13687">
        <v>3</v>
      </c>
      <c r="C13687">
        <v>11</v>
      </c>
      <c r="D13687">
        <v>15</v>
      </c>
      <c r="E13687">
        <f t="shared" si="213"/>
        <v>7.2409979963835393E-36</v>
      </c>
    </row>
    <row r="13688" spans="1:5" x14ac:dyDescent="0.25">
      <c r="A13688">
        <v>19</v>
      </c>
      <c r="B13688">
        <v>3</v>
      </c>
      <c r="C13688">
        <v>12</v>
      </c>
      <c r="D13688">
        <v>14</v>
      </c>
      <c r="E13688">
        <f t="shared" si="213"/>
        <v>4.4433396795989875E-35</v>
      </c>
    </row>
    <row r="13689" spans="1:5" x14ac:dyDescent="0.25">
      <c r="A13689">
        <v>19</v>
      </c>
      <c r="B13689">
        <v>3</v>
      </c>
      <c r="C13689">
        <v>13</v>
      </c>
      <c r="D13689">
        <v>13</v>
      </c>
      <c r="E13689">
        <f t="shared" si="213"/>
        <v>2.1134346424759304E-34</v>
      </c>
    </row>
    <row r="13690" spans="1:5" x14ac:dyDescent="0.25">
      <c r="A13690">
        <v>19</v>
      </c>
      <c r="B13690">
        <v>3</v>
      </c>
      <c r="C13690">
        <v>14</v>
      </c>
      <c r="D13690">
        <v>12</v>
      </c>
      <c r="E13690">
        <f t="shared" si="213"/>
        <v>7.8499001006248857E-34</v>
      </c>
    </row>
    <row r="13691" spans="1:5" x14ac:dyDescent="0.25">
      <c r="A13691">
        <v>19</v>
      </c>
      <c r="B13691">
        <v>3</v>
      </c>
      <c r="C13691">
        <v>15</v>
      </c>
      <c r="D13691">
        <v>11</v>
      </c>
      <c r="E13691">
        <f t="shared" si="213"/>
        <v>2.2876851721821081E-33</v>
      </c>
    </row>
    <row r="13692" spans="1:5" x14ac:dyDescent="0.25">
      <c r="A13692">
        <v>19</v>
      </c>
      <c r="B13692">
        <v>3</v>
      </c>
      <c r="C13692">
        <v>16</v>
      </c>
      <c r="D13692">
        <v>10</v>
      </c>
      <c r="E13692">
        <f t="shared" si="213"/>
        <v>5.2426118529173317E-33</v>
      </c>
    </row>
    <row r="13693" spans="1:5" x14ac:dyDescent="0.25">
      <c r="A13693">
        <v>19</v>
      </c>
      <c r="B13693">
        <v>3</v>
      </c>
      <c r="C13693">
        <v>17</v>
      </c>
      <c r="D13693">
        <v>9</v>
      </c>
      <c r="E13693">
        <f t="shared" si="213"/>
        <v>9.4444110585643161E-33</v>
      </c>
    </row>
    <row r="13694" spans="1:5" x14ac:dyDescent="0.25">
      <c r="A13694">
        <v>19</v>
      </c>
      <c r="B13694">
        <v>3</v>
      </c>
      <c r="C13694">
        <v>18</v>
      </c>
      <c r="D13694">
        <v>8</v>
      </c>
      <c r="E13694">
        <f t="shared" si="213"/>
        <v>1.3333286200326081E-32</v>
      </c>
    </row>
    <row r="13695" spans="1:5" x14ac:dyDescent="0.25">
      <c r="A13695">
        <v>19</v>
      </c>
      <c r="B13695">
        <v>3</v>
      </c>
      <c r="C13695">
        <v>19</v>
      </c>
      <c r="D13695">
        <v>7</v>
      </c>
      <c r="E13695">
        <f t="shared" si="213"/>
        <v>1.4658817576966692E-32</v>
      </c>
    </row>
    <row r="13696" spans="1:5" x14ac:dyDescent="0.25">
      <c r="A13696">
        <v>19</v>
      </c>
      <c r="B13696">
        <v>3</v>
      </c>
      <c r="C13696">
        <v>20</v>
      </c>
      <c r="D13696">
        <v>6</v>
      </c>
      <c r="E13696">
        <f t="shared" si="213"/>
        <v>1.2421419104692837E-32</v>
      </c>
    </row>
    <row r="13697" spans="1:5" x14ac:dyDescent="0.25">
      <c r="A13697">
        <v>19</v>
      </c>
      <c r="B13697">
        <v>3</v>
      </c>
      <c r="C13697">
        <v>21</v>
      </c>
      <c r="D13697">
        <v>5</v>
      </c>
      <c r="E13697">
        <f t="shared" si="213"/>
        <v>7.9851979958739565E-33</v>
      </c>
    </row>
    <row r="13698" spans="1:5" x14ac:dyDescent="0.25">
      <c r="A13698">
        <v>19</v>
      </c>
      <c r="B13698">
        <v>3</v>
      </c>
      <c r="C13698">
        <v>22</v>
      </c>
      <c r="D13698">
        <v>4</v>
      </c>
      <c r="E13698">
        <f t="shared" si="213"/>
        <v>3.8024752361304593E-33</v>
      </c>
    </row>
    <row r="13699" spans="1:5" x14ac:dyDescent="0.25">
      <c r="A13699">
        <v>19</v>
      </c>
      <c r="B13699">
        <v>3</v>
      </c>
      <c r="C13699">
        <v>23</v>
      </c>
      <c r="D13699">
        <v>3</v>
      </c>
      <c r="E13699">
        <f t="shared" si="213"/>
        <v>1.2925409893565982E-33</v>
      </c>
    </row>
    <row r="13700" spans="1:5" x14ac:dyDescent="0.25">
      <c r="A13700">
        <v>19</v>
      </c>
      <c r="B13700">
        <v>3</v>
      </c>
      <c r="C13700">
        <v>24</v>
      </c>
      <c r="D13700">
        <v>2</v>
      </c>
      <c r="E13700">
        <f t="shared" si="213"/>
        <v>2.9503653017922346E-34</v>
      </c>
    </row>
    <row r="13701" spans="1:5" x14ac:dyDescent="0.25">
      <c r="A13701">
        <v>19</v>
      </c>
      <c r="B13701">
        <v>3</v>
      </c>
      <c r="C13701">
        <v>25</v>
      </c>
      <c r="D13701">
        <v>1</v>
      </c>
      <c r="E13701">
        <f t="shared" si="213"/>
        <v>4.0321659124493894E-35</v>
      </c>
    </row>
    <row r="13702" spans="1:5" x14ac:dyDescent="0.25">
      <c r="A13702">
        <v>19</v>
      </c>
      <c r="B13702">
        <v>3</v>
      </c>
      <c r="C13702">
        <v>26</v>
      </c>
      <c r="D13702">
        <v>0</v>
      </c>
      <c r="E13702">
        <f t="shared" si="213"/>
        <v>2.4813328691996224E-36</v>
      </c>
    </row>
    <row r="13703" spans="1:5" x14ac:dyDescent="0.25">
      <c r="A13703">
        <v>19</v>
      </c>
      <c r="B13703">
        <v>4</v>
      </c>
      <c r="C13703">
        <v>0</v>
      </c>
      <c r="D13703">
        <v>25</v>
      </c>
      <c r="E13703">
        <f t="shared" si="213"/>
        <v>1.7695584811217699E-52</v>
      </c>
    </row>
    <row r="13704" spans="1:5" x14ac:dyDescent="0.25">
      <c r="A13704">
        <v>19</v>
      </c>
      <c r="B13704">
        <v>4</v>
      </c>
      <c r="C13704">
        <v>1</v>
      </c>
      <c r="D13704">
        <v>24</v>
      </c>
      <c r="E13704">
        <f t="shared" si="213"/>
        <v>2.8755325318228758E-49</v>
      </c>
    </row>
    <row r="13705" spans="1:5" x14ac:dyDescent="0.25">
      <c r="A13705">
        <v>19</v>
      </c>
      <c r="B13705">
        <v>4</v>
      </c>
      <c r="C13705">
        <v>2</v>
      </c>
      <c r="D13705">
        <v>23</v>
      </c>
      <c r="E13705">
        <f t="shared" si="213"/>
        <v>1.1042044922199844E-46</v>
      </c>
    </row>
    <row r="13706" spans="1:5" x14ac:dyDescent="0.25">
      <c r="A13706">
        <v>19</v>
      </c>
      <c r="B13706">
        <v>4</v>
      </c>
      <c r="C13706">
        <v>3</v>
      </c>
      <c r="D13706">
        <v>22</v>
      </c>
      <c r="E13706">
        <f t="shared" si="213"/>
        <v>1.7777692324741749E-44</v>
      </c>
    </row>
    <row r="13707" spans="1:5" x14ac:dyDescent="0.25">
      <c r="A13707">
        <v>19</v>
      </c>
      <c r="B13707">
        <v>4</v>
      </c>
      <c r="C13707">
        <v>4</v>
      </c>
      <c r="D13707">
        <v>21</v>
      </c>
      <c r="E13707">
        <f t="shared" si="213"/>
        <v>1.5155482706842343E-42</v>
      </c>
    </row>
    <row r="13708" spans="1:5" x14ac:dyDescent="0.25">
      <c r="A13708">
        <v>19</v>
      </c>
      <c r="B13708">
        <v>4</v>
      </c>
      <c r="C13708">
        <v>5</v>
      </c>
      <c r="D13708">
        <v>20</v>
      </c>
      <c r="E13708">
        <f t="shared" si="213"/>
        <v>7.7656693389860145E-41</v>
      </c>
    </row>
    <row r="13709" spans="1:5" x14ac:dyDescent="0.25">
      <c r="A13709">
        <v>19</v>
      </c>
      <c r="B13709">
        <v>4</v>
      </c>
      <c r="C13709">
        <v>6</v>
      </c>
      <c r="D13709">
        <v>19</v>
      </c>
      <c r="E13709">
        <f t="shared" si="213"/>
        <v>2.5885564463286708E-39</v>
      </c>
    </row>
    <row r="13710" spans="1:5" x14ac:dyDescent="0.25">
      <c r="A13710">
        <v>19</v>
      </c>
      <c r="B13710">
        <v>4</v>
      </c>
      <c r="C13710">
        <v>7</v>
      </c>
      <c r="D13710">
        <v>18</v>
      </c>
      <c r="E13710">
        <f t="shared" ref="E13710:E13773" si="214">COMBIN(A$4,A13710)*COMBIN(B$4,B13710)*COMBIN(C$4,C13710)*COMBIN(D$4,D13710)/COMBIN($G$4,$F$4)</f>
        <v>5.9219832170090653E-38</v>
      </c>
    </row>
    <row r="13711" spans="1:5" x14ac:dyDescent="0.25">
      <c r="A13711">
        <v>19</v>
      </c>
      <c r="B13711">
        <v>4</v>
      </c>
      <c r="C13711">
        <v>8</v>
      </c>
      <c r="D13711">
        <v>17</v>
      </c>
      <c r="E13711">
        <f t="shared" si="214"/>
        <v>9.6602351227460371E-37</v>
      </c>
    </row>
    <row r="13712" spans="1:5" x14ac:dyDescent="0.25">
      <c r="A13712">
        <v>19</v>
      </c>
      <c r="B13712">
        <v>4</v>
      </c>
      <c r="C13712">
        <v>9</v>
      </c>
      <c r="D13712">
        <v>16</v>
      </c>
      <c r="E13712">
        <f t="shared" si="214"/>
        <v>1.1556503498692478E-35</v>
      </c>
    </row>
    <row r="13713" spans="1:5" x14ac:dyDescent="0.25">
      <c r="A13713">
        <v>19</v>
      </c>
      <c r="B13713">
        <v>4</v>
      </c>
      <c r="C13713">
        <v>10</v>
      </c>
      <c r="D13713">
        <v>15</v>
      </c>
      <c r="E13713">
        <f t="shared" si="214"/>
        <v>1.035462713482846E-34</v>
      </c>
    </row>
    <row r="13714" spans="1:5" x14ac:dyDescent="0.25">
      <c r="A13714">
        <v>19</v>
      </c>
      <c r="B13714">
        <v>4</v>
      </c>
      <c r="C13714">
        <v>11</v>
      </c>
      <c r="D13714">
        <v>14</v>
      </c>
      <c r="E13714">
        <f t="shared" si="214"/>
        <v>7.0599730464739521E-34</v>
      </c>
    </row>
    <row r="13715" spans="1:5" x14ac:dyDescent="0.25">
      <c r="A13715">
        <v>19</v>
      </c>
      <c r="B13715">
        <v>4</v>
      </c>
      <c r="C13715">
        <v>12</v>
      </c>
      <c r="D13715">
        <v>13</v>
      </c>
      <c r="E13715">
        <f t="shared" si="214"/>
        <v>3.7064858493988235E-33</v>
      </c>
    </row>
    <row r="13716" spans="1:5" x14ac:dyDescent="0.25">
      <c r="A13716">
        <v>19</v>
      </c>
      <c r="B13716">
        <v>4</v>
      </c>
      <c r="C13716">
        <v>13</v>
      </c>
      <c r="D13716">
        <v>12</v>
      </c>
      <c r="E13716">
        <f t="shared" si="214"/>
        <v>1.5111057693702899E-32</v>
      </c>
    </row>
    <row r="13717" spans="1:5" x14ac:dyDescent="0.25">
      <c r="A13717">
        <v>19</v>
      </c>
      <c r="B13717">
        <v>4</v>
      </c>
      <c r="C13717">
        <v>14</v>
      </c>
      <c r="D13717">
        <v>11</v>
      </c>
      <c r="E13717">
        <f t="shared" si="214"/>
        <v>4.8108673473829648E-32</v>
      </c>
    </row>
    <row r="13718" spans="1:5" x14ac:dyDescent="0.25">
      <c r="A13718">
        <v>19</v>
      </c>
      <c r="B13718">
        <v>4</v>
      </c>
      <c r="C13718">
        <v>15</v>
      </c>
      <c r="D13718">
        <v>10</v>
      </c>
      <c r="E13718">
        <f t="shared" si="214"/>
        <v>1.1995095919474852E-31</v>
      </c>
    </row>
    <row r="13719" spans="1:5" x14ac:dyDescent="0.25">
      <c r="A13719">
        <v>19</v>
      </c>
      <c r="B13719">
        <v>4</v>
      </c>
      <c r="C13719">
        <v>16</v>
      </c>
      <c r="D13719">
        <v>9</v>
      </c>
      <c r="E13719">
        <f t="shared" si="214"/>
        <v>2.3427921717724327E-31</v>
      </c>
    </row>
    <row r="13720" spans="1:5" x14ac:dyDescent="0.25">
      <c r="A13720">
        <v>19</v>
      </c>
      <c r="B13720">
        <v>4</v>
      </c>
      <c r="C13720">
        <v>17</v>
      </c>
      <c r="D13720">
        <v>8</v>
      </c>
      <c r="E13720">
        <f t="shared" si="214"/>
        <v>3.5749873624624338E-31</v>
      </c>
    </row>
    <row r="13721" spans="1:5" x14ac:dyDescent="0.25">
      <c r="A13721">
        <v>19</v>
      </c>
      <c r="B13721">
        <v>4</v>
      </c>
      <c r="C13721">
        <v>18</v>
      </c>
      <c r="D13721">
        <v>7</v>
      </c>
      <c r="E13721">
        <f t="shared" si="214"/>
        <v>4.2370220592147329E-31</v>
      </c>
    </row>
    <row r="13722" spans="1:5" x14ac:dyDescent="0.25">
      <c r="A13722">
        <v>19</v>
      </c>
      <c r="B13722">
        <v>4</v>
      </c>
      <c r="C13722">
        <v>19</v>
      </c>
      <c r="D13722">
        <v>6</v>
      </c>
      <c r="E13722">
        <f t="shared" si="214"/>
        <v>3.8614411564588564E-31</v>
      </c>
    </row>
    <row r="13723" spans="1:5" x14ac:dyDescent="0.25">
      <c r="A13723">
        <v>19</v>
      </c>
      <c r="B13723">
        <v>4</v>
      </c>
      <c r="C13723">
        <v>20</v>
      </c>
      <c r="D13723">
        <v>5</v>
      </c>
      <c r="E13723">
        <f t="shared" si="214"/>
        <v>2.6643943979566136E-31</v>
      </c>
    </row>
    <row r="13724" spans="1:5" x14ac:dyDescent="0.25">
      <c r="A13724">
        <v>19</v>
      </c>
      <c r="B13724">
        <v>4</v>
      </c>
      <c r="C13724">
        <v>21</v>
      </c>
      <c r="D13724">
        <v>4</v>
      </c>
      <c r="E13724">
        <f t="shared" si="214"/>
        <v>1.3593848969166382E-31</v>
      </c>
    </row>
    <row r="13725" spans="1:5" x14ac:dyDescent="0.25">
      <c r="A13725">
        <v>19</v>
      </c>
      <c r="B13725">
        <v>4</v>
      </c>
      <c r="C13725">
        <v>22</v>
      </c>
      <c r="D13725">
        <v>3</v>
      </c>
      <c r="E13725">
        <f t="shared" si="214"/>
        <v>4.9432178069695956E-32</v>
      </c>
    </row>
    <row r="13726" spans="1:5" x14ac:dyDescent="0.25">
      <c r="A13726">
        <v>19</v>
      </c>
      <c r="B13726">
        <v>4</v>
      </c>
      <c r="C13726">
        <v>23</v>
      </c>
      <c r="D13726">
        <v>2</v>
      </c>
      <c r="E13726">
        <f t="shared" si="214"/>
        <v>1.2054349661608274E-32</v>
      </c>
    </row>
    <row r="13727" spans="1:5" x14ac:dyDescent="0.25">
      <c r="A13727">
        <v>19</v>
      </c>
      <c r="B13727">
        <v>4</v>
      </c>
      <c r="C13727">
        <v>24</v>
      </c>
      <c r="D13727">
        <v>1</v>
      </c>
      <c r="E13727">
        <f t="shared" si="214"/>
        <v>1.7579259923178732E-33</v>
      </c>
    </row>
    <row r="13728" spans="1:5" x14ac:dyDescent="0.25">
      <c r="A13728">
        <v>19</v>
      </c>
      <c r="B13728">
        <v>4</v>
      </c>
      <c r="C13728">
        <v>25</v>
      </c>
      <c r="D13728">
        <v>0</v>
      </c>
      <c r="E13728">
        <f t="shared" si="214"/>
        <v>1.1531994509605252E-34</v>
      </c>
    </row>
    <row r="13729" spans="1:5" x14ac:dyDescent="0.25">
      <c r="A13729">
        <v>19</v>
      </c>
      <c r="B13729">
        <v>5</v>
      </c>
      <c r="C13729">
        <v>0</v>
      </c>
      <c r="D13729">
        <v>24</v>
      </c>
      <c r="E13729">
        <f t="shared" si="214"/>
        <v>2.521620835598522E-49</v>
      </c>
    </row>
    <row r="13730" spans="1:5" x14ac:dyDescent="0.25">
      <c r="A13730">
        <v>19</v>
      </c>
      <c r="B13730">
        <v>5</v>
      </c>
      <c r="C13730">
        <v>1</v>
      </c>
      <c r="D13730">
        <v>23</v>
      </c>
      <c r="E13730">
        <f t="shared" si="214"/>
        <v>1.966864251766847E-46</v>
      </c>
    </row>
    <row r="13731" spans="1:5" x14ac:dyDescent="0.25">
      <c r="A13731">
        <v>19</v>
      </c>
      <c r="B13731">
        <v>5</v>
      </c>
      <c r="C13731">
        <v>2</v>
      </c>
      <c r="D13731">
        <v>22</v>
      </c>
      <c r="E13731">
        <f t="shared" si="214"/>
        <v>4.8253736310013316E-44</v>
      </c>
    </row>
    <row r="13732" spans="1:5" x14ac:dyDescent="0.25">
      <c r="A13732">
        <v>19</v>
      </c>
      <c r="B13732">
        <v>5</v>
      </c>
      <c r="C13732">
        <v>3</v>
      </c>
      <c r="D13732">
        <v>21</v>
      </c>
      <c r="E13732">
        <f t="shared" si="214"/>
        <v>5.5733065438065387E-42</v>
      </c>
    </row>
    <row r="13733" spans="1:5" x14ac:dyDescent="0.25">
      <c r="A13733">
        <v>19</v>
      </c>
      <c r="B13733">
        <v>5</v>
      </c>
      <c r="C13733">
        <v>4</v>
      </c>
      <c r="D13733">
        <v>20</v>
      </c>
      <c r="E13733">
        <f t="shared" si="214"/>
        <v>3.6282225600180552E-40</v>
      </c>
    </row>
    <row r="13734" spans="1:5" x14ac:dyDescent="0.25">
      <c r="A13734">
        <v>19</v>
      </c>
      <c r="B13734">
        <v>5</v>
      </c>
      <c r="C13734">
        <v>5</v>
      </c>
      <c r="D13734">
        <v>19</v>
      </c>
      <c r="E13734">
        <f t="shared" si="214"/>
        <v>1.4754771744073426E-38</v>
      </c>
    </row>
    <row r="13735" spans="1:5" x14ac:dyDescent="0.25">
      <c r="A13735">
        <v>19</v>
      </c>
      <c r="B13735">
        <v>5</v>
      </c>
      <c r="C13735">
        <v>6</v>
      </c>
      <c r="D13735">
        <v>18</v>
      </c>
      <c r="E13735">
        <f t="shared" si="214"/>
        <v>4.0048666162485031E-37</v>
      </c>
    </row>
    <row r="13736" spans="1:5" x14ac:dyDescent="0.25">
      <c r="A13736">
        <v>19</v>
      </c>
      <c r="B13736">
        <v>5</v>
      </c>
      <c r="C13736">
        <v>7</v>
      </c>
      <c r="D13736">
        <v>17</v>
      </c>
      <c r="E13736">
        <f t="shared" si="214"/>
        <v>7.5949434758141233E-36</v>
      </c>
    </row>
    <row r="13737" spans="1:5" x14ac:dyDescent="0.25">
      <c r="A13737">
        <v>19</v>
      </c>
      <c r="B13737">
        <v>5</v>
      </c>
      <c r="C13737">
        <v>8</v>
      </c>
      <c r="D13737">
        <v>16</v>
      </c>
      <c r="E13737">
        <f t="shared" si="214"/>
        <v>1.0400853148823232E-34</v>
      </c>
    </row>
    <row r="13738" spans="1:5" x14ac:dyDescent="0.25">
      <c r="A13738">
        <v>19</v>
      </c>
      <c r="B13738">
        <v>5</v>
      </c>
      <c r="C13738">
        <v>9</v>
      </c>
      <c r="D13738">
        <v>15</v>
      </c>
      <c r="E13738">
        <f t="shared" si="214"/>
        <v>1.0539531190807538E-33</v>
      </c>
    </row>
    <row r="13739" spans="1:5" x14ac:dyDescent="0.25">
      <c r="A13739">
        <v>19</v>
      </c>
      <c r="B13739">
        <v>5</v>
      </c>
      <c r="C13739">
        <v>10</v>
      </c>
      <c r="D13739">
        <v>14</v>
      </c>
      <c r="E13739">
        <f t="shared" si="214"/>
        <v>8.0483692729803047E-33</v>
      </c>
    </row>
    <row r="13740" spans="1:5" x14ac:dyDescent="0.25">
      <c r="A13740">
        <v>19</v>
      </c>
      <c r="B13740">
        <v>5</v>
      </c>
      <c r="C13740">
        <v>11</v>
      </c>
      <c r="D13740">
        <v>13</v>
      </c>
      <c r="E13740">
        <f t="shared" si="214"/>
        <v>4.6948820759051793E-32</v>
      </c>
    </row>
    <row r="13741" spans="1:5" x14ac:dyDescent="0.25">
      <c r="A13741">
        <v>19</v>
      </c>
      <c r="B13741">
        <v>5</v>
      </c>
      <c r="C13741">
        <v>12</v>
      </c>
      <c r="D13741">
        <v>12</v>
      </c>
      <c r="E13741">
        <f t="shared" si="214"/>
        <v>2.112696934157329E-31</v>
      </c>
    </row>
    <row r="13742" spans="1:5" x14ac:dyDescent="0.25">
      <c r="A13742">
        <v>19</v>
      </c>
      <c r="B13742">
        <v>5</v>
      </c>
      <c r="C13742">
        <v>13</v>
      </c>
      <c r="D13742">
        <v>11</v>
      </c>
      <c r="E13742">
        <f t="shared" si="214"/>
        <v>7.3828310446377017E-31</v>
      </c>
    </row>
    <row r="13743" spans="1:5" x14ac:dyDescent="0.25">
      <c r="A13743">
        <v>19</v>
      </c>
      <c r="B13743">
        <v>5</v>
      </c>
      <c r="C13743">
        <v>14</v>
      </c>
      <c r="D13743">
        <v>10</v>
      </c>
      <c r="E13743">
        <f t="shared" si="214"/>
        <v>2.0109425512060788E-30</v>
      </c>
    </row>
    <row r="13744" spans="1:5" x14ac:dyDescent="0.25">
      <c r="A13744">
        <v>19</v>
      </c>
      <c r="B13744">
        <v>5</v>
      </c>
      <c r="C13744">
        <v>15</v>
      </c>
      <c r="D13744">
        <v>9</v>
      </c>
      <c r="E13744">
        <f t="shared" si="214"/>
        <v>4.2732529213129166E-30</v>
      </c>
    </row>
    <row r="13745" spans="1:5" x14ac:dyDescent="0.25">
      <c r="A13745">
        <v>19</v>
      </c>
      <c r="B13745">
        <v>5</v>
      </c>
      <c r="C13745">
        <v>16</v>
      </c>
      <c r="D13745">
        <v>8</v>
      </c>
      <c r="E13745">
        <f t="shared" si="214"/>
        <v>7.0697199065838709E-30</v>
      </c>
    </row>
    <row r="13746" spans="1:5" x14ac:dyDescent="0.25">
      <c r="A13746">
        <v>19</v>
      </c>
      <c r="B13746">
        <v>5</v>
      </c>
      <c r="C13746">
        <v>17</v>
      </c>
      <c r="D13746">
        <v>7</v>
      </c>
      <c r="E13746">
        <f t="shared" si="214"/>
        <v>9.0566346515715012E-30</v>
      </c>
    </row>
    <row r="13747" spans="1:5" x14ac:dyDescent="0.25">
      <c r="A13747">
        <v>19</v>
      </c>
      <c r="B13747">
        <v>5</v>
      </c>
      <c r="C13747">
        <v>18</v>
      </c>
      <c r="D13747">
        <v>6</v>
      </c>
      <c r="E13747">
        <f t="shared" si="214"/>
        <v>8.8977463243509369E-30</v>
      </c>
    </row>
    <row r="13748" spans="1:5" x14ac:dyDescent="0.25">
      <c r="A13748">
        <v>19</v>
      </c>
      <c r="B13748">
        <v>5</v>
      </c>
      <c r="C13748">
        <v>19</v>
      </c>
      <c r="D13748">
        <v>5</v>
      </c>
      <c r="E13748">
        <f t="shared" si="214"/>
        <v>6.6030643775446438E-30</v>
      </c>
    </row>
    <row r="13749" spans="1:5" x14ac:dyDescent="0.25">
      <c r="A13749">
        <v>19</v>
      </c>
      <c r="B13749">
        <v>5</v>
      </c>
      <c r="C13749">
        <v>20</v>
      </c>
      <c r="D13749">
        <v>4</v>
      </c>
      <c r="E13749">
        <f t="shared" si="214"/>
        <v>3.6159638257982614E-30</v>
      </c>
    </row>
    <row r="13750" spans="1:5" x14ac:dyDescent="0.25">
      <c r="A13750">
        <v>19</v>
      </c>
      <c r="B13750">
        <v>5</v>
      </c>
      <c r="C13750">
        <v>21</v>
      </c>
      <c r="D13750">
        <v>3</v>
      </c>
      <c r="E13750">
        <f t="shared" si="214"/>
        <v>1.4088170749863337E-30</v>
      </c>
    </row>
    <row r="13751" spans="1:5" x14ac:dyDescent="0.25">
      <c r="A13751">
        <v>19</v>
      </c>
      <c r="B13751">
        <v>5</v>
      </c>
      <c r="C13751">
        <v>22</v>
      </c>
      <c r="D13751">
        <v>2</v>
      </c>
      <c r="E13751">
        <f t="shared" si="214"/>
        <v>3.6751749782252211E-31</v>
      </c>
    </row>
    <row r="13752" spans="1:5" x14ac:dyDescent="0.25">
      <c r="A13752">
        <v>19</v>
      </c>
      <c r="B13752">
        <v>5</v>
      </c>
      <c r="C13752">
        <v>23</v>
      </c>
      <c r="D13752">
        <v>1</v>
      </c>
      <c r="E13752">
        <f t="shared" si="214"/>
        <v>5.7258160892639309E-32</v>
      </c>
    </row>
    <row r="13753" spans="1:5" x14ac:dyDescent="0.25">
      <c r="A13753">
        <v>19</v>
      </c>
      <c r="B13753">
        <v>5</v>
      </c>
      <c r="C13753">
        <v>24</v>
      </c>
      <c r="D13753">
        <v>0</v>
      </c>
      <c r="E13753">
        <f t="shared" si="214"/>
        <v>4.0080712624847512E-33</v>
      </c>
    </row>
    <row r="13754" spans="1:5" x14ac:dyDescent="0.25">
      <c r="A13754">
        <v>19</v>
      </c>
      <c r="B13754">
        <v>6</v>
      </c>
      <c r="C13754">
        <v>0</v>
      </c>
      <c r="D13754">
        <v>23</v>
      </c>
      <c r="E13754">
        <f t="shared" si="214"/>
        <v>1.4322806346199605E-46</v>
      </c>
    </row>
    <row r="13755" spans="1:5" x14ac:dyDescent="0.25">
      <c r="A13755">
        <v>19</v>
      </c>
      <c r="B13755">
        <v>6</v>
      </c>
      <c r="C13755">
        <v>1</v>
      </c>
      <c r="D13755">
        <v>22</v>
      </c>
      <c r="E13755">
        <f t="shared" si="214"/>
        <v>7.1375318291894693E-44</v>
      </c>
    </row>
    <row r="13756" spans="1:5" x14ac:dyDescent="0.25">
      <c r="A13756">
        <v>19</v>
      </c>
      <c r="B13756">
        <v>6</v>
      </c>
      <c r="C13756">
        <v>2</v>
      </c>
      <c r="D13756">
        <v>21</v>
      </c>
      <c r="E13756">
        <f t="shared" si="214"/>
        <v>1.2562056019373469E-41</v>
      </c>
    </row>
    <row r="13757" spans="1:5" x14ac:dyDescent="0.25">
      <c r="A13757">
        <v>19</v>
      </c>
      <c r="B13757">
        <v>6</v>
      </c>
      <c r="C13757">
        <v>3</v>
      </c>
      <c r="D13757">
        <v>20</v>
      </c>
      <c r="E13757">
        <f t="shared" si="214"/>
        <v>1.1079733409087398E-39</v>
      </c>
    </row>
    <row r="13758" spans="1:5" x14ac:dyDescent="0.25">
      <c r="A13758">
        <v>19</v>
      </c>
      <c r="B13758">
        <v>6</v>
      </c>
      <c r="C13758">
        <v>4</v>
      </c>
      <c r="D13758">
        <v>19</v>
      </c>
      <c r="E13758">
        <f t="shared" si="214"/>
        <v>5.7245289280284881E-38</v>
      </c>
    </row>
    <row r="13759" spans="1:5" x14ac:dyDescent="0.25">
      <c r="A13759">
        <v>19</v>
      </c>
      <c r="B13759">
        <v>6</v>
      </c>
      <c r="C13759">
        <v>5</v>
      </c>
      <c r="D13759">
        <v>18</v>
      </c>
      <c r="E13759">
        <f t="shared" si="214"/>
        <v>1.8956368650242918E-36</v>
      </c>
    </row>
    <row r="13760" spans="1:5" x14ac:dyDescent="0.25">
      <c r="A13760">
        <v>19</v>
      </c>
      <c r="B13760">
        <v>6</v>
      </c>
      <c r="C13760">
        <v>6</v>
      </c>
      <c r="D13760">
        <v>17</v>
      </c>
      <c r="E13760">
        <f t="shared" si="214"/>
        <v>4.2651829463046549E-35</v>
      </c>
    </row>
    <row r="13761" spans="1:5" x14ac:dyDescent="0.25">
      <c r="A13761">
        <v>19</v>
      </c>
      <c r="B13761">
        <v>6</v>
      </c>
      <c r="C13761">
        <v>7</v>
      </c>
      <c r="D13761">
        <v>16</v>
      </c>
      <c r="E13761">
        <f t="shared" si="214"/>
        <v>6.7904420557834426E-34</v>
      </c>
    </row>
    <row r="13762" spans="1:5" x14ac:dyDescent="0.25">
      <c r="A13762">
        <v>19</v>
      </c>
      <c r="B13762">
        <v>6</v>
      </c>
      <c r="C13762">
        <v>8</v>
      </c>
      <c r="D13762">
        <v>15</v>
      </c>
      <c r="E13762">
        <f t="shared" si="214"/>
        <v>7.8769127847087923E-33</v>
      </c>
    </row>
    <row r="13763" spans="1:5" x14ac:dyDescent="0.25">
      <c r="A13763">
        <v>19</v>
      </c>
      <c r="B13763">
        <v>6</v>
      </c>
      <c r="C13763">
        <v>9</v>
      </c>
      <c r="D13763">
        <v>14</v>
      </c>
      <c r="E13763">
        <f t="shared" si="214"/>
        <v>6.8027883140666845E-32</v>
      </c>
    </row>
    <row r="13764" spans="1:5" x14ac:dyDescent="0.25">
      <c r="A13764">
        <v>19</v>
      </c>
      <c r="B13764">
        <v>6</v>
      </c>
      <c r="C13764">
        <v>10</v>
      </c>
      <c r="D13764">
        <v>13</v>
      </c>
      <c r="E13764">
        <f t="shared" si="214"/>
        <v>4.4444883651902357E-31</v>
      </c>
    </row>
    <row r="13765" spans="1:5" x14ac:dyDescent="0.25">
      <c r="A13765">
        <v>19</v>
      </c>
      <c r="B13765">
        <v>6</v>
      </c>
      <c r="C13765">
        <v>11</v>
      </c>
      <c r="D13765">
        <v>12</v>
      </c>
      <c r="E13765">
        <f t="shared" si="214"/>
        <v>2.222244182595118E-30</v>
      </c>
    </row>
    <row r="13766" spans="1:5" x14ac:dyDescent="0.25">
      <c r="A13766">
        <v>19</v>
      </c>
      <c r="B13766">
        <v>6</v>
      </c>
      <c r="C13766">
        <v>12</v>
      </c>
      <c r="D13766">
        <v>11</v>
      </c>
      <c r="E13766">
        <f t="shared" si="214"/>
        <v>8.5715132757240202E-30</v>
      </c>
    </row>
    <row r="13767" spans="1:5" x14ac:dyDescent="0.25">
      <c r="A13767">
        <v>19</v>
      </c>
      <c r="B13767">
        <v>6</v>
      </c>
      <c r="C13767">
        <v>13</v>
      </c>
      <c r="D13767">
        <v>10</v>
      </c>
      <c r="E13767">
        <f t="shared" si="214"/>
        <v>2.5626626870497972E-29</v>
      </c>
    </row>
    <row r="13768" spans="1:5" x14ac:dyDescent="0.25">
      <c r="A13768">
        <v>19</v>
      </c>
      <c r="B13768">
        <v>6</v>
      </c>
      <c r="C13768">
        <v>14</v>
      </c>
      <c r="D13768">
        <v>9</v>
      </c>
      <c r="E13768">
        <f t="shared" si="214"/>
        <v>5.9490383806513181E-29</v>
      </c>
    </row>
    <row r="13769" spans="1:5" x14ac:dyDescent="0.25">
      <c r="A13769">
        <v>19</v>
      </c>
      <c r="B13769">
        <v>6</v>
      </c>
      <c r="C13769">
        <v>15</v>
      </c>
      <c r="D13769">
        <v>8</v>
      </c>
      <c r="E13769">
        <f t="shared" si="214"/>
        <v>1.0708269085172368E-28</v>
      </c>
    </row>
    <row r="13770" spans="1:5" x14ac:dyDescent="0.25">
      <c r="A13770">
        <v>19</v>
      </c>
      <c r="B13770">
        <v>6</v>
      </c>
      <c r="C13770">
        <v>16</v>
      </c>
      <c r="D13770">
        <v>7</v>
      </c>
      <c r="E13770">
        <f t="shared" si="214"/>
        <v>1.4872595951628291E-28</v>
      </c>
    </row>
    <row r="13771" spans="1:5" x14ac:dyDescent="0.25">
      <c r="A13771">
        <v>19</v>
      </c>
      <c r="B13771">
        <v>6</v>
      </c>
      <c r="C13771">
        <v>17</v>
      </c>
      <c r="D13771">
        <v>6</v>
      </c>
      <c r="E13771">
        <f t="shared" si="214"/>
        <v>1.5793499725722928E-28</v>
      </c>
    </row>
    <row r="13772" spans="1:5" x14ac:dyDescent="0.25">
      <c r="A13772">
        <v>19</v>
      </c>
      <c r="B13772">
        <v>6</v>
      </c>
      <c r="C13772">
        <v>18</v>
      </c>
      <c r="D13772">
        <v>5</v>
      </c>
      <c r="E13772">
        <f t="shared" si="214"/>
        <v>1.2634799780578329E-28</v>
      </c>
    </row>
    <row r="13773" spans="1:5" x14ac:dyDescent="0.25">
      <c r="A13773">
        <v>19</v>
      </c>
      <c r="B13773">
        <v>6</v>
      </c>
      <c r="C13773">
        <v>19</v>
      </c>
      <c r="D13773">
        <v>4</v>
      </c>
      <c r="E13773">
        <f t="shared" si="214"/>
        <v>7.441548742947141E-29</v>
      </c>
    </row>
    <row r="13774" spans="1:5" x14ac:dyDescent="0.25">
      <c r="A13774">
        <v>19</v>
      </c>
      <c r="B13774">
        <v>6</v>
      </c>
      <c r="C13774">
        <v>20</v>
      </c>
      <c r="D13774">
        <v>3</v>
      </c>
      <c r="E13774">
        <f t="shared" ref="E13774:E13837" si="215">COMBIN(A$4,A13774)*COMBIN(B$4,B13774)*COMBIN(C$4,C13774)*COMBIN(D$4,D13774)/COMBIN($G$4,$F$4)</f>
        <v>3.1119203834142613E-29</v>
      </c>
    </row>
    <row r="13775" spans="1:5" x14ac:dyDescent="0.25">
      <c r="A13775">
        <v>19</v>
      </c>
      <c r="B13775">
        <v>6</v>
      </c>
      <c r="C13775">
        <v>21</v>
      </c>
      <c r="D13775">
        <v>2</v>
      </c>
      <c r="E13775">
        <f t="shared" si="215"/>
        <v>8.6979141151330176E-30</v>
      </c>
    </row>
    <row r="13776" spans="1:5" x14ac:dyDescent="0.25">
      <c r="A13776">
        <v>19</v>
      </c>
      <c r="B13776">
        <v>6</v>
      </c>
      <c r="C13776">
        <v>22</v>
      </c>
      <c r="D13776">
        <v>1</v>
      </c>
      <c r="E13776">
        <f t="shared" si="215"/>
        <v>1.4496523525221706E-30</v>
      </c>
    </row>
    <row r="13777" spans="1:5" x14ac:dyDescent="0.25">
      <c r="A13777">
        <v>19</v>
      </c>
      <c r="B13777">
        <v>6</v>
      </c>
      <c r="C13777">
        <v>23</v>
      </c>
      <c r="D13777">
        <v>0</v>
      </c>
      <c r="E13777">
        <f t="shared" si="215"/>
        <v>1.0840878462339707E-31</v>
      </c>
    </row>
    <row r="13778" spans="1:5" x14ac:dyDescent="0.25">
      <c r="A13778">
        <v>19</v>
      </c>
      <c r="B13778">
        <v>7</v>
      </c>
      <c r="C13778">
        <v>0</v>
      </c>
      <c r="D13778">
        <v>22</v>
      </c>
      <c r="E13778">
        <f t="shared" si="215"/>
        <v>4.4393879289244399E-44</v>
      </c>
    </row>
    <row r="13779" spans="1:5" x14ac:dyDescent="0.25">
      <c r="A13779">
        <v>19</v>
      </c>
      <c r="B13779">
        <v>7</v>
      </c>
      <c r="C13779">
        <v>1</v>
      </c>
      <c r="D13779">
        <v>21</v>
      </c>
      <c r="E13779">
        <f t="shared" si="215"/>
        <v>1.5870811845904877E-41</v>
      </c>
    </row>
    <row r="13780" spans="1:5" x14ac:dyDescent="0.25">
      <c r="A13780">
        <v>19</v>
      </c>
      <c r="B13780">
        <v>7</v>
      </c>
      <c r="C13780">
        <v>2</v>
      </c>
      <c r="D13780">
        <v>20</v>
      </c>
      <c r="E13780">
        <f t="shared" si="215"/>
        <v>2.1330371120896149E-39</v>
      </c>
    </row>
    <row r="13781" spans="1:5" x14ac:dyDescent="0.25">
      <c r="A13781">
        <v>19</v>
      </c>
      <c r="B13781">
        <v>7</v>
      </c>
      <c r="C13781">
        <v>3</v>
      </c>
      <c r="D13781">
        <v>19</v>
      </c>
      <c r="E13781">
        <f t="shared" si="215"/>
        <v>1.4931259784627303E-37</v>
      </c>
    </row>
    <row r="13782" spans="1:5" x14ac:dyDescent="0.25">
      <c r="A13782">
        <v>19</v>
      </c>
      <c r="B13782">
        <v>7</v>
      </c>
      <c r="C13782">
        <v>4</v>
      </c>
      <c r="D13782">
        <v>18</v>
      </c>
      <c r="E13782">
        <f t="shared" si="215"/>
        <v>6.2817942951039176E-36</v>
      </c>
    </row>
    <row r="13783" spans="1:5" x14ac:dyDescent="0.25">
      <c r="A13783">
        <v>19</v>
      </c>
      <c r="B13783">
        <v>7</v>
      </c>
      <c r="C13783">
        <v>5</v>
      </c>
      <c r="D13783">
        <v>17</v>
      </c>
      <c r="E13783">
        <f t="shared" si="215"/>
        <v>1.7243525340060251E-34</v>
      </c>
    </row>
    <row r="13784" spans="1:5" x14ac:dyDescent="0.25">
      <c r="A13784">
        <v>19</v>
      </c>
      <c r="B13784">
        <v>7</v>
      </c>
      <c r="C13784">
        <v>6</v>
      </c>
      <c r="D13784">
        <v>16</v>
      </c>
      <c r="E13784">
        <f t="shared" si="215"/>
        <v>3.2571103420113806E-33</v>
      </c>
    </row>
    <row r="13785" spans="1:5" x14ac:dyDescent="0.25">
      <c r="A13785">
        <v>19</v>
      </c>
      <c r="B13785">
        <v>7</v>
      </c>
      <c r="C13785">
        <v>7</v>
      </c>
      <c r="D13785">
        <v>15</v>
      </c>
      <c r="E13785">
        <f t="shared" si="215"/>
        <v>4.3924459469410609E-32</v>
      </c>
    </row>
    <row r="13786" spans="1:5" x14ac:dyDescent="0.25">
      <c r="A13786">
        <v>19</v>
      </c>
      <c r="B13786">
        <v>7</v>
      </c>
      <c r="C13786">
        <v>8</v>
      </c>
      <c r="D13786">
        <v>14</v>
      </c>
      <c r="E13786">
        <f t="shared" si="215"/>
        <v>4.3425317884530957E-31</v>
      </c>
    </row>
    <row r="13787" spans="1:5" x14ac:dyDescent="0.25">
      <c r="A13787">
        <v>19</v>
      </c>
      <c r="B13787">
        <v>7</v>
      </c>
      <c r="C13787">
        <v>9</v>
      </c>
      <c r="D13787">
        <v>13</v>
      </c>
      <c r="E13787">
        <f t="shared" si="215"/>
        <v>3.2086484881347868E-30</v>
      </c>
    </row>
    <row r="13788" spans="1:5" x14ac:dyDescent="0.25">
      <c r="A13788">
        <v>19</v>
      </c>
      <c r="B13788">
        <v>7</v>
      </c>
      <c r="C13788">
        <v>10</v>
      </c>
      <c r="D13788">
        <v>12</v>
      </c>
      <c r="E13788">
        <f t="shared" si="215"/>
        <v>1.7968431533554811E-29</v>
      </c>
    </row>
    <row r="13789" spans="1:5" x14ac:dyDescent="0.25">
      <c r="A13789">
        <v>19</v>
      </c>
      <c r="B13789">
        <v>7</v>
      </c>
      <c r="C13789">
        <v>11</v>
      </c>
      <c r="D13789">
        <v>11</v>
      </c>
      <c r="E13789">
        <f t="shared" si="215"/>
        <v>7.7007563715234912E-29</v>
      </c>
    </row>
    <row r="13790" spans="1:5" x14ac:dyDescent="0.25">
      <c r="A13790">
        <v>19</v>
      </c>
      <c r="B13790">
        <v>7</v>
      </c>
      <c r="C13790">
        <v>12</v>
      </c>
      <c r="D13790">
        <v>10</v>
      </c>
      <c r="E13790">
        <f t="shared" si="215"/>
        <v>2.5412496026027495E-28</v>
      </c>
    </row>
    <row r="13791" spans="1:5" x14ac:dyDescent="0.25">
      <c r="A13791">
        <v>19</v>
      </c>
      <c r="B13791">
        <v>7</v>
      </c>
      <c r="C13791">
        <v>13</v>
      </c>
      <c r="D13791">
        <v>9</v>
      </c>
      <c r="E13791">
        <f t="shared" si="215"/>
        <v>6.4752994681704724E-28</v>
      </c>
    </row>
    <row r="13792" spans="1:5" x14ac:dyDescent="0.25">
      <c r="A13792">
        <v>19</v>
      </c>
      <c r="B13792">
        <v>7</v>
      </c>
      <c r="C13792">
        <v>14</v>
      </c>
      <c r="D13792">
        <v>8</v>
      </c>
      <c r="E13792">
        <f t="shared" si="215"/>
        <v>1.2732941811360426E-27</v>
      </c>
    </row>
    <row r="13793" spans="1:5" x14ac:dyDescent="0.25">
      <c r="A13793">
        <v>19</v>
      </c>
      <c r="B13793">
        <v>7</v>
      </c>
      <c r="C13793">
        <v>15</v>
      </c>
      <c r="D13793">
        <v>7</v>
      </c>
      <c r="E13793">
        <f t="shared" si="215"/>
        <v>1.9240889848277976E-27</v>
      </c>
    </row>
    <row r="13794" spans="1:5" x14ac:dyDescent="0.25">
      <c r="A13794">
        <v>19</v>
      </c>
      <c r="B13794">
        <v>7</v>
      </c>
      <c r="C13794">
        <v>16</v>
      </c>
      <c r="D13794">
        <v>6</v>
      </c>
      <c r="E13794">
        <f t="shared" si="215"/>
        <v>2.2152340285846346E-27</v>
      </c>
    </row>
    <row r="13795" spans="1:5" x14ac:dyDescent="0.25">
      <c r="A13795">
        <v>19</v>
      </c>
      <c r="B13795">
        <v>7</v>
      </c>
      <c r="C13795">
        <v>17</v>
      </c>
      <c r="D13795">
        <v>5</v>
      </c>
      <c r="E13795">
        <f t="shared" si="215"/>
        <v>1.9155258953055379E-27</v>
      </c>
    </row>
    <row r="13796" spans="1:5" x14ac:dyDescent="0.25">
      <c r="A13796">
        <v>19</v>
      </c>
      <c r="B13796">
        <v>7</v>
      </c>
      <c r="C13796">
        <v>18</v>
      </c>
      <c r="D13796">
        <v>4</v>
      </c>
      <c r="E13796">
        <f t="shared" si="215"/>
        <v>1.2162069176543092E-27</v>
      </c>
    </row>
    <row r="13797" spans="1:5" x14ac:dyDescent="0.25">
      <c r="A13797">
        <v>19</v>
      </c>
      <c r="B13797">
        <v>7</v>
      </c>
      <c r="C13797">
        <v>19</v>
      </c>
      <c r="D13797">
        <v>3</v>
      </c>
      <c r="E13797">
        <f t="shared" si="215"/>
        <v>5.4700215435169908E-28</v>
      </c>
    </row>
    <row r="13798" spans="1:5" x14ac:dyDescent="0.25">
      <c r="A13798">
        <v>19</v>
      </c>
      <c r="B13798">
        <v>7</v>
      </c>
      <c r="C13798">
        <v>20</v>
      </c>
      <c r="D13798">
        <v>2</v>
      </c>
      <c r="E13798">
        <f t="shared" si="215"/>
        <v>1.6410064630550984E-28</v>
      </c>
    </row>
    <row r="13799" spans="1:5" x14ac:dyDescent="0.25">
      <c r="A13799">
        <v>19</v>
      </c>
      <c r="B13799">
        <v>7</v>
      </c>
      <c r="C13799">
        <v>21</v>
      </c>
      <c r="D13799">
        <v>1</v>
      </c>
      <c r="E13799">
        <f t="shared" si="215"/>
        <v>2.9303686840269576E-29</v>
      </c>
    </row>
    <row r="13800" spans="1:5" x14ac:dyDescent="0.25">
      <c r="A13800">
        <v>19</v>
      </c>
      <c r="B13800">
        <v>7</v>
      </c>
      <c r="C13800">
        <v>22</v>
      </c>
      <c r="D13800">
        <v>0</v>
      </c>
      <c r="E13800">
        <f t="shared" si="215"/>
        <v>2.3442949472215677E-30</v>
      </c>
    </row>
    <row r="13801" spans="1:5" x14ac:dyDescent="0.25">
      <c r="A13801">
        <v>19</v>
      </c>
      <c r="B13801">
        <v>8</v>
      </c>
      <c r="C13801">
        <v>0</v>
      </c>
      <c r="D13801">
        <v>21</v>
      </c>
      <c r="E13801">
        <f t="shared" si="215"/>
        <v>8.6068633472022571E-42</v>
      </c>
    </row>
    <row r="13802" spans="1:5" x14ac:dyDescent="0.25">
      <c r="A13802">
        <v>19</v>
      </c>
      <c r="B13802">
        <v>8</v>
      </c>
      <c r="C13802">
        <v>1</v>
      </c>
      <c r="D13802">
        <v>20</v>
      </c>
      <c r="E13802">
        <f t="shared" si="215"/>
        <v>2.3496736937862157E-39</v>
      </c>
    </row>
    <row r="13803" spans="1:5" x14ac:dyDescent="0.25">
      <c r="A13803">
        <v>19</v>
      </c>
      <c r="B13803">
        <v>8</v>
      </c>
      <c r="C13803">
        <v>2</v>
      </c>
      <c r="D13803">
        <v>19</v>
      </c>
      <c r="E13803">
        <f t="shared" si="215"/>
        <v>2.5063186067052971E-37</v>
      </c>
    </row>
    <row r="13804" spans="1:5" x14ac:dyDescent="0.25">
      <c r="A13804">
        <v>19</v>
      </c>
      <c r="B13804">
        <v>8</v>
      </c>
      <c r="C13804">
        <v>3</v>
      </c>
      <c r="D13804">
        <v>18</v>
      </c>
      <c r="E13804">
        <f t="shared" si="215"/>
        <v>1.4286016058220198E-35</v>
      </c>
    </row>
    <row r="13805" spans="1:5" x14ac:dyDescent="0.25">
      <c r="A13805">
        <v>19</v>
      </c>
      <c r="B13805">
        <v>8</v>
      </c>
      <c r="C13805">
        <v>4</v>
      </c>
      <c r="D13805">
        <v>17</v>
      </c>
      <c r="E13805">
        <f t="shared" si="215"/>
        <v>4.9822481003042931E-34</v>
      </c>
    </row>
    <row r="13806" spans="1:5" x14ac:dyDescent="0.25">
      <c r="A13806">
        <v>19</v>
      </c>
      <c r="B13806">
        <v>8</v>
      </c>
      <c r="C13806">
        <v>5</v>
      </c>
      <c r="D13806">
        <v>16</v>
      </c>
      <c r="E13806">
        <f t="shared" si="215"/>
        <v>1.1481313955590117E-32</v>
      </c>
    </row>
    <row r="13807" spans="1:5" x14ac:dyDescent="0.25">
      <c r="A13807">
        <v>19</v>
      </c>
      <c r="B13807">
        <v>8</v>
      </c>
      <c r="C13807">
        <v>6</v>
      </c>
      <c r="D13807">
        <v>15</v>
      </c>
      <c r="E13807">
        <f t="shared" si="215"/>
        <v>1.8370102328944179E-31</v>
      </c>
    </row>
    <row r="13808" spans="1:5" x14ac:dyDescent="0.25">
      <c r="A13808">
        <v>19</v>
      </c>
      <c r="B13808">
        <v>8</v>
      </c>
      <c r="C13808">
        <v>7</v>
      </c>
      <c r="D13808">
        <v>14</v>
      </c>
      <c r="E13808">
        <f t="shared" si="215"/>
        <v>2.1113689040409871E-30</v>
      </c>
    </row>
    <row r="13809" spans="1:5" x14ac:dyDescent="0.25">
      <c r="A13809">
        <v>19</v>
      </c>
      <c r="B13809">
        <v>8</v>
      </c>
      <c r="C13809">
        <v>8</v>
      </c>
      <c r="D13809">
        <v>13</v>
      </c>
      <c r="E13809">
        <f t="shared" si="215"/>
        <v>1.7858661980013359E-29</v>
      </c>
    </row>
    <row r="13810" spans="1:5" x14ac:dyDescent="0.25">
      <c r="A13810">
        <v>19</v>
      </c>
      <c r="B13810">
        <v>8</v>
      </c>
      <c r="C13810">
        <v>9</v>
      </c>
      <c r="D13810">
        <v>12</v>
      </c>
      <c r="E13810">
        <f t="shared" si="215"/>
        <v>1.1310485920675125E-28</v>
      </c>
    </row>
    <row r="13811" spans="1:5" x14ac:dyDescent="0.25">
      <c r="A13811">
        <v>19</v>
      </c>
      <c r="B13811">
        <v>8</v>
      </c>
      <c r="C13811">
        <v>10</v>
      </c>
      <c r="D13811">
        <v>11</v>
      </c>
      <c r="E13811">
        <f t="shared" si="215"/>
        <v>5.4290332419240598E-28</v>
      </c>
    </row>
    <row r="13812" spans="1:5" x14ac:dyDescent="0.25">
      <c r="A13812">
        <v>19</v>
      </c>
      <c r="B13812">
        <v>8</v>
      </c>
      <c r="C13812">
        <v>11</v>
      </c>
      <c r="D13812">
        <v>10</v>
      </c>
      <c r="E13812">
        <f t="shared" si="215"/>
        <v>1.9906455220388219E-27</v>
      </c>
    </row>
    <row r="13813" spans="1:5" x14ac:dyDescent="0.25">
      <c r="A13813">
        <v>19</v>
      </c>
      <c r="B13813">
        <v>8</v>
      </c>
      <c r="C13813">
        <v>12</v>
      </c>
      <c r="D13813">
        <v>9</v>
      </c>
      <c r="E13813">
        <f t="shared" si="215"/>
        <v>5.5986905307341838E-27</v>
      </c>
    </row>
    <row r="13814" spans="1:5" x14ac:dyDescent="0.25">
      <c r="A13814">
        <v>19</v>
      </c>
      <c r="B13814">
        <v>8</v>
      </c>
      <c r="C13814">
        <v>13</v>
      </c>
      <c r="D13814">
        <v>8</v>
      </c>
      <c r="E13814">
        <f t="shared" si="215"/>
        <v>1.2084051507512248E-26</v>
      </c>
    </row>
    <row r="13815" spans="1:5" x14ac:dyDescent="0.25">
      <c r="A13815">
        <v>19</v>
      </c>
      <c r="B13815">
        <v>8</v>
      </c>
      <c r="C13815">
        <v>14</v>
      </c>
      <c r="D13815">
        <v>7</v>
      </c>
      <c r="E13815">
        <f t="shared" si="215"/>
        <v>1.9948275504464673E-26</v>
      </c>
    </row>
    <row r="13816" spans="1:5" x14ac:dyDescent="0.25">
      <c r="A13816">
        <v>19</v>
      </c>
      <c r="B13816">
        <v>8</v>
      </c>
      <c r="C13816">
        <v>15</v>
      </c>
      <c r="D13816">
        <v>6</v>
      </c>
      <c r="E13816">
        <f t="shared" si="215"/>
        <v>2.4987839842434674E-26</v>
      </c>
    </row>
    <row r="13817" spans="1:5" x14ac:dyDescent="0.25">
      <c r="A13817">
        <v>19</v>
      </c>
      <c r="B13817">
        <v>8</v>
      </c>
      <c r="C13817">
        <v>16</v>
      </c>
      <c r="D13817">
        <v>5</v>
      </c>
      <c r="E13817">
        <f t="shared" si="215"/>
        <v>2.342609985228251E-26</v>
      </c>
    </row>
    <row r="13818" spans="1:5" x14ac:dyDescent="0.25">
      <c r="A13818">
        <v>19</v>
      </c>
      <c r="B13818">
        <v>8</v>
      </c>
      <c r="C13818">
        <v>17</v>
      </c>
      <c r="D13818">
        <v>4</v>
      </c>
      <c r="E13818">
        <f t="shared" si="215"/>
        <v>1.6076735192742915E-26</v>
      </c>
    </row>
    <row r="13819" spans="1:5" x14ac:dyDescent="0.25">
      <c r="A13819">
        <v>19</v>
      </c>
      <c r="B13819">
        <v>8</v>
      </c>
      <c r="C13819">
        <v>18</v>
      </c>
      <c r="D13819">
        <v>3</v>
      </c>
      <c r="E13819">
        <f t="shared" si="215"/>
        <v>7.7947806995117059E-27</v>
      </c>
    </row>
    <row r="13820" spans="1:5" x14ac:dyDescent="0.25">
      <c r="A13820">
        <v>19</v>
      </c>
      <c r="B13820">
        <v>8</v>
      </c>
      <c r="C13820">
        <v>19</v>
      </c>
      <c r="D13820">
        <v>2</v>
      </c>
      <c r="E13820">
        <f t="shared" si="215"/>
        <v>2.5150207748996593E-27</v>
      </c>
    </row>
    <row r="13821" spans="1:5" x14ac:dyDescent="0.25">
      <c r="A13821">
        <v>19</v>
      </c>
      <c r="B13821">
        <v>8</v>
      </c>
      <c r="C13821">
        <v>20</v>
      </c>
      <c r="D13821">
        <v>1</v>
      </c>
      <c r="E13821">
        <f t="shared" si="215"/>
        <v>4.8204564852243506E-28</v>
      </c>
    </row>
    <row r="13822" spans="1:5" x14ac:dyDescent="0.25">
      <c r="A13822">
        <v>19</v>
      </c>
      <c r="B13822">
        <v>8</v>
      </c>
      <c r="C13822">
        <v>21</v>
      </c>
      <c r="D13822">
        <v>0</v>
      </c>
      <c r="E13822">
        <f t="shared" si="215"/>
        <v>4.1318198444780099E-29</v>
      </c>
    </row>
    <row r="13823" spans="1:5" x14ac:dyDescent="0.25">
      <c r="A13823">
        <v>19</v>
      </c>
      <c r="B13823">
        <v>9</v>
      </c>
      <c r="C13823">
        <v>0</v>
      </c>
      <c r="D13823">
        <v>20</v>
      </c>
      <c r="E13823">
        <f t="shared" si="215"/>
        <v>1.1286466802631224E-39</v>
      </c>
    </row>
    <row r="13824" spans="1:5" x14ac:dyDescent="0.25">
      <c r="A13824">
        <v>19</v>
      </c>
      <c r="B13824">
        <v>9</v>
      </c>
      <c r="C13824">
        <v>1</v>
      </c>
      <c r="D13824">
        <v>19</v>
      </c>
      <c r="E13824">
        <f t="shared" si="215"/>
        <v>2.4454011405700985E-37</v>
      </c>
    </row>
    <row r="13825" spans="1:5" x14ac:dyDescent="0.25">
      <c r="A13825">
        <v>19</v>
      </c>
      <c r="B13825">
        <v>9</v>
      </c>
      <c r="C13825">
        <v>2</v>
      </c>
      <c r="D13825">
        <v>18</v>
      </c>
      <c r="E13825">
        <f t="shared" si="215"/>
        <v>2.124005562095172E-35</v>
      </c>
    </row>
    <row r="13826" spans="1:5" x14ac:dyDescent="0.25">
      <c r="A13826">
        <v>19</v>
      </c>
      <c r="B13826">
        <v>9</v>
      </c>
      <c r="C13826">
        <v>3</v>
      </c>
      <c r="D13826">
        <v>17</v>
      </c>
      <c r="E13826">
        <f t="shared" si="215"/>
        <v>1.0035926280899686E-33</v>
      </c>
    </row>
    <row r="13827" spans="1:5" x14ac:dyDescent="0.25">
      <c r="A13827">
        <v>19</v>
      </c>
      <c r="B13827">
        <v>9</v>
      </c>
      <c r="C13827">
        <v>4</v>
      </c>
      <c r="D13827">
        <v>16</v>
      </c>
      <c r="E13827">
        <f t="shared" si="215"/>
        <v>2.9382961944634075E-32</v>
      </c>
    </row>
    <row r="13828" spans="1:5" x14ac:dyDescent="0.25">
      <c r="A13828">
        <v>19</v>
      </c>
      <c r="B13828">
        <v>9</v>
      </c>
      <c r="C13828">
        <v>5</v>
      </c>
      <c r="D13828">
        <v>15</v>
      </c>
      <c r="E13828">
        <f t="shared" si="215"/>
        <v>5.7355541715925727E-31</v>
      </c>
    </row>
    <row r="13829" spans="1:5" x14ac:dyDescent="0.25">
      <c r="A13829">
        <v>19</v>
      </c>
      <c r="B13829">
        <v>9</v>
      </c>
      <c r="C13829">
        <v>6</v>
      </c>
      <c r="D13829">
        <v>14</v>
      </c>
      <c r="E13829">
        <f t="shared" si="215"/>
        <v>7.821210233989871E-30</v>
      </c>
    </row>
    <row r="13830" spans="1:5" x14ac:dyDescent="0.25">
      <c r="A13830">
        <v>19</v>
      </c>
      <c r="B13830">
        <v>9</v>
      </c>
      <c r="C13830">
        <v>7</v>
      </c>
      <c r="D13830">
        <v>13</v>
      </c>
      <c r="E13830">
        <f t="shared" si="215"/>
        <v>7.6908567300900417E-29</v>
      </c>
    </row>
    <row r="13831" spans="1:5" x14ac:dyDescent="0.25">
      <c r="A13831">
        <v>19</v>
      </c>
      <c r="B13831">
        <v>9</v>
      </c>
      <c r="C13831">
        <v>8</v>
      </c>
      <c r="D13831">
        <v>12</v>
      </c>
      <c r="E13831">
        <f t="shared" si="215"/>
        <v>5.5758711293152812E-28</v>
      </c>
    </row>
    <row r="13832" spans="1:5" x14ac:dyDescent="0.25">
      <c r="A13832">
        <v>19</v>
      </c>
      <c r="B13832">
        <v>9</v>
      </c>
      <c r="C13832">
        <v>9</v>
      </c>
      <c r="D13832">
        <v>11</v>
      </c>
      <c r="E13832">
        <f t="shared" si="215"/>
        <v>3.0269014701997228E-27</v>
      </c>
    </row>
    <row r="13833" spans="1:5" x14ac:dyDescent="0.25">
      <c r="A13833">
        <v>19</v>
      </c>
      <c r="B13833">
        <v>9</v>
      </c>
      <c r="C13833">
        <v>10</v>
      </c>
      <c r="D13833">
        <v>10</v>
      </c>
      <c r="E13833">
        <f t="shared" si="215"/>
        <v>1.2430475370953529E-26</v>
      </c>
    </row>
    <row r="13834" spans="1:5" x14ac:dyDescent="0.25">
      <c r="A13834">
        <v>19</v>
      </c>
      <c r="B13834">
        <v>9</v>
      </c>
      <c r="C13834">
        <v>11</v>
      </c>
      <c r="D13834">
        <v>9</v>
      </c>
      <c r="E13834">
        <f t="shared" si="215"/>
        <v>3.8845235534229785E-26</v>
      </c>
    </row>
    <row r="13835" spans="1:5" x14ac:dyDescent="0.25">
      <c r="A13835">
        <v>19</v>
      </c>
      <c r="B13835">
        <v>9</v>
      </c>
      <c r="C13835">
        <v>12</v>
      </c>
      <c r="D13835">
        <v>8</v>
      </c>
      <c r="E13835">
        <f t="shared" si="215"/>
        <v>9.2543061125665026E-26</v>
      </c>
    </row>
    <row r="13836" spans="1:5" x14ac:dyDescent="0.25">
      <c r="A13836">
        <v>19</v>
      </c>
      <c r="B13836">
        <v>9</v>
      </c>
      <c r="C13836">
        <v>13</v>
      </c>
      <c r="D13836">
        <v>7</v>
      </c>
      <c r="E13836">
        <f t="shared" si="215"/>
        <v>1.6768486289436753E-25</v>
      </c>
    </row>
    <row r="13837" spans="1:5" x14ac:dyDescent="0.25">
      <c r="A13837">
        <v>19</v>
      </c>
      <c r="B13837">
        <v>9</v>
      </c>
      <c r="C13837">
        <v>14</v>
      </c>
      <c r="D13837">
        <v>6</v>
      </c>
      <c r="E13837">
        <f t="shared" si="215"/>
        <v>2.2946349659229235E-25</v>
      </c>
    </row>
    <row r="13838" spans="1:5" x14ac:dyDescent="0.25">
      <c r="A13838">
        <v>19</v>
      </c>
      <c r="B13838">
        <v>9</v>
      </c>
      <c r="C13838">
        <v>15</v>
      </c>
      <c r="D13838">
        <v>5</v>
      </c>
      <c r="E13838">
        <f t="shared" ref="E13838:E13901" si="216">COMBIN(A$4,A13838)*COMBIN(B$4,B13838)*COMBIN(C$4,C13838)*COMBIN(D$4,D13838)/COMBIN($G$4,$F$4)</f>
        <v>2.3405276652413809E-25</v>
      </c>
    </row>
    <row r="13839" spans="1:5" x14ac:dyDescent="0.25">
      <c r="A13839">
        <v>19</v>
      </c>
      <c r="B13839">
        <v>9</v>
      </c>
      <c r="C13839">
        <v>16</v>
      </c>
      <c r="D13839">
        <v>4</v>
      </c>
      <c r="E13839">
        <f t="shared" si="216"/>
        <v>1.7414640366379328E-25</v>
      </c>
    </row>
    <row r="13840" spans="1:5" x14ac:dyDescent="0.25">
      <c r="A13840">
        <v>19</v>
      </c>
      <c r="B13840">
        <v>9</v>
      </c>
      <c r="C13840">
        <v>17</v>
      </c>
      <c r="D13840">
        <v>3</v>
      </c>
      <c r="E13840">
        <f t="shared" si="216"/>
        <v>9.1263890690116299E-26</v>
      </c>
    </row>
    <row r="13841" spans="1:5" x14ac:dyDescent="0.25">
      <c r="A13841">
        <v>19</v>
      </c>
      <c r="B13841">
        <v>9</v>
      </c>
      <c r="C13841">
        <v>18</v>
      </c>
      <c r="D13841">
        <v>2</v>
      </c>
      <c r="E13841">
        <f t="shared" si="216"/>
        <v>3.1743961979170862E-26</v>
      </c>
    </row>
    <row r="13842" spans="1:5" x14ac:dyDescent="0.25">
      <c r="A13842">
        <v>19</v>
      </c>
      <c r="B13842">
        <v>9</v>
      </c>
      <c r="C13842">
        <v>19</v>
      </c>
      <c r="D13842">
        <v>1</v>
      </c>
      <c r="E13842">
        <f t="shared" si="216"/>
        <v>6.5437114606185574E-27</v>
      </c>
    </row>
    <row r="13843" spans="1:5" x14ac:dyDescent="0.25">
      <c r="A13843">
        <v>19</v>
      </c>
      <c r="B13843">
        <v>9</v>
      </c>
      <c r="C13843">
        <v>20</v>
      </c>
      <c r="D13843">
        <v>0</v>
      </c>
      <c r="E13843">
        <f t="shared" si="216"/>
        <v>6.0202145437690775E-28</v>
      </c>
    </row>
    <row r="13844" spans="1:5" x14ac:dyDescent="0.25">
      <c r="A13844">
        <v>19</v>
      </c>
      <c r="B13844">
        <v>10</v>
      </c>
      <c r="C13844">
        <v>0</v>
      </c>
      <c r="D13844">
        <v>19</v>
      </c>
      <c r="E13844">
        <f t="shared" si="216"/>
        <v>1.053403568245581E-37</v>
      </c>
    </row>
    <row r="13845" spans="1:5" x14ac:dyDescent="0.25">
      <c r="A13845">
        <v>19</v>
      </c>
      <c r="B13845">
        <v>10</v>
      </c>
      <c r="C13845">
        <v>1</v>
      </c>
      <c r="D13845">
        <v>18</v>
      </c>
      <c r="E13845">
        <f t="shared" si="216"/>
        <v>1.8585048668332759E-35</v>
      </c>
    </row>
    <row r="13846" spans="1:5" x14ac:dyDescent="0.25">
      <c r="A13846">
        <v>19</v>
      </c>
      <c r="B13846">
        <v>10</v>
      </c>
      <c r="C13846">
        <v>2</v>
      </c>
      <c r="D13846">
        <v>17</v>
      </c>
      <c r="E13846">
        <f t="shared" si="216"/>
        <v>1.3381235041199581E-33</v>
      </c>
    </row>
    <row r="13847" spans="1:5" x14ac:dyDescent="0.25">
      <c r="A13847">
        <v>19</v>
      </c>
      <c r="B13847">
        <v>10</v>
      </c>
      <c r="C13847">
        <v>3</v>
      </c>
      <c r="D13847">
        <v>16</v>
      </c>
      <c r="E13847">
        <f t="shared" si="216"/>
        <v>5.3078898996758352E-32</v>
      </c>
    </row>
    <row r="13848" spans="1:5" x14ac:dyDescent="0.25">
      <c r="A13848">
        <v>19</v>
      </c>
      <c r="B13848">
        <v>10</v>
      </c>
      <c r="C13848">
        <v>4</v>
      </c>
      <c r="D13848">
        <v>15</v>
      </c>
      <c r="E13848">
        <f t="shared" si="216"/>
        <v>1.3163566951196066E-30</v>
      </c>
    </row>
    <row r="13849" spans="1:5" x14ac:dyDescent="0.25">
      <c r="A13849">
        <v>19</v>
      </c>
      <c r="B13849">
        <v>10</v>
      </c>
      <c r="C13849">
        <v>5</v>
      </c>
      <c r="D13849">
        <v>14</v>
      </c>
      <c r="E13849">
        <f t="shared" si="216"/>
        <v>2.1899388655171648E-29</v>
      </c>
    </row>
    <row r="13850" spans="1:5" x14ac:dyDescent="0.25">
      <c r="A13850">
        <v>19</v>
      </c>
      <c r="B13850">
        <v>10</v>
      </c>
      <c r="C13850">
        <v>6</v>
      </c>
      <c r="D13850">
        <v>13</v>
      </c>
      <c r="E13850">
        <f t="shared" si="216"/>
        <v>2.554928676436692E-28</v>
      </c>
    </row>
    <row r="13851" spans="1:5" x14ac:dyDescent="0.25">
      <c r="A13851">
        <v>19</v>
      </c>
      <c r="B13851">
        <v>10</v>
      </c>
      <c r="C13851">
        <v>7</v>
      </c>
      <c r="D13851">
        <v>12</v>
      </c>
      <c r="E13851">
        <f t="shared" si="216"/>
        <v>2.1534398844252121E-27</v>
      </c>
    </row>
    <row r="13852" spans="1:5" x14ac:dyDescent="0.25">
      <c r="A13852">
        <v>19</v>
      </c>
      <c r="B13852">
        <v>10</v>
      </c>
      <c r="C13852">
        <v>8</v>
      </c>
      <c r="D13852">
        <v>11</v>
      </c>
      <c r="E13852">
        <f t="shared" si="216"/>
        <v>1.3382090710356675E-26</v>
      </c>
    </row>
    <row r="13853" spans="1:5" x14ac:dyDescent="0.25">
      <c r="A13853">
        <v>19</v>
      </c>
      <c r="B13853">
        <v>10</v>
      </c>
      <c r="C13853">
        <v>9</v>
      </c>
      <c r="D13853">
        <v>10</v>
      </c>
      <c r="E13853">
        <f t="shared" si="216"/>
        <v>6.2152376854767649E-26</v>
      </c>
    </row>
    <row r="13854" spans="1:5" x14ac:dyDescent="0.25">
      <c r="A13854">
        <v>19</v>
      </c>
      <c r="B13854">
        <v>10</v>
      </c>
      <c r="C13854">
        <v>10</v>
      </c>
      <c r="D13854">
        <v>9</v>
      </c>
      <c r="E13854">
        <f t="shared" si="216"/>
        <v>2.1753331899168684E-25</v>
      </c>
    </row>
    <row r="13855" spans="1:5" x14ac:dyDescent="0.25">
      <c r="A13855">
        <v>19</v>
      </c>
      <c r="B13855">
        <v>10</v>
      </c>
      <c r="C13855">
        <v>11</v>
      </c>
      <c r="D13855">
        <v>8</v>
      </c>
      <c r="E13855">
        <f t="shared" si="216"/>
        <v>5.7582349144858282E-25</v>
      </c>
    </row>
    <row r="13856" spans="1:5" x14ac:dyDescent="0.25">
      <c r="A13856">
        <v>19</v>
      </c>
      <c r="B13856">
        <v>10</v>
      </c>
      <c r="C13856">
        <v>12</v>
      </c>
      <c r="D13856">
        <v>7</v>
      </c>
      <c r="E13856">
        <f t="shared" si="216"/>
        <v>1.1516469828971653E-24</v>
      </c>
    </row>
    <row r="13857" spans="1:5" x14ac:dyDescent="0.25">
      <c r="A13857">
        <v>19</v>
      </c>
      <c r="B13857">
        <v>10</v>
      </c>
      <c r="C13857">
        <v>13</v>
      </c>
      <c r="D13857">
        <v>6</v>
      </c>
      <c r="E13857">
        <f t="shared" si="216"/>
        <v>1.7298017435418962E-24</v>
      </c>
    </row>
    <row r="13858" spans="1:5" x14ac:dyDescent="0.25">
      <c r="A13858">
        <v>19</v>
      </c>
      <c r="B13858">
        <v>10</v>
      </c>
      <c r="C13858">
        <v>14</v>
      </c>
      <c r="D13858">
        <v>5</v>
      </c>
      <c r="E13858">
        <f t="shared" si="216"/>
        <v>1.9274933713752558E-24</v>
      </c>
    </row>
    <row r="13859" spans="1:5" x14ac:dyDescent="0.25">
      <c r="A13859">
        <v>19</v>
      </c>
      <c r="B13859">
        <v>10</v>
      </c>
      <c r="C13859">
        <v>15</v>
      </c>
      <c r="D13859">
        <v>4</v>
      </c>
      <c r="E13859">
        <f t="shared" si="216"/>
        <v>1.5603517768275877E-24</v>
      </c>
    </row>
    <row r="13860" spans="1:5" x14ac:dyDescent="0.25">
      <c r="A13860">
        <v>19</v>
      </c>
      <c r="B13860">
        <v>10</v>
      </c>
      <c r="C13860">
        <v>16</v>
      </c>
      <c r="D13860">
        <v>3</v>
      </c>
      <c r="E13860">
        <f t="shared" si="216"/>
        <v>8.8656350956112945E-25</v>
      </c>
    </row>
    <row r="13861" spans="1:5" x14ac:dyDescent="0.25">
      <c r="A13861">
        <v>19</v>
      </c>
      <c r="B13861">
        <v>10</v>
      </c>
      <c r="C13861">
        <v>17</v>
      </c>
      <c r="D13861">
        <v>2</v>
      </c>
      <c r="E13861">
        <f t="shared" si="216"/>
        <v>3.333116007812944E-25</v>
      </c>
    </row>
    <row r="13862" spans="1:5" x14ac:dyDescent="0.25">
      <c r="A13862">
        <v>19</v>
      </c>
      <c r="B13862">
        <v>10</v>
      </c>
      <c r="C13862">
        <v>18</v>
      </c>
      <c r="D13862">
        <v>1</v>
      </c>
      <c r="E13862">
        <f t="shared" si="216"/>
        <v>7.4069244618065355E-26</v>
      </c>
    </row>
    <row r="13863" spans="1:5" x14ac:dyDescent="0.25">
      <c r="A13863">
        <v>19</v>
      </c>
      <c r="B13863">
        <v>10</v>
      </c>
      <c r="C13863">
        <v>19</v>
      </c>
      <c r="D13863">
        <v>0</v>
      </c>
      <c r="E13863">
        <f t="shared" si="216"/>
        <v>7.3289568358927848E-27</v>
      </c>
    </row>
    <row r="13864" spans="1:5" x14ac:dyDescent="0.25">
      <c r="A13864">
        <v>19</v>
      </c>
      <c r="B13864">
        <v>11</v>
      </c>
      <c r="C13864">
        <v>0</v>
      </c>
      <c r="D13864">
        <v>18</v>
      </c>
      <c r="E13864">
        <f t="shared" si="216"/>
        <v>7.2520679419088652E-36</v>
      </c>
    </row>
    <row r="13865" spans="1:5" x14ac:dyDescent="0.25">
      <c r="A13865">
        <v>19</v>
      </c>
      <c r="B13865">
        <v>11</v>
      </c>
      <c r="C13865">
        <v>1</v>
      </c>
      <c r="D13865">
        <v>17</v>
      </c>
      <c r="E13865">
        <f t="shared" si="216"/>
        <v>1.0606149365041715E-33</v>
      </c>
    </row>
    <row r="13866" spans="1:5" x14ac:dyDescent="0.25">
      <c r="A13866">
        <v>19</v>
      </c>
      <c r="B13866">
        <v>11</v>
      </c>
      <c r="C13866">
        <v>2</v>
      </c>
      <c r="D13866">
        <v>16</v>
      </c>
      <c r="E13866">
        <f t="shared" si="216"/>
        <v>6.4108280606474361E-32</v>
      </c>
    </row>
    <row r="13867" spans="1:5" x14ac:dyDescent="0.25">
      <c r="A13867">
        <v>19</v>
      </c>
      <c r="B13867">
        <v>11</v>
      </c>
      <c r="C13867">
        <v>3</v>
      </c>
      <c r="D13867">
        <v>15</v>
      </c>
      <c r="E13867">
        <f t="shared" si="216"/>
        <v>2.1540382283775379E-30</v>
      </c>
    </row>
    <row r="13868" spans="1:5" x14ac:dyDescent="0.25">
      <c r="A13868">
        <v>19</v>
      </c>
      <c r="B13868">
        <v>11</v>
      </c>
      <c r="C13868">
        <v>4</v>
      </c>
      <c r="D13868">
        <v>14</v>
      </c>
      <c r="E13868">
        <f t="shared" si="216"/>
        <v>4.5528535281616148E-29</v>
      </c>
    </row>
    <row r="13869" spans="1:5" x14ac:dyDescent="0.25">
      <c r="A13869">
        <v>19</v>
      </c>
      <c r="B13869">
        <v>11</v>
      </c>
      <c r="C13869">
        <v>5</v>
      </c>
      <c r="D13869">
        <v>13</v>
      </c>
      <c r="E13869">
        <f t="shared" si="216"/>
        <v>6.4802281884167E-28</v>
      </c>
    </row>
    <row r="13870" spans="1:5" x14ac:dyDescent="0.25">
      <c r="A13870">
        <v>19</v>
      </c>
      <c r="B13870">
        <v>11</v>
      </c>
      <c r="C13870">
        <v>6</v>
      </c>
      <c r="D13870">
        <v>12</v>
      </c>
      <c r="E13870">
        <f t="shared" si="216"/>
        <v>6.480228188416701E-27</v>
      </c>
    </row>
    <row r="13871" spans="1:5" x14ac:dyDescent="0.25">
      <c r="A13871">
        <v>19</v>
      </c>
      <c r="B13871">
        <v>11</v>
      </c>
      <c r="C13871">
        <v>7</v>
      </c>
      <c r="D13871">
        <v>11</v>
      </c>
      <c r="E13871">
        <f t="shared" si="216"/>
        <v>4.6816342422439002E-26</v>
      </c>
    </row>
    <row r="13872" spans="1:5" x14ac:dyDescent="0.25">
      <c r="A13872">
        <v>19</v>
      </c>
      <c r="B13872">
        <v>11</v>
      </c>
      <c r="C13872">
        <v>8</v>
      </c>
      <c r="D13872">
        <v>10</v>
      </c>
      <c r="E13872">
        <f t="shared" si="216"/>
        <v>2.489068872126341E-25</v>
      </c>
    </row>
    <row r="13873" spans="1:5" x14ac:dyDescent="0.25">
      <c r="A13873">
        <v>19</v>
      </c>
      <c r="B13873">
        <v>11</v>
      </c>
      <c r="C13873">
        <v>9</v>
      </c>
      <c r="D13873">
        <v>9</v>
      </c>
      <c r="E13873">
        <f t="shared" si="216"/>
        <v>9.8525642855000995E-25</v>
      </c>
    </row>
    <row r="13874" spans="1:5" x14ac:dyDescent="0.25">
      <c r="A13874">
        <v>19</v>
      </c>
      <c r="B13874">
        <v>11</v>
      </c>
      <c r="C13874">
        <v>10</v>
      </c>
      <c r="D13874">
        <v>8</v>
      </c>
      <c r="E13874">
        <f t="shared" si="216"/>
        <v>2.9209955293482648E-24</v>
      </c>
    </row>
    <row r="13875" spans="1:5" x14ac:dyDescent="0.25">
      <c r="A13875">
        <v>19</v>
      </c>
      <c r="B13875">
        <v>11</v>
      </c>
      <c r="C13875">
        <v>11</v>
      </c>
      <c r="D13875">
        <v>7</v>
      </c>
      <c r="E13875">
        <f t="shared" si="216"/>
        <v>6.4911011763294796E-24</v>
      </c>
    </row>
    <row r="13876" spans="1:5" x14ac:dyDescent="0.25">
      <c r="A13876">
        <v>19</v>
      </c>
      <c r="B13876">
        <v>11</v>
      </c>
      <c r="C13876">
        <v>12</v>
      </c>
      <c r="D13876">
        <v>6</v>
      </c>
      <c r="E13876">
        <f t="shared" si="216"/>
        <v>1.0761562476546232E-23</v>
      </c>
    </row>
    <row r="13877" spans="1:5" x14ac:dyDescent="0.25">
      <c r="A13877">
        <v>19</v>
      </c>
      <c r="B13877">
        <v>11</v>
      </c>
      <c r="C13877">
        <v>13</v>
      </c>
      <c r="D13877">
        <v>5</v>
      </c>
      <c r="E13877">
        <f t="shared" si="216"/>
        <v>1.3162218721314244E-23</v>
      </c>
    </row>
    <row r="13878" spans="1:5" x14ac:dyDescent="0.25">
      <c r="A13878">
        <v>19</v>
      </c>
      <c r="B13878">
        <v>11</v>
      </c>
      <c r="C13878">
        <v>14</v>
      </c>
      <c r="D13878">
        <v>4</v>
      </c>
      <c r="E13878">
        <f t="shared" si="216"/>
        <v>1.1640057372590834E-23</v>
      </c>
    </row>
    <row r="13879" spans="1:5" x14ac:dyDescent="0.25">
      <c r="A13879">
        <v>19</v>
      </c>
      <c r="B13879">
        <v>11</v>
      </c>
      <c r="C13879">
        <v>15</v>
      </c>
      <c r="D13879">
        <v>3</v>
      </c>
      <c r="E13879">
        <f t="shared" si="216"/>
        <v>7.1956718303288747E-24</v>
      </c>
    </row>
    <row r="13880" spans="1:5" x14ac:dyDescent="0.25">
      <c r="A13880">
        <v>19</v>
      </c>
      <c r="B13880">
        <v>11</v>
      </c>
      <c r="C13880">
        <v>16</v>
      </c>
      <c r="D13880">
        <v>2</v>
      </c>
      <c r="E13880">
        <f t="shared" si="216"/>
        <v>2.933018409101444E-24</v>
      </c>
    </row>
    <row r="13881" spans="1:5" x14ac:dyDescent="0.25">
      <c r="A13881">
        <v>19</v>
      </c>
      <c r="B13881">
        <v>11</v>
      </c>
      <c r="C13881">
        <v>17</v>
      </c>
      <c r="D13881">
        <v>1</v>
      </c>
      <c r="E13881">
        <f t="shared" si="216"/>
        <v>7.0449951983319039E-25</v>
      </c>
    </row>
    <row r="13882" spans="1:5" x14ac:dyDescent="0.25">
      <c r="A13882">
        <v>19</v>
      </c>
      <c r="B13882">
        <v>11</v>
      </c>
      <c r="C13882">
        <v>18</v>
      </c>
      <c r="D13882">
        <v>0</v>
      </c>
      <c r="E13882">
        <f t="shared" si="216"/>
        <v>7.5146615448873567E-26</v>
      </c>
    </row>
    <row r="13883" spans="1:5" x14ac:dyDescent="0.25">
      <c r="A13883">
        <v>19</v>
      </c>
      <c r="B13883">
        <v>12</v>
      </c>
      <c r="C13883">
        <v>0</v>
      </c>
      <c r="D13883">
        <v>17</v>
      </c>
      <c r="E13883">
        <f t="shared" si="216"/>
        <v>3.7801404147199951E-34</v>
      </c>
    </row>
    <row r="13884" spans="1:5" x14ac:dyDescent="0.25">
      <c r="A13884">
        <v>19</v>
      </c>
      <c r="B13884">
        <v>12</v>
      </c>
      <c r="C13884">
        <v>1</v>
      </c>
      <c r="D13884">
        <v>16</v>
      </c>
      <c r="E13884">
        <f t="shared" si="216"/>
        <v>4.6411723980728822E-32</v>
      </c>
    </row>
    <row r="13885" spans="1:5" x14ac:dyDescent="0.25">
      <c r="A13885">
        <v>19</v>
      </c>
      <c r="B13885">
        <v>12</v>
      </c>
      <c r="C13885">
        <v>2</v>
      </c>
      <c r="D13885">
        <v>15</v>
      </c>
      <c r="E13885">
        <f t="shared" si="216"/>
        <v>2.3762802678133155E-30</v>
      </c>
    </row>
    <row r="13886" spans="1:5" x14ac:dyDescent="0.25">
      <c r="A13886">
        <v>19</v>
      </c>
      <c r="B13886">
        <v>12</v>
      </c>
      <c r="C13886">
        <v>3</v>
      </c>
      <c r="D13886">
        <v>14</v>
      </c>
      <c r="E13886">
        <f t="shared" si="216"/>
        <v>6.804802585101768E-29</v>
      </c>
    </row>
    <row r="13887" spans="1:5" x14ac:dyDescent="0.25">
      <c r="A13887">
        <v>19</v>
      </c>
      <c r="B13887">
        <v>12</v>
      </c>
      <c r="C13887">
        <v>4</v>
      </c>
      <c r="D13887">
        <v>13</v>
      </c>
      <c r="E13887">
        <f t="shared" si="216"/>
        <v>1.2305351341392366E-27</v>
      </c>
    </row>
    <row r="13888" spans="1:5" x14ac:dyDescent="0.25">
      <c r="A13888">
        <v>19</v>
      </c>
      <c r="B13888">
        <v>12</v>
      </c>
      <c r="C13888">
        <v>5</v>
      </c>
      <c r="D13888">
        <v>12</v>
      </c>
      <c r="E13888">
        <f t="shared" si="216"/>
        <v>1.5012528636498688E-26</v>
      </c>
    </row>
    <row r="13889" spans="1:5" x14ac:dyDescent="0.25">
      <c r="A13889">
        <v>19</v>
      </c>
      <c r="B13889">
        <v>12</v>
      </c>
      <c r="C13889">
        <v>6</v>
      </c>
      <c r="D13889">
        <v>11</v>
      </c>
      <c r="E13889">
        <f t="shared" si="216"/>
        <v>1.2867881688427443E-25</v>
      </c>
    </row>
    <row r="13890" spans="1:5" x14ac:dyDescent="0.25">
      <c r="A13890">
        <v>19</v>
      </c>
      <c r="B13890">
        <v>12</v>
      </c>
      <c r="C13890">
        <v>7</v>
      </c>
      <c r="D13890">
        <v>10</v>
      </c>
      <c r="E13890">
        <f t="shared" si="216"/>
        <v>7.9535763959899141E-25</v>
      </c>
    </row>
    <row r="13891" spans="1:5" x14ac:dyDescent="0.25">
      <c r="A13891">
        <v>19</v>
      </c>
      <c r="B13891">
        <v>12</v>
      </c>
      <c r="C13891">
        <v>8</v>
      </c>
      <c r="D13891">
        <v>9</v>
      </c>
      <c r="E13891">
        <f t="shared" si="216"/>
        <v>3.6039643044329313E-24</v>
      </c>
    </row>
    <row r="13892" spans="1:5" x14ac:dyDescent="0.25">
      <c r="A13892">
        <v>19</v>
      </c>
      <c r="B13892">
        <v>12</v>
      </c>
      <c r="C13892">
        <v>9</v>
      </c>
      <c r="D13892">
        <v>8</v>
      </c>
      <c r="E13892">
        <f t="shared" si="216"/>
        <v>1.2083880314863355E-23</v>
      </c>
    </row>
    <row r="13893" spans="1:5" x14ac:dyDescent="0.25">
      <c r="A13893">
        <v>19</v>
      </c>
      <c r="B13893">
        <v>12</v>
      </c>
      <c r="C13893">
        <v>10</v>
      </c>
      <c r="D13893">
        <v>7</v>
      </c>
      <c r="E13893">
        <f t="shared" si="216"/>
        <v>3.0075435450326588E-23</v>
      </c>
    </row>
    <row r="13894" spans="1:5" x14ac:dyDescent="0.25">
      <c r="A13894">
        <v>19</v>
      </c>
      <c r="B13894">
        <v>12</v>
      </c>
      <c r="C13894">
        <v>11</v>
      </c>
      <c r="D13894">
        <v>6</v>
      </c>
      <c r="E13894">
        <f t="shared" si="216"/>
        <v>5.5402117934812122E-23</v>
      </c>
    </row>
    <row r="13895" spans="1:5" x14ac:dyDescent="0.25">
      <c r="A13895">
        <v>19</v>
      </c>
      <c r="B13895">
        <v>12</v>
      </c>
      <c r="C13895">
        <v>12</v>
      </c>
      <c r="D13895">
        <v>5</v>
      </c>
      <c r="E13895">
        <f t="shared" si="216"/>
        <v>7.4792859211996308E-23</v>
      </c>
    </row>
    <row r="13896" spans="1:5" x14ac:dyDescent="0.25">
      <c r="A13896">
        <v>19</v>
      </c>
      <c r="B13896">
        <v>12</v>
      </c>
      <c r="C13896">
        <v>13</v>
      </c>
      <c r="D13896">
        <v>4</v>
      </c>
      <c r="E13896">
        <f t="shared" si="216"/>
        <v>7.2601127073915883E-23</v>
      </c>
    </row>
    <row r="13897" spans="1:5" x14ac:dyDescent="0.25">
      <c r="A13897">
        <v>19</v>
      </c>
      <c r="B13897">
        <v>12</v>
      </c>
      <c r="C13897">
        <v>14</v>
      </c>
      <c r="D13897">
        <v>3</v>
      </c>
      <c r="E13897">
        <f t="shared" si="216"/>
        <v>4.9029332569397745E-23</v>
      </c>
    </row>
    <row r="13898" spans="1:5" x14ac:dyDescent="0.25">
      <c r="A13898">
        <v>19</v>
      </c>
      <c r="B13898">
        <v>12</v>
      </c>
      <c r="C13898">
        <v>15</v>
      </c>
      <c r="D13898">
        <v>2</v>
      </c>
      <c r="E13898">
        <f t="shared" si="216"/>
        <v>2.1743443139472032E-23</v>
      </c>
    </row>
    <row r="13899" spans="1:5" x14ac:dyDescent="0.25">
      <c r="A13899">
        <v>19</v>
      </c>
      <c r="B13899">
        <v>12</v>
      </c>
      <c r="C13899">
        <v>16</v>
      </c>
      <c r="D13899">
        <v>1</v>
      </c>
      <c r="E13899">
        <f t="shared" si="216"/>
        <v>5.6623549842375082E-24</v>
      </c>
    </row>
    <row r="13900" spans="1:5" x14ac:dyDescent="0.25">
      <c r="A13900">
        <v>19</v>
      </c>
      <c r="B13900">
        <v>12</v>
      </c>
      <c r="C13900">
        <v>17</v>
      </c>
      <c r="D13900">
        <v>0</v>
      </c>
      <c r="E13900">
        <f t="shared" si="216"/>
        <v>6.528362217120896E-25</v>
      </c>
    </row>
    <row r="13901" spans="1:5" x14ac:dyDescent="0.25">
      <c r="A13901">
        <v>19</v>
      </c>
      <c r="B13901">
        <v>13</v>
      </c>
      <c r="C13901">
        <v>0</v>
      </c>
      <c r="D13901">
        <v>16</v>
      </c>
      <c r="E13901">
        <f t="shared" si="216"/>
        <v>1.5214257446937145E-32</v>
      </c>
    </row>
    <row r="13902" spans="1:5" x14ac:dyDescent="0.25">
      <c r="A13902">
        <v>19</v>
      </c>
      <c r="B13902">
        <v>13</v>
      </c>
      <c r="C13902">
        <v>1</v>
      </c>
      <c r="D13902">
        <v>15</v>
      </c>
      <c r="E13902">
        <f t="shared" ref="E13902:E13965" si="217">COMBIN(A$4,A13902)*COMBIN(B$4,B13902)*COMBIN(C$4,C13902)*COMBIN(D$4,D13902)/COMBIN($G$4,$F$4)</f>
        <v>1.5822827744814625E-30</v>
      </c>
    </row>
    <row r="13903" spans="1:5" x14ac:dyDescent="0.25">
      <c r="A13903">
        <v>19</v>
      </c>
      <c r="B13903">
        <v>13</v>
      </c>
      <c r="C13903">
        <v>2</v>
      </c>
      <c r="D13903">
        <v>14</v>
      </c>
      <c r="E13903">
        <f t="shared" si="217"/>
        <v>6.9045066522827462E-29</v>
      </c>
    </row>
    <row r="13904" spans="1:5" x14ac:dyDescent="0.25">
      <c r="A13904">
        <v>19</v>
      </c>
      <c r="B13904">
        <v>13</v>
      </c>
      <c r="C13904">
        <v>3</v>
      </c>
      <c r="D13904">
        <v>13</v>
      </c>
      <c r="E13904">
        <f t="shared" si="217"/>
        <v>1.6916041298092735E-27</v>
      </c>
    </row>
    <row r="13905" spans="1:5" x14ac:dyDescent="0.25">
      <c r="A13905">
        <v>19</v>
      </c>
      <c r="B13905">
        <v>13</v>
      </c>
      <c r="C13905">
        <v>4</v>
      </c>
      <c r="D13905">
        <v>12</v>
      </c>
      <c r="E13905">
        <f t="shared" si="217"/>
        <v>2.6219864012043738E-26</v>
      </c>
    </row>
    <row r="13906" spans="1:5" x14ac:dyDescent="0.25">
      <c r="A13906">
        <v>19</v>
      </c>
      <c r="B13906">
        <v>13</v>
      </c>
      <c r="C13906">
        <v>5</v>
      </c>
      <c r="D13906">
        <v>11</v>
      </c>
      <c r="E13906">
        <f t="shared" si="217"/>
        <v>2.7418486366880019E-25</v>
      </c>
    </row>
    <row r="13907" spans="1:5" x14ac:dyDescent="0.25">
      <c r="A13907">
        <v>19</v>
      </c>
      <c r="B13907">
        <v>13</v>
      </c>
      <c r="C13907">
        <v>6</v>
      </c>
      <c r="D13907">
        <v>10</v>
      </c>
      <c r="E13907">
        <f t="shared" si="217"/>
        <v>2.0106890002378676E-24</v>
      </c>
    </row>
    <row r="13908" spans="1:5" x14ac:dyDescent="0.25">
      <c r="A13908">
        <v>19</v>
      </c>
      <c r="B13908">
        <v>13</v>
      </c>
      <c r="C13908">
        <v>7</v>
      </c>
      <c r="D13908">
        <v>9</v>
      </c>
      <c r="E13908">
        <f t="shared" si="217"/>
        <v>1.0592022411967338E-23</v>
      </c>
    </row>
    <row r="13909" spans="1:5" x14ac:dyDescent="0.25">
      <c r="A13909">
        <v>19</v>
      </c>
      <c r="B13909">
        <v>13</v>
      </c>
      <c r="C13909">
        <v>8</v>
      </c>
      <c r="D13909">
        <v>8</v>
      </c>
      <c r="E13909">
        <f t="shared" si="217"/>
        <v>4.0654674257698187E-23</v>
      </c>
    </row>
    <row r="13910" spans="1:5" x14ac:dyDescent="0.25">
      <c r="A13910">
        <v>19</v>
      </c>
      <c r="B13910">
        <v>13</v>
      </c>
      <c r="C13910">
        <v>9</v>
      </c>
      <c r="D13910">
        <v>7</v>
      </c>
      <c r="E13910">
        <f t="shared" si="217"/>
        <v>1.1443537939203933E-22</v>
      </c>
    </row>
    <row r="13911" spans="1:5" x14ac:dyDescent="0.25">
      <c r="A13911">
        <v>19</v>
      </c>
      <c r="B13911">
        <v>13</v>
      </c>
      <c r="C13911">
        <v>10</v>
      </c>
      <c r="D13911">
        <v>6</v>
      </c>
      <c r="E13911">
        <f t="shared" si="217"/>
        <v>2.360982564298916E-22</v>
      </c>
    </row>
    <row r="13912" spans="1:5" x14ac:dyDescent="0.25">
      <c r="A13912">
        <v>19</v>
      </c>
      <c r="B13912">
        <v>13</v>
      </c>
      <c r="C13912">
        <v>11</v>
      </c>
      <c r="D13912">
        <v>5</v>
      </c>
      <c r="E13912">
        <f t="shared" si="217"/>
        <v>3.5414738464483747E-22</v>
      </c>
    </row>
    <row r="13913" spans="1:5" x14ac:dyDescent="0.25">
      <c r="A13913">
        <v>19</v>
      </c>
      <c r="B13913">
        <v>13</v>
      </c>
      <c r="C13913">
        <v>12</v>
      </c>
      <c r="D13913">
        <v>4</v>
      </c>
      <c r="E13913">
        <f t="shared" si="217"/>
        <v>3.7944362640518283E-22</v>
      </c>
    </row>
    <row r="13914" spans="1:5" x14ac:dyDescent="0.25">
      <c r="A13914">
        <v>19</v>
      </c>
      <c r="B13914">
        <v>13</v>
      </c>
      <c r="C13914">
        <v>13</v>
      </c>
      <c r="D13914">
        <v>3</v>
      </c>
      <c r="E13914">
        <f t="shared" si="217"/>
        <v>2.8126590488775803E-22</v>
      </c>
    </row>
    <row r="13915" spans="1:5" x14ac:dyDescent="0.25">
      <c r="A13915">
        <v>19</v>
      </c>
      <c r="B13915">
        <v>13</v>
      </c>
      <c r="C13915">
        <v>14</v>
      </c>
      <c r="D13915">
        <v>2</v>
      </c>
      <c r="E13915">
        <f t="shared" si="217"/>
        <v>1.3626546944872751E-22</v>
      </c>
    </row>
    <row r="13916" spans="1:5" x14ac:dyDescent="0.25">
      <c r="A13916">
        <v>19</v>
      </c>
      <c r="B13916">
        <v>13</v>
      </c>
      <c r="C13916">
        <v>15</v>
      </c>
      <c r="D13916">
        <v>1</v>
      </c>
      <c r="E13916">
        <f t="shared" si="217"/>
        <v>3.8608549677139442E-23</v>
      </c>
    </row>
    <row r="13917" spans="1:5" x14ac:dyDescent="0.25">
      <c r="A13917">
        <v>19</v>
      </c>
      <c r="B13917">
        <v>13</v>
      </c>
      <c r="C13917">
        <v>16</v>
      </c>
      <c r="D13917">
        <v>0</v>
      </c>
      <c r="E13917">
        <f t="shared" si="217"/>
        <v>4.826068709642431E-24</v>
      </c>
    </row>
    <row r="13918" spans="1:5" x14ac:dyDescent="0.25">
      <c r="A13918">
        <v>19</v>
      </c>
      <c r="B13918">
        <v>14</v>
      </c>
      <c r="C13918">
        <v>0</v>
      </c>
      <c r="D13918">
        <v>15</v>
      </c>
      <c r="E13918">
        <f t="shared" si="217"/>
        <v>4.7990114918338867E-31</v>
      </c>
    </row>
    <row r="13919" spans="1:5" x14ac:dyDescent="0.25">
      <c r="A13919">
        <v>19</v>
      </c>
      <c r="B13919">
        <v>14</v>
      </c>
      <c r="C13919">
        <v>1</v>
      </c>
      <c r="D13919">
        <v>14</v>
      </c>
      <c r="E13919">
        <f t="shared" si="217"/>
        <v>4.2536692768527638E-29</v>
      </c>
    </row>
    <row r="13920" spans="1:5" x14ac:dyDescent="0.25">
      <c r="A13920">
        <v>19</v>
      </c>
      <c r="B13920">
        <v>14</v>
      </c>
      <c r="C13920">
        <v>2</v>
      </c>
      <c r="D13920">
        <v>13</v>
      </c>
      <c r="E13920">
        <f t="shared" si="217"/>
        <v>1.588036530025032E-27</v>
      </c>
    </row>
    <row r="13921" spans="1:5" x14ac:dyDescent="0.25">
      <c r="A13921">
        <v>19</v>
      </c>
      <c r="B13921">
        <v>14</v>
      </c>
      <c r="C13921">
        <v>3</v>
      </c>
      <c r="D13921">
        <v>12</v>
      </c>
      <c r="E13921">
        <f t="shared" si="217"/>
        <v>3.3348767130525677E-26</v>
      </c>
    </row>
    <row r="13922" spans="1:5" x14ac:dyDescent="0.25">
      <c r="A13922">
        <v>19</v>
      </c>
      <c r="B13922">
        <v>14</v>
      </c>
      <c r="C13922">
        <v>4</v>
      </c>
      <c r="D13922">
        <v>11</v>
      </c>
      <c r="E13922">
        <f t="shared" si="217"/>
        <v>4.4306219187698395E-25</v>
      </c>
    </row>
    <row r="13923" spans="1:5" x14ac:dyDescent="0.25">
      <c r="A13923">
        <v>19</v>
      </c>
      <c r="B13923">
        <v>14</v>
      </c>
      <c r="C13923">
        <v>5</v>
      </c>
      <c r="D13923">
        <v>10</v>
      </c>
      <c r="E13923">
        <f t="shared" si="217"/>
        <v>3.963929743326082E-24</v>
      </c>
    </row>
    <row r="13924" spans="1:5" x14ac:dyDescent="0.25">
      <c r="A13924">
        <v>19</v>
      </c>
      <c r="B13924">
        <v>14</v>
      </c>
      <c r="C13924">
        <v>6</v>
      </c>
      <c r="D13924">
        <v>9</v>
      </c>
      <c r="E13924">
        <f t="shared" si="217"/>
        <v>2.4774560895788017E-23</v>
      </c>
    </row>
    <row r="13925" spans="1:5" x14ac:dyDescent="0.25">
      <c r="A13925">
        <v>19</v>
      </c>
      <c r="B13925">
        <v>14</v>
      </c>
      <c r="C13925">
        <v>7</v>
      </c>
      <c r="D13925">
        <v>8</v>
      </c>
      <c r="E13925">
        <f t="shared" si="217"/>
        <v>1.1054867088792802E-22</v>
      </c>
    </row>
    <row r="13926" spans="1:5" x14ac:dyDescent="0.25">
      <c r="A13926">
        <v>19</v>
      </c>
      <c r="B13926">
        <v>14</v>
      </c>
      <c r="C13926">
        <v>8</v>
      </c>
      <c r="D13926">
        <v>7</v>
      </c>
      <c r="E13926">
        <f t="shared" si="217"/>
        <v>3.5621238397221271E-22</v>
      </c>
    </row>
    <row r="13927" spans="1:5" x14ac:dyDescent="0.25">
      <c r="A13927">
        <v>19</v>
      </c>
      <c r="B13927">
        <v>14</v>
      </c>
      <c r="C13927">
        <v>9</v>
      </c>
      <c r="D13927">
        <v>6</v>
      </c>
      <c r="E13927">
        <f t="shared" si="217"/>
        <v>8.3116222926849586E-22</v>
      </c>
    </row>
    <row r="13928" spans="1:5" x14ac:dyDescent="0.25">
      <c r="A13928">
        <v>19</v>
      </c>
      <c r="B13928">
        <v>14</v>
      </c>
      <c r="C13928">
        <v>10</v>
      </c>
      <c r="D13928">
        <v>5</v>
      </c>
      <c r="E13928">
        <f t="shared" si="217"/>
        <v>1.3963525451710731E-21</v>
      </c>
    </row>
    <row r="13929" spans="1:5" x14ac:dyDescent="0.25">
      <c r="A13929">
        <v>19</v>
      </c>
      <c r="B13929">
        <v>14</v>
      </c>
      <c r="C13929">
        <v>11</v>
      </c>
      <c r="D13929">
        <v>4</v>
      </c>
      <c r="E13929">
        <f t="shared" si="217"/>
        <v>1.6623244585369925E-21</v>
      </c>
    </row>
    <row r="13930" spans="1:5" x14ac:dyDescent="0.25">
      <c r="A13930">
        <v>19</v>
      </c>
      <c r="B13930">
        <v>14</v>
      </c>
      <c r="C13930">
        <v>12</v>
      </c>
      <c r="D13930">
        <v>3</v>
      </c>
      <c r="E13930">
        <f t="shared" si="217"/>
        <v>1.3600836478939018E-21</v>
      </c>
    </row>
    <row r="13931" spans="1:5" x14ac:dyDescent="0.25">
      <c r="A13931">
        <v>19</v>
      </c>
      <c r="B13931">
        <v>14</v>
      </c>
      <c r="C13931">
        <v>13</v>
      </c>
      <c r="D13931">
        <v>2</v>
      </c>
      <c r="E13931">
        <f t="shared" si="217"/>
        <v>7.2325518399709197E-22</v>
      </c>
    </row>
    <row r="13932" spans="1:5" x14ac:dyDescent="0.25">
      <c r="A13932">
        <v>19</v>
      </c>
      <c r="B13932">
        <v>14</v>
      </c>
      <c r="C13932">
        <v>14</v>
      </c>
      <c r="D13932">
        <v>1</v>
      </c>
      <c r="E13932">
        <f t="shared" si="217"/>
        <v>2.2386469980862372E-22</v>
      </c>
    </row>
    <row r="13933" spans="1:5" x14ac:dyDescent="0.25">
      <c r="A13933">
        <v>19</v>
      </c>
      <c r="B13933">
        <v>14</v>
      </c>
      <c r="C13933">
        <v>15</v>
      </c>
      <c r="D13933">
        <v>0</v>
      </c>
      <c r="E13933">
        <f t="shared" si="217"/>
        <v>3.044559917397282E-23</v>
      </c>
    </row>
    <row r="13934" spans="1:5" x14ac:dyDescent="0.25">
      <c r="A13934">
        <v>19</v>
      </c>
      <c r="B13934">
        <v>15</v>
      </c>
      <c r="C13934">
        <v>0</v>
      </c>
      <c r="D13934">
        <v>14</v>
      </c>
      <c r="E13934">
        <f t="shared" si="217"/>
        <v>1.1997528729584719E-29</v>
      </c>
    </row>
    <row r="13935" spans="1:5" x14ac:dyDescent="0.25">
      <c r="A13935">
        <v>19</v>
      </c>
      <c r="B13935">
        <v>15</v>
      </c>
      <c r="C13935">
        <v>1</v>
      </c>
      <c r="D13935">
        <v>13</v>
      </c>
      <c r="E13935">
        <f t="shared" si="217"/>
        <v>9.0981259532684126E-28</v>
      </c>
    </row>
    <row r="13936" spans="1:5" x14ac:dyDescent="0.25">
      <c r="A13936">
        <v>19</v>
      </c>
      <c r="B13936">
        <v>15</v>
      </c>
      <c r="C13936">
        <v>2</v>
      </c>
      <c r="D13936">
        <v>12</v>
      </c>
      <c r="E13936">
        <f t="shared" si="217"/>
        <v>2.911400305045892E-26</v>
      </c>
    </row>
    <row r="13937" spans="1:5" x14ac:dyDescent="0.25">
      <c r="A13937">
        <v>19</v>
      </c>
      <c r="B13937">
        <v>15</v>
      </c>
      <c r="C13937">
        <v>3</v>
      </c>
      <c r="D13937">
        <v>11</v>
      </c>
      <c r="E13937">
        <f t="shared" si="217"/>
        <v>5.2405205490826053E-25</v>
      </c>
    </row>
    <row r="13938" spans="1:5" x14ac:dyDescent="0.25">
      <c r="A13938">
        <v>19</v>
      </c>
      <c r="B13938">
        <v>15</v>
      </c>
      <c r="C13938">
        <v>4</v>
      </c>
      <c r="D13938">
        <v>10</v>
      </c>
      <c r="E13938">
        <f t="shared" si="217"/>
        <v>5.9567250241238928E-24</v>
      </c>
    </row>
    <row r="13939" spans="1:5" x14ac:dyDescent="0.25">
      <c r="A13939">
        <v>19</v>
      </c>
      <c r="B13939">
        <v>15</v>
      </c>
      <c r="C13939">
        <v>5</v>
      </c>
      <c r="D13939">
        <v>9</v>
      </c>
      <c r="E13939">
        <f t="shared" si="217"/>
        <v>4.5420028308944698E-23</v>
      </c>
    </row>
    <row r="13940" spans="1:5" x14ac:dyDescent="0.25">
      <c r="A13940">
        <v>19</v>
      </c>
      <c r="B13940">
        <v>15</v>
      </c>
      <c r="C13940">
        <v>6</v>
      </c>
      <c r="D13940">
        <v>8</v>
      </c>
      <c r="E13940">
        <f t="shared" si="217"/>
        <v>2.4045897340029545E-22</v>
      </c>
    </row>
    <row r="13941" spans="1:5" x14ac:dyDescent="0.25">
      <c r="A13941">
        <v>19</v>
      </c>
      <c r="B13941">
        <v>15</v>
      </c>
      <c r="C13941">
        <v>7</v>
      </c>
      <c r="D13941">
        <v>7</v>
      </c>
      <c r="E13941">
        <f t="shared" si="217"/>
        <v>9.0076694797571012E-22</v>
      </c>
    </row>
    <row r="13942" spans="1:5" x14ac:dyDescent="0.25">
      <c r="A13942">
        <v>19</v>
      </c>
      <c r="B13942">
        <v>15</v>
      </c>
      <c r="C13942">
        <v>8</v>
      </c>
      <c r="D13942">
        <v>6</v>
      </c>
      <c r="E13942">
        <f t="shared" si="217"/>
        <v>2.4059959268298567E-21</v>
      </c>
    </row>
    <row r="13943" spans="1:5" x14ac:dyDescent="0.25">
      <c r="A13943">
        <v>19</v>
      </c>
      <c r="B13943">
        <v>15</v>
      </c>
      <c r="C13943">
        <v>9</v>
      </c>
      <c r="D13943">
        <v>5</v>
      </c>
      <c r="E13943">
        <f t="shared" si="217"/>
        <v>4.5713922609767271E-21</v>
      </c>
    </row>
    <row r="13944" spans="1:5" x14ac:dyDescent="0.25">
      <c r="A13944">
        <v>19</v>
      </c>
      <c r="B13944">
        <v>15</v>
      </c>
      <c r="C13944">
        <v>10</v>
      </c>
      <c r="D13944">
        <v>4</v>
      </c>
      <c r="E13944">
        <f t="shared" si="217"/>
        <v>6.0951896813023058E-21</v>
      </c>
    </row>
    <row r="13945" spans="1:5" x14ac:dyDescent="0.25">
      <c r="A13945">
        <v>19</v>
      </c>
      <c r="B13945">
        <v>15</v>
      </c>
      <c r="C13945">
        <v>11</v>
      </c>
      <c r="D13945">
        <v>3</v>
      </c>
      <c r="E13945">
        <f t="shared" si="217"/>
        <v>5.5410815284566408E-21</v>
      </c>
    </row>
    <row r="13946" spans="1:5" x14ac:dyDescent="0.25">
      <c r="A13946">
        <v>19</v>
      </c>
      <c r="B13946">
        <v>15</v>
      </c>
      <c r="C13946">
        <v>12</v>
      </c>
      <c r="D13946">
        <v>2</v>
      </c>
      <c r="E13946">
        <f t="shared" si="217"/>
        <v>3.2523739406158528E-21</v>
      </c>
    </row>
    <row r="13947" spans="1:5" x14ac:dyDescent="0.25">
      <c r="A13947">
        <v>19</v>
      </c>
      <c r="B13947">
        <v>15</v>
      </c>
      <c r="C13947">
        <v>13</v>
      </c>
      <c r="D13947">
        <v>1</v>
      </c>
      <c r="E13947">
        <f t="shared" si="217"/>
        <v>1.104973197773335E-21</v>
      </c>
    </row>
    <row r="13948" spans="1:5" x14ac:dyDescent="0.25">
      <c r="A13948">
        <v>19</v>
      </c>
      <c r="B13948">
        <v>15</v>
      </c>
      <c r="C13948">
        <v>14</v>
      </c>
      <c r="D13948">
        <v>0</v>
      </c>
      <c r="E13948">
        <f t="shared" si="217"/>
        <v>1.6416744652632407E-22</v>
      </c>
    </row>
    <row r="13949" spans="1:5" x14ac:dyDescent="0.25">
      <c r="A13949">
        <v>19</v>
      </c>
      <c r="B13949">
        <v>16</v>
      </c>
      <c r="C13949">
        <v>0</v>
      </c>
      <c r="D13949">
        <v>13</v>
      </c>
      <c r="E13949">
        <f t="shared" si="217"/>
        <v>2.3970062607649472E-28</v>
      </c>
    </row>
    <row r="13950" spans="1:5" x14ac:dyDescent="0.25">
      <c r="A13950">
        <v>19</v>
      </c>
      <c r="B13950">
        <v>16</v>
      </c>
      <c r="C13950">
        <v>1</v>
      </c>
      <c r="D13950">
        <v>12</v>
      </c>
      <c r="E13950">
        <f t="shared" si="217"/>
        <v>1.5580540694972154E-26</v>
      </c>
    </row>
    <row r="13951" spans="1:5" x14ac:dyDescent="0.25">
      <c r="A13951">
        <v>19</v>
      </c>
      <c r="B13951">
        <v>16</v>
      </c>
      <c r="C13951">
        <v>2</v>
      </c>
      <c r="D13951">
        <v>11</v>
      </c>
      <c r="E13951">
        <f t="shared" si="217"/>
        <v>4.273519733478076E-25</v>
      </c>
    </row>
    <row r="13952" spans="1:5" x14ac:dyDescent="0.25">
      <c r="A13952">
        <v>19</v>
      </c>
      <c r="B13952">
        <v>16</v>
      </c>
      <c r="C13952">
        <v>3</v>
      </c>
      <c r="D13952">
        <v>10</v>
      </c>
      <c r="E13952">
        <f t="shared" si="217"/>
        <v>6.5812203895562362E-24</v>
      </c>
    </row>
    <row r="13953" spans="1:5" x14ac:dyDescent="0.25">
      <c r="A13953">
        <v>19</v>
      </c>
      <c r="B13953">
        <v>16</v>
      </c>
      <c r="C13953">
        <v>4</v>
      </c>
      <c r="D13953">
        <v>9</v>
      </c>
      <c r="E13953">
        <f t="shared" si="217"/>
        <v>6.3755572523826054E-23</v>
      </c>
    </row>
    <row r="13954" spans="1:5" x14ac:dyDescent="0.25">
      <c r="A13954">
        <v>19</v>
      </c>
      <c r="B13954">
        <v>16</v>
      </c>
      <c r="C13954">
        <v>5</v>
      </c>
      <c r="D13954">
        <v>8</v>
      </c>
      <c r="E13954">
        <f t="shared" si="217"/>
        <v>4.1178599194800594E-22</v>
      </c>
    </row>
    <row r="13955" spans="1:5" x14ac:dyDescent="0.25">
      <c r="A13955">
        <v>19</v>
      </c>
      <c r="B13955">
        <v>16</v>
      </c>
      <c r="C13955">
        <v>6</v>
      </c>
      <c r="D13955">
        <v>7</v>
      </c>
      <c r="E13955">
        <f t="shared" si="217"/>
        <v>1.8301599642133601E-21</v>
      </c>
    </row>
    <row r="13956" spans="1:5" x14ac:dyDescent="0.25">
      <c r="A13956">
        <v>19</v>
      </c>
      <c r="B13956">
        <v>16</v>
      </c>
      <c r="C13956">
        <v>7</v>
      </c>
      <c r="D13956">
        <v>6</v>
      </c>
      <c r="E13956">
        <f t="shared" si="217"/>
        <v>5.6831283099256959E-21</v>
      </c>
    </row>
    <row r="13957" spans="1:5" x14ac:dyDescent="0.25">
      <c r="A13957">
        <v>19</v>
      </c>
      <c r="B13957">
        <v>16</v>
      </c>
      <c r="C13957">
        <v>8</v>
      </c>
      <c r="D13957">
        <v>5</v>
      </c>
      <c r="E13957">
        <f t="shared" si="217"/>
        <v>1.2360804074088389E-20</v>
      </c>
    </row>
    <row r="13958" spans="1:5" x14ac:dyDescent="0.25">
      <c r="A13958">
        <v>19</v>
      </c>
      <c r="B13958">
        <v>16</v>
      </c>
      <c r="C13958">
        <v>9</v>
      </c>
      <c r="D13958">
        <v>4</v>
      </c>
      <c r="E13958">
        <f t="shared" si="217"/>
        <v>1.8639307730768207E-20</v>
      </c>
    </row>
    <row r="13959" spans="1:5" x14ac:dyDescent="0.25">
      <c r="A13959">
        <v>19</v>
      </c>
      <c r="B13959">
        <v>16</v>
      </c>
      <c r="C13959">
        <v>10</v>
      </c>
      <c r="D13959">
        <v>3</v>
      </c>
      <c r="E13959">
        <f t="shared" si="217"/>
        <v>1.8978204234963994E-20</v>
      </c>
    </row>
    <row r="13960" spans="1:5" x14ac:dyDescent="0.25">
      <c r="A13960">
        <v>19</v>
      </c>
      <c r="B13960">
        <v>16</v>
      </c>
      <c r="C13960">
        <v>11</v>
      </c>
      <c r="D13960">
        <v>2</v>
      </c>
      <c r="E13960">
        <f t="shared" si="217"/>
        <v>1.237708971845478E-20</v>
      </c>
    </row>
    <row r="13961" spans="1:5" x14ac:dyDescent="0.25">
      <c r="A13961">
        <v>19</v>
      </c>
      <c r="B13961">
        <v>16</v>
      </c>
      <c r="C13961">
        <v>12</v>
      </c>
      <c r="D13961">
        <v>1</v>
      </c>
      <c r="E13961">
        <f t="shared" si="217"/>
        <v>4.6414086444205395E-21</v>
      </c>
    </row>
    <row r="13962" spans="1:5" x14ac:dyDescent="0.25">
      <c r="A13962">
        <v>19</v>
      </c>
      <c r="B13962">
        <v>16</v>
      </c>
      <c r="C13962">
        <v>13</v>
      </c>
      <c r="D13962">
        <v>0</v>
      </c>
      <c r="E13962">
        <f t="shared" si="217"/>
        <v>7.5690664047473452E-22</v>
      </c>
    </row>
    <row r="13963" spans="1:5" x14ac:dyDescent="0.25">
      <c r="A13963">
        <v>19</v>
      </c>
      <c r="B13963">
        <v>17</v>
      </c>
      <c r="C13963">
        <v>0</v>
      </c>
      <c r="D13963">
        <v>12</v>
      </c>
      <c r="E13963">
        <f t="shared" si="217"/>
        <v>3.8493100540519455E-27</v>
      </c>
    </row>
    <row r="13964" spans="1:5" x14ac:dyDescent="0.25">
      <c r="A13964">
        <v>19</v>
      </c>
      <c r="B13964">
        <v>17</v>
      </c>
      <c r="C13964">
        <v>1</v>
      </c>
      <c r="D13964">
        <v>11</v>
      </c>
      <c r="E13964">
        <f t="shared" si="217"/>
        <v>2.1446156015432266E-25</v>
      </c>
    </row>
    <row r="13965" spans="1:5" x14ac:dyDescent="0.25">
      <c r="A13965">
        <v>19</v>
      </c>
      <c r="B13965">
        <v>17</v>
      </c>
      <c r="C13965">
        <v>2</v>
      </c>
      <c r="D13965">
        <v>10</v>
      </c>
      <c r="E13965">
        <f t="shared" si="217"/>
        <v>5.0326979449547707E-24</v>
      </c>
    </row>
    <row r="13966" spans="1:5" x14ac:dyDescent="0.25">
      <c r="A13966">
        <v>19</v>
      </c>
      <c r="B13966">
        <v>17</v>
      </c>
      <c r="C13966">
        <v>3</v>
      </c>
      <c r="D13966">
        <v>9</v>
      </c>
      <c r="E13966">
        <f t="shared" ref="E13966:E14029" si="218">COMBIN(A$4,A13966)*COMBIN(B$4,B13966)*COMBIN(C$4,C13966)*COMBIN(D$4,D13966)/COMBIN($G$4,$F$4)</f>
        <v>6.6054160527531382E-23</v>
      </c>
    </row>
    <row r="13967" spans="1:5" x14ac:dyDescent="0.25">
      <c r="A13967">
        <v>19</v>
      </c>
      <c r="B13967">
        <v>17</v>
      </c>
      <c r="C13967">
        <v>4</v>
      </c>
      <c r="D13967">
        <v>8</v>
      </c>
      <c r="E13967">
        <f t="shared" si="218"/>
        <v>5.4203267021121343E-22</v>
      </c>
    </row>
    <row r="13968" spans="1:5" x14ac:dyDescent="0.25">
      <c r="A13968">
        <v>19</v>
      </c>
      <c r="B13968">
        <v>17</v>
      </c>
      <c r="C13968">
        <v>5</v>
      </c>
      <c r="D13968">
        <v>7</v>
      </c>
      <c r="E13968">
        <f t="shared" si="218"/>
        <v>2.939021589589691E-21</v>
      </c>
    </row>
    <row r="13969" spans="1:5" x14ac:dyDescent="0.25">
      <c r="A13969">
        <v>19</v>
      </c>
      <c r="B13969">
        <v>17</v>
      </c>
      <c r="C13969">
        <v>6</v>
      </c>
      <c r="D13969">
        <v>6</v>
      </c>
      <c r="E13969">
        <f t="shared" si="218"/>
        <v>1.08279742774357E-20</v>
      </c>
    </row>
    <row r="13970" spans="1:5" x14ac:dyDescent="0.25">
      <c r="A13970">
        <v>19</v>
      </c>
      <c r="B13970">
        <v>17</v>
      </c>
      <c r="C13970">
        <v>7</v>
      </c>
      <c r="D13970">
        <v>5</v>
      </c>
      <c r="E13970">
        <f t="shared" si="218"/>
        <v>2.7379306387230266E-20</v>
      </c>
    </row>
    <row r="13971" spans="1:5" x14ac:dyDescent="0.25">
      <c r="A13971">
        <v>19</v>
      </c>
      <c r="B13971">
        <v>17</v>
      </c>
      <c r="C13971">
        <v>8</v>
      </c>
      <c r="D13971">
        <v>4</v>
      </c>
      <c r="E13971">
        <f t="shared" si="218"/>
        <v>4.7261897930337979E-20</v>
      </c>
    </row>
    <row r="13972" spans="1:5" x14ac:dyDescent="0.25">
      <c r="A13972">
        <v>19</v>
      </c>
      <c r="B13972">
        <v>17</v>
      </c>
      <c r="C13972">
        <v>9</v>
      </c>
      <c r="D13972">
        <v>3</v>
      </c>
      <c r="E13972">
        <f t="shared" si="218"/>
        <v>5.4422791556146747E-20</v>
      </c>
    </row>
    <row r="13973" spans="1:5" x14ac:dyDescent="0.25">
      <c r="A13973">
        <v>19</v>
      </c>
      <c r="B13973">
        <v>17</v>
      </c>
      <c r="C13973">
        <v>10</v>
      </c>
      <c r="D13973">
        <v>2</v>
      </c>
      <c r="E13973">
        <f t="shared" si="218"/>
        <v>3.9752299919272414E-20</v>
      </c>
    </row>
    <row r="13974" spans="1:5" x14ac:dyDescent="0.25">
      <c r="A13974">
        <v>19</v>
      </c>
      <c r="B13974">
        <v>17</v>
      </c>
      <c r="C13974">
        <v>11</v>
      </c>
      <c r="D13974">
        <v>1</v>
      </c>
      <c r="E13974">
        <f t="shared" si="218"/>
        <v>1.6563458299696842E-20</v>
      </c>
    </row>
    <row r="13975" spans="1:5" x14ac:dyDescent="0.25">
      <c r="A13975">
        <v>19</v>
      </c>
      <c r="B13975">
        <v>17</v>
      </c>
      <c r="C13975">
        <v>12</v>
      </c>
      <c r="D13975">
        <v>0</v>
      </c>
      <c r="E13975">
        <f t="shared" si="218"/>
        <v>2.9814224939454297E-21</v>
      </c>
    </row>
    <row r="13976" spans="1:5" x14ac:dyDescent="0.25">
      <c r="A13976">
        <v>19</v>
      </c>
      <c r="B13976">
        <v>18</v>
      </c>
      <c r="C13976">
        <v>0</v>
      </c>
      <c r="D13976">
        <v>11</v>
      </c>
      <c r="E13976">
        <f t="shared" si="218"/>
        <v>4.9857730223910904E-26</v>
      </c>
    </row>
    <row r="13977" spans="1:5" x14ac:dyDescent="0.25">
      <c r="A13977">
        <v>19</v>
      </c>
      <c r="B13977">
        <v>18</v>
      </c>
      <c r="C13977">
        <v>1</v>
      </c>
      <c r="D13977">
        <v>10</v>
      </c>
      <c r="E13977">
        <f t="shared" si="218"/>
        <v>2.3765518073397529E-24</v>
      </c>
    </row>
    <row r="13978" spans="1:5" x14ac:dyDescent="0.25">
      <c r="A13978">
        <v>19</v>
      </c>
      <c r="B13978">
        <v>18</v>
      </c>
      <c r="C13978">
        <v>2</v>
      </c>
      <c r="D13978">
        <v>9</v>
      </c>
      <c r="E13978">
        <f t="shared" si="218"/>
        <v>4.7531036146795055E-23</v>
      </c>
    </row>
    <row r="13979" spans="1:5" x14ac:dyDescent="0.25">
      <c r="A13979">
        <v>19</v>
      </c>
      <c r="B13979">
        <v>18</v>
      </c>
      <c r="C13979">
        <v>3</v>
      </c>
      <c r="D13979">
        <v>8</v>
      </c>
      <c r="E13979">
        <f t="shared" si="218"/>
        <v>5.2843328422025096E-22</v>
      </c>
    </row>
    <row r="13980" spans="1:5" x14ac:dyDescent="0.25">
      <c r="A13980">
        <v>19</v>
      </c>
      <c r="B13980">
        <v>18</v>
      </c>
      <c r="C13980">
        <v>4</v>
      </c>
      <c r="D13980">
        <v>7</v>
      </c>
      <c r="E13980">
        <f t="shared" si="218"/>
        <v>3.6403181801839514E-21</v>
      </c>
    </row>
    <row r="13981" spans="1:5" x14ac:dyDescent="0.25">
      <c r="A13981">
        <v>19</v>
      </c>
      <c r="B13981">
        <v>18</v>
      </c>
      <c r="C13981">
        <v>5</v>
      </c>
      <c r="D13981">
        <v>6</v>
      </c>
      <c r="E13981">
        <f t="shared" si="218"/>
        <v>1.6362272241458391E-20</v>
      </c>
    </row>
    <row r="13982" spans="1:5" x14ac:dyDescent="0.25">
      <c r="A13982">
        <v>19</v>
      </c>
      <c r="B13982">
        <v>18</v>
      </c>
      <c r="C13982">
        <v>6</v>
      </c>
      <c r="D13982">
        <v>5</v>
      </c>
      <c r="E13982">
        <f t="shared" si="218"/>
        <v>4.908681672437517E-20</v>
      </c>
    </row>
    <row r="13983" spans="1:5" x14ac:dyDescent="0.25">
      <c r="A13983">
        <v>19</v>
      </c>
      <c r="B13983">
        <v>18</v>
      </c>
      <c r="C13983">
        <v>7</v>
      </c>
      <c r="D13983">
        <v>4</v>
      </c>
      <c r="E13983">
        <f t="shared" si="218"/>
        <v>9.8507557372045423E-20</v>
      </c>
    </row>
    <row r="13984" spans="1:5" x14ac:dyDescent="0.25">
      <c r="A13984">
        <v>19</v>
      </c>
      <c r="B13984">
        <v>18</v>
      </c>
      <c r="C13984">
        <v>8</v>
      </c>
      <c r="D13984">
        <v>3</v>
      </c>
      <c r="E13984">
        <f t="shared" si="218"/>
        <v>1.2985087108133262E-19</v>
      </c>
    </row>
    <row r="13985" spans="1:5" x14ac:dyDescent="0.25">
      <c r="A13985">
        <v>19</v>
      </c>
      <c r="B13985">
        <v>18</v>
      </c>
      <c r="C13985">
        <v>9</v>
      </c>
      <c r="D13985">
        <v>2</v>
      </c>
      <c r="E13985">
        <f t="shared" si="218"/>
        <v>1.0726811089327474E-19</v>
      </c>
    </row>
    <row r="13986" spans="1:5" x14ac:dyDescent="0.25">
      <c r="A13986">
        <v>19</v>
      </c>
      <c r="B13986">
        <v>18</v>
      </c>
      <c r="C13986">
        <v>10</v>
      </c>
      <c r="D13986">
        <v>1</v>
      </c>
      <c r="E13986">
        <f t="shared" si="218"/>
        <v>5.0058451750194893E-20</v>
      </c>
    </row>
    <row r="13987" spans="1:5" x14ac:dyDescent="0.25">
      <c r="A13987">
        <v>19</v>
      </c>
      <c r="B13987">
        <v>18</v>
      </c>
      <c r="C13987">
        <v>11</v>
      </c>
      <c r="D13987">
        <v>0</v>
      </c>
      <c r="E13987">
        <f t="shared" si="218"/>
        <v>1.0011690350038978E-20</v>
      </c>
    </row>
    <row r="13988" spans="1:5" x14ac:dyDescent="0.25">
      <c r="A13988">
        <v>19</v>
      </c>
      <c r="B13988">
        <v>19</v>
      </c>
      <c r="C13988">
        <v>0</v>
      </c>
      <c r="D13988">
        <v>10</v>
      </c>
      <c r="E13988">
        <f t="shared" si="218"/>
        <v>5.2149436420167845E-25</v>
      </c>
    </row>
    <row r="13989" spans="1:5" x14ac:dyDescent="0.25">
      <c r="A13989">
        <v>19</v>
      </c>
      <c r="B13989">
        <v>19</v>
      </c>
      <c r="C13989">
        <v>1</v>
      </c>
      <c r="D13989">
        <v>9</v>
      </c>
      <c r="E13989">
        <f t="shared" si="218"/>
        <v>2.1185708545693191E-23</v>
      </c>
    </row>
    <row r="13990" spans="1:5" x14ac:dyDescent="0.25">
      <c r="A13990">
        <v>19</v>
      </c>
      <c r="B13990">
        <v>19</v>
      </c>
      <c r="C13990">
        <v>2</v>
      </c>
      <c r="D13990">
        <v>8</v>
      </c>
      <c r="E13990">
        <f t="shared" si="218"/>
        <v>3.5891082712703757E-22</v>
      </c>
    </row>
    <row r="13991" spans="1:5" x14ac:dyDescent="0.25">
      <c r="A13991">
        <v>19</v>
      </c>
      <c r="B13991">
        <v>19</v>
      </c>
      <c r="C13991">
        <v>3</v>
      </c>
      <c r="D13991">
        <v>7</v>
      </c>
      <c r="E13991">
        <f t="shared" si="218"/>
        <v>3.349834386519018E-21</v>
      </c>
    </row>
    <row r="13992" spans="1:5" x14ac:dyDescent="0.25">
      <c r="A13992">
        <v>19</v>
      </c>
      <c r="B13992">
        <v>19</v>
      </c>
      <c r="C13992">
        <v>4</v>
      </c>
      <c r="D13992">
        <v>6</v>
      </c>
      <c r="E13992">
        <f t="shared" si="218"/>
        <v>1.9129317417753329E-20</v>
      </c>
    </row>
    <row r="13993" spans="1:5" x14ac:dyDescent="0.25">
      <c r="A13993">
        <v>19</v>
      </c>
      <c r="B13993">
        <v>19</v>
      </c>
      <c r="C13993">
        <v>5</v>
      </c>
      <c r="D13993">
        <v>5</v>
      </c>
      <c r="E13993">
        <f t="shared" si="218"/>
        <v>7.0013301748977208E-20</v>
      </c>
    </row>
    <row r="13994" spans="1:5" x14ac:dyDescent="0.25">
      <c r="A13994">
        <v>19</v>
      </c>
      <c r="B13994">
        <v>19</v>
      </c>
      <c r="C13994">
        <v>6</v>
      </c>
      <c r="D13994">
        <v>4</v>
      </c>
      <c r="E13994">
        <f t="shared" si="218"/>
        <v>1.6669833749756482E-19</v>
      </c>
    </row>
    <row r="13995" spans="1:5" x14ac:dyDescent="0.25">
      <c r="A13995">
        <v>19</v>
      </c>
      <c r="B13995">
        <v>19</v>
      </c>
      <c r="C13995">
        <v>7</v>
      </c>
      <c r="D13995">
        <v>3</v>
      </c>
      <c r="E13995">
        <f t="shared" si="218"/>
        <v>2.5545978993133303E-19</v>
      </c>
    </row>
    <row r="13996" spans="1:5" x14ac:dyDescent="0.25">
      <c r="A13996">
        <v>19</v>
      </c>
      <c r="B13996">
        <v>19</v>
      </c>
      <c r="C13996">
        <v>8</v>
      </c>
      <c r="D13996">
        <v>2</v>
      </c>
      <c r="E13996">
        <f t="shared" si="218"/>
        <v>2.4157610569593456E-19</v>
      </c>
    </row>
    <row r="13997" spans="1:5" x14ac:dyDescent="0.25">
      <c r="A13997">
        <v>19</v>
      </c>
      <c r="B13997">
        <v>19</v>
      </c>
      <c r="C13997">
        <v>9</v>
      </c>
      <c r="D13997">
        <v>1</v>
      </c>
      <c r="E13997">
        <f t="shared" si="218"/>
        <v>1.2749850022840988E-19</v>
      </c>
    </row>
    <row r="13998" spans="1:5" x14ac:dyDescent="0.25">
      <c r="A13998">
        <v>19</v>
      </c>
      <c r="B13998">
        <v>19</v>
      </c>
      <c r="C13998">
        <v>10</v>
      </c>
      <c r="D13998">
        <v>0</v>
      </c>
      <c r="E13998">
        <f t="shared" si="218"/>
        <v>2.8559664051163817E-20</v>
      </c>
    </row>
    <row r="13999" spans="1:5" x14ac:dyDescent="0.25">
      <c r="A13999">
        <v>19</v>
      </c>
      <c r="B13999">
        <v>20</v>
      </c>
      <c r="C13999">
        <v>0</v>
      </c>
      <c r="D13999">
        <v>9</v>
      </c>
      <c r="E13999">
        <f t="shared" si="218"/>
        <v>4.4001086979516628E-24</v>
      </c>
    </row>
    <row r="14000" spans="1:5" x14ac:dyDescent="0.25">
      <c r="A14000">
        <v>19</v>
      </c>
      <c r="B14000">
        <v>20</v>
      </c>
      <c r="C14000">
        <v>1</v>
      </c>
      <c r="D14000">
        <v>8</v>
      </c>
      <c r="E14000">
        <f t="shared" si="218"/>
        <v>1.5141550519421896E-22</v>
      </c>
    </row>
    <row r="14001" spans="1:5" x14ac:dyDescent="0.25">
      <c r="A14001">
        <v>19</v>
      </c>
      <c r="B14001">
        <v>20</v>
      </c>
      <c r="C14001">
        <v>2</v>
      </c>
      <c r="D14001">
        <v>7</v>
      </c>
      <c r="E14001">
        <f t="shared" si="218"/>
        <v>2.1534649627622259E-21</v>
      </c>
    </row>
    <row r="14002" spans="1:5" x14ac:dyDescent="0.25">
      <c r="A14002">
        <v>19</v>
      </c>
      <c r="B14002">
        <v>20</v>
      </c>
      <c r="C14002">
        <v>3</v>
      </c>
      <c r="D14002">
        <v>6</v>
      </c>
      <c r="E14002">
        <f t="shared" si="218"/>
        <v>1.6661018396107739E-20</v>
      </c>
    </row>
    <row r="14003" spans="1:5" x14ac:dyDescent="0.25">
      <c r="A14003">
        <v>19</v>
      </c>
      <c r="B14003">
        <v>20</v>
      </c>
      <c r="C14003">
        <v>4</v>
      </c>
      <c r="D14003">
        <v>5</v>
      </c>
      <c r="E14003">
        <f t="shared" si="218"/>
        <v>7.7473735541900996E-20</v>
      </c>
    </row>
    <row r="14004" spans="1:5" x14ac:dyDescent="0.25">
      <c r="A14004">
        <v>19</v>
      </c>
      <c r="B14004">
        <v>20</v>
      </c>
      <c r="C14004">
        <v>5</v>
      </c>
      <c r="D14004">
        <v>4</v>
      </c>
      <c r="E14004">
        <f t="shared" si="218"/>
        <v>2.250427556217125E-19</v>
      </c>
    </row>
    <row r="14005" spans="1:5" x14ac:dyDescent="0.25">
      <c r="A14005">
        <v>19</v>
      </c>
      <c r="B14005">
        <v>20</v>
      </c>
      <c r="C14005">
        <v>6</v>
      </c>
      <c r="D14005">
        <v>3</v>
      </c>
      <c r="E14005">
        <f t="shared" si="218"/>
        <v>4.091686465849318E-19</v>
      </c>
    </row>
    <row r="14006" spans="1:5" x14ac:dyDescent="0.25">
      <c r="A14006">
        <v>19</v>
      </c>
      <c r="B14006">
        <v>20</v>
      </c>
      <c r="C14006">
        <v>7</v>
      </c>
      <c r="D14006">
        <v>2</v>
      </c>
      <c r="E14006">
        <f t="shared" si="218"/>
        <v>4.4983136922691261E-19</v>
      </c>
    </row>
    <row r="14007" spans="1:5" x14ac:dyDescent="0.25">
      <c r="A14007">
        <v>19</v>
      </c>
      <c r="B14007">
        <v>20</v>
      </c>
      <c r="C14007">
        <v>8</v>
      </c>
      <c r="D14007">
        <v>1</v>
      </c>
      <c r="E14007">
        <f t="shared" si="218"/>
        <v>2.7177311890792637E-19</v>
      </c>
    </row>
    <row r="14008" spans="1:5" x14ac:dyDescent="0.25">
      <c r="A14008">
        <v>19</v>
      </c>
      <c r="B14008">
        <v>20</v>
      </c>
      <c r="C14008">
        <v>9</v>
      </c>
      <c r="D14008">
        <v>0</v>
      </c>
      <c r="E14008">
        <f t="shared" si="218"/>
        <v>6.8849190123341326E-20</v>
      </c>
    </row>
    <row r="14009" spans="1:5" x14ac:dyDescent="0.25">
      <c r="A14009">
        <v>19</v>
      </c>
      <c r="B14009">
        <v>21</v>
      </c>
      <c r="C14009">
        <v>0</v>
      </c>
      <c r="D14009">
        <v>8</v>
      </c>
      <c r="E14009">
        <f t="shared" si="218"/>
        <v>2.9839392598714221E-23</v>
      </c>
    </row>
    <row r="14010" spans="1:5" x14ac:dyDescent="0.25">
      <c r="A14010">
        <v>19</v>
      </c>
      <c r="B14010">
        <v>21</v>
      </c>
      <c r="C14010">
        <v>1</v>
      </c>
      <c r="D14010">
        <v>7</v>
      </c>
      <c r="E14010">
        <f t="shared" si="218"/>
        <v>8.6202689729618876E-22</v>
      </c>
    </row>
    <row r="14011" spans="1:5" x14ac:dyDescent="0.25">
      <c r="A14011">
        <v>19</v>
      </c>
      <c r="B14011">
        <v>21</v>
      </c>
      <c r="C14011">
        <v>2</v>
      </c>
      <c r="D14011">
        <v>6</v>
      </c>
      <c r="E14011">
        <f t="shared" si="218"/>
        <v>1.0162843420755064E-20</v>
      </c>
    </row>
    <row r="14012" spans="1:5" x14ac:dyDescent="0.25">
      <c r="A14012">
        <v>19</v>
      </c>
      <c r="B14012">
        <v>21</v>
      </c>
      <c r="C14012">
        <v>3</v>
      </c>
      <c r="D14012">
        <v>5</v>
      </c>
      <c r="E14012">
        <f t="shared" si="218"/>
        <v>6.4025913550756911E-20</v>
      </c>
    </row>
    <row r="14013" spans="1:5" x14ac:dyDescent="0.25">
      <c r="A14013">
        <v>19</v>
      </c>
      <c r="B14013">
        <v>21</v>
      </c>
      <c r="C14013">
        <v>4</v>
      </c>
      <c r="D14013">
        <v>4</v>
      </c>
      <c r="E14013">
        <f t="shared" si="218"/>
        <v>2.3628610953255533E-19</v>
      </c>
    </row>
    <row r="14014" spans="1:5" x14ac:dyDescent="0.25">
      <c r="A14014">
        <v>19</v>
      </c>
      <c r="B14014">
        <v>21</v>
      </c>
      <c r="C14014">
        <v>5</v>
      </c>
      <c r="D14014">
        <v>3</v>
      </c>
      <c r="E14014">
        <f t="shared" si="218"/>
        <v>5.2412555205403178E-19</v>
      </c>
    </row>
    <row r="14015" spans="1:5" x14ac:dyDescent="0.25">
      <c r="A14015">
        <v>19</v>
      </c>
      <c r="B14015">
        <v>21</v>
      </c>
      <c r="C14015">
        <v>6</v>
      </c>
      <c r="D14015">
        <v>2</v>
      </c>
      <c r="E14015">
        <f t="shared" si="218"/>
        <v>6.8364202441830231E-19</v>
      </c>
    </row>
    <row r="14016" spans="1:5" x14ac:dyDescent="0.25">
      <c r="A14016">
        <v>19</v>
      </c>
      <c r="B14016">
        <v>21</v>
      </c>
      <c r="C14016">
        <v>7</v>
      </c>
      <c r="D14016">
        <v>1</v>
      </c>
      <c r="E14016">
        <f t="shared" si="218"/>
        <v>4.8017713619856941E-19</v>
      </c>
    </row>
    <row r="14017" spans="1:5" x14ac:dyDescent="0.25">
      <c r="A14017">
        <v>19</v>
      </c>
      <c r="B14017">
        <v>21</v>
      </c>
      <c r="C14017">
        <v>8</v>
      </c>
      <c r="D14017">
        <v>0</v>
      </c>
      <c r="E14017">
        <f t="shared" si="218"/>
        <v>1.3925136949758515E-19</v>
      </c>
    </row>
    <row r="14018" spans="1:5" x14ac:dyDescent="0.25">
      <c r="A14018">
        <v>19</v>
      </c>
      <c r="B14018">
        <v>22</v>
      </c>
      <c r="C14018">
        <v>0</v>
      </c>
      <c r="D14018">
        <v>7</v>
      </c>
      <c r="E14018">
        <f t="shared" si="218"/>
        <v>1.615546912415235E-22</v>
      </c>
    </row>
    <row r="14019" spans="1:5" x14ac:dyDescent="0.25">
      <c r="A14019">
        <v>19</v>
      </c>
      <c r="B14019">
        <v>22</v>
      </c>
      <c r="C14019">
        <v>1</v>
      </c>
      <c r="D14019">
        <v>6</v>
      </c>
      <c r="E14019">
        <f t="shared" si="218"/>
        <v>3.8688097113101668E-21</v>
      </c>
    </row>
    <row r="14020" spans="1:5" x14ac:dyDescent="0.25">
      <c r="A14020">
        <v>19</v>
      </c>
      <c r="B14020">
        <v>22</v>
      </c>
      <c r="C14020">
        <v>2</v>
      </c>
      <c r="D14020">
        <v>5</v>
      </c>
      <c r="E14020">
        <f t="shared" si="218"/>
        <v>3.7140573228577605E-20</v>
      </c>
    </row>
    <row r="14021" spans="1:5" x14ac:dyDescent="0.25">
      <c r="A14021">
        <v>19</v>
      </c>
      <c r="B14021">
        <v>22</v>
      </c>
      <c r="C14021">
        <v>3</v>
      </c>
      <c r="D14021">
        <v>4</v>
      </c>
      <c r="E14021">
        <f t="shared" si="218"/>
        <v>1.8570286614288808E-19</v>
      </c>
    </row>
    <row r="14022" spans="1:5" x14ac:dyDescent="0.25">
      <c r="A14022">
        <v>19</v>
      </c>
      <c r="B14022">
        <v>22</v>
      </c>
      <c r="C14022">
        <v>4</v>
      </c>
      <c r="D14022">
        <v>3</v>
      </c>
      <c r="E14022">
        <f t="shared" si="218"/>
        <v>5.2334444094813895E-19</v>
      </c>
    </row>
    <row r="14023" spans="1:5" x14ac:dyDescent="0.25">
      <c r="A14023">
        <v>19</v>
      </c>
      <c r="B14023">
        <v>22</v>
      </c>
      <c r="C14023">
        <v>5</v>
      </c>
      <c r="D14023">
        <v>2</v>
      </c>
      <c r="E14023">
        <f t="shared" si="218"/>
        <v>8.328002842913865E-19</v>
      </c>
    </row>
    <row r="14024" spans="1:5" x14ac:dyDescent="0.25">
      <c r="A14024">
        <v>19</v>
      </c>
      <c r="B14024">
        <v>22</v>
      </c>
      <c r="C14024">
        <v>6</v>
      </c>
      <c r="D14024">
        <v>1</v>
      </c>
      <c r="E14024">
        <f t="shared" si="218"/>
        <v>6.9400023690948854E-19</v>
      </c>
    </row>
    <row r="14025" spans="1:5" x14ac:dyDescent="0.25">
      <c r="A14025">
        <v>19</v>
      </c>
      <c r="B14025">
        <v>22</v>
      </c>
      <c r="C14025">
        <v>7</v>
      </c>
      <c r="D14025">
        <v>0</v>
      </c>
      <c r="E14025">
        <f t="shared" si="218"/>
        <v>2.3397722272948473E-19</v>
      </c>
    </row>
    <row r="14026" spans="1:5" x14ac:dyDescent="0.25">
      <c r="A14026">
        <v>19</v>
      </c>
      <c r="B14026">
        <v>23</v>
      </c>
      <c r="C14026">
        <v>0</v>
      </c>
      <c r="D14026">
        <v>6</v>
      </c>
      <c r="E14026">
        <f t="shared" si="218"/>
        <v>6.909512996119156E-22</v>
      </c>
    </row>
    <row r="14027" spans="1:5" x14ac:dyDescent="0.25">
      <c r="A14027">
        <v>19</v>
      </c>
      <c r="B14027">
        <v>23</v>
      </c>
      <c r="C14027">
        <v>1</v>
      </c>
      <c r="D14027">
        <v>5</v>
      </c>
      <c r="E14027">
        <f t="shared" si="218"/>
        <v>1.3473550342432355E-20</v>
      </c>
    </row>
    <row r="14028" spans="1:5" x14ac:dyDescent="0.25">
      <c r="A14028">
        <v>19</v>
      </c>
      <c r="B14028">
        <v>23</v>
      </c>
      <c r="C14028">
        <v>2</v>
      </c>
      <c r="D14028">
        <v>4</v>
      </c>
      <c r="E14028">
        <f t="shared" si="218"/>
        <v>1.0265562165662751E-19</v>
      </c>
    </row>
    <row r="14029" spans="1:5" x14ac:dyDescent="0.25">
      <c r="A14029">
        <v>19</v>
      </c>
      <c r="B14029">
        <v>23</v>
      </c>
      <c r="C14029">
        <v>3</v>
      </c>
      <c r="D14029">
        <v>3</v>
      </c>
      <c r="E14029">
        <f t="shared" si="218"/>
        <v>3.9195782814348668E-19</v>
      </c>
    </row>
    <row r="14030" spans="1:5" x14ac:dyDescent="0.25">
      <c r="A14030">
        <v>19</v>
      </c>
      <c r="B14030">
        <v>23</v>
      </c>
      <c r="C14030">
        <v>4</v>
      </c>
      <c r="D14030">
        <v>2</v>
      </c>
      <c r="E14030">
        <f t="shared" ref="E14030:E14093" si="219">COMBIN(A$4,A14030)*COMBIN(B$4,B14030)*COMBIN(C$4,C14030)*COMBIN(D$4,D14030)/COMBIN($G$4,$F$4)</f>
        <v>7.9243647863791883E-19</v>
      </c>
    </row>
    <row r="14031" spans="1:5" x14ac:dyDescent="0.25">
      <c r="A14031">
        <v>19</v>
      </c>
      <c r="B14031">
        <v>23</v>
      </c>
      <c r="C14031">
        <v>5</v>
      </c>
      <c r="D14031">
        <v>1</v>
      </c>
      <c r="E14031">
        <f t="shared" si="219"/>
        <v>8.0564375328188429E-19</v>
      </c>
    </row>
    <row r="14032" spans="1:5" x14ac:dyDescent="0.25">
      <c r="A14032">
        <v>19</v>
      </c>
      <c r="B14032">
        <v>23</v>
      </c>
      <c r="C14032">
        <v>6</v>
      </c>
      <c r="D14032">
        <v>0</v>
      </c>
      <c r="E14032">
        <f t="shared" si="219"/>
        <v>3.2225750131275363E-19</v>
      </c>
    </row>
    <row r="14033" spans="1:5" x14ac:dyDescent="0.25">
      <c r="A14033">
        <v>19</v>
      </c>
      <c r="B14033">
        <v>24</v>
      </c>
      <c r="C14033">
        <v>0</v>
      </c>
      <c r="D14033">
        <v>5</v>
      </c>
      <c r="E14033">
        <f t="shared" si="219"/>
        <v>2.2974130712096208E-21</v>
      </c>
    </row>
    <row r="14034" spans="1:5" x14ac:dyDescent="0.25">
      <c r="A14034">
        <v>19</v>
      </c>
      <c r="B14034">
        <v>24</v>
      </c>
      <c r="C14034">
        <v>1</v>
      </c>
      <c r="D14034">
        <v>4</v>
      </c>
      <c r="E14034">
        <f t="shared" si="219"/>
        <v>3.5555202292529854E-20</v>
      </c>
    </row>
    <row r="14035" spans="1:5" x14ac:dyDescent="0.25">
      <c r="A14035">
        <v>19</v>
      </c>
      <c r="B14035">
        <v>24</v>
      </c>
      <c r="C14035">
        <v>2</v>
      </c>
      <c r="D14035">
        <v>3</v>
      </c>
      <c r="E14035">
        <f t="shared" si="219"/>
        <v>2.0686663152017369E-19</v>
      </c>
    </row>
    <row r="14036" spans="1:5" x14ac:dyDescent="0.25">
      <c r="A14036">
        <v>19</v>
      </c>
      <c r="B14036">
        <v>24</v>
      </c>
      <c r="C14036">
        <v>3</v>
      </c>
      <c r="D14036">
        <v>2</v>
      </c>
      <c r="E14036">
        <f t="shared" si="219"/>
        <v>5.6663468633786705E-19</v>
      </c>
    </row>
    <row r="14037" spans="1:5" x14ac:dyDescent="0.25">
      <c r="A14037">
        <v>19</v>
      </c>
      <c r="B14037">
        <v>24</v>
      </c>
      <c r="C14037">
        <v>4</v>
      </c>
      <c r="D14037">
        <v>1</v>
      </c>
      <c r="E14037">
        <f t="shared" si="219"/>
        <v>7.319031365197449E-19</v>
      </c>
    </row>
    <row r="14038" spans="1:5" x14ac:dyDescent="0.25">
      <c r="A14038">
        <v>19</v>
      </c>
      <c r="B14038">
        <v>24</v>
      </c>
      <c r="C14038">
        <v>5</v>
      </c>
      <c r="D14038">
        <v>0</v>
      </c>
      <c r="E14038">
        <f t="shared" si="219"/>
        <v>3.5716873062163553E-19</v>
      </c>
    </row>
    <row r="14039" spans="1:5" x14ac:dyDescent="0.25">
      <c r="A14039">
        <v>19</v>
      </c>
      <c r="B14039">
        <v>25</v>
      </c>
      <c r="C14039">
        <v>0</v>
      </c>
      <c r="D14039">
        <v>4</v>
      </c>
      <c r="E14039">
        <f t="shared" si="219"/>
        <v>5.7982329892433321E-21</v>
      </c>
    </row>
    <row r="14040" spans="1:5" x14ac:dyDescent="0.25">
      <c r="A14040">
        <v>19</v>
      </c>
      <c r="B14040">
        <v>25</v>
      </c>
      <c r="C14040">
        <v>1</v>
      </c>
      <c r="D14040">
        <v>3</v>
      </c>
      <c r="E14040">
        <f t="shared" si="219"/>
        <v>6.852457169105756E-20</v>
      </c>
    </row>
    <row r="14041" spans="1:5" x14ac:dyDescent="0.25">
      <c r="A14041">
        <v>19</v>
      </c>
      <c r="B14041">
        <v>25</v>
      </c>
      <c r="C14041">
        <v>2</v>
      </c>
      <c r="D14041">
        <v>2</v>
      </c>
      <c r="E14041">
        <f t="shared" si="219"/>
        <v>2.8601560358006628E-19</v>
      </c>
    </row>
    <row r="14042" spans="1:5" x14ac:dyDescent="0.25">
      <c r="A14042">
        <v>19</v>
      </c>
      <c r="B14042">
        <v>25</v>
      </c>
      <c r="C14042">
        <v>3</v>
      </c>
      <c r="D14042">
        <v>1</v>
      </c>
      <c r="E14042">
        <f t="shared" si="219"/>
        <v>5.0052730626511603E-19</v>
      </c>
    </row>
    <row r="14043" spans="1:5" x14ac:dyDescent="0.25">
      <c r="A14043">
        <v>19</v>
      </c>
      <c r="B14043">
        <v>25</v>
      </c>
      <c r="C14043">
        <v>4</v>
      </c>
      <c r="D14043">
        <v>0</v>
      </c>
      <c r="E14043">
        <f t="shared" si="219"/>
        <v>3.1032692988437196E-19</v>
      </c>
    </row>
    <row r="14044" spans="1:5" x14ac:dyDescent="0.25">
      <c r="A14044">
        <v>19</v>
      </c>
      <c r="B14044">
        <v>26</v>
      </c>
      <c r="C14044">
        <v>0</v>
      </c>
      <c r="D14044">
        <v>3</v>
      </c>
      <c r="E14044">
        <f t="shared" si="219"/>
        <v>1.070443013398768E-20</v>
      </c>
    </row>
    <row r="14045" spans="1:5" x14ac:dyDescent="0.25">
      <c r="A14045">
        <v>19</v>
      </c>
      <c r="B14045">
        <v>26</v>
      </c>
      <c r="C14045">
        <v>1</v>
      </c>
      <c r="D14045">
        <v>2</v>
      </c>
      <c r="E14045">
        <f t="shared" si="219"/>
        <v>9.0754951135982518E-20</v>
      </c>
    </row>
    <row r="14046" spans="1:5" x14ac:dyDescent="0.25">
      <c r="A14046">
        <v>19</v>
      </c>
      <c r="B14046">
        <v>26</v>
      </c>
      <c r="C14046">
        <v>2</v>
      </c>
      <c r="D14046">
        <v>1</v>
      </c>
      <c r="E14046">
        <f t="shared" si="219"/>
        <v>2.420132030292867E-19</v>
      </c>
    </row>
    <row r="14047" spans="1:5" x14ac:dyDescent="0.25">
      <c r="A14047">
        <v>19</v>
      </c>
      <c r="B14047">
        <v>26</v>
      </c>
      <c r="C14047">
        <v>3</v>
      </c>
      <c r="D14047">
        <v>0</v>
      </c>
      <c r="E14047">
        <f t="shared" si="219"/>
        <v>2.0329109054460081E-19</v>
      </c>
    </row>
    <row r="14048" spans="1:5" x14ac:dyDescent="0.25">
      <c r="A14048">
        <v>19</v>
      </c>
      <c r="B14048">
        <v>27</v>
      </c>
      <c r="C14048">
        <v>0</v>
      </c>
      <c r="D14048">
        <v>2</v>
      </c>
      <c r="E14048">
        <f t="shared" si="219"/>
        <v>1.3600314614679996E-20</v>
      </c>
    </row>
    <row r="14049" spans="1:5" x14ac:dyDescent="0.25">
      <c r="A14049">
        <v>19</v>
      </c>
      <c r="B14049">
        <v>27</v>
      </c>
      <c r="C14049">
        <v>1</v>
      </c>
      <c r="D14049">
        <v>1</v>
      </c>
      <c r="E14049">
        <f t="shared" si="219"/>
        <v>7.3668370829516655E-20</v>
      </c>
    </row>
    <row r="14050" spans="1:5" x14ac:dyDescent="0.25">
      <c r="A14050">
        <v>19</v>
      </c>
      <c r="B14050">
        <v>27</v>
      </c>
      <c r="C14050">
        <v>2</v>
      </c>
      <c r="D14050">
        <v>0</v>
      </c>
      <c r="E14050">
        <f t="shared" si="219"/>
        <v>9.4295514661781322E-20</v>
      </c>
    </row>
    <row r="14051" spans="1:5" x14ac:dyDescent="0.25">
      <c r="A14051">
        <v>19</v>
      </c>
      <c r="B14051">
        <v>28</v>
      </c>
      <c r="C14051">
        <v>0</v>
      </c>
      <c r="D14051">
        <v>1</v>
      </c>
      <c r="E14051">
        <f t="shared" si="219"/>
        <v>1.0605007229304057E-20</v>
      </c>
    </row>
    <row r="14052" spans="1:5" x14ac:dyDescent="0.25">
      <c r="A14052">
        <v>19</v>
      </c>
      <c r="B14052">
        <v>28</v>
      </c>
      <c r="C14052">
        <v>1</v>
      </c>
      <c r="D14052">
        <v>0</v>
      </c>
      <c r="E14052">
        <f t="shared" si="219"/>
        <v>2.7573018796190548E-20</v>
      </c>
    </row>
    <row r="14053" spans="1:5" x14ac:dyDescent="0.25">
      <c r="A14053">
        <v>19</v>
      </c>
      <c r="B14053">
        <v>29</v>
      </c>
      <c r="C14053">
        <v>0</v>
      </c>
      <c r="D14053">
        <v>0</v>
      </c>
      <c r="E14053">
        <f t="shared" si="219"/>
        <v>3.8178026025494566E-21</v>
      </c>
    </row>
    <row r="14054" spans="1:5" x14ac:dyDescent="0.25">
      <c r="A14054">
        <v>20</v>
      </c>
      <c r="B14054">
        <v>0</v>
      </c>
      <c r="C14054">
        <v>3</v>
      </c>
      <c r="D14054">
        <v>25</v>
      </c>
      <c r="E14054">
        <f t="shared" si="219"/>
        <v>2.7153169521352318E-57</v>
      </c>
    </row>
    <row r="14055" spans="1:5" x14ac:dyDescent="0.25">
      <c r="A14055">
        <v>20</v>
      </c>
      <c r="B14055">
        <v>0</v>
      </c>
      <c r="C14055">
        <v>4</v>
      </c>
      <c r="D14055">
        <v>24</v>
      </c>
      <c r="E14055">
        <f t="shared" si="219"/>
        <v>1.0521853189524022E-54</v>
      </c>
    </row>
    <row r="14056" spans="1:5" x14ac:dyDescent="0.25">
      <c r="A14056">
        <v>20</v>
      </c>
      <c r="B14056">
        <v>0</v>
      </c>
      <c r="C14056">
        <v>5</v>
      </c>
      <c r="D14056">
        <v>23</v>
      </c>
      <c r="E14056">
        <f t="shared" si="219"/>
        <v>1.5403993069463172E-52</v>
      </c>
    </row>
    <row r="14057" spans="1:5" x14ac:dyDescent="0.25">
      <c r="A14057">
        <v>20</v>
      </c>
      <c r="B14057">
        <v>0</v>
      </c>
      <c r="C14057">
        <v>6</v>
      </c>
      <c r="D14057">
        <v>22</v>
      </c>
      <c r="E14057">
        <f t="shared" si="219"/>
        <v>1.1809728019921763E-50</v>
      </c>
    </row>
    <row r="14058" spans="1:5" x14ac:dyDescent="0.25">
      <c r="A14058">
        <v>20</v>
      </c>
      <c r="B14058">
        <v>0</v>
      </c>
      <c r="C14058">
        <v>7</v>
      </c>
      <c r="D14058">
        <v>21</v>
      </c>
      <c r="E14058">
        <f t="shared" si="219"/>
        <v>5.4746524892351611E-49</v>
      </c>
    </row>
    <row r="14059" spans="1:5" x14ac:dyDescent="0.25">
      <c r="A14059">
        <v>20</v>
      </c>
      <c r="B14059">
        <v>0</v>
      </c>
      <c r="C14059">
        <v>8</v>
      </c>
      <c r="D14059">
        <v>20</v>
      </c>
      <c r="E14059">
        <f t="shared" si="219"/>
        <v>1.6670316829721063E-47</v>
      </c>
    </row>
    <row r="14060" spans="1:5" x14ac:dyDescent="0.25">
      <c r="A14060">
        <v>20</v>
      </c>
      <c r="B14060">
        <v>0</v>
      </c>
      <c r="C14060">
        <v>9</v>
      </c>
      <c r="D14060">
        <v>19</v>
      </c>
      <c r="E14060">
        <f t="shared" si="219"/>
        <v>3.5192891084966681E-46</v>
      </c>
    </row>
    <row r="14061" spans="1:5" x14ac:dyDescent="0.25">
      <c r="A14061">
        <v>20</v>
      </c>
      <c r="B14061">
        <v>0</v>
      </c>
      <c r="C14061">
        <v>10</v>
      </c>
      <c r="D14061">
        <v>18</v>
      </c>
      <c r="E14061">
        <f t="shared" si="219"/>
        <v>5.3493194449149387E-45</v>
      </c>
    </row>
    <row r="14062" spans="1:5" x14ac:dyDescent="0.25">
      <c r="A14062">
        <v>20</v>
      </c>
      <c r="B14062">
        <v>0</v>
      </c>
      <c r="C14062">
        <v>11</v>
      </c>
      <c r="D14062">
        <v>17</v>
      </c>
      <c r="E14062">
        <f t="shared" si="219"/>
        <v>6.0179843755293051E-44</v>
      </c>
    </row>
    <row r="14063" spans="1:5" x14ac:dyDescent="0.25">
      <c r="A14063">
        <v>20</v>
      </c>
      <c r="B14063">
        <v>0</v>
      </c>
      <c r="C14063">
        <v>12</v>
      </c>
      <c r="D14063">
        <v>16</v>
      </c>
      <c r="E14063">
        <f t="shared" si="219"/>
        <v>5.1152867191999059E-43</v>
      </c>
    </row>
    <row r="14064" spans="1:5" x14ac:dyDescent="0.25">
      <c r="A14064">
        <v>20</v>
      </c>
      <c r="B14064">
        <v>0</v>
      </c>
      <c r="C14064">
        <v>13</v>
      </c>
      <c r="D14064">
        <v>15</v>
      </c>
      <c r="E14064">
        <f t="shared" si="219"/>
        <v>3.3367408752934788E-42</v>
      </c>
    </row>
    <row r="14065" spans="1:5" x14ac:dyDescent="0.25">
      <c r="A14065">
        <v>20</v>
      </c>
      <c r="B14065">
        <v>0</v>
      </c>
      <c r="C14065">
        <v>14</v>
      </c>
      <c r="D14065">
        <v>14</v>
      </c>
      <c r="E14065">
        <f t="shared" si="219"/>
        <v>1.6900375861876063E-41</v>
      </c>
    </row>
    <row r="14066" spans="1:5" x14ac:dyDescent="0.25">
      <c r="A14066">
        <v>20</v>
      </c>
      <c r="B14066">
        <v>0</v>
      </c>
      <c r="C14066">
        <v>15</v>
      </c>
      <c r="D14066">
        <v>13</v>
      </c>
      <c r="E14066">
        <f t="shared" si="219"/>
        <v>6.7038157585441703E-41</v>
      </c>
    </row>
    <row r="14067" spans="1:5" x14ac:dyDescent="0.25">
      <c r="A14067">
        <v>20</v>
      </c>
      <c r="B14067">
        <v>0</v>
      </c>
      <c r="C14067">
        <v>16</v>
      </c>
      <c r="D14067">
        <v>12</v>
      </c>
      <c r="E14067">
        <f t="shared" si="219"/>
        <v>2.0949424245450538E-40</v>
      </c>
    </row>
    <row r="14068" spans="1:5" x14ac:dyDescent="0.25">
      <c r="A14068">
        <v>20</v>
      </c>
      <c r="B14068">
        <v>0</v>
      </c>
      <c r="C14068">
        <v>17</v>
      </c>
      <c r="D14068">
        <v>11</v>
      </c>
      <c r="E14068">
        <f t="shared" si="219"/>
        <v>5.1757401076995463E-40</v>
      </c>
    </row>
    <row r="14069" spans="1:5" x14ac:dyDescent="0.25">
      <c r="A14069">
        <v>20</v>
      </c>
      <c r="B14069">
        <v>0</v>
      </c>
      <c r="C14069">
        <v>18</v>
      </c>
      <c r="D14069">
        <v>10</v>
      </c>
      <c r="E14069">
        <f t="shared" si="219"/>
        <v>1.0121447321723546E-39</v>
      </c>
    </row>
    <row r="14070" spans="1:5" x14ac:dyDescent="0.25">
      <c r="A14070">
        <v>20</v>
      </c>
      <c r="B14070">
        <v>0</v>
      </c>
      <c r="C14070">
        <v>19</v>
      </c>
      <c r="D14070">
        <v>9</v>
      </c>
      <c r="E14070">
        <f t="shared" si="219"/>
        <v>1.5648290267138386E-39</v>
      </c>
    </row>
    <row r="14071" spans="1:5" x14ac:dyDescent="0.25">
      <c r="A14071">
        <v>20</v>
      </c>
      <c r="B14071">
        <v>0</v>
      </c>
      <c r="C14071">
        <v>20</v>
      </c>
      <c r="D14071">
        <v>8</v>
      </c>
      <c r="E14071">
        <f t="shared" si="219"/>
        <v>1.9054094619397934E-39</v>
      </c>
    </row>
    <row r="14072" spans="1:5" x14ac:dyDescent="0.25">
      <c r="A14072">
        <v>20</v>
      </c>
      <c r="B14072">
        <v>0</v>
      </c>
      <c r="C14072">
        <v>21</v>
      </c>
      <c r="D14072">
        <v>7</v>
      </c>
      <c r="E14072">
        <f t="shared" si="219"/>
        <v>1.8146756780378963E-39</v>
      </c>
    </row>
    <row r="14073" spans="1:5" x14ac:dyDescent="0.25">
      <c r="A14073">
        <v>20</v>
      </c>
      <c r="B14073">
        <v>0</v>
      </c>
      <c r="C14073">
        <v>22</v>
      </c>
      <c r="D14073">
        <v>6</v>
      </c>
      <c r="E14073">
        <f t="shared" si="219"/>
        <v>1.3371294469752925E-39</v>
      </c>
    </row>
    <row r="14074" spans="1:5" x14ac:dyDescent="0.25">
      <c r="A14074">
        <v>20</v>
      </c>
      <c r="B14074">
        <v>0</v>
      </c>
      <c r="C14074">
        <v>23</v>
      </c>
      <c r="D14074">
        <v>5</v>
      </c>
      <c r="E14074">
        <f t="shared" si="219"/>
        <v>7.4995521156440308E-40</v>
      </c>
    </row>
    <row r="14075" spans="1:5" x14ac:dyDescent="0.25">
      <c r="A14075">
        <v>20</v>
      </c>
      <c r="B14075">
        <v>0</v>
      </c>
      <c r="C14075">
        <v>24</v>
      </c>
      <c r="D14075">
        <v>4</v>
      </c>
      <c r="E14075">
        <f t="shared" si="219"/>
        <v>3.124813381518347E-40</v>
      </c>
    </row>
    <row r="14076" spans="1:5" x14ac:dyDescent="0.25">
      <c r="A14076">
        <v>20</v>
      </c>
      <c r="B14076">
        <v>0</v>
      </c>
      <c r="C14076">
        <v>25</v>
      </c>
      <c r="D14076">
        <v>3</v>
      </c>
      <c r="E14076">
        <f t="shared" si="219"/>
        <v>9.3176253558001628E-41</v>
      </c>
    </row>
    <row r="14077" spans="1:5" x14ac:dyDescent="0.25">
      <c r="A14077">
        <v>20</v>
      </c>
      <c r="B14077">
        <v>0</v>
      </c>
      <c r="C14077">
        <v>26</v>
      </c>
      <c r="D14077">
        <v>2</v>
      </c>
      <c r="E14077">
        <f t="shared" si="219"/>
        <v>1.8697575964816369E-41</v>
      </c>
    </row>
    <row r="14078" spans="1:5" x14ac:dyDescent="0.25">
      <c r="A14078">
        <v>20</v>
      </c>
      <c r="B14078">
        <v>0</v>
      </c>
      <c r="C14078">
        <v>27</v>
      </c>
      <c r="D14078">
        <v>1</v>
      </c>
      <c r="E14078">
        <f t="shared" si="219"/>
        <v>2.2506341439130817E-42</v>
      </c>
    </row>
    <row r="14079" spans="1:5" x14ac:dyDescent="0.25">
      <c r="A14079">
        <v>20</v>
      </c>
      <c r="B14079">
        <v>0</v>
      </c>
      <c r="C14079">
        <v>28</v>
      </c>
      <c r="D14079">
        <v>0</v>
      </c>
      <c r="E14079">
        <f t="shared" si="219"/>
        <v>1.2217728209813872E-43</v>
      </c>
    </row>
    <row r="14080" spans="1:5" x14ac:dyDescent="0.25">
      <c r="A14080">
        <v>20</v>
      </c>
      <c r="B14080">
        <v>1</v>
      </c>
      <c r="C14080">
        <v>2</v>
      </c>
      <c r="D14080">
        <v>25</v>
      </c>
      <c r="E14080">
        <f t="shared" si="219"/>
        <v>3.7367933293670567E-56</v>
      </c>
    </row>
    <row r="14081" spans="1:5" x14ac:dyDescent="0.25">
      <c r="A14081">
        <v>20</v>
      </c>
      <c r="B14081">
        <v>1</v>
      </c>
      <c r="C14081">
        <v>3</v>
      </c>
      <c r="D14081">
        <v>24</v>
      </c>
      <c r="E14081">
        <f t="shared" si="219"/>
        <v>1.9618164979177049E-53</v>
      </c>
    </row>
    <row r="14082" spans="1:5" x14ac:dyDescent="0.25">
      <c r="A14082">
        <v>20</v>
      </c>
      <c r="B14082">
        <v>1</v>
      </c>
      <c r="C14082">
        <v>4</v>
      </c>
      <c r="D14082">
        <v>23</v>
      </c>
      <c r="E14082">
        <f t="shared" si="219"/>
        <v>3.6489786861269309E-51</v>
      </c>
    </row>
    <row r="14083" spans="1:5" x14ac:dyDescent="0.25">
      <c r="A14083">
        <v>20</v>
      </c>
      <c r="B14083">
        <v>1</v>
      </c>
      <c r="C14083">
        <v>5</v>
      </c>
      <c r="D14083">
        <v>22</v>
      </c>
      <c r="E14083">
        <f t="shared" si="219"/>
        <v>3.4130113977573898E-49</v>
      </c>
    </row>
    <row r="14084" spans="1:5" x14ac:dyDescent="0.25">
      <c r="A14084">
        <v>20</v>
      </c>
      <c r="B14084">
        <v>1</v>
      </c>
      <c r="C14084">
        <v>6</v>
      </c>
      <c r="D14084">
        <v>21</v>
      </c>
      <c r="E14084">
        <f t="shared" si="219"/>
        <v>1.8771562687665646E-47</v>
      </c>
    </row>
    <row r="14085" spans="1:5" x14ac:dyDescent="0.25">
      <c r="A14085">
        <v>20</v>
      </c>
      <c r="B14085">
        <v>1</v>
      </c>
      <c r="C14085">
        <v>7</v>
      </c>
      <c r="D14085">
        <v>20</v>
      </c>
      <c r="E14085">
        <f t="shared" si="219"/>
        <v>6.6451331914336363E-46</v>
      </c>
    </row>
    <row r="14086" spans="1:5" x14ac:dyDescent="0.25">
      <c r="A14086">
        <v>20</v>
      </c>
      <c r="B14086">
        <v>1</v>
      </c>
      <c r="C14086">
        <v>8</v>
      </c>
      <c r="D14086">
        <v>19</v>
      </c>
      <c r="E14086">
        <f t="shared" si="219"/>
        <v>1.6059071879297955E-44</v>
      </c>
    </row>
    <row r="14087" spans="1:5" x14ac:dyDescent="0.25">
      <c r="A14087">
        <v>20</v>
      </c>
      <c r="B14087">
        <v>1</v>
      </c>
      <c r="C14087">
        <v>9</v>
      </c>
      <c r="D14087">
        <v>18</v>
      </c>
      <c r="E14087">
        <f t="shared" si="219"/>
        <v>2.7606309278221734E-43</v>
      </c>
    </row>
    <row r="14088" spans="1:5" x14ac:dyDescent="0.25">
      <c r="A14088">
        <v>20</v>
      </c>
      <c r="B14088">
        <v>1</v>
      </c>
      <c r="C14088">
        <v>10</v>
      </c>
      <c r="D14088">
        <v>17</v>
      </c>
      <c r="E14088">
        <f t="shared" si="219"/>
        <v>3.478394969055938E-42</v>
      </c>
    </row>
    <row r="14089" spans="1:5" x14ac:dyDescent="0.25">
      <c r="A14089">
        <v>20</v>
      </c>
      <c r="B14089">
        <v>1</v>
      </c>
      <c r="C14089">
        <v>11</v>
      </c>
      <c r="D14089">
        <v>16</v>
      </c>
      <c r="E14089">
        <f t="shared" si="219"/>
        <v>3.2851508041083865E-41</v>
      </c>
    </row>
    <row r="14090" spans="1:5" x14ac:dyDescent="0.25">
      <c r="A14090">
        <v>20</v>
      </c>
      <c r="B14090">
        <v>1</v>
      </c>
      <c r="C14090">
        <v>12</v>
      </c>
      <c r="D14090">
        <v>15</v>
      </c>
      <c r="E14090">
        <f t="shared" si="219"/>
        <v>2.3653085789580365E-40</v>
      </c>
    </row>
    <row r="14091" spans="1:5" x14ac:dyDescent="0.25">
      <c r="A14091">
        <v>20</v>
      </c>
      <c r="B14091">
        <v>1</v>
      </c>
      <c r="C14091">
        <v>13</v>
      </c>
      <c r="D14091">
        <v>14</v>
      </c>
      <c r="E14091">
        <f t="shared" si="219"/>
        <v>1.3149792449452028E-39</v>
      </c>
    </row>
    <row r="14092" spans="1:5" x14ac:dyDescent="0.25">
      <c r="A14092">
        <v>20</v>
      </c>
      <c r="B14092">
        <v>1</v>
      </c>
      <c r="C14092">
        <v>14</v>
      </c>
      <c r="D14092">
        <v>13</v>
      </c>
      <c r="E14092">
        <f t="shared" si="219"/>
        <v>5.6982433947625469E-39</v>
      </c>
    </row>
    <row r="14093" spans="1:5" x14ac:dyDescent="0.25">
      <c r="A14093">
        <v>20</v>
      </c>
      <c r="B14093">
        <v>1</v>
      </c>
      <c r="C14093">
        <v>15</v>
      </c>
      <c r="D14093">
        <v>12</v>
      </c>
      <c r="E14093">
        <f t="shared" si="219"/>
        <v>1.9374027542192655E-38</v>
      </c>
    </row>
    <row r="14094" spans="1:5" x14ac:dyDescent="0.25">
      <c r="A14094">
        <v>20</v>
      </c>
      <c r="B14094">
        <v>1</v>
      </c>
      <c r="C14094">
        <v>16</v>
      </c>
      <c r="D14094">
        <v>11</v>
      </c>
      <c r="E14094">
        <f t="shared" ref="E14094:E14157" si="220">COMBIN(A$4,A14094)*COMBIN(B$4,B14094)*COMBIN(C$4,C14094)*COMBIN(D$4,D14094)/COMBIN($G$4,$F$4)</f>
        <v>5.189471663087318E-38</v>
      </c>
    </row>
    <row r="14095" spans="1:5" x14ac:dyDescent="0.25">
      <c r="A14095">
        <v>20</v>
      </c>
      <c r="B14095">
        <v>1</v>
      </c>
      <c r="C14095">
        <v>17</v>
      </c>
      <c r="D14095">
        <v>10</v>
      </c>
      <c r="E14095">
        <f t="shared" si="220"/>
        <v>1.0969118534917904E-37</v>
      </c>
    </row>
    <row r="14096" spans="1:5" x14ac:dyDescent="0.25">
      <c r="A14096">
        <v>20</v>
      </c>
      <c r="B14096">
        <v>1</v>
      </c>
      <c r="C14096">
        <v>18</v>
      </c>
      <c r="D14096">
        <v>9</v>
      </c>
      <c r="E14096">
        <f t="shared" si="220"/>
        <v>1.8281864224863158E-37</v>
      </c>
    </row>
    <row r="14097" spans="1:5" x14ac:dyDescent="0.25">
      <c r="A14097">
        <v>20</v>
      </c>
      <c r="B14097">
        <v>1</v>
      </c>
      <c r="C14097">
        <v>19</v>
      </c>
      <c r="D14097">
        <v>8</v>
      </c>
      <c r="E14097">
        <f t="shared" si="220"/>
        <v>2.3941884108721729E-37</v>
      </c>
    </row>
    <row r="14098" spans="1:5" x14ac:dyDescent="0.25">
      <c r="A14098">
        <v>20</v>
      </c>
      <c r="B14098">
        <v>1</v>
      </c>
      <c r="C14098">
        <v>20</v>
      </c>
      <c r="D14098">
        <v>7</v>
      </c>
      <c r="E14098">
        <f t="shared" si="220"/>
        <v>2.447392597780446E-37</v>
      </c>
    </row>
    <row r="14099" spans="1:5" x14ac:dyDescent="0.25">
      <c r="A14099">
        <v>20</v>
      </c>
      <c r="B14099">
        <v>1</v>
      </c>
      <c r="C14099">
        <v>21</v>
      </c>
      <c r="D14099">
        <v>6</v>
      </c>
      <c r="E14099">
        <f t="shared" si="220"/>
        <v>1.9321520508792967E-37</v>
      </c>
    </row>
    <row r="14100" spans="1:5" x14ac:dyDescent="0.25">
      <c r="A14100">
        <v>20</v>
      </c>
      <c r="B14100">
        <v>1</v>
      </c>
      <c r="C14100">
        <v>22</v>
      </c>
      <c r="D14100">
        <v>5</v>
      </c>
      <c r="E14100">
        <f t="shared" si="220"/>
        <v>1.1592912305275785E-37</v>
      </c>
    </row>
    <row r="14101" spans="1:5" x14ac:dyDescent="0.25">
      <c r="A14101">
        <v>20</v>
      </c>
      <c r="B14101">
        <v>1</v>
      </c>
      <c r="C14101">
        <v>23</v>
      </c>
      <c r="D14101">
        <v>4</v>
      </c>
      <c r="E14101">
        <f t="shared" si="220"/>
        <v>5.1604060986217267E-38</v>
      </c>
    </row>
    <row r="14102" spans="1:5" x14ac:dyDescent="0.25">
      <c r="A14102">
        <v>20</v>
      </c>
      <c r="B14102">
        <v>1</v>
      </c>
      <c r="C14102">
        <v>24</v>
      </c>
      <c r="D14102">
        <v>3</v>
      </c>
      <c r="E14102">
        <f t="shared" si="220"/>
        <v>1.6419473950160035E-38</v>
      </c>
    </row>
    <row r="14103" spans="1:5" x14ac:dyDescent="0.25">
      <c r="A14103">
        <v>20</v>
      </c>
      <c r="B14103">
        <v>1</v>
      </c>
      <c r="C14103">
        <v>25</v>
      </c>
      <c r="D14103">
        <v>2</v>
      </c>
      <c r="E14103">
        <f t="shared" si="220"/>
        <v>3.5123396449907575E-39</v>
      </c>
    </row>
    <row r="14104" spans="1:5" x14ac:dyDescent="0.25">
      <c r="A14104">
        <v>20</v>
      </c>
      <c r="B14104">
        <v>1</v>
      </c>
      <c r="C14104">
        <v>26</v>
      </c>
      <c r="D14104">
        <v>1</v>
      </c>
      <c r="E14104">
        <f t="shared" si="220"/>
        <v>4.5029995448599416E-40</v>
      </c>
    </row>
    <row r="14105" spans="1:5" x14ac:dyDescent="0.25">
      <c r="A14105">
        <v>20</v>
      </c>
      <c r="B14105">
        <v>1</v>
      </c>
      <c r="C14105">
        <v>27</v>
      </c>
      <c r="D14105">
        <v>0</v>
      </c>
      <c r="E14105">
        <f t="shared" si="220"/>
        <v>2.6017330703635222E-41</v>
      </c>
    </row>
    <row r="14106" spans="1:5" x14ac:dyDescent="0.25">
      <c r="A14106">
        <v>20</v>
      </c>
      <c r="B14106">
        <v>2</v>
      </c>
      <c r="C14106">
        <v>1</v>
      </c>
      <c r="D14106">
        <v>25</v>
      </c>
      <c r="E14106">
        <f t="shared" si="220"/>
        <v>1.6815569982151756E-55</v>
      </c>
    </row>
    <row r="14107" spans="1:5" x14ac:dyDescent="0.25">
      <c r="A14107">
        <v>20</v>
      </c>
      <c r="B14107">
        <v>2</v>
      </c>
      <c r="C14107">
        <v>2</v>
      </c>
      <c r="D14107">
        <v>24</v>
      </c>
      <c r="E14107">
        <f t="shared" si="220"/>
        <v>1.3452455985721404E-52</v>
      </c>
    </row>
    <row r="14108" spans="1:5" x14ac:dyDescent="0.25">
      <c r="A14108">
        <v>20</v>
      </c>
      <c r="B14108">
        <v>2</v>
      </c>
      <c r="C14108">
        <v>3</v>
      </c>
      <c r="D14108">
        <v>23</v>
      </c>
      <c r="E14108">
        <f t="shared" si="220"/>
        <v>3.3900189084017942E-50</v>
      </c>
    </row>
    <row r="14109" spans="1:5" x14ac:dyDescent="0.25">
      <c r="A14109">
        <v>20</v>
      </c>
      <c r="B14109">
        <v>2</v>
      </c>
      <c r="C14109">
        <v>4</v>
      </c>
      <c r="D14109">
        <v>22</v>
      </c>
      <c r="E14109">
        <f t="shared" si="220"/>
        <v>4.0284724694841318E-48</v>
      </c>
    </row>
    <row r="14110" spans="1:5" x14ac:dyDescent="0.25">
      <c r="A14110">
        <v>20</v>
      </c>
      <c r="B14110">
        <v>2</v>
      </c>
      <c r="C14110">
        <v>5</v>
      </c>
      <c r="D14110">
        <v>21</v>
      </c>
      <c r="E14110">
        <f t="shared" si="220"/>
        <v>2.7031050270238535E-46</v>
      </c>
    </row>
    <row r="14111" spans="1:5" x14ac:dyDescent="0.25">
      <c r="A14111">
        <v>20</v>
      </c>
      <c r="B14111">
        <v>2</v>
      </c>
      <c r="C14111">
        <v>6</v>
      </c>
      <c r="D14111">
        <v>20</v>
      </c>
      <c r="E14111">
        <f t="shared" si="220"/>
        <v>1.135304111350018E-44</v>
      </c>
    </row>
    <row r="14112" spans="1:5" x14ac:dyDescent="0.25">
      <c r="A14112">
        <v>20</v>
      </c>
      <c r="B14112">
        <v>2</v>
      </c>
      <c r="C14112">
        <v>7</v>
      </c>
      <c r="D14112">
        <v>19</v>
      </c>
      <c r="E14112">
        <f t="shared" si="220"/>
        <v>3.1896639318881456E-43</v>
      </c>
    </row>
    <row r="14113" spans="1:5" x14ac:dyDescent="0.25">
      <c r="A14113">
        <v>20</v>
      </c>
      <c r="B14113">
        <v>2</v>
      </c>
      <c r="C14113">
        <v>8</v>
      </c>
      <c r="D14113">
        <v>18</v>
      </c>
      <c r="E14113">
        <f t="shared" si="220"/>
        <v>6.2768029516798904E-42</v>
      </c>
    </row>
    <row r="14114" spans="1:5" x14ac:dyDescent="0.25">
      <c r="A14114">
        <v>20</v>
      </c>
      <c r="B14114">
        <v>2</v>
      </c>
      <c r="C14114">
        <v>9</v>
      </c>
      <c r="D14114">
        <v>17</v>
      </c>
      <c r="E14114">
        <f t="shared" si="220"/>
        <v>8.9444442061438392E-41</v>
      </c>
    </row>
    <row r="14115" spans="1:5" x14ac:dyDescent="0.25">
      <c r="A14115">
        <v>20</v>
      </c>
      <c r="B14115">
        <v>2</v>
      </c>
      <c r="C14115">
        <v>10</v>
      </c>
      <c r="D14115">
        <v>16</v>
      </c>
      <c r="E14115">
        <f t="shared" si="220"/>
        <v>9.4612343158321525E-40</v>
      </c>
    </row>
    <row r="14116" spans="1:5" x14ac:dyDescent="0.25">
      <c r="A14116">
        <v>20</v>
      </c>
      <c r="B14116">
        <v>2</v>
      </c>
      <c r="C14116">
        <v>11</v>
      </c>
      <c r="D14116">
        <v>15</v>
      </c>
      <c r="E14116">
        <f t="shared" si="220"/>
        <v>7.568987452665722E-39</v>
      </c>
    </row>
    <row r="14117" spans="1:5" x14ac:dyDescent="0.25">
      <c r="A14117">
        <v>20</v>
      </c>
      <c r="B14117">
        <v>2</v>
      </c>
      <c r="C14117">
        <v>12</v>
      </c>
      <c r="D14117">
        <v>14</v>
      </c>
      <c r="E14117">
        <f t="shared" si="220"/>
        <v>4.6446059368630538E-38</v>
      </c>
    </row>
    <row r="14118" spans="1:5" x14ac:dyDescent="0.25">
      <c r="A14118">
        <v>20</v>
      </c>
      <c r="B14118">
        <v>2</v>
      </c>
      <c r="C14118">
        <v>13</v>
      </c>
      <c r="D14118">
        <v>13</v>
      </c>
      <c r="E14118">
        <f t="shared" si="220"/>
        <v>2.209165131507941E-37</v>
      </c>
    </row>
    <row r="14119" spans="1:5" x14ac:dyDescent="0.25">
      <c r="A14119">
        <v>20</v>
      </c>
      <c r="B14119">
        <v>2</v>
      </c>
      <c r="C14119">
        <v>14</v>
      </c>
      <c r="D14119">
        <v>12</v>
      </c>
      <c r="E14119">
        <f t="shared" si="220"/>
        <v>8.205470488458068E-37</v>
      </c>
    </row>
    <row r="14120" spans="1:5" x14ac:dyDescent="0.25">
      <c r="A14120">
        <v>20</v>
      </c>
      <c r="B14120">
        <v>2</v>
      </c>
      <c r="C14120">
        <v>15</v>
      </c>
      <c r="D14120">
        <v>11</v>
      </c>
      <c r="E14120">
        <f t="shared" si="220"/>
        <v>2.3913085423506355E-36</v>
      </c>
    </row>
    <row r="14121" spans="1:5" x14ac:dyDescent="0.25">
      <c r="A14121">
        <v>20</v>
      </c>
      <c r="B14121">
        <v>2</v>
      </c>
      <c r="C14121">
        <v>16</v>
      </c>
      <c r="D14121">
        <v>10</v>
      </c>
      <c r="E14121">
        <f t="shared" si="220"/>
        <v>5.4800820762202063E-36</v>
      </c>
    </row>
    <row r="14122" spans="1:5" x14ac:dyDescent="0.25">
      <c r="A14122">
        <v>20</v>
      </c>
      <c r="B14122">
        <v>2</v>
      </c>
      <c r="C14122">
        <v>17</v>
      </c>
      <c r="D14122">
        <v>9</v>
      </c>
      <c r="E14122">
        <f t="shared" si="220"/>
        <v>9.8722066814261144E-36</v>
      </c>
    </row>
    <row r="14123" spans="1:5" x14ac:dyDescent="0.25">
      <c r="A14123">
        <v>20</v>
      </c>
      <c r="B14123">
        <v>2</v>
      </c>
      <c r="C14123">
        <v>18</v>
      </c>
      <c r="D14123">
        <v>8</v>
      </c>
      <c r="E14123">
        <f t="shared" si="220"/>
        <v>1.3937232962013327E-35</v>
      </c>
    </row>
    <row r="14124" spans="1:5" x14ac:dyDescent="0.25">
      <c r="A14124">
        <v>20</v>
      </c>
      <c r="B14124">
        <v>2</v>
      </c>
      <c r="C14124">
        <v>19</v>
      </c>
      <c r="D14124">
        <v>7</v>
      </c>
      <c r="E14124">
        <f t="shared" si="220"/>
        <v>1.5322805829581912E-35</v>
      </c>
    </row>
    <row r="14125" spans="1:5" x14ac:dyDescent="0.25">
      <c r="A14125">
        <v>20</v>
      </c>
      <c r="B14125">
        <v>2</v>
      </c>
      <c r="C14125">
        <v>20</v>
      </c>
      <c r="D14125">
        <v>6</v>
      </c>
      <c r="E14125">
        <f t="shared" si="220"/>
        <v>1.2984061781908888E-35</v>
      </c>
    </row>
    <row r="14126" spans="1:5" x14ac:dyDescent="0.25">
      <c r="A14126">
        <v>20</v>
      </c>
      <c r="B14126">
        <v>2</v>
      </c>
      <c r="C14126">
        <v>21</v>
      </c>
      <c r="D14126">
        <v>5</v>
      </c>
      <c r="E14126">
        <f t="shared" si="220"/>
        <v>8.3468968597985601E-36</v>
      </c>
    </row>
    <row r="14127" spans="1:5" x14ac:dyDescent="0.25">
      <c r="A14127">
        <v>20</v>
      </c>
      <c r="B14127">
        <v>2</v>
      </c>
      <c r="C14127">
        <v>22</v>
      </c>
      <c r="D14127">
        <v>4</v>
      </c>
      <c r="E14127">
        <f t="shared" si="220"/>
        <v>3.9747127903802708E-36</v>
      </c>
    </row>
    <row r="14128" spans="1:5" x14ac:dyDescent="0.25">
      <c r="A14128">
        <v>20</v>
      </c>
      <c r="B14128">
        <v>2</v>
      </c>
      <c r="C14128">
        <v>23</v>
      </c>
      <c r="D14128">
        <v>3</v>
      </c>
      <c r="E14128">
        <f t="shared" si="220"/>
        <v>1.3510881421845975E-36</v>
      </c>
    </row>
    <row r="14129" spans="1:5" x14ac:dyDescent="0.25">
      <c r="A14129">
        <v>20</v>
      </c>
      <c r="B14129">
        <v>2</v>
      </c>
      <c r="C14129">
        <v>24</v>
      </c>
      <c r="D14129">
        <v>2</v>
      </c>
      <c r="E14129">
        <f t="shared" si="220"/>
        <v>3.0840055419431026E-37</v>
      </c>
    </row>
    <row r="14130" spans="1:5" x14ac:dyDescent="0.25">
      <c r="A14130">
        <v>20</v>
      </c>
      <c r="B14130">
        <v>2</v>
      </c>
      <c r="C14130">
        <v>25</v>
      </c>
      <c r="D14130">
        <v>1</v>
      </c>
      <c r="E14130">
        <f t="shared" si="220"/>
        <v>4.2148075739889088E-38</v>
      </c>
    </row>
    <row r="14131" spans="1:5" x14ac:dyDescent="0.25">
      <c r="A14131">
        <v>20</v>
      </c>
      <c r="B14131">
        <v>2</v>
      </c>
      <c r="C14131">
        <v>26</v>
      </c>
      <c r="D14131">
        <v>0</v>
      </c>
      <c r="E14131">
        <f t="shared" si="220"/>
        <v>2.5937277378393265E-39</v>
      </c>
    </row>
    <row r="14132" spans="1:5" x14ac:dyDescent="0.25">
      <c r="A14132">
        <v>20</v>
      </c>
      <c r="B14132">
        <v>3</v>
      </c>
      <c r="C14132">
        <v>0</v>
      </c>
      <c r="D14132">
        <v>25</v>
      </c>
      <c r="E14132">
        <f t="shared" si="220"/>
        <v>2.4749069666038739E-55</v>
      </c>
    </row>
    <row r="14133" spans="1:5" x14ac:dyDescent="0.25">
      <c r="A14133">
        <v>20</v>
      </c>
      <c r="B14133">
        <v>3</v>
      </c>
      <c r="C14133">
        <v>1</v>
      </c>
      <c r="D14133">
        <v>24</v>
      </c>
      <c r="E14133">
        <f t="shared" si="220"/>
        <v>4.0217238207312952E-52</v>
      </c>
    </row>
    <row r="14134" spans="1:5" x14ac:dyDescent="0.25">
      <c r="A14134">
        <v>20</v>
      </c>
      <c r="B14134">
        <v>3</v>
      </c>
      <c r="C14134">
        <v>2</v>
      </c>
      <c r="D14134">
        <v>23</v>
      </c>
      <c r="E14134">
        <f t="shared" si="220"/>
        <v>1.5443419471608173E-49</v>
      </c>
    </row>
    <row r="14135" spans="1:5" x14ac:dyDescent="0.25">
      <c r="A14135">
        <v>20</v>
      </c>
      <c r="B14135">
        <v>3</v>
      </c>
      <c r="C14135">
        <v>3</v>
      </c>
      <c r="D14135">
        <v>22</v>
      </c>
      <c r="E14135">
        <f t="shared" si="220"/>
        <v>2.4863905349289159E-47</v>
      </c>
    </row>
    <row r="14136" spans="1:5" x14ac:dyDescent="0.25">
      <c r="A14136">
        <v>20</v>
      </c>
      <c r="B14136">
        <v>3</v>
      </c>
      <c r="C14136">
        <v>4</v>
      </c>
      <c r="D14136">
        <v>21</v>
      </c>
      <c r="E14136">
        <f t="shared" si="220"/>
        <v>2.1196479310269011E-45</v>
      </c>
    </row>
    <row r="14137" spans="1:5" x14ac:dyDescent="0.25">
      <c r="A14137">
        <v>20</v>
      </c>
      <c r="B14137">
        <v>3</v>
      </c>
      <c r="C14137">
        <v>5</v>
      </c>
      <c r="D14137">
        <v>20</v>
      </c>
      <c r="E14137">
        <f t="shared" si="220"/>
        <v>1.0861075998581839E-43</v>
      </c>
    </row>
    <row r="14138" spans="1:5" x14ac:dyDescent="0.25">
      <c r="A14138">
        <v>20</v>
      </c>
      <c r="B14138">
        <v>3</v>
      </c>
      <c r="C14138">
        <v>6</v>
      </c>
      <c r="D14138">
        <v>19</v>
      </c>
      <c r="E14138">
        <f t="shared" si="220"/>
        <v>3.6203586661939455E-42</v>
      </c>
    </row>
    <row r="14139" spans="1:5" x14ac:dyDescent="0.25">
      <c r="A14139">
        <v>20</v>
      </c>
      <c r="B14139">
        <v>3</v>
      </c>
      <c r="C14139">
        <v>7</v>
      </c>
      <c r="D14139">
        <v>18</v>
      </c>
      <c r="E14139">
        <f t="shared" si="220"/>
        <v>8.2824940098028877E-41</v>
      </c>
    </row>
    <row r="14140" spans="1:5" x14ac:dyDescent="0.25">
      <c r="A14140">
        <v>20</v>
      </c>
      <c r="B14140">
        <v>3</v>
      </c>
      <c r="C14140">
        <v>8</v>
      </c>
      <c r="D14140">
        <v>17</v>
      </c>
      <c r="E14140">
        <f t="shared" si="220"/>
        <v>1.3510818353490961E-39</v>
      </c>
    </row>
    <row r="14141" spans="1:5" x14ac:dyDescent="0.25">
      <c r="A14141">
        <v>20</v>
      </c>
      <c r="B14141">
        <v>3</v>
      </c>
      <c r="C14141">
        <v>9</v>
      </c>
      <c r="D14141">
        <v>16</v>
      </c>
      <c r="E14141">
        <f t="shared" si="220"/>
        <v>1.6162941956213255E-38</v>
      </c>
    </row>
    <row r="14142" spans="1:5" x14ac:dyDescent="0.25">
      <c r="A14142">
        <v>20</v>
      </c>
      <c r="B14142">
        <v>3</v>
      </c>
      <c r="C14142">
        <v>10</v>
      </c>
      <c r="D14142">
        <v>15</v>
      </c>
      <c r="E14142">
        <f t="shared" si="220"/>
        <v>1.4481995992767077E-37</v>
      </c>
    </row>
    <row r="14143" spans="1:5" x14ac:dyDescent="0.25">
      <c r="A14143">
        <v>20</v>
      </c>
      <c r="B14143">
        <v>3</v>
      </c>
      <c r="C14143">
        <v>11</v>
      </c>
      <c r="D14143">
        <v>14</v>
      </c>
      <c r="E14143">
        <f t="shared" si="220"/>
        <v>9.8740881768866461E-37</v>
      </c>
    </row>
    <row r="14144" spans="1:5" x14ac:dyDescent="0.25">
      <c r="A14144">
        <v>20</v>
      </c>
      <c r="B14144">
        <v>3</v>
      </c>
      <c r="C14144">
        <v>12</v>
      </c>
      <c r="D14144">
        <v>13</v>
      </c>
      <c r="E14144">
        <f t="shared" si="220"/>
        <v>5.1838962928654868E-36</v>
      </c>
    </row>
    <row r="14145" spans="1:5" x14ac:dyDescent="0.25">
      <c r="A14145">
        <v>20</v>
      </c>
      <c r="B14145">
        <v>3</v>
      </c>
      <c r="C14145">
        <v>13</v>
      </c>
      <c r="D14145">
        <v>12</v>
      </c>
      <c r="E14145">
        <f t="shared" si="220"/>
        <v>2.11343464247593E-35</v>
      </c>
    </row>
    <row r="14146" spans="1:5" x14ac:dyDescent="0.25">
      <c r="A14146">
        <v>20</v>
      </c>
      <c r="B14146">
        <v>3</v>
      </c>
      <c r="C14146">
        <v>14</v>
      </c>
      <c r="D14146">
        <v>11</v>
      </c>
      <c r="E14146">
        <f t="shared" si="220"/>
        <v>6.7284858005356142E-35</v>
      </c>
    </row>
    <row r="14147" spans="1:5" x14ac:dyDescent="0.25">
      <c r="A14147">
        <v>20</v>
      </c>
      <c r="B14147">
        <v>3</v>
      </c>
      <c r="C14147">
        <v>15</v>
      </c>
      <c r="D14147">
        <v>10</v>
      </c>
      <c r="E14147">
        <f t="shared" si="220"/>
        <v>1.6776357929335457E-34</v>
      </c>
    </row>
    <row r="14148" spans="1:5" x14ac:dyDescent="0.25">
      <c r="A14148">
        <v>20</v>
      </c>
      <c r="B14148">
        <v>3</v>
      </c>
      <c r="C14148">
        <v>16</v>
      </c>
      <c r="D14148">
        <v>9</v>
      </c>
      <c r="E14148">
        <f t="shared" si="220"/>
        <v>3.2766324080733327E-34</v>
      </c>
    </row>
    <row r="14149" spans="1:5" x14ac:dyDescent="0.25">
      <c r="A14149">
        <v>20</v>
      </c>
      <c r="B14149">
        <v>3</v>
      </c>
      <c r="C14149">
        <v>17</v>
      </c>
      <c r="D14149">
        <v>8</v>
      </c>
      <c r="E14149">
        <f t="shared" si="220"/>
        <v>4.9999823251222853E-34</v>
      </c>
    </row>
    <row r="14150" spans="1:5" x14ac:dyDescent="0.25">
      <c r="A14150">
        <v>20</v>
      </c>
      <c r="B14150">
        <v>3</v>
      </c>
      <c r="C14150">
        <v>18</v>
      </c>
      <c r="D14150">
        <v>7</v>
      </c>
      <c r="E14150">
        <f t="shared" si="220"/>
        <v>5.925904977922704E-34</v>
      </c>
    </row>
    <row r="14151" spans="1:5" x14ac:dyDescent="0.25">
      <c r="A14151">
        <v>20</v>
      </c>
      <c r="B14151">
        <v>3</v>
      </c>
      <c r="C14151">
        <v>19</v>
      </c>
      <c r="D14151">
        <v>6</v>
      </c>
      <c r="E14151">
        <f t="shared" si="220"/>
        <v>5.4006170020403585E-34</v>
      </c>
    </row>
    <row r="14152" spans="1:5" x14ac:dyDescent="0.25">
      <c r="A14152">
        <v>20</v>
      </c>
      <c r="B14152">
        <v>3</v>
      </c>
      <c r="C14152">
        <v>20</v>
      </c>
      <c r="D14152">
        <v>5</v>
      </c>
      <c r="E14152">
        <f t="shared" si="220"/>
        <v>3.7264257314078507E-34</v>
      </c>
    </row>
    <row r="14153" spans="1:5" x14ac:dyDescent="0.25">
      <c r="A14153">
        <v>20</v>
      </c>
      <c r="B14153">
        <v>3</v>
      </c>
      <c r="C14153">
        <v>21</v>
      </c>
      <c r="D14153">
        <v>4</v>
      </c>
      <c r="E14153">
        <f t="shared" si="220"/>
        <v>1.9012376180652282E-34</v>
      </c>
    </row>
    <row r="14154" spans="1:5" x14ac:dyDescent="0.25">
      <c r="A14154">
        <v>20</v>
      </c>
      <c r="B14154">
        <v>3</v>
      </c>
      <c r="C14154">
        <v>22</v>
      </c>
      <c r="D14154">
        <v>3</v>
      </c>
      <c r="E14154">
        <f t="shared" si="220"/>
        <v>6.9135913384190151E-35</v>
      </c>
    </row>
    <row r="14155" spans="1:5" x14ac:dyDescent="0.25">
      <c r="A14155">
        <v>20</v>
      </c>
      <c r="B14155">
        <v>3</v>
      </c>
      <c r="C14155">
        <v>23</v>
      </c>
      <c r="D14155">
        <v>2</v>
      </c>
      <c r="E14155">
        <f t="shared" si="220"/>
        <v>1.6859230295955629E-35</v>
      </c>
    </row>
    <row r="14156" spans="1:5" x14ac:dyDescent="0.25">
      <c r="A14156">
        <v>20</v>
      </c>
      <c r="B14156">
        <v>3</v>
      </c>
      <c r="C14156">
        <v>24</v>
      </c>
      <c r="D14156">
        <v>1</v>
      </c>
      <c r="E14156">
        <f t="shared" si="220"/>
        <v>2.458637751493529E-36</v>
      </c>
    </row>
    <row r="14157" spans="1:5" x14ac:dyDescent="0.25">
      <c r="A14157">
        <v>20</v>
      </c>
      <c r="B14157">
        <v>3</v>
      </c>
      <c r="C14157">
        <v>25</v>
      </c>
      <c r="D14157">
        <v>0</v>
      </c>
      <c r="E14157">
        <f t="shared" si="220"/>
        <v>1.6128663649797557E-37</v>
      </c>
    </row>
    <row r="14158" spans="1:5" x14ac:dyDescent="0.25">
      <c r="A14158">
        <v>20</v>
      </c>
      <c r="B14158">
        <v>4</v>
      </c>
      <c r="C14158">
        <v>0</v>
      </c>
      <c r="D14158">
        <v>24</v>
      </c>
      <c r="E14158">
        <f t="shared" ref="E14158:E14221" si="221">COMBIN(A$4,A14158)*COMBIN(B$4,B14158)*COMBIN(C$4,C14158)*COMBIN(D$4,D14158)/COMBIN($G$4,$F$4)</f>
        <v>4.4238962028044247E-52</v>
      </c>
    </row>
    <row r="14159" spans="1:5" x14ac:dyDescent="0.25">
      <c r="A14159">
        <v>20</v>
      </c>
      <c r="B14159">
        <v>4</v>
      </c>
      <c r="C14159">
        <v>1</v>
      </c>
      <c r="D14159">
        <v>23</v>
      </c>
      <c r="E14159">
        <f t="shared" si="221"/>
        <v>3.450639038187451E-49</v>
      </c>
    </row>
    <row r="14160" spans="1:5" x14ac:dyDescent="0.25">
      <c r="A14160">
        <v>20</v>
      </c>
      <c r="B14160">
        <v>4</v>
      </c>
      <c r="C14160">
        <v>2</v>
      </c>
      <c r="D14160">
        <v>22</v>
      </c>
      <c r="E14160">
        <f t="shared" si="221"/>
        <v>8.4655677736865467E-47</v>
      </c>
    </row>
    <row r="14161" spans="1:5" x14ac:dyDescent="0.25">
      <c r="A14161">
        <v>20</v>
      </c>
      <c r="B14161">
        <v>4</v>
      </c>
      <c r="C14161">
        <v>3</v>
      </c>
      <c r="D14161">
        <v>21</v>
      </c>
      <c r="E14161">
        <f t="shared" si="221"/>
        <v>9.7777307786079628E-45</v>
      </c>
    </row>
    <row r="14162" spans="1:5" x14ac:dyDescent="0.25">
      <c r="A14162">
        <v>20</v>
      </c>
      <c r="B14162">
        <v>4</v>
      </c>
      <c r="C14162">
        <v>4</v>
      </c>
      <c r="D14162">
        <v>20</v>
      </c>
      <c r="E14162">
        <f t="shared" si="221"/>
        <v>6.3653027368737819E-43</v>
      </c>
    </row>
    <row r="14163" spans="1:5" x14ac:dyDescent="0.25">
      <c r="A14163">
        <v>20</v>
      </c>
      <c r="B14163">
        <v>4</v>
      </c>
      <c r="C14163">
        <v>5</v>
      </c>
      <c r="D14163">
        <v>19</v>
      </c>
      <c r="E14163">
        <f t="shared" si="221"/>
        <v>2.5885564463286715E-41</v>
      </c>
    </row>
    <row r="14164" spans="1:5" x14ac:dyDescent="0.25">
      <c r="A14164">
        <v>20</v>
      </c>
      <c r="B14164">
        <v>4</v>
      </c>
      <c r="C14164">
        <v>6</v>
      </c>
      <c r="D14164">
        <v>18</v>
      </c>
      <c r="E14164">
        <f t="shared" si="221"/>
        <v>7.0260817828921098E-40</v>
      </c>
    </row>
    <row r="14165" spans="1:5" x14ac:dyDescent="0.25">
      <c r="A14165">
        <v>20</v>
      </c>
      <c r="B14165">
        <v>4</v>
      </c>
      <c r="C14165">
        <v>7</v>
      </c>
      <c r="D14165">
        <v>17</v>
      </c>
      <c r="E14165">
        <f t="shared" si="221"/>
        <v>1.3324462238270392E-38</v>
      </c>
    </row>
    <row r="14166" spans="1:5" x14ac:dyDescent="0.25">
      <c r="A14166">
        <v>20</v>
      </c>
      <c r="B14166">
        <v>4</v>
      </c>
      <c r="C14166">
        <v>8</v>
      </c>
      <c r="D14166">
        <v>16</v>
      </c>
      <c r="E14166">
        <f t="shared" si="221"/>
        <v>1.8247110787409179E-37</v>
      </c>
    </row>
    <row r="14167" spans="1:5" x14ac:dyDescent="0.25">
      <c r="A14167">
        <v>20</v>
      </c>
      <c r="B14167">
        <v>4</v>
      </c>
      <c r="C14167">
        <v>9</v>
      </c>
      <c r="D14167">
        <v>15</v>
      </c>
      <c r="E14167">
        <f t="shared" si="221"/>
        <v>1.8490405597907963E-36</v>
      </c>
    </row>
    <row r="14168" spans="1:5" x14ac:dyDescent="0.25">
      <c r="A14168">
        <v>20</v>
      </c>
      <c r="B14168">
        <v>4</v>
      </c>
      <c r="C14168">
        <v>10</v>
      </c>
      <c r="D14168">
        <v>14</v>
      </c>
      <c r="E14168">
        <f t="shared" si="221"/>
        <v>1.4119946092947903E-35</v>
      </c>
    </row>
    <row r="14169" spans="1:5" x14ac:dyDescent="0.25">
      <c r="A14169">
        <v>20</v>
      </c>
      <c r="B14169">
        <v>4</v>
      </c>
      <c r="C14169">
        <v>11</v>
      </c>
      <c r="D14169">
        <v>13</v>
      </c>
      <c r="E14169">
        <f t="shared" si="221"/>
        <v>8.2366352208862799E-35</v>
      </c>
    </row>
    <row r="14170" spans="1:5" x14ac:dyDescent="0.25">
      <c r="A14170">
        <v>20</v>
      </c>
      <c r="B14170">
        <v>4</v>
      </c>
      <c r="C14170">
        <v>12</v>
      </c>
      <c r="D14170">
        <v>12</v>
      </c>
      <c r="E14170">
        <f t="shared" si="221"/>
        <v>3.7064858493988232E-34</v>
      </c>
    </row>
    <row r="14171" spans="1:5" x14ac:dyDescent="0.25">
      <c r="A14171">
        <v>20</v>
      </c>
      <c r="B14171">
        <v>4</v>
      </c>
      <c r="C14171">
        <v>13</v>
      </c>
      <c r="D14171">
        <v>11</v>
      </c>
      <c r="E14171">
        <f t="shared" si="221"/>
        <v>1.2952335166031057E-33</v>
      </c>
    </row>
    <row r="14172" spans="1:5" x14ac:dyDescent="0.25">
      <c r="A14172">
        <v>20</v>
      </c>
      <c r="B14172">
        <v>4</v>
      </c>
      <c r="C14172">
        <v>14</v>
      </c>
      <c r="D14172">
        <v>10</v>
      </c>
      <c r="E14172">
        <f t="shared" si="221"/>
        <v>3.5279693880808398E-33</v>
      </c>
    </row>
    <row r="14173" spans="1:5" x14ac:dyDescent="0.25">
      <c r="A14173">
        <v>20</v>
      </c>
      <c r="B14173">
        <v>4</v>
      </c>
      <c r="C14173">
        <v>15</v>
      </c>
      <c r="D14173">
        <v>9</v>
      </c>
      <c r="E14173">
        <f t="shared" si="221"/>
        <v>7.4969349496717836E-33</v>
      </c>
    </row>
    <row r="14174" spans="1:5" x14ac:dyDescent="0.25">
      <c r="A14174">
        <v>20</v>
      </c>
      <c r="B14174">
        <v>4</v>
      </c>
      <c r="C14174">
        <v>16</v>
      </c>
      <c r="D14174">
        <v>8</v>
      </c>
      <c r="E14174">
        <f t="shared" si="221"/>
        <v>1.2403017379971702E-32</v>
      </c>
    </row>
    <row r="14175" spans="1:5" x14ac:dyDescent="0.25">
      <c r="A14175">
        <v>20</v>
      </c>
      <c r="B14175">
        <v>4</v>
      </c>
      <c r="C14175">
        <v>17</v>
      </c>
      <c r="D14175">
        <v>7</v>
      </c>
      <c r="E14175">
        <f t="shared" si="221"/>
        <v>1.5888832722055267E-32</v>
      </c>
    </row>
    <row r="14176" spans="1:5" x14ac:dyDescent="0.25">
      <c r="A14176">
        <v>20</v>
      </c>
      <c r="B14176">
        <v>4</v>
      </c>
      <c r="C14176">
        <v>18</v>
      </c>
      <c r="D14176">
        <v>6</v>
      </c>
      <c r="E14176">
        <f t="shared" si="221"/>
        <v>1.5610081270791118E-32</v>
      </c>
    </row>
    <row r="14177" spans="1:5" x14ac:dyDescent="0.25">
      <c r="A14177">
        <v>20</v>
      </c>
      <c r="B14177">
        <v>4</v>
      </c>
      <c r="C14177">
        <v>19</v>
      </c>
      <c r="D14177">
        <v>5</v>
      </c>
      <c r="E14177">
        <f t="shared" si="221"/>
        <v>1.1584323469376571E-32</v>
      </c>
    </row>
    <row r="14178" spans="1:5" x14ac:dyDescent="0.25">
      <c r="A14178">
        <v>20</v>
      </c>
      <c r="B14178">
        <v>4</v>
      </c>
      <c r="C14178">
        <v>20</v>
      </c>
      <c r="D14178">
        <v>4</v>
      </c>
      <c r="E14178">
        <f t="shared" si="221"/>
        <v>6.343796185610987E-33</v>
      </c>
    </row>
    <row r="14179" spans="1:5" x14ac:dyDescent="0.25">
      <c r="A14179">
        <v>20</v>
      </c>
      <c r="B14179">
        <v>4</v>
      </c>
      <c r="C14179">
        <v>21</v>
      </c>
      <c r="D14179">
        <v>3</v>
      </c>
      <c r="E14179">
        <f t="shared" si="221"/>
        <v>2.4716089034847967E-33</v>
      </c>
    </row>
    <row r="14180" spans="1:5" x14ac:dyDescent="0.25">
      <c r="A14180">
        <v>20</v>
      </c>
      <c r="B14180">
        <v>4</v>
      </c>
      <c r="C14180">
        <v>22</v>
      </c>
      <c r="D14180">
        <v>2</v>
      </c>
      <c r="E14180">
        <f t="shared" si="221"/>
        <v>6.4476754003951248E-34</v>
      </c>
    </row>
    <row r="14181" spans="1:5" x14ac:dyDescent="0.25">
      <c r="A14181">
        <v>20</v>
      </c>
      <c r="B14181">
        <v>4</v>
      </c>
      <c r="C14181">
        <v>23</v>
      </c>
      <c r="D14181">
        <v>1</v>
      </c>
      <c r="E14181">
        <f t="shared" si="221"/>
        <v>1.0045291384673561E-34</v>
      </c>
    </row>
    <row r="14182" spans="1:5" x14ac:dyDescent="0.25">
      <c r="A14182">
        <v>20</v>
      </c>
      <c r="B14182">
        <v>4</v>
      </c>
      <c r="C14182">
        <v>24</v>
      </c>
      <c r="D14182">
        <v>0</v>
      </c>
      <c r="E14182">
        <f t="shared" si="221"/>
        <v>7.031703969271493E-36</v>
      </c>
    </row>
    <row r="14183" spans="1:5" x14ac:dyDescent="0.25">
      <c r="A14183">
        <v>20</v>
      </c>
      <c r="B14183">
        <v>5</v>
      </c>
      <c r="C14183">
        <v>0</v>
      </c>
      <c r="D14183">
        <v>23</v>
      </c>
      <c r="E14183">
        <f t="shared" si="221"/>
        <v>3.0259450027182263E-49</v>
      </c>
    </row>
    <row r="14184" spans="1:5" x14ac:dyDescent="0.25">
      <c r="A14184">
        <v>20</v>
      </c>
      <c r="B14184">
        <v>5</v>
      </c>
      <c r="C14184">
        <v>1</v>
      </c>
      <c r="D14184">
        <v>22</v>
      </c>
      <c r="E14184">
        <f t="shared" si="221"/>
        <v>1.507929259687916E-46</v>
      </c>
    </row>
    <row r="14185" spans="1:5" x14ac:dyDescent="0.25">
      <c r="A14185">
        <v>20</v>
      </c>
      <c r="B14185">
        <v>5</v>
      </c>
      <c r="C14185">
        <v>2</v>
      </c>
      <c r="D14185">
        <v>21</v>
      </c>
      <c r="E14185">
        <f t="shared" si="221"/>
        <v>2.6539554970507327E-44</v>
      </c>
    </row>
    <row r="14186" spans="1:5" x14ac:dyDescent="0.25">
      <c r="A14186">
        <v>20</v>
      </c>
      <c r="B14186">
        <v>5</v>
      </c>
      <c r="C14186">
        <v>3</v>
      </c>
      <c r="D14186">
        <v>20</v>
      </c>
      <c r="E14186">
        <f t="shared" si="221"/>
        <v>2.3407887483987458E-42</v>
      </c>
    </row>
    <row r="14187" spans="1:5" x14ac:dyDescent="0.25">
      <c r="A14187">
        <v>20</v>
      </c>
      <c r="B14187">
        <v>5</v>
      </c>
      <c r="C14187">
        <v>4</v>
      </c>
      <c r="D14187">
        <v>19</v>
      </c>
      <c r="E14187">
        <f t="shared" si="221"/>
        <v>1.2094075200060187E-40</v>
      </c>
    </row>
    <row r="14188" spans="1:5" x14ac:dyDescent="0.25">
      <c r="A14188">
        <v>20</v>
      </c>
      <c r="B14188">
        <v>5</v>
      </c>
      <c r="C14188">
        <v>5</v>
      </c>
      <c r="D14188">
        <v>18</v>
      </c>
      <c r="E14188">
        <f t="shared" si="221"/>
        <v>4.0048666162485038E-39</v>
      </c>
    </row>
    <row r="14189" spans="1:5" x14ac:dyDescent="0.25">
      <c r="A14189">
        <v>20</v>
      </c>
      <c r="B14189">
        <v>5</v>
      </c>
      <c r="C14189">
        <v>6</v>
      </c>
      <c r="D14189">
        <v>17</v>
      </c>
      <c r="E14189">
        <f t="shared" si="221"/>
        <v>9.0109498865591294E-38</v>
      </c>
    </row>
    <row r="14190" spans="1:5" x14ac:dyDescent="0.25">
      <c r="A14190">
        <v>20</v>
      </c>
      <c r="B14190">
        <v>5</v>
      </c>
      <c r="C14190">
        <v>7</v>
      </c>
      <c r="D14190">
        <v>16</v>
      </c>
      <c r="E14190">
        <f t="shared" si="221"/>
        <v>1.4346004343204453E-36</v>
      </c>
    </row>
    <row r="14191" spans="1:5" x14ac:dyDescent="0.25">
      <c r="A14191">
        <v>20</v>
      </c>
      <c r="B14191">
        <v>5</v>
      </c>
      <c r="C14191">
        <v>8</v>
      </c>
      <c r="D14191">
        <v>15</v>
      </c>
      <c r="E14191">
        <f t="shared" si="221"/>
        <v>1.6641365038117168E-35</v>
      </c>
    </row>
    <row r="14192" spans="1:5" x14ac:dyDescent="0.25">
      <c r="A14192">
        <v>20</v>
      </c>
      <c r="B14192">
        <v>5</v>
      </c>
      <c r="C14192">
        <v>9</v>
      </c>
      <c r="D14192">
        <v>14</v>
      </c>
      <c r="E14192">
        <f t="shared" si="221"/>
        <v>1.4372087987464825E-34</v>
      </c>
    </row>
    <row r="14193" spans="1:5" x14ac:dyDescent="0.25">
      <c r="A14193">
        <v>20</v>
      </c>
      <c r="B14193">
        <v>5</v>
      </c>
      <c r="C14193">
        <v>10</v>
      </c>
      <c r="D14193">
        <v>13</v>
      </c>
      <c r="E14193">
        <f t="shared" si="221"/>
        <v>9.3897641518103562E-34</v>
      </c>
    </row>
    <row r="14194" spans="1:5" x14ac:dyDescent="0.25">
      <c r="A14194">
        <v>20</v>
      </c>
      <c r="B14194">
        <v>5</v>
      </c>
      <c r="C14194">
        <v>11</v>
      </c>
      <c r="D14194">
        <v>12</v>
      </c>
      <c r="E14194">
        <f t="shared" si="221"/>
        <v>4.6948820759051786E-33</v>
      </c>
    </row>
    <row r="14195" spans="1:5" x14ac:dyDescent="0.25">
      <c r="A14195">
        <v>20</v>
      </c>
      <c r="B14195">
        <v>5</v>
      </c>
      <c r="C14195">
        <v>12</v>
      </c>
      <c r="D14195">
        <v>11</v>
      </c>
      <c r="E14195">
        <f t="shared" si="221"/>
        <v>1.8108830864205675E-32</v>
      </c>
    </row>
    <row r="14196" spans="1:5" x14ac:dyDescent="0.25">
      <c r="A14196">
        <v>20</v>
      </c>
      <c r="B14196">
        <v>5</v>
      </c>
      <c r="C14196">
        <v>13</v>
      </c>
      <c r="D14196">
        <v>10</v>
      </c>
      <c r="E14196">
        <f t="shared" si="221"/>
        <v>5.4140760994009807E-32</v>
      </c>
    </row>
    <row r="14197" spans="1:5" x14ac:dyDescent="0.25">
      <c r="A14197">
        <v>20</v>
      </c>
      <c r="B14197">
        <v>5</v>
      </c>
      <c r="C14197">
        <v>14</v>
      </c>
      <c r="D14197">
        <v>9</v>
      </c>
      <c r="E14197">
        <f t="shared" si="221"/>
        <v>1.2568390945037994E-31</v>
      </c>
    </row>
    <row r="14198" spans="1:5" x14ac:dyDescent="0.25">
      <c r="A14198">
        <v>20</v>
      </c>
      <c r="B14198">
        <v>5</v>
      </c>
      <c r="C14198">
        <v>15</v>
      </c>
      <c r="D14198">
        <v>8</v>
      </c>
      <c r="E14198">
        <f t="shared" si="221"/>
        <v>2.262310370106838E-31</v>
      </c>
    </row>
    <row r="14199" spans="1:5" x14ac:dyDescent="0.25">
      <c r="A14199">
        <v>20</v>
      </c>
      <c r="B14199">
        <v>5</v>
      </c>
      <c r="C14199">
        <v>16</v>
      </c>
      <c r="D14199">
        <v>7</v>
      </c>
      <c r="E14199">
        <f t="shared" si="221"/>
        <v>3.1420977362594988E-31</v>
      </c>
    </row>
    <row r="14200" spans="1:5" x14ac:dyDescent="0.25">
      <c r="A14200">
        <v>20</v>
      </c>
      <c r="B14200">
        <v>5</v>
      </c>
      <c r="C14200">
        <v>17</v>
      </c>
      <c r="D14200">
        <v>6</v>
      </c>
      <c r="E14200">
        <f t="shared" si="221"/>
        <v>3.336654871631604E-31</v>
      </c>
    </row>
    <row r="14201" spans="1:5" x14ac:dyDescent="0.25">
      <c r="A14201">
        <v>20</v>
      </c>
      <c r="B14201">
        <v>5</v>
      </c>
      <c r="C14201">
        <v>18</v>
      </c>
      <c r="D14201">
        <v>5</v>
      </c>
      <c r="E14201">
        <f t="shared" si="221"/>
        <v>2.6693238973052812E-31</v>
      </c>
    </row>
    <row r="14202" spans="1:5" x14ac:dyDescent="0.25">
      <c r="A14202">
        <v>20</v>
      </c>
      <c r="B14202">
        <v>5</v>
      </c>
      <c r="C14202">
        <v>19</v>
      </c>
      <c r="D14202">
        <v>4</v>
      </c>
      <c r="E14202">
        <f t="shared" si="221"/>
        <v>1.572158185129678E-31</v>
      </c>
    </row>
    <row r="14203" spans="1:5" x14ac:dyDescent="0.25">
      <c r="A14203">
        <v>20</v>
      </c>
      <c r="B14203">
        <v>5</v>
      </c>
      <c r="C14203">
        <v>20</v>
      </c>
      <c r="D14203">
        <v>3</v>
      </c>
      <c r="E14203">
        <f t="shared" si="221"/>
        <v>6.5744796832695663E-32</v>
      </c>
    </row>
    <row r="14204" spans="1:5" x14ac:dyDescent="0.25">
      <c r="A14204">
        <v>20</v>
      </c>
      <c r="B14204">
        <v>5</v>
      </c>
      <c r="C14204">
        <v>21</v>
      </c>
      <c r="D14204">
        <v>2</v>
      </c>
      <c r="E14204">
        <f t="shared" si="221"/>
        <v>1.8375874891126093E-32</v>
      </c>
    </row>
    <row r="14205" spans="1:5" x14ac:dyDescent="0.25">
      <c r="A14205">
        <v>20</v>
      </c>
      <c r="B14205">
        <v>5</v>
      </c>
      <c r="C14205">
        <v>22</v>
      </c>
      <c r="D14205">
        <v>1</v>
      </c>
      <c r="E14205">
        <f t="shared" si="221"/>
        <v>3.0626458151876843E-33</v>
      </c>
    </row>
    <row r="14206" spans="1:5" x14ac:dyDescent="0.25">
      <c r="A14206">
        <v>20</v>
      </c>
      <c r="B14206">
        <v>5</v>
      </c>
      <c r="C14206">
        <v>23</v>
      </c>
      <c r="D14206">
        <v>0</v>
      </c>
      <c r="E14206">
        <f t="shared" si="221"/>
        <v>2.290326435705572E-34</v>
      </c>
    </row>
    <row r="14207" spans="1:5" x14ac:dyDescent="0.25">
      <c r="A14207">
        <v>20</v>
      </c>
      <c r="B14207">
        <v>6</v>
      </c>
      <c r="C14207">
        <v>0</v>
      </c>
      <c r="D14207">
        <v>22</v>
      </c>
      <c r="E14207">
        <f t="shared" si="221"/>
        <v>1.098081819875303E-46</v>
      </c>
    </row>
    <row r="14208" spans="1:5" x14ac:dyDescent="0.25">
      <c r="A14208">
        <v>20</v>
      </c>
      <c r="B14208">
        <v>6</v>
      </c>
      <c r="C14208">
        <v>1</v>
      </c>
      <c r="D14208">
        <v>21</v>
      </c>
      <c r="E14208">
        <f t="shared" si="221"/>
        <v>3.925642506054209E-44</v>
      </c>
    </row>
    <row r="14209" spans="1:5" x14ac:dyDescent="0.25">
      <c r="A14209">
        <v>20</v>
      </c>
      <c r="B14209">
        <v>6</v>
      </c>
      <c r="C14209">
        <v>2</v>
      </c>
      <c r="D14209">
        <v>20</v>
      </c>
      <c r="E14209">
        <f t="shared" si="221"/>
        <v>5.2760635281368553E-42</v>
      </c>
    </row>
    <row r="14210" spans="1:5" x14ac:dyDescent="0.25">
      <c r="A14210">
        <v>20</v>
      </c>
      <c r="B14210">
        <v>6</v>
      </c>
      <c r="C14210">
        <v>3</v>
      </c>
      <c r="D14210">
        <v>19</v>
      </c>
      <c r="E14210">
        <f t="shared" si="221"/>
        <v>3.6932444696957989E-40</v>
      </c>
    </row>
    <row r="14211" spans="1:5" x14ac:dyDescent="0.25">
      <c r="A14211">
        <v>20</v>
      </c>
      <c r="B14211">
        <v>6</v>
      </c>
      <c r="C14211">
        <v>4</v>
      </c>
      <c r="D14211">
        <v>18</v>
      </c>
      <c r="E14211">
        <f t="shared" si="221"/>
        <v>1.5538007090363043E-38</v>
      </c>
    </row>
    <row r="14212" spans="1:5" x14ac:dyDescent="0.25">
      <c r="A14212">
        <v>20</v>
      </c>
      <c r="B14212">
        <v>6</v>
      </c>
      <c r="C14212">
        <v>5</v>
      </c>
      <c r="D14212">
        <v>17</v>
      </c>
      <c r="E14212">
        <f t="shared" si="221"/>
        <v>4.2651829463046549E-37</v>
      </c>
    </row>
    <row r="14213" spans="1:5" x14ac:dyDescent="0.25">
      <c r="A14213">
        <v>20</v>
      </c>
      <c r="B14213">
        <v>6</v>
      </c>
      <c r="C14213">
        <v>6</v>
      </c>
      <c r="D14213">
        <v>16</v>
      </c>
      <c r="E14213">
        <f t="shared" si="221"/>
        <v>8.0564566763532358E-36</v>
      </c>
    </row>
    <row r="14214" spans="1:5" x14ac:dyDescent="0.25">
      <c r="A14214">
        <v>20</v>
      </c>
      <c r="B14214">
        <v>6</v>
      </c>
      <c r="C14214">
        <v>7</v>
      </c>
      <c r="D14214">
        <v>15</v>
      </c>
      <c r="E14214">
        <f t="shared" si="221"/>
        <v>1.0864707289253505E-34</v>
      </c>
    </row>
    <row r="14215" spans="1:5" x14ac:dyDescent="0.25">
      <c r="A14215">
        <v>20</v>
      </c>
      <c r="B14215">
        <v>6</v>
      </c>
      <c r="C14215">
        <v>8</v>
      </c>
      <c r="D14215">
        <v>14</v>
      </c>
      <c r="E14215">
        <f t="shared" si="221"/>
        <v>1.0741244706421085E-33</v>
      </c>
    </row>
    <row r="14216" spans="1:5" x14ac:dyDescent="0.25">
      <c r="A14216">
        <v>20</v>
      </c>
      <c r="B14216">
        <v>6</v>
      </c>
      <c r="C14216">
        <v>9</v>
      </c>
      <c r="D14216">
        <v>13</v>
      </c>
      <c r="E14216">
        <f t="shared" si="221"/>
        <v>7.9365863664111328E-33</v>
      </c>
    </row>
    <row r="14217" spans="1:5" x14ac:dyDescent="0.25">
      <c r="A14217">
        <v>20</v>
      </c>
      <c r="B14217">
        <v>6</v>
      </c>
      <c r="C14217">
        <v>10</v>
      </c>
      <c r="D14217">
        <v>12</v>
      </c>
      <c r="E14217">
        <f t="shared" si="221"/>
        <v>4.4444883651902358E-32</v>
      </c>
    </row>
    <row r="14218" spans="1:5" x14ac:dyDescent="0.25">
      <c r="A14218">
        <v>20</v>
      </c>
      <c r="B14218">
        <v>6</v>
      </c>
      <c r="C14218">
        <v>11</v>
      </c>
      <c r="D14218">
        <v>11</v>
      </c>
      <c r="E14218">
        <f t="shared" si="221"/>
        <v>1.9047807279386723E-31</v>
      </c>
    </row>
    <row r="14219" spans="1:5" x14ac:dyDescent="0.25">
      <c r="A14219">
        <v>20</v>
      </c>
      <c r="B14219">
        <v>6</v>
      </c>
      <c r="C14219">
        <v>12</v>
      </c>
      <c r="D14219">
        <v>10</v>
      </c>
      <c r="E14219">
        <f t="shared" si="221"/>
        <v>6.2857764021976136E-31</v>
      </c>
    </row>
    <row r="14220" spans="1:5" x14ac:dyDescent="0.25">
      <c r="A14220">
        <v>20</v>
      </c>
      <c r="B14220">
        <v>6</v>
      </c>
      <c r="C14220">
        <v>13</v>
      </c>
      <c r="D14220">
        <v>9</v>
      </c>
      <c r="E14220">
        <f t="shared" si="221"/>
        <v>1.6016641794061236E-30</v>
      </c>
    </row>
    <row r="14221" spans="1:5" x14ac:dyDescent="0.25">
      <c r="A14221">
        <v>20</v>
      </c>
      <c r="B14221">
        <v>6</v>
      </c>
      <c r="C14221">
        <v>14</v>
      </c>
      <c r="D14221">
        <v>8</v>
      </c>
      <c r="E14221">
        <f t="shared" si="221"/>
        <v>3.1494909074036385E-30</v>
      </c>
    </row>
    <row r="14222" spans="1:5" x14ac:dyDescent="0.25">
      <c r="A14222">
        <v>20</v>
      </c>
      <c r="B14222">
        <v>6</v>
      </c>
      <c r="C14222">
        <v>15</v>
      </c>
      <c r="D14222">
        <v>7</v>
      </c>
      <c r="E14222">
        <f t="shared" ref="E14222:E14285" si="222">COMBIN(A$4,A14222)*COMBIN(B$4,B14222)*COMBIN(C$4,C14222)*COMBIN(D$4,D14222)/COMBIN($G$4,$F$4)</f>
        <v>4.7592307045210531E-30</v>
      </c>
    </row>
    <row r="14223" spans="1:5" x14ac:dyDescent="0.25">
      <c r="A14223">
        <v>20</v>
      </c>
      <c r="B14223">
        <v>6</v>
      </c>
      <c r="C14223">
        <v>16</v>
      </c>
      <c r="D14223">
        <v>6</v>
      </c>
      <c r="E14223">
        <f t="shared" si="222"/>
        <v>5.4793774558630531E-30</v>
      </c>
    </row>
    <row r="14224" spans="1:5" x14ac:dyDescent="0.25">
      <c r="A14224">
        <v>20</v>
      </c>
      <c r="B14224">
        <v>6</v>
      </c>
      <c r="C14224">
        <v>17</v>
      </c>
      <c r="D14224">
        <v>5</v>
      </c>
      <c r="E14224">
        <f t="shared" si="222"/>
        <v>4.7380499177168779E-30</v>
      </c>
    </row>
    <row r="14225" spans="1:5" x14ac:dyDescent="0.25">
      <c r="A14225">
        <v>20</v>
      </c>
      <c r="B14225">
        <v>6</v>
      </c>
      <c r="C14225">
        <v>18</v>
      </c>
      <c r="D14225">
        <v>4</v>
      </c>
      <c r="E14225">
        <f t="shared" si="222"/>
        <v>3.0082856620424607E-30</v>
      </c>
    </row>
    <row r="14226" spans="1:5" x14ac:dyDescent="0.25">
      <c r="A14226">
        <v>20</v>
      </c>
      <c r="B14226">
        <v>6</v>
      </c>
      <c r="C14226">
        <v>19</v>
      </c>
      <c r="D14226">
        <v>3</v>
      </c>
      <c r="E14226">
        <f t="shared" si="222"/>
        <v>1.3530088623540256E-30</v>
      </c>
    </row>
    <row r="14227" spans="1:5" x14ac:dyDescent="0.25">
      <c r="A14227">
        <v>20</v>
      </c>
      <c r="B14227">
        <v>6</v>
      </c>
      <c r="C14227">
        <v>20</v>
      </c>
      <c r="D14227">
        <v>2</v>
      </c>
      <c r="E14227">
        <f t="shared" si="222"/>
        <v>4.0590265870620804E-31</v>
      </c>
    </row>
    <row r="14228" spans="1:5" x14ac:dyDescent="0.25">
      <c r="A14228">
        <v>20</v>
      </c>
      <c r="B14228">
        <v>6</v>
      </c>
      <c r="C14228">
        <v>21</v>
      </c>
      <c r="D14228">
        <v>1</v>
      </c>
      <c r="E14228">
        <f t="shared" si="222"/>
        <v>7.2482617626108483E-32</v>
      </c>
    </row>
    <row r="14229" spans="1:5" x14ac:dyDescent="0.25">
      <c r="A14229">
        <v>20</v>
      </c>
      <c r="B14229">
        <v>6</v>
      </c>
      <c r="C14229">
        <v>22</v>
      </c>
      <c r="D14229">
        <v>0</v>
      </c>
      <c r="E14229">
        <f t="shared" si="222"/>
        <v>5.7986094100886828E-33</v>
      </c>
    </row>
    <row r="14230" spans="1:5" x14ac:dyDescent="0.25">
      <c r="A14230">
        <v>20</v>
      </c>
      <c r="B14230">
        <v>7</v>
      </c>
      <c r="C14230">
        <v>0</v>
      </c>
      <c r="D14230">
        <v>21</v>
      </c>
      <c r="E14230">
        <f t="shared" si="222"/>
        <v>2.4416633609084424E-44</v>
      </c>
    </row>
    <row r="14231" spans="1:5" x14ac:dyDescent="0.25">
      <c r="A14231">
        <v>20</v>
      </c>
      <c r="B14231">
        <v>7</v>
      </c>
      <c r="C14231">
        <v>1</v>
      </c>
      <c r="D14231">
        <v>20</v>
      </c>
      <c r="E14231">
        <f t="shared" si="222"/>
        <v>6.6657409752800456E-42</v>
      </c>
    </row>
    <row r="14232" spans="1:5" x14ac:dyDescent="0.25">
      <c r="A14232">
        <v>20</v>
      </c>
      <c r="B14232">
        <v>7</v>
      </c>
      <c r="C14232">
        <v>2</v>
      </c>
      <c r="D14232">
        <v>19</v>
      </c>
      <c r="E14232">
        <f t="shared" si="222"/>
        <v>7.1101237069653825E-40</v>
      </c>
    </row>
    <row r="14233" spans="1:5" x14ac:dyDescent="0.25">
      <c r="A14233">
        <v>20</v>
      </c>
      <c r="B14233">
        <v>7</v>
      </c>
      <c r="C14233">
        <v>3</v>
      </c>
      <c r="D14233">
        <v>18</v>
      </c>
      <c r="E14233">
        <f t="shared" si="222"/>
        <v>4.0527705129702696E-38</v>
      </c>
    </row>
    <row r="14234" spans="1:5" x14ac:dyDescent="0.25">
      <c r="A14234">
        <v>20</v>
      </c>
      <c r="B14234">
        <v>7</v>
      </c>
      <c r="C14234">
        <v>4</v>
      </c>
      <c r="D14234">
        <v>17</v>
      </c>
      <c r="E14234">
        <f t="shared" si="222"/>
        <v>1.4134037163983813E-36</v>
      </c>
    </row>
    <row r="14235" spans="1:5" x14ac:dyDescent="0.25">
      <c r="A14235">
        <v>20</v>
      </c>
      <c r="B14235">
        <v>7</v>
      </c>
      <c r="C14235">
        <v>5</v>
      </c>
      <c r="D14235">
        <v>16</v>
      </c>
      <c r="E14235">
        <f t="shared" si="222"/>
        <v>3.2571103420113812E-35</v>
      </c>
    </row>
    <row r="14236" spans="1:5" x14ac:dyDescent="0.25">
      <c r="A14236">
        <v>20</v>
      </c>
      <c r="B14236">
        <v>7</v>
      </c>
      <c r="C14236">
        <v>6</v>
      </c>
      <c r="D14236">
        <v>15</v>
      </c>
      <c r="E14236">
        <f t="shared" si="222"/>
        <v>5.2113765472182082E-34</v>
      </c>
    </row>
    <row r="14237" spans="1:5" x14ac:dyDescent="0.25">
      <c r="A14237">
        <v>20</v>
      </c>
      <c r="B14237">
        <v>7</v>
      </c>
      <c r="C14237">
        <v>7</v>
      </c>
      <c r="D14237">
        <v>14</v>
      </c>
      <c r="E14237">
        <f t="shared" si="222"/>
        <v>5.9896990185559937E-33</v>
      </c>
    </row>
    <row r="14238" spans="1:5" x14ac:dyDescent="0.25">
      <c r="A14238">
        <v>20</v>
      </c>
      <c r="B14238">
        <v>7</v>
      </c>
      <c r="C14238">
        <v>8</v>
      </c>
      <c r="D14238">
        <v>13</v>
      </c>
      <c r="E14238">
        <f t="shared" si="222"/>
        <v>5.0662870865286129E-32</v>
      </c>
    </row>
    <row r="14239" spans="1:5" x14ac:dyDescent="0.25">
      <c r="A14239">
        <v>20</v>
      </c>
      <c r="B14239">
        <v>7</v>
      </c>
      <c r="C14239">
        <v>9</v>
      </c>
      <c r="D14239">
        <v>12</v>
      </c>
      <c r="E14239">
        <f t="shared" si="222"/>
        <v>3.2086484881347879E-31</v>
      </c>
    </row>
    <row r="14240" spans="1:5" x14ac:dyDescent="0.25">
      <c r="A14240">
        <v>20</v>
      </c>
      <c r="B14240">
        <v>7</v>
      </c>
      <c r="C14240">
        <v>10</v>
      </c>
      <c r="D14240">
        <v>11</v>
      </c>
      <c r="E14240">
        <f t="shared" si="222"/>
        <v>1.5401512743046981E-30</v>
      </c>
    </row>
    <row r="14241" spans="1:5" x14ac:dyDescent="0.25">
      <c r="A14241">
        <v>20</v>
      </c>
      <c r="B14241">
        <v>7</v>
      </c>
      <c r="C14241">
        <v>11</v>
      </c>
      <c r="D14241">
        <v>10</v>
      </c>
      <c r="E14241">
        <f t="shared" si="222"/>
        <v>5.6472213391172254E-30</v>
      </c>
    </row>
    <row r="14242" spans="1:5" x14ac:dyDescent="0.25">
      <c r="A14242">
        <v>20</v>
      </c>
      <c r="B14242">
        <v>7</v>
      </c>
      <c r="C14242">
        <v>12</v>
      </c>
      <c r="D14242">
        <v>9</v>
      </c>
      <c r="E14242">
        <f t="shared" si="222"/>
        <v>1.5882810016267193E-29</v>
      </c>
    </row>
    <row r="14243" spans="1:5" x14ac:dyDescent="0.25">
      <c r="A14243">
        <v>20</v>
      </c>
      <c r="B14243">
        <v>7</v>
      </c>
      <c r="C14243">
        <v>13</v>
      </c>
      <c r="D14243">
        <v>8</v>
      </c>
      <c r="E14243">
        <f t="shared" si="222"/>
        <v>3.4280997184431911E-29</v>
      </c>
    </row>
    <row r="14244" spans="1:5" x14ac:dyDescent="0.25">
      <c r="A14244">
        <v>20</v>
      </c>
      <c r="B14244">
        <v>7</v>
      </c>
      <c r="C14244">
        <v>14</v>
      </c>
      <c r="D14244">
        <v>7</v>
      </c>
      <c r="E14244">
        <f t="shared" si="222"/>
        <v>5.6590852494935249E-29</v>
      </c>
    </row>
    <row r="14245" spans="1:5" x14ac:dyDescent="0.25">
      <c r="A14245">
        <v>20</v>
      </c>
      <c r="B14245">
        <v>7</v>
      </c>
      <c r="C14245">
        <v>15</v>
      </c>
      <c r="D14245">
        <v>6</v>
      </c>
      <c r="E14245">
        <f t="shared" si="222"/>
        <v>7.0887488914708316E-29</v>
      </c>
    </row>
    <row r="14246" spans="1:5" x14ac:dyDescent="0.25">
      <c r="A14246">
        <v>20</v>
      </c>
      <c r="B14246">
        <v>7</v>
      </c>
      <c r="C14246">
        <v>16</v>
      </c>
      <c r="D14246">
        <v>5</v>
      </c>
      <c r="E14246">
        <f t="shared" si="222"/>
        <v>6.6457020857539041E-29</v>
      </c>
    </row>
    <row r="14247" spans="1:5" x14ac:dyDescent="0.25">
      <c r="A14247">
        <v>20</v>
      </c>
      <c r="B14247">
        <v>7</v>
      </c>
      <c r="C14247">
        <v>17</v>
      </c>
      <c r="D14247">
        <v>4</v>
      </c>
      <c r="E14247">
        <f t="shared" si="222"/>
        <v>4.5607759412036637E-29</v>
      </c>
    </row>
    <row r="14248" spans="1:5" x14ac:dyDescent="0.25">
      <c r="A14248">
        <v>20</v>
      </c>
      <c r="B14248">
        <v>7</v>
      </c>
      <c r="C14248">
        <v>18</v>
      </c>
      <c r="D14248">
        <v>3</v>
      </c>
      <c r="E14248">
        <f t="shared" si="222"/>
        <v>2.2112853048260168E-29</v>
      </c>
    </row>
    <row r="14249" spans="1:5" x14ac:dyDescent="0.25">
      <c r="A14249">
        <v>20</v>
      </c>
      <c r="B14249">
        <v>7</v>
      </c>
      <c r="C14249">
        <v>19</v>
      </c>
      <c r="D14249">
        <v>2</v>
      </c>
      <c r="E14249">
        <f t="shared" si="222"/>
        <v>7.1348107089352041E-30</v>
      </c>
    </row>
    <row r="14250" spans="1:5" x14ac:dyDescent="0.25">
      <c r="A14250">
        <v>20</v>
      </c>
      <c r="B14250">
        <v>7</v>
      </c>
      <c r="C14250">
        <v>20</v>
      </c>
      <c r="D14250">
        <v>1</v>
      </c>
      <c r="E14250">
        <f t="shared" si="222"/>
        <v>1.3675053858792487E-30</v>
      </c>
    </row>
    <row r="14251" spans="1:5" x14ac:dyDescent="0.25">
      <c r="A14251">
        <v>20</v>
      </c>
      <c r="B14251">
        <v>7</v>
      </c>
      <c r="C14251">
        <v>21</v>
      </c>
      <c r="D14251">
        <v>0</v>
      </c>
      <c r="E14251">
        <f t="shared" si="222"/>
        <v>1.1721474736107832E-31</v>
      </c>
    </row>
    <row r="14252" spans="1:5" x14ac:dyDescent="0.25">
      <c r="A14252">
        <v>20</v>
      </c>
      <c r="B14252">
        <v>8</v>
      </c>
      <c r="C14252">
        <v>0</v>
      </c>
      <c r="D14252">
        <v>20</v>
      </c>
      <c r="E14252">
        <f t="shared" si="222"/>
        <v>3.6148826058249474E-42</v>
      </c>
    </row>
    <row r="14253" spans="1:5" x14ac:dyDescent="0.25">
      <c r="A14253">
        <v>20</v>
      </c>
      <c r="B14253">
        <v>8</v>
      </c>
      <c r="C14253">
        <v>1</v>
      </c>
      <c r="D14253">
        <v>19</v>
      </c>
      <c r="E14253">
        <f t="shared" si="222"/>
        <v>7.8322456459540533E-40</v>
      </c>
    </row>
    <row r="14254" spans="1:5" x14ac:dyDescent="0.25">
      <c r="A14254">
        <v>20</v>
      </c>
      <c r="B14254">
        <v>8</v>
      </c>
      <c r="C14254">
        <v>2</v>
      </c>
      <c r="D14254">
        <v>18</v>
      </c>
      <c r="E14254">
        <f t="shared" si="222"/>
        <v>6.8028647896286654E-38</v>
      </c>
    </row>
    <row r="14255" spans="1:5" x14ac:dyDescent="0.25">
      <c r="A14255">
        <v>20</v>
      </c>
      <c r="B14255">
        <v>8</v>
      </c>
      <c r="C14255">
        <v>3</v>
      </c>
      <c r="D14255">
        <v>17</v>
      </c>
      <c r="E14255">
        <f t="shared" si="222"/>
        <v>3.2143536130995434E-36</v>
      </c>
    </row>
    <row r="14256" spans="1:5" x14ac:dyDescent="0.25">
      <c r="A14256">
        <v>20</v>
      </c>
      <c r="B14256">
        <v>8</v>
      </c>
      <c r="C14256">
        <v>4</v>
      </c>
      <c r="D14256">
        <v>16</v>
      </c>
      <c r="E14256">
        <f t="shared" si="222"/>
        <v>9.4109130783525541E-35</v>
      </c>
    </row>
    <row r="14257" spans="1:5" x14ac:dyDescent="0.25">
      <c r="A14257">
        <v>20</v>
      </c>
      <c r="B14257">
        <v>8</v>
      </c>
      <c r="C14257">
        <v>5</v>
      </c>
      <c r="D14257">
        <v>15</v>
      </c>
      <c r="E14257">
        <f t="shared" si="222"/>
        <v>1.8370102328944182E-33</v>
      </c>
    </row>
    <row r="14258" spans="1:5" x14ac:dyDescent="0.25">
      <c r="A14258">
        <v>20</v>
      </c>
      <c r="B14258">
        <v>8</v>
      </c>
      <c r="C14258">
        <v>6</v>
      </c>
      <c r="D14258">
        <v>14</v>
      </c>
      <c r="E14258">
        <f t="shared" si="222"/>
        <v>2.5050139539469341E-32</v>
      </c>
    </row>
    <row r="14259" spans="1:5" x14ac:dyDescent="0.25">
      <c r="A14259">
        <v>20</v>
      </c>
      <c r="B14259">
        <v>8</v>
      </c>
      <c r="C14259">
        <v>7</v>
      </c>
      <c r="D14259">
        <v>13</v>
      </c>
      <c r="E14259">
        <f t="shared" si="222"/>
        <v>2.4632637213811524E-31</v>
      </c>
    </row>
    <row r="14260" spans="1:5" x14ac:dyDescent="0.25">
      <c r="A14260">
        <v>20</v>
      </c>
      <c r="B14260">
        <v>8</v>
      </c>
      <c r="C14260">
        <v>8</v>
      </c>
      <c r="D14260">
        <v>12</v>
      </c>
      <c r="E14260">
        <f t="shared" si="222"/>
        <v>1.7858661980013355E-30</v>
      </c>
    </row>
    <row r="14261" spans="1:5" x14ac:dyDescent="0.25">
      <c r="A14261">
        <v>20</v>
      </c>
      <c r="B14261">
        <v>8</v>
      </c>
      <c r="C14261">
        <v>9</v>
      </c>
      <c r="D14261">
        <v>11</v>
      </c>
      <c r="E14261">
        <f t="shared" si="222"/>
        <v>9.6947022177215328E-30</v>
      </c>
    </row>
    <row r="14262" spans="1:5" x14ac:dyDescent="0.25">
      <c r="A14262">
        <v>20</v>
      </c>
      <c r="B14262">
        <v>8</v>
      </c>
      <c r="C14262">
        <v>10</v>
      </c>
      <c r="D14262">
        <v>10</v>
      </c>
      <c r="E14262">
        <f t="shared" si="222"/>
        <v>3.9812910440776433E-29</v>
      </c>
    </row>
    <row r="14263" spans="1:5" x14ac:dyDescent="0.25">
      <c r="A14263">
        <v>20</v>
      </c>
      <c r="B14263">
        <v>8</v>
      </c>
      <c r="C14263">
        <v>11</v>
      </c>
      <c r="D14263">
        <v>9</v>
      </c>
      <c r="E14263">
        <f t="shared" si="222"/>
        <v>1.2441534512742639E-28</v>
      </c>
    </row>
    <row r="14264" spans="1:5" x14ac:dyDescent="0.25">
      <c r="A14264">
        <v>20</v>
      </c>
      <c r="B14264">
        <v>8</v>
      </c>
      <c r="C14264">
        <v>12</v>
      </c>
      <c r="D14264">
        <v>8</v>
      </c>
      <c r="E14264">
        <f t="shared" si="222"/>
        <v>2.9640126339180971E-28</v>
      </c>
    </row>
    <row r="14265" spans="1:5" x14ac:dyDescent="0.25">
      <c r="A14265">
        <v>20</v>
      </c>
      <c r="B14265">
        <v>8</v>
      </c>
      <c r="C14265">
        <v>13</v>
      </c>
      <c r="D14265">
        <v>7</v>
      </c>
      <c r="E14265">
        <f t="shared" si="222"/>
        <v>5.3706895588943345E-28</v>
      </c>
    </row>
    <row r="14266" spans="1:5" x14ac:dyDescent="0.25">
      <c r="A14266">
        <v>20</v>
      </c>
      <c r="B14266">
        <v>8</v>
      </c>
      <c r="C14266">
        <v>14</v>
      </c>
      <c r="D14266">
        <v>6</v>
      </c>
      <c r="E14266">
        <f t="shared" si="222"/>
        <v>7.3493646595396124E-28</v>
      </c>
    </row>
    <row r="14267" spans="1:5" x14ac:dyDescent="0.25">
      <c r="A14267">
        <v>20</v>
      </c>
      <c r="B14267">
        <v>8</v>
      </c>
      <c r="C14267">
        <v>15</v>
      </c>
      <c r="D14267">
        <v>5</v>
      </c>
      <c r="E14267">
        <f t="shared" si="222"/>
        <v>7.4963519527304023E-28</v>
      </c>
    </row>
    <row r="14268" spans="1:5" x14ac:dyDescent="0.25">
      <c r="A14268">
        <v>20</v>
      </c>
      <c r="B14268">
        <v>8</v>
      </c>
      <c r="C14268">
        <v>16</v>
      </c>
      <c r="D14268">
        <v>4</v>
      </c>
      <c r="E14268">
        <f t="shared" si="222"/>
        <v>5.5776428219720281E-28</v>
      </c>
    </row>
    <row r="14269" spans="1:5" x14ac:dyDescent="0.25">
      <c r="A14269">
        <v>20</v>
      </c>
      <c r="B14269">
        <v>8</v>
      </c>
      <c r="C14269">
        <v>17</v>
      </c>
      <c r="D14269">
        <v>3</v>
      </c>
      <c r="E14269">
        <f t="shared" si="222"/>
        <v>2.923042762316893E-28</v>
      </c>
    </row>
    <row r="14270" spans="1:5" x14ac:dyDescent="0.25">
      <c r="A14270">
        <v>20</v>
      </c>
      <c r="B14270">
        <v>8</v>
      </c>
      <c r="C14270">
        <v>18</v>
      </c>
      <c r="D14270">
        <v>2</v>
      </c>
      <c r="E14270">
        <f t="shared" si="222"/>
        <v>1.0167105260232661E-28</v>
      </c>
    </row>
    <row r="14271" spans="1:5" x14ac:dyDescent="0.25">
      <c r="A14271">
        <v>20</v>
      </c>
      <c r="B14271">
        <v>8</v>
      </c>
      <c r="C14271">
        <v>19</v>
      </c>
      <c r="D14271">
        <v>1</v>
      </c>
      <c r="E14271">
        <f t="shared" si="222"/>
        <v>2.0958506457497158E-29</v>
      </c>
    </row>
    <row r="14272" spans="1:5" x14ac:dyDescent="0.25">
      <c r="A14272">
        <v>20</v>
      </c>
      <c r="B14272">
        <v>8</v>
      </c>
      <c r="C14272">
        <v>20</v>
      </c>
      <c r="D14272">
        <v>0</v>
      </c>
      <c r="E14272">
        <f t="shared" si="222"/>
        <v>1.9281825940897401E-30</v>
      </c>
    </row>
    <row r="14273" spans="1:5" x14ac:dyDescent="0.25">
      <c r="A14273">
        <v>20</v>
      </c>
      <c r="B14273">
        <v>9</v>
      </c>
      <c r="C14273">
        <v>0</v>
      </c>
      <c r="D14273">
        <v>19</v>
      </c>
      <c r="E14273">
        <f t="shared" si="222"/>
        <v>3.7621556008770751E-40</v>
      </c>
    </row>
    <row r="14274" spans="1:5" x14ac:dyDescent="0.25">
      <c r="A14274">
        <v>20</v>
      </c>
      <c r="B14274">
        <v>9</v>
      </c>
      <c r="C14274">
        <v>1</v>
      </c>
      <c r="D14274">
        <v>18</v>
      </c>
      <c r="E14274">
        <f t="shared" si="222"/>
        <v>6.6375173815474133E-38</v>
      </c>
    </row>
    <row r="14275" spans="1:5" x14ac:dyDescent="0.25">
      <c r="A14275">
        <v>20</v>
      </c>
      <c r="B14275">
        <v>9</v>
      </c>
      <c r="C14275">
        <v>2</v>
      </c>
      <c r="D14275">
        <v>17</v>
      </c>
      <c r="E14275">
        <f t="shared" si="222"/>
        <v>4.7790125147141363E-36</v>
      </c>
    </row>
    <row r="14276" spans="1:5" x14ac:dyDescent="0.25">
      <c r="A14276">
        <v>20</v>
      </c>
      <c r="B14276">
        <v>9</v>
      </c>
      <c r="C14276">
        <v>3</v>
      </c>
      <c r="D14276">
        <v>16</v>
      </c>
      <c r="E14276">
        <f t="shared" si="222"/>
        <v>1.8956749641699411E-34</v>
      </c>
    </row>
    <row r="14277" spans="1:5" x14ac:dyDescent="0.25">
      <c r="A14277">
        <v>20</v>
      </c>
      <c r="B14277">
        <v>9</v>
      </c>
      <c r="C14277">
        <v>4</v>
      </c>
      <c r="D14277">
        <v>15</v>
      </c>
      <c r="E14277">
        <f t="shared" si="222"/>
        <v>4.7012739111414521E-33</v>
      </c>
    </row>
    <row r="14278" spans="1:5" x14ac:dyDescent="0.25">
      <c r="A14278">
        <v>20</v>
      </c>
      <c r="B14278">
        <v>9</v>
      </c>
      <c r="C14278">
        <v>5</v>
      </c>
      <c r="D14278">
        <v>14</v>
      </c>
      <c r="E14278">
        <f t="shared" si="222"/>
        <v>7.8212102339898735E-32</v>
      </c>
    </row>
    <row r="14279" spans="1:5" x14ac:dyDescent="0.25">
      <c r="A14279">
        <v>20</v>
      </c>
      <c r="B14279">
        <v>9</v>
      </c>
      <c r="C14279">
        <v>6</v>
      </c>
      <c r="D14279">
        <v>13</v>
      </c>
      <c r="E14279">
        <f t="shared" si="222"/>
        <v>9.124745272988186E-31</v>
      </c>
    </row>
    <row r="14280" spans="1:5" x14ac:dyDescent="0.25">
      <c r="A14280">
        <v>20</v>
      </c>
      <c r="B14280">
        <v>9</v>
      </c>
      <c r="C14280">
        <v>7</v>
      </c>
      <c r="D14280">
        <v>12</v>
      </c>
      <c r="E14280">
        <f t="shared" si="222"/>
        <v>7.6908567300900436E-30</v>
      </c>
    </row>
    <row r="14281" spans="1:5" x14ac:dyDescent="0.25">
      <c r="A14281">
        <v>20</v>
      </c>
      <c r="B14281">
        <v>9</v>
      </c>
      <c r="C14281">
        <v>8</v>
      </c>
      <c r="D14281">
        <v>11</v>
      </c>
      <c r="E14281">
        <f t="shared" si="222"/>
        <v>4.7793181108416691E-29</v>
      </c>
    </row>
    <row r="14282" spans="1:5" x14ac:dyDescent="0.25">
      <c r="A14282">
        <v>20</v>
      </c>
      <c r="B14282">
        <v>9</v>
      </c>
      <c r="C14282">
        <v>9</v>
      </c>
      <c r="D14282">
        <v>10</v>
      </c>
      <c r="E14282">
        <f t="shared" si="222"/>
        <v>2.2197277448131301E-28</v>
      </c>
    </row>
    <row r="14283" spans="1:5" x14ac:dyDescent="0.25">
      <c r="A14283">
        <v>20</v>
      </c>
      <c r="B14283">
        <v>9</v>
      </c>
      <c r="C14283">
        <v>10</v>
      </c>
      <c r="D14283">
        <v>9</v>
      </c>
      <c r="E14283">
        <f t="shared" si="222"/>
        <v>7.7690471068459577E-28</v>
      </c>
    </row>
    <row r="14284" spans="1:5" x14ac:dyDescent="0.25">
      <c r="A14284">
        <v>20</v>
      </c>
      <c r="B14284">
        <v>9</v>
      </c>
      <c r="C14284">
        <v>11</v>
      </c>
      <c r="D14284">
        <v>8</v>
      </c>
      <c r="E14284">
        <f t="shared" si="222"/>
        <v>2.0565124694592243E-27</v>
      </c>
    </row>
    <row r="14285" spans="1:5" x14ac:dyDescent="0.25">
      <c r="A14285">
        <v>20</v>
      </c>
      <c r="B14285">
        <v>9</v>
      </c>
      <c r="C14285">
        <v>12</v>
      </c>
      <c r="D14285">
        <v>7</v>
      </c>
      <c r="E14285">
        <f t="shared" si="222"/>
        <v>4.1130249389184472E-27</v>
      </c>
    </row>
    <row r="14286" spans="1:5" x14ac:dyDescent="0.25">
      <c r="A14286">
        <v>20</v>
      </c>
      <c r="B14286">
        <v>9</v>
      </c>
      <c r="C14286">
        <v>13</v>
      </c>
      <c r="D14286">
        <v>6</v>
      </c>
      <c r="E14286">
        <f t="shared" ref="E14286:E14349" si="223">COMBIN(A$4,A14286)*COMBIN(B$4,B14286)*COMBIN(C$4,C14286)*COMBIN(D$4,D14286)/COMBIN($G$4,$F$4)</f>
        <v>6.1778633697924854E-27</v>
      </c>
    </row>
    <row r="14287" spans="1:5" x14ac:dyDescent="0.25">
      <c r="A14287">
        <v>20</v>
      </c>
      <c r="B14287">
        <v>9</v>
      </c>
      <c r="C14287">
        <v>14</v>
      </c>
      <c r="D14287">
        <v>5</v>
      </c>
      <c r="E14287">
        <f t="shared" si="223"/>
        <v>6.8839048977687714E-27</v>
      </c>
    </row>
    <row r="14288" spans="1:5" x14ac:dyDescent="0.25">
      <c r="A14288">
        <v>20</v>
      </c>
      <c r="B14288">
        <v>9</v>
      </c>
      <c r="C14288">
        <v>15</v>
      </c>
      <c r="D14288">
        <v>4</v>
      </c>
      <c r="E14288">
        <f t="shared" si="223"/>
        <v>5.5726849172413854E-27</v>
      </c>
    </row>
    <row r="14289" spans="1:5" x14ac:dyDescent="0.25">
      <c r="A14289">
        <v>20</v>
      </c>
      <c r="B14289">
        <v>9</v>
      </c>
      <c r="C14289">
        <v>16</v>
      </c>
      <c r="D14289">
        <v>3</v>
      </c>
      <c r="E14289">
        <f t="shared" si="223"/>
        <v>3.1662982484326056E-27</v>
      </c>
    </row>
    <row r="14290" spans="1:5" x14ac:dyDescent="0.25">
      <c r="A14290">
        <v>20</v>
      </c>
      <c r="B14290">
        <v>9</v>
      </c>
      <c r="C14290">
        <v>17</v>
      </c>
      <c r="D14290">
        <v>2</v>
      </c>
      <c r="E14290">
        <f t="shared" si="223"/>
        <v>1.1903985742189083E-27</v>
      </c>
    </row>
    <row r="14291" spans="1:5" x14ac:dyDescent="0.25">
      <c r="A14291">
        <v>20</v>
      </c>
      <c r="B14291">
        <v>9</v>
      </c>
      <c r="C14291">
        <v>18</v>
      </c>
      <c r="D14291">
        <v>1</v>
      </c>
      <c r="E14291">
        <f t="shared" si="223"/>
        <v>2.645330164930905E-28</v>
      </c>
    </row>
    <row r="14292" spans="1:5" x14ac:dyDescent="0.25">
      <c r="A14292">
        <v>20</v>
      </c>
      <c r="B14292">
        <v>9</v>
      </c>
      <c r="C14292">
        <v>19</v>
      </c>
      <c r="D14292">
        <v>0</v>
      </c>
      <c r="E14292">
        <f t="shared" si="223"/>
        <v>2.6174845842474233E-29</v>
      </c>
    </row>
    <row r="14293" spans="1:5" x14ac:dyDescent="0.25">
      <c r="A14293">
        <v>20</v>
      </c>
      <c r="B14293">
        <v>10</v>
      </c>
      <c r="C14293">
        <v>0</v>
      </c>
      <c r="D14293">
        <v>18</v>
      </c>
      <c r="E14293">
        <f t="shared" si="223"/>
        <v>2.8592382566665781E-38</v>
      </c>
    </row>
    <row r="14294" spans="1:5" x14ac:dyDescent="0.25">
      <c r="A14294">
        <v>20</v>
      </c>
      <c r="B14294">
        <v>10</v>
      </c>
      <c r="C14294">
        <v>1</v>
      </c>
      <c r="D14294">
        <v>17</v>
      </c>
      <c r="E14294">
        <f t="shared" si="223"/>
        <v>4.1816359503748699E-36</v>
      </c>
    </row>
    <row r="14295" spans="1:5" x14ac:dyDescent="0.25">
      <c r="A14295">
        <v>20</v>
      </c>
      <c r="B14295">
        <v>10</v>
      </c>
      <c r="C14295">
        <v>2</v>
      </c>
      <c r="D14295">
        <v>16</v>
      </c>
      <c r="E14295">
        <f t="shared" si="223"/>
        <v>2.5275666188932544E-34</v>
      </c>
    </row>
    <row r="14296" spans="1:5" x14ac:dyDescent="0.25">
      <c r="A14296">
        <v>20</v>
      </c>
      <c r="B14296">
        <v>10</v>
      </c>
      <c r="C14296">
        <v>3</v>
      </c>
      <c r="D14296">
        <v>15</v>
      </c>
      <c r="E14296">
        <f t="shared" si="223"/>
        <v>8.4926238394813348E-33</v>
      </c>
    </row>
    <row r="14297" spans="1:5" x14ac:dyDescent="0.25">
      <c r="A14297">
        <v>20</v>
      </c>
      <c r="B14297">
        <v>10</v>
      </c>
      <c r="C14297">
        <v>4</v>
      </c>
      <c r="D14297">
        <v>14</v>
      </c>
      <c r="E14297">
        <f t="shared" si="223"/>
        <v>1.7950318569812821E-31</v>
      </c>
    </row>
    <row r="14298" spans="1:5" x14ac:dyDescent="0.25">
      <c r="A14298">
        <v>20</v>
      </c>
      <c r="B14298">
        <v>10</v>
      </c>
      <c r="C14298">
        <v>5</v>
      </c>
      <c r="D14298">
        <v>13</v>
      </c>
      <c r="E14298">
        <f t="shared" si="223"/>
        <v>2.5549286764366923E-30</v>
      </c>
    </row>
    <row r="14299" spans="1:5" x14ac:dyDescent="0.25">
      <c r="A14299">
        <v>20</v>
      </c>
      <c r="B14299">
        <v>10</v>
      </c>
      <c r="C14299">
        <v>6</v>
      </c>
      <c r="D14299">
        <v>12</v>
      </c>
      <c r="E14299">
        <f t="shared" si="223"/>
        <v>2.5549286764366922E-29</v>
      </c>
    </row>
    <row r="14300" spans="1:5" x14ac:dyDescent="0.25">
      <c r="A14300">
        <v>20</v>
      </c>
      <c r="B14300">
        <v>10</v>
      </c>
      <c r="C14300">
        <v>7</v>
      </c>
      <c r="D14300">
        <v>11</v>
      </c>
      <c r="E14300">
        <f t="shared" si="223"/>
        <v>1.8458056152216099E-28</v>
      </c>
    </row>
    <row r="14301" spans="1:5" x14ac:dyDescent="0.25">
      <c r="A14301">
        <v>20</v>
      </c>
      <c r="B14301">
        <v>10</v>
      </c>
      <c r="C14301">
        <v>8</v>
      </c>
      <c r="D14301">
        <v>10</v>
      </c>
      <c r="E14301">
        <f t="shared" si="223"/>
        <v>9.8135331875948925E-28</v>
      </c>
    </row>
    <row r="14302" spans="1:5" x14ac:dyDescent="0.25">
      <c r="A14302">
        <v>20</v>
      </c>
      <c r="B14302">
        <v>10</v>
      </c>
      <c r="C14302">
        <v>9</v>
      </c>
      <c r="D14302">
        <v>9</v>
      </c>
      <c r="E14302">
        <f t="shared" si="223"/>
        <v>3.884523553422978E-27</v>
      </c>
    </row>
    <row r="14303" spans="1:5" x14ac:dyDescent="0.25">
      <c r="A14303">
        <v>20</v>
      </c>
      <c r="B14303">
        <v>10</v>
      </c>
      <c r="C14303">
        <v>10</v>
      </c>
      <c r="D14303">
        <v>8</v>
      </c>
      <c r="E14303">
        <f t="shared" si="223"/>
        <v>1.1516469828971655E-26</v>
      </c>
    </row>
    <row r="14304" spans="1:5" x14ac:dyDescent="0.25">
      <c r="A14304">
        <v>20</v>
      </c>
      <c r="B14304">
        <v>10</v>
      </c>
      <c r="C14304">
        <v>11</v>
      </c>
      <c r="D14304">
        <v>7</v>
      </c>
      <c r="E14304">
        <f t="shared" si="223"/>
        <v>2.5592155175492575E-26</v>
      </c>
    </row>
    <row r="14305" spans="1:5" x14ac:dyDescent="0.25">
      <c r="A14305">
        <v>20</v>
      </c>
      <c r="B14305">
        <v>10</v>
      </c>
      <c r="C14305">
        <v>12</v>
      </c>
      <c r="D14305">
        <v>6</v>
      </c>
      <c r="E14305">
        <f t="shared" si="223"/>
        <v>4.2429099369895542E-26</v>
      </c>
    </row>
    <row r="14306" spans="1:5" x14ac:dyDescent="0.25">
      <c r="A14306">
        <v>20</v>
      </c>
      <c r="B14306">
        <v>10</v>
      </c>
      <c r="C14306">
        <v>13</v>
      </c>
      <c r="D14306">
        <v>5</v>
      </c>
      <c r="E14306">
        <f t="shared" si="223"/>
        <v>5.1894052306256873E-26</v>
      </c>
    </row>
    <row r="14307" spans="1:5" x14ac:dyDescent="0.25">
      <c r="A14307">
        <v>20</v>
      </c>
      <c r="B14307">
        <v>10</v>
      </c>
      <c r="C14307">
        <v>14</v>
      </c>
      <c r="D14307">
        <v>4</v>
      </c>
      <c r="E14307">
        <f t="shared" si="223"/>
        <v>4.5892699318458489E-26</v>
      </c>
    </row>
    <row r="14308" spans="1:5" x14ac:dyDescent="0.25">
      <c r="A14308">
        <v>20</v>
      </c>
      <c r="B14308">
        <v>10</v>
      </c>
      <c r="C14308">
        <v>15</v>
      </c>
      <c r="D14308">
        <v>3</v>
      </c>
      <c r="E14308">
        <f t="shared" si="223"/>
        <v>2.8370032305956137E-26</v>
      </c>
    </row>
    <row r="14309" spans="1:5" x14ac:dyDescent="0.25">
      <c r="A14309">
        <v>20</v>
      </c>
      <c r="B14309">
        <v>10</v>
      </c>
      <c r="C14309">
        <v>16</v>
      </c>
      <c r="D14309">
        <v>2</v>
      </c>
      <c r="E14309">
        <f t="shared" si="223"/>
        <v>1.1563871863840819E-26</v>
      </c>
    </row>
    <row r="14310" spans="1:5" x14ac:dyDescent="0.25">
      <c r="A14310">
        <v>20</v>
      </c>
      <c r="B14310">
        <v>10</v>
      </c>
      <c r="C14310">
        <v>17</v>
      </c>
      <c r="D14310">
        <v>1</v>
      </c>
      <c r="E14310">
        <f t="shared" si="223"/>
        <v>2.7775966731774535E-27</v>
      </c>
    </row>
    <row r="14311" spans="1:5" x14ac:dyDescent="0.25">
      <c r="A14311">
        <v>20</v>
      </c>
      <c r="B14311">
        <v>10</v>
      </c>
      <c r="C14311">
        <v>18</v>
      </c>
      <c r="D14311">
        <v>0</v>
      </c>
      <c r="E14311">
        <f t="shared" si="223"/>
        <v>2.9627697847226139E-28</v>
      </c>
    </row>
    <row r="14312" spans="1:5" x14ac:dyDescent="0.25">
      <c r="A14312">
        <v>20</v>
      </c>
      <c r="B14312">
        <v>11</v>
      </c>
      <c r="C14312">
        <v>0</v>
      </c>
      <c r="D14312">
        <v>17</v>
      </c>
      <c r="E14312">
        <f t="shared" si="223"/>
        <v>1.6317152869294942E-36</v>
      </c>
    </row>
    <row r="14313" spans="1:5" x14ac:dyDescent="0.25">
      <c r="A14313">
        <v>20</v>
      </c>
      <c r="B14313">
        <v>11</v>
      </c>
      <c r="C14313">
        <v>1</v>
      </c>
      <c r="D14313">
        <v>16</v>
      </c>
      <c r="E14313">
        <f t="shared" si="223"/>
        <v>2.0033837689523236E-34</v>
      </c>
    </row>
    <row r="14314" spans="1:5" x14ac:dyDescent="0.25">
      <c r="A14314">
        <v>20</v>
      </c>
      <c r="B14314">
        <v>11</v>
      </c>
      <c r="C14314">
        <v>2</v>
      </c>
      <c r="D14314">
        <v>15</v>
      </c>
      <c r="E14314">
        <f t="shared" si="223"/>
        <v>1.0257324897035894E-32</v>
      </c>
    </row>
    <row r="14315" spans="1:5" x14ac:dyDescent="0.25">
      <c r="A14315">
        <v>20</v>
      </c>
      <c r="B14315">
        <v>11</v>
      </c>
      <c r="C14315">
        <v>3</v>
      </c>
      <c r="D14315">
        <v>14</v>
      </c>
      <c r="E14315">
        <f t="shared" si="223"/>
        <v>2.9373248568784607E-31</v>
      </c>
    </row>
    <row r="14316" spans="1:5" x14ac:dyDescent="0.25">
      <c r="A14316">
        <v>20</v>
      </c>
      <c r="B14316">
        <v>11</v>
      </c>
      <c r="C14316">
        <v>4</v>
      </c>
      <c r="D14316">
        <v>13</v>
      </c>
      <c r="E14316">
        <f t="shared" si="223"/>
        <v>5.3116624495218847E-30</v>
      </c>
    </row>
    <row r="14317" spans="1:5" x14ac:dyDescent="0.25">
      <c r="A14317">
        <v>20</v>
      </c>
      <c r="B14317">
        <v>11</v>
      </c>
      <c r="C14317">
        <v>5</v>
      </c>
      <c r="D14317">
        <v>12</v>
      </c>
      <c r="E14317">
        <f t="shared" si="223"/>
        <v>6.4802281884167002E-29</v>
      </c>
    </row>
    <row r="14318" spans="1:5" x14ac:dyDescent="0.25">
      <c r="A14318">
        <v>20</v>
      </c>
      <c r="B14318">
        <v>11</v>
      </c>
      <c r="C14318">
        <v>6</v>
      </c>
      <c r="D14318">
        <v>11</v>
      </c>
      <c r="E14318">
        <f t="shared" si="223"/>
        <v>5.5544813043571704E-28</v>
      </c>
    </row>
    <row r="14319" spans="1:5" x14ac:dyDescent="0.25">
      <c r="A14319">
        <v>20</v>
      </c>
      <c r="B14319">
        <v>11</v>
      </c>
      <c r="C14319">
        <v>7</v>
      </c>
      <c r="D14319">
        <v>10</v>
      </c>
      <c r="E14319">
        <f t="shared" si="223"/>
        <v>3.4331984443121941E-27</v>
      </c>
    </row>
    <row r="14320" spans="1:5" x14ac:dyDescent="0.25">
      <c r="A14320">
        <v>20</v>
      </c>
      <c r="B14320">
        <v>11</v>
      </c>
      <c r="C14320">
        <v>8</v>
      </c>
      <c r="D14320">
        <v>9</v>
      </c>
      <c r="E14320">
        <f t="shared" si="223"/>
        <v>1.5556680450789631E-26</v>
      </c>
    </row>
    <row r="14321" spans="1:5" x14ac:dyDescent="0.25">
      <c r="A14321">
        <v>20</v>
      </c>
      <c r="B14321">
        <v>11</v>
      </c>
      <c r="C14321">
        <v>9</v>
      </c>
      <c r="D14321">
        <v>8</v>
      </c>
      <c r="E14321">
        <f t="shared" si="223"/>
        <v>5.2160634452647573E-26</v>
      </c>
    </row>
    <row r="14322" spans="1:5" x14ac:dyDescent="0.25">
      <c r="A14322">
        <v>20</v>
      </c>
      <c r="B14322">
        <v>11</v>
      </c>
      <c r="C14322">
        <v>10</v>
      </c>
      <c r="D14322">
        <v>7</v>
      </c>
      <c r="E14322">
        <f t="shared" si="223"/>
        <v>1.2982202352658961E-25</v>
      </c>
    </row>
    <row r="14323" spans="1:5" x14ac:dyDescent="0.25">
      <c r="A14323">
        <v>20</v>
      </c>
      <c r="B14323">
        <v>11</v>
      </c>
      <c r="C14323">
        <v>11</v>
      </c>
      <c r="D14323">
        <v>6</v>
      </c>
      <c r="E14323">
        <f t="shared" si="223"/>
        <v>2.3914583281213863E-25</v>
      </c>
    </row>
    <row r="14324" spans="1:5" x14ac:dyDescent="0.25">
      <c r="A14324">
        <v>20</v>
      </c>
      <c r="B14324">
        <v>11</v>
      </c>
      <c r="C14324">
        <v>12</v>
      </c>
      <c r="D14324">
        <v>5</v>
      </c>
      <c r="E14324">
        <f t="shared" si="223"/>
        <v>3.2284687429638698E-25</v>
      </c>
    </row>
    <row r="14325" spans="1:5" x14ac:dyDescent="0.25">
      <c r="A14325">
        <v>20</v>
      </c>
      <c r="B14325">
        <v>11</v>
      </c>
      <c r="C14325">
        <v>13</v>
      </c>
      <c r="D14325">
        <v>4</v>
      </c>
      <c r="E14325">
        <f t="shared" si="223"/>
        <v>3.1338616003129159E-25</v>
      </c>
    </row>
    <row r="14326" spans="1:5" x14ac:dyDescent="0.25">
      <c r="A14326">
        <v>20</v>
      </c>
      <c r="B14326">
        <v>11</v>
      </c>
      <c r="C14326">
        <v>14</v>
      </c>
      <c r="D14326">
        <v>3</v>
      </c>
      <c r="E14326">
        <f t="shared" si="223"/>
        <v>2.1163740677437876E-25</v>
      </c>
    </row>
    <row r="14327" spans="1:5" x14ac:dyDescent="0.25">
      <c r="A14327">
        <v>20</v>
      </c>
      <c r="B14327">
        <v>11</v>
      </c>
      <c r="C14327">
        <v>15</v>
      </c>
      <c r="D14327">
        <v>2</v>
      </c>
      <c r="E14327">
        <f t="shared" si="223"/>
        <v>9.3856589091246182E-26</v>
      </c>
    </row>
    <row r="14328" spans="1:5" x14ac:dyDescent="0.25">
      <c r="A14328">
        <v>20</v>
      </c>
      <c r="B14328">
        <v>11</v>
      </c>
      <c r="C14328">
        <v>16</v>
      </c>
      <c r="D14328">
        <v>1</v>
      </c>
      <c r="E14328">
        <f t="shared" si="223"/>
        <v>2.4441820075845364E-26</v>
      </c>
    </row>
    <row r="14329" spans="1:5" x14ac:dyDescent="0.25">
      <c r="A14329">
        <v>20</v>
      </c>
      <c r="B14329">
        <v>11</v>
      </c>
      <c r="C14329">
        <v>17</v>
      </c>
      <c r="D14329">
        <v>0</v>
      </c>
      <c r="E14329">
        <f t="shared" si="223"/>
        <v>2.8179980793327612E-27</v>
      </c>
    </row>
    <row r="14330" spans="1:5" x14ac:dyDescent="0.25">
      <c r="A14330">
        <v>20</v>
      </c>
      <c r="B14330">
        <v>12</v>
      </c>
      <c r="C14330">
        <v>0</v>
      </c>
      <c r="D14330">
        <v>16</v>
      </c>
      <c r="E14330">
        <f t="shared" si="223"/>
        <v>7.1402652278044357E-35</v>
      </c>
    </row>
    <row r="14331" spans="1:5" x14ac:dyDescent="0.25">
      <c r="A14331">
        <v>20</v>
      </c>
      <c r="B14331">
        <v>12</v>
      </c>
      <c r="C14331">
        <v>1</v>
      </c>
      <c r="D14331">
        <v>15</v>
      </c>
      <c r="E14331">
        <f t="shared" si="223"/>
        <v>7.425875836916611E-33</v>
      </c>
    </row>
    <row r="14332" spans="1:5" x14ac:dyDescent="0.25">
      <c r="A14332">
        <v>20</v>
      </c>
      <c r="B14332">
        <v>12</v>
      </c>
      <c r="C14332">
        <v>2</v>
      </c>
      <c r="D14332">
        <v>14</v>
      </c>
      <c r="E14332">
        <f t="shared" si="223"/>
        <v>3.2403821833817946E-31</v>
      </c>
    </row>
    <row r="14333" spans="1:5" x14ac:dyDescent="0.25">
      <c r="A14333">
        <v>20</v>
      </c>
      <c r="B14333">
        <v>12</v>
      </c>
      <c r="C14333">
        <v>3</v>
      </c>
      <c r="D14333">
        <v>13</v>
      </c>
      <c r="E14333">
        <f t="shared" si="223"/>
        <v>7.9389363492853989E-30</v>
      </c>
    </row>
    <row r="14334" spans="1:5" x14ac:dyDescent="0.25">
      <c r="A14334">
        <v>20</v>
      </c>
      <c r="B14334">
        <v>12</v>
      </c>
      <c r="C14334">
        <v>4</v>
      </c>
      <c r="D14334">
        <v>12</v>
      </c>
      <c r="E14334">
        <f t="shared" si="223"/>
        <v>1.2305351341392365E-28</v>
      </c>
    </row>
    <row r="14335" spans="1:5" x14ac:dyDescent="0.25">
      <c r="A14335">
        <v>20</v>
      </c>
      <c r="B14335">
        <v>12</v>
      </c>
      <c r="C14335">
        <v>5</v>
      </c>
      <c r="D14335">
        <v>11</v>
      </c>
      <c r="E14335">
        <f t="shared" si="223"/>
        <v>1.2867881688427445E-27</v>
      </c>
    </row>
    <row r="14336" spans="1:5" x14ac:dyDescent="0.25">
      <c r="A14336">
        <v>20</v>
      </c>
      <c r="B14336">
        <v>12</v>
      </c>
      <c r="C14336">
        <v>6</v>
      </c>
      <c r="D14336">
        <v>10</v>
      </c>
      <c r="E14336">
        <f t="shared" si="223"/>
        <v>9.4364465715134578E-27</v>
      </c>
    </row>
    <row r="14337" spans="1:5" x14ac:dyDescent="0.25">
      <c r="A14337">
        <v>20</v>
      </c>
      <c r="B14337">
        <v>12</v>
      </c>
      <c r="C14337">
        <v>7</v>
      </c>
      <c r="D14337">
        <v>9</v>
      </c>
      <c r="E14337">
        <f t="shared" si="223"/>
        <v>4.9709852474936975E-26</v>
      </c>
    </row>
    <row r="14338" spans="1:5" x14ac:dyDescent="0.25">
      <c r="A14338">
        <v>20</v>
      </c>
      <c r="B14338">
        <v>12</v>
      </c>
      <c r="C14338">
        <v>8</v>
      </c>
      <c r="D14338">
        <v>8</v>
      </c>
      <c r="E14338">
        <f t="shared" si="223"/>
        <v>1.907981102346846E-25</v>
      </c>
    </row>
    <row r="14339" spans="1:5" x14ac:dyDescent="0.25">
      <c r="A14339">
        <v>20</v>
      </c>
      <c r="B14339">
        <v>12</v>
      </c>
      <c r="C14339">
        <v>9</v>
      </c>
      <c r="D14339">
        <v>7</v>
      </c>
      <c r="E14339">
        <f t="shared" si="223"/>
        <v>5.3706134732726033E-25</v>
      </c>
    </row>
    <row r="14340" spans="1:5" x14ac:dyDescent="0.25">
      <c r="A14340">
        <v>20</v>
      </c>
      <c r="B14340">
        <v>12</v>
      </c>
      <c r="C14340">
        <v>10</v>
      </c>
      <c r="D14340">
        <v>6</v>
      </c>
      <c r="E14340">
        <f t="shared" si="223"/>
        <v>1.1080423586962421E-24</v>
      </c>
    </row>
    <row r="14341" spans="1:5" x14ac:dyDescent="0.25">
      <c r="A14341">
        <v>20</v>
      </c>
      <c r="B14341">
        <v>12</v>
      </c>
      <c r="C14341">
        <v>11</v>
      </c>
      <c r="D14341">
        <v>5</v>
      </c>
      <c r="E14341">
        <f t="shared" si="223"/>
        <v>1.6620635380443631E-24</v>
      </c>
    </row>
    <row r="14342" spans="1:5" x14ac:dyDescent="0.25">
      <c r="A14342">
        <v>20</v>
      </c>
      <c r="B14342">
        <v>12</v>
      </c>
      <c r="C14342">
        <v>12</v>
      </c>
      <c r="D14342">
        <v>4</v>
      </c>
      <c r="E14342">
        <f t="shared" si="223"/>
        <v>1.7807823621903887E-24</v>
      </c>
    </row>
    <row r="14343" spans="1:5" x14ac:dyDescent="0.25">
      <c r="A14343">
        <v>20</v>
      </c>
      <c r="B14343">
        <v>12</v>
      </c>
      <c r="C14343">
        <v>13</v>
      </c>
      <c r="D14343">
        <v>3</v>
      </c>
      <c r="E14343">
        <f t="shared" si="223"/>
        <v>1.3200204922530159E-24</v>
      </c>
    </row>
    <row r="14344" spans="1:5" x14ac:dyDescent="0.25">
      <c r="A14344">
        <v>20</v>
      </c>
      <c r="B14344">
        <v>12</v>
      </c>
      <c r="C14344">
        <v>14</v>
      </c>
      <c r="D14344">
        <v>2</v>
      </c>
      <c r="E14344">
        <f t="shared" si="223"/>
        <v>6.3951303351388349E-25</v>
      </c>
    </row>
    <row r="14345" spans="1:5" x14ac:dyDescent="0.25">
      <c r="A14345">
        <v>20</v>
      </c>
      <c r="B14345">
        <v>12</v>
      </c>
      <c r="C14345">
        <v>15</v>
      </c>
      <c r="D14345">
        <v>1</v>
      </c>
      <c r="E14345">
        <f t="shared" si="223"/>
        <v>1.8119535949560027E-25</v>
      </c>
    </row>
    <row r="14346" spans="1:5" x14ac:dyDescent="0.25">
      <c r="A14346">
        <v>20</v>
      </c>
      <c r="B14346">
        <v>12</v>
      </c>
      <c r="C14346">
        <v>16</v>
      </c>
      <c r="D14346">
        <v>0</v>
      </c>
      <c r="E14346">
        <f t="shared" si="223"/>
        <v>2.2649419936950037E-26</v>
      </c>
    </row>
    <row r="14347" spans="1:5" x14ac:dyDescent="0.25">
      <c r="A14347">
        <v>20</v>
      </c>
      <c r="B14347">
        <v>13</v>
      </c>
      <c r="C14347">
        <v>0</v>
      </c>
      <c r="D14347">
        <v>15</v>
      </c>
      <c r="E14347">
        <f t="shared" si="223"/>
        <v>2.4342811915099427E-33</v>
      </c>
    </row>
    <row r="14348" spans="1:5" x14ac:dyDescent="0.25">
      <c r="A14348">
        <v>20</v>
      </c>
      <c r="B14348">
        <v>13</v>
      </c>
      <c r="C14348">
        <v>1</v>
      </c>
      <c r="D14348">
        <v>14</v>
      </c>
      <c r="E14348">
        <f t="shared" si="223"/>
        <v>2.1576583288383589E-31</v>
      </c>
    </row>
    <row r="14349" spans="1:5" x14ac:dyDescent="0.25">
      <c r="A14349">
        <v>20</v>
      </c>
      <c r="B14349">
        <v>13</v>
      </c>
      <c r="C14349">
        <v>2</v>
      </c>
      <c r="D14349">
        <v>13</v>
      </c>
      <c r="E14349">
        <f t="shared" si="223"/>
        <v>8.0552577609965413E-30</v>
      </c>
    </row>
    <row r="14350" spans="1:5" x14ac:dyDescent="0.25">
      <c r="A14350">
        <v>20</v>
      </c>
      <c r="B14350">
        <v>13</v>
      </c>
      <c r="C14350">
        <v>3</v>
      </c>
      <c r="D14350">
        <v>12</v>
      </c>
      <c r="E14350">
        <f t="shared" ref="E14350:E14413" si="224">COMBIN(A$4,A14350)*COMBIN(B$4,B14350)*COMBIN(C$4,C14350)*COMBIN(D$4,D14350)/COMBIN($G$4,$F$4)</f>
        <v>1.6916041298092735E-28</v>
      </c>
    </row>
    <row r="14351" spans="1:5" x14ac:dyDescent="0.25">
      <c r="A14351">
        <v>20</v>
      </c>
      <c r="B14351">
        <v>13</v>
      </c>
      <c r="C14351">
        <v>4</v>
      </c>
      <c r="D14351">
        <v>11</v>
      </c>
      <c r="E14351">
        <f t="shared" si="224"/>
        <v>2.2474169153180344E-27</v>
      </c>
    </row>
    <row r="14352" spans="1:5" x14ac:dyDescent="0.25">
      <c r="A14352">
        <v>20</v>
      </c>
      <c r="B14352">
        <v>13</v>
      </c>
      <c r="C14352">
        <v>5</v>
      </c>
      <c r="D14352">
        <v>10</v>
      </c>
      <c r="E14352">
        <f t="shared" si="224"/>
        <v>2.010689000237868E-26</v>
      </c>
    </row>
    <row r="14353" spans="1:5" x14ac:dyDescent="0.25">
      <c r="A14353">
        <v>20</v>
      </c>
      <c r="B14353">
        <v>13</v>
      </c>
      <c r="C14353">
        <v>6</v>
      </c>
      <c r="D14353">
        <v>9</v>
      </c>
      <c r="E14353">
        <f t="shared" si="224"/>
        <v>1.2566806251486677E-25</v>
      </c>
    </row>
    <row r="14354" spans="1:5" x14ac:dyDescent="0.25">
      <c r="A14354">
        <v>20</v>
      </c>
      <c r="B14354">
        <v>13</v>
      </c>
      <c r="C14354">
        <v>7</v>
      </c>
      <c r="D14354">
        <v>8</v>
      </c>
      <c r="E14354">
        <f t="shared" si="224"/>
        <v>5.6075412769238869E-25</v>
      </c>
    </row>
    <row r="14355" spans="1:5" x14ac:dyDescent="0.25">
      <c r="A14355">
        <v>20</v>
      </c>
      <c r="B14355">
        <v>13</v>
      </c>
      <c r="C14355">
        <v>8</v>
      </c>
      <c r="D14355">
        <v>7</v>
      </c>
      <c r="E14355">
        <f t="shared" si="224"/>
        <v>1.8068744114532532E-24</v>
      </c>
    </row>
    <row r="14356" spans="1:5" x14ac:dyDescent="0.25">
      <c r="A14356">
        <v>20</v>
      </c>
      <c r="B14356">
        <v>13</v>
      </c>
      <c r="C14356">
        <v>9</v>
      </c>
      <c r="D14356">
        <v>6</v>
      </c>
      <c r="E14356">
        <f t="shared" si="224"/>
        <v>4.2160402933909212E-24</v>
      </c>
    </row>
    <row r="14357" spans="1:5" x14ac:dyDescent="0.25">
      <c r="A14357">
        <v>20</v>
      </c>
      <c r="B14357">
        <v>13</v>
      </c>
      <c r="C14357">
        <v>10</v>
      </c>
      <c r="D14357">
        <v>5</v>
      </c>
      <c r="E14357">
        <f t="shared" si="224"/>
        <v>7.0829476928967487E-24</v>
      </c>
    </row>
    <row r="14358" spans="1:5" x14ac:dyDescent="0.25">
      <c r="A14358">
        <v>20</v>
      </c>
      <c r="B14358">
        <v>13</v>
      </c>
      <c r="C14358">
        <v>11</v>
      </c>
      <c r="D14358">
        <v>4</v>
      </c>
      <c r="E14358">
        <f t="shared" si="224"/>
        <v>8.4320805867818468E-24</v>
      </c>
    </row>
    <row r="14359" spans="1:5" x14ac:dyDescent="0.25">
      <c r="A14359">
        <v>20</v>
      </c>
      <c r="B14359">
        <v>13</v>
      </c>
      <c r="C14359">
        <v>12</v>
      </c>
      <c r="D14359">
        <v>3</v>
      </c>
      <c r="E14359">
        <f t="shared" si="224"/>
        <v>6.8989750255487792E-24</v>
      </c>
    </row>
    <row r="14360" spans="1:5" x14ac:dyDescent="0.25">
      <c r="A14360">
        <v>20</v>
      </c>
      <c r="B14360">
        <v>13</v>
      </c>
      <c r="C14360">
        <v>13</v>
      </c>
      <c r="D14360">
        <v>2</v>
      </c>
      <c r="E14360">
        <f t="shared" si="224"/>
        <v>3.6686857159272785E-24</v>
      </c>
    </row>
    <row r="14361" spans="1:5" x14ac:dyDescent="0.25">
      <c r="A14361">
        <v>20</v>
      </c>
      <c r="B14361">
        <v>13</v>
      </c>
      <c r="C14361">
        <v>14</v>
      </c>
      <c r="D14361">
        <v>1</v>
      </c>
      <c r="E14361">
        <f t="shared" si="224"/>
        <v>1.135545578739396E-24</v>
      </c>
    </row>
    <row r="14362" spans="1:5" x14ac:dyDescent="0.25">
      <c r="A14362">
        <v>20</v>
      </c>
      <c r="B14362">
        <v>13</v>
      </c>
      <c r="C14362">
        <v>15</v>
      </c>
      <c r="D14362">
        <v>0</v>
      </c>
      <c r="E14362">
        <f t="shared" si="224"/>
        <v>1.544341987085578E-25</v>
      </c>
    </row>
    <row r="14363" spans="1:5" x14ac:dyDescent="0.25">
      <c r="A14363">
        <v>20</v>
      </c>
      <c r="B14363">
        <v>14</v>
      </c>
      <c r="C14363">
        <v>0</v>
      </c>
      <c r="D14363">
        <v>14</v>
      </c>
      <c r="E14363">
        <f t="shared" si="224"/>
        <v>6.5441065797734827E-32</v>
      </c>
    </row>
    <row r="14364" spans="1:5" x14ac:dyDescent="0.25">
      <c r="A14364">
        <v>20</v>
      </c>
      <c r="B14364">
        <v>14</v>
      </c>
      <c r="C14364">
        <v>1</v>
      </c>
      <c r="D14364">
        <v>13</v>
      </c>
      <c r="E14364">
        <f t="shared" si="224"/>
        <v>4.9626141563282251E-30</v>
      </c>
    </row>
    <row r="14365" spans="1:5" x14ac:dyDescent="0.25">
      <c r="A14365">
        <v>20</v>
      </c>
      <c r="B14365">
        <v>14</v>
      </c>
      <c r="C14365">
        <v>2</v>
      </c>
      <c r="D14365">
        <v>12</v>
      </c>
      <c r="E14365">
        <f t="shared" si="224"/>
        <v>1.588036530025032E-28</v>
      </c>
    </row>
    <row r="14366" spans="1:5" x14ac:dyDescent="0.25">
      <c r="A14366">
        <v>20</v>
      </c>
      <c r="B14366">
        <v>14</v>
      </c>
      <c r="C14366">
        <v>3</v>
      </c>
      <c r="D14366">
        <v>11</v>
      </c>
      <c r="E14366">
        <f t="shared" si="224"/>
        <v>2.8584657540450573E-27</v>
      </c>
    </row>
    <row r="14367" spans="1:5" x14ac:dyDescent="0.25">
      <c r="A14367">
        <v>20</v>
      </c>
      <c r="B14367">
        <v>14</v>
      </c>
      <c r="C14367">
        <v>4</v>
      </c>
      <c r="D14367">
        <v>10</v>
      </c>
      <c r="E14367">
        <f t="shared" si="224"/>
        <v>3.2491227404312152E-26</v>
      </c>
    </row>
    <row r="14368" spans="1:5" x14ac:dyDescent="0.25">
      <c r="A14368">
        <v>20</v>
      </c>
      <c r="B14368">
        <v>14</v>
      </c>
      <c r="C14368">
        <v>5</v>
      </c>
      <c r="D14368">
        <v>9</v>
      </c>
      <c r="E14368">
        <f t="shared" si="224"/>
        <v>2.4774560895788022E-25</v>
      </c>
    </row>
    <row r="14369" spans="1:5" x14ac:dyDescent="0.25">
      <c r="A14369">
        <v>20</v>
      </c>
      <c r="B14369">
        <v>14</v>
      </c>
      <c r="C14369">
        <v>6</v>
      </c>
      <c r="D14369">
        <v>8</v>
      </c>
      <c r="E14369">
        <f t="shared" si="224"/>
        <v>1.3115944003652479E-24</v>
      </c>
    </row>
    <row r="14370" spans="1:5" x14ac:dyDescent="0.25">
      <c r="A14370">
        <v>20</v>
      </c>
      <c r="B14370">
        <v>14</v>
      </c>
      <c r="C14370">
        <v>7</v>
      </c>
      <c r="D14370">
        <v>7</v>
      </c>
      <c r="E14370">
        <f t="shared" si="224"/>
        <v>4.9132742616856915E-24</v>
      </c>
    </row>
    <row r="14371" spans="1:5" x14ac:dyDescent="0.25">
      <c r="A14371">
        <v>20</v>
      </c>
      <c r="B14371">
        <v>14</v>
      </c>
      <c r="C14371">
        <v>8</v>
      </c>
      <c r="D14371">
        <v>6</v>
      </c>
      <c r="E14371">
        <f t="shared" si="224"/>
        <v>1.3123614146344674E-23</v>
      </c>
    </row>
    <row r="14372" spans="1:5" x14ac:dyDescent="0.25">
      <c r="A14372">
        <v>20</v>
      </c>
      <c r="B14372">
        <v>14</v>
      </c>
      <c r="C14372">
        <v>9</v>
      </c>
      <c r="D14372">
        <v>5</v>
      </c>
      <c r="E14372">
        <f t="shared" si="224"/>
        <v>2.4934866878054877E-23</v>
      </c>
    </row>
    <row r="14373" spans="1:5" x14ac:dyDescent="0.25">
      <c r="A14373">
        <v>20</v>
      </c>
      <c r="B14373">
        <v>14</v>
      </c>
      <c r="C14373">
        <v>10</v>
      </c>
      <c r="D14373">
        <v>4</v>
      </c>
      <c r="E14373">
        <f t="shared" si="224"/>
        <v>3.3246489170739848E-23</v>
      </c>
    </row>
    <row r="14374" spans="1:5" x14ac:dyDescent="0.25">
      <c r="A14374">
        <v>20</v>
      </c>
      <c r="B14374">
        <v>14</v>
      </c>
      <c r="C14374">
        <v>11</v>
      </c>
      <c r="D14374">
        <v>3</v>
      </c>
      <c r="E14374">
        <f t="shared" si="224"/>
        <v>3.0224081064308955E-23</v>
      </c>
    </row>
    <row r="14375" spans="1:5" x14ac:dyDescent="0.25">
      <c r="A14375">
        <v>20</v>
      </c>
      <c r="B14375">
        <v>14</v>
      </c>
      <c r="C14375">
        <v>12</v>
      </c>
      <c r="D14375">
        <v>2</v>
      </c>
      <c r="E14375">
        <f t="shared" si="224"/>
        <v>1.7740221494268289E-23</v>
      </c>
    </row>
    <row r="14376" spans="1:5" x14ac:dyDescent="0.25">
      <c r="A14376">
        <v>20</v>
      </c>
      <c r="B14376">
        <v>14</v>
      </c>
      <c r="C14376">
        <v>13</v>
      </c>
      <c r="D14376">
        <v>1</v>
      </c>
      <c r="E14376">
        <f t="shared" si="224"/>
        <v>6.0271265333091E-24</v>
      </c>
    </row>
    <row r="14377" spans="1:5" x14ac:dyDescent="0.25">
      <c r="A14377">
        <v>20</v>
      </c>
      <c r="B14377">
        <v>14</v>
      </c>
      <c r="C14377">
        <v>14</v>
      </c>
      <c r="D14377">
        <v>0</v>
      </c>
      <c r="E14377">
        <f t="shared" si="224"/>
        <v>8.9545879923449512E-25</v>
      </c>
    </row>
    <row r="14378" spans="1:5" x14ac:dyDescent="0.25">
      <c r="A14378">
        <v>20</v>
      </c>
      <c r="B14378">
        <v>15</v>
      </c>
      <c r="C14378">
        <v>0</v>
      </c>
      <c r="D14378">
        <v>13</v>
      </c>
      <c r="E14378">
        <f t="shared" si="224"/>
        <v>1.3997116851182175E-30</v>
      </c>
    </row>
    <row r="14379" spans="1:5" x14ac:dyDescent="0.25">
      <c r="A14379">
        <v>20</v>
      </c>
      <c r="B14379">
        <v>15</v>
      </c>
      <c r="C14379">
        <v>1</v>
      </c>
      <c r="D14379">
        <v>12</v>
      </c>
      <c r="E14379">
        <f t="shared" si="224"/>
        <v>9.0981259532684137E-29</v>
      </c>
    </row>
    <row r="14380" spans="1:5" x14ac:dyDescent="0.25">
      <c r="A14380">
        <v>20</v>
      </c>
      <c r="B14380">
        <v>15</v>
      </c>
      <c r="C14380">
        <v>2</v>
      </c>
      <c r="D14380">
        <v>11</v>
      </c>
      <c r="E14380">
        <f t="shared" si="224"/>
        <v>2.4954859757536214E-27</v>
      </c>
    </row>
    <row r="14381" spans="1:5" x14ac:dyDescent="0.25">
      <c r="A14381">
        <v>20</v>
      </c>
      <c r="B14381">
        <v>15</v>
      </c>
      <c r="C14381">
        <v>3</v>
      </c>
      <c r="D14381">
        <v>10</v>
      </c>
      <c r="E14381">
        <f t="shared" si="224"/>
        <v>3.8430484026605768E-26</v>
      </c>
    </row>
    <row r="14382" spans="1:5" x14ac:dyDescent="0.25">
      <c r="A14382">
        <v>20</v>
      </c>
      <c r="B14382">
        <v>15</v>
      </c>
      <c r="C14382">
        <v>4</v>
      </c>
      <c r="D14382">
        <v>9</v>
      </c>
      <c r="E14382">
        <f t="shared" si="224"/>
        <v>3.7229531400774344E-25</v>
      </c>
    </row>
    <row r="14383" spans="1:5" x14ac:dyDescent="0.25">
      <c r="A14383">
        <v>20</v>
      </c>
      <c r="B14383">
        <v>15</v>
      </c>
      <c r="C14383">
        <v>5</v>
      </c>
      <c r="D14383">
        <v>8</v>
      </c>
      <c r="E14383">
        <f t="shared" si="224"/>
        <v>2.4045897340029547E-24</v>
      </c>
    </row>
    <row r="14384" spans="1:5" x14ac:dyDescent="0.25">
      <c r="A14384">
        <v>20</v>
      </c>
      <c r="B14384">
        <v>15</v>
      </c>
      <c r="C14384">
        <v>6</v>
      </c>
      <c r="D14384">
        <v>7</v>
      </c>
      <c r="E14384">
        <f t="shared" si="224"/>
        <v>1.0687065484457576E-23</v>
      </c>
    </row>
    <row r="14385" spans="1:5" x14ac:dyDescent="0.25">
      <c r="A14385">
        <v>20</v>
      </c>
      <c r="B14385">
        <v>15</v>
      </c>
      <c r="C14385">
        <v>7</v>
      </c>
      <c r="D14385">
        <v>6</v>
      </c>
      <c r="E14385">
        <f t="shared" si="224"/>
        <v>3.3186150714894569E-23</v>
      </c>
    </row>
    <row r="14386" spans="1:5" x14ac:dyDescent="0.25">
      <c r="A14386">
        <v>20</v>
      </c>
      <c r="B14386">
        <v>15</v>
      </c>
      <c r="C14386">
        <v>8</v>
      </c>
      <c r="D14386">
        <v>5</v>
      </c>
      <c r="E14386">
        <f t="shared" si="224"/>
        <v>7.2179877804895697E-23</v>
      </c>
    </row>
    <row r="14387" spans="1:5" x14ac:dyDescent="0.25">
      <c r="A14387">
        <v>20</v>
      </c>
      <c r="B14387">
        <v>15</v>
      </c>
      <c r="C14387">
        <v>9</v>
      </c>
      <c r="D14387">
        <v>4</v>
      </c>
      <c r="E14387">
        <f t="shared" si="224"/>
        <v>1.0884267288039831E-22</v>
      </c>
    </row>
    <row r="14388" spans="1:5" x14ac:dyDescent="0.25">
      <c r="A14388">
        <v>20</v>
      </c>
      <c r="B14388">
        <v>15</v>
      </c>
      <c r="C14388">
        <v>10</v>
      </c>
      <c r="D14388">
        <v>3</v>
      </c>
      <c r="E14388">
        <f t="shared" si="224"/>
        <v>1.1082163056913282E-22</v>
      </c>
    </row>
    <row r="14389" spans="1:5" x14ac:dyDescent="0.25">
      <c r="A14389">
        <v>20</v>
      </c>
      <c r="B14389">
        <v>15</v>
      </c>
      <c r="C14389">
        <v>11</v>
      </c>
      <c r="D14389">
        <v>2</v>
      </c>
      <c r="E14389">
        <f t="shared" si="224"/>
        <v>7.2274976458130111E-23</v>
      </c>
    </row>
    <row r="14390" spans="1:5" x14ac:dyDescent="0.25">
      <c r="A14390">
        <v>20</v>
      </c>
      <c r="B14390">
        <v>15</v>
      </c>
      <c r="C14390">
        <v>12</v>
      </c>
      <c r="D14390">
        <v>1</v>
      </c>
      <c r="E14390">
        <f t="shared" si="224"/>
        <v>2.7103116171798776E-23</v>
      </c>
    </row>
    <row r="14391" spans="1:5" x14ac:dyDescent="0.25">
      <c r="A14391">
        <v>20</v>
      </c>
      <c r="B14391">
        <v>15</v>
      </c>
      <c r="C14391">
        <v>13</v>
      </c>
      <c r="D14391">
        <v>0</v>
      </c>
      <c r="E14391">
        <f t="shared" si="224"/>
        <v>4.4198927910933408E-24</v>
      </c>
    </row>
    <row r="14392" spans="1:5" x14ac:dyDescent="0.25">
      <c r="A14392">
        <v>20</v>
      </c>
      <c r="B14392">
        <v>16</v>
      </c>
      <c r="C14392">
        <v>0</v>
      </c>
      <c r="D14392">
        <v>12</v>
      </c>
      <c r="E14392">
        <f t="shared" si="224"/>
        <v>2.3970062607649468E-29</v>
      </c>
    </row>
    <row r="14393" spans="1:5" x14ac:dyDescent="0.25">
      <c r="A14393">
        <v>20</v>
      </c>
      <c r="B14393">
        <v>16</v>
      </c>
      <c r="C14393">
        <v>1</v>
      </c>
      <c r="D14393">
        <v>11</v>
      </c>
      <c r="E14393">
        <f t="shared" si="224"/>
        <v>1.3354749167118988E-27</v>
      </c>
    </row>
    <row r="14394" spans="1:5" x14ac:dyDescent="0.25">
      <c r="A14394">
        <v>20</v>
      </c>
      <c r="B14394">
        <v>16</v>
      </c>
      <c r="C14394">
        <v>2</v>
      </c>
      <c r="D14394">
        <v>10</v>
      </c>
      <c r="E14394">
        <f t="shared" si="224"/>
        <v>3.1339144712172557E-26</v>
      </c>
    </row>
    <row r="14395" spans="1:5" x14ac:dyDescent="0.25">
      <c r="A14395">
        <v>20</v>
      </c>
      <c r="B14395">
        <v>16</v>
      </c>
      <c r="C14395">
        <v>3</v>
      </c>
      <c r="D14395">
        <v>9</v>
      </c>
      <c r="E14395">
        <f t="shared" si="224"/>
        <v>4.1132627434726481E-25</v>
      </c>
    </row>
    <row r="14396" spans="1:5" x14ac:dyDescent="0.25">
      <c r="A14396">
        <v>20</v>
      </c>
      <c r="B14396">
        <v>16</v>
      </c>
      <c r="C14396">
        <v>4</v>
      </c>
      <c r="D14396">
        <v>8</v>
      </c>
      <c r="E14396">
        <f t="shared" si="224"/>
        <v>3.3752950159672614E-24</v>
      </c>
    </row>
    <row r="14397" spans="1:5" x14ac:dyDescent="0.25">
      <c r="A14397">
        <v>20</v>
      </c>
      <c r="B14397">
        <v>16</v>
      </c>
      <c r="C14397">
        <v>5</v>
      </c>
      <c r="D14397">
        <v>7</v>
      </c>
      <c r="E14397">
        <f t="shared" si="224"/>
        <v>1.8301599642133601E-23</v>
      </c>
    </row>
    <row r="14398" spans="1:5" x14ac:dyDescent="0.25">
      <c r="A14398">
        <v>20</v>
      </c>
      <c r="B14398">
        <v>16</v>
      </c>
      <c r="C14398">
        <v>6</v>
      </c>
      <c r="D14398">
        <v>6</v>
      </c>
      <c r="E14398">
        <f t="shared" si="224"/>
        <v>6.7426946049965857E-23</v>
      </c>
    </row>
    <row r="14399" spans="1:5" x14ac:dyDescent="0.25">
      <c r="A14399">
        <v>20</v>
      </c>
      <c r="B14399">
        <v>16</v>
      </c>
      <c r="C14399">
        <v>7</v>
      </c>
      <c r="D14399">
        <v>5</v>
      </c>
      <c r="E14399">
        <f t="shared" si="224"/>
        <v>1.7049384929777083E-22</v>
      </c>
    </row>
    <row r="14400" spans="1:5" x14ac:dyDescent="0.25">
      <c r="A14400">
        <v>20</v>
      </c>
      <c r="B14400">
        <v>16</v>
      </c>
      <c r="C14400">
        <v>8</v>
      </c>
      <c r="D14400">
        <v>4</v>
      </c>
      <c r="E14400">
        <f t="shared" si="224"/>
        <v>2.9430485890686642E-22</v>
      </c>
    </row>
    <row r="14401" spans="1:5" x14ac:dyDescent="0.25">
      <c r="A14401">
        <v>20</v>
      </c>
      <c r="B14401">
        <v>16</v>
      </c>
      <c r="C14401">
        <v>9</v>
      </c>
      <c r="D14401">
        <v>3</v>
      </c>
      <c r="E14401">
        <f t="shared" si="224"/>
        <v>3.3889650419578547E-22</v>
      </c>
    </row>
    <row r="14402" spans="1:5" x14ac:dyDescent="0.25">
      <c r="A14402">
        <v>20</v>
      </c>
      <c r="B14402">
        <v>16</v>
      </c>
      <c r="C14402">
        <v>10</v>
      </c>
      <c r="D14402">
        <v>2</v>
      </c>
      <c r="E14402">
        <f t="shared" si="224"/>
        <v>2.4754179436909558E-22</v>
      </c>
    </row>
    <row r="14403" spans="1:5" x14ac:dyDescent="0.25">
      <c r="A14403">
        <v>20</v>
      </c>
      <c r="B14403">
        <v>16</v>
      </c>
      <c r="C14403">
        <v>11</v>
      </c>
      <c r="D14403">
        <v>1</v>
      </c>
      <c r="E14403">
        <f t="shared" si="224"/>
        <v>1.0314241432045649E-22</v>
      </c>
    </row>
    <row r="14404" spans="1:5" x14ac:dyDescent="0.25">
      <c r="A14404">
        <v>20</v>
      </c>
      <c r="B14404">
        <v>16</v>
      </c>
      <c r="C14404">
        <v>12</v>
      </c>
      <c r="D14404">
        <v>0</v>
      </c>
      <c r="E14404">
        <f t="shared" si="224"/>
        <v>1.8565634577682154E-23</v>
      </c>
    </row>
    <row r="14405" spans="1:5" x14ac:dyDescent="0.25">
      <c r="A14405">
        <v>20</v>
      </c>
      <c r="B14405">
        <v>17</v>
      </c>
      <c r="C14405">
        <v>0</v>
      </c>
      <c r="D14405">
        <v>11</v>
      </c>
      <c r="E14405">
        <f t="shared" si="224"/>
        <v>3.2994086177588099E-28</v>
      </c>
    </row>
    <row r="14406" spans="1:5" x14ac:dyDescent="0.25">
      <c r="A14406">
        <v>20</v>
      </c>
      <c r="B14406">
        <v>17</v>
      </c>
      <c r="C14406">
        <v>1</v>
      </c>
      <c r="D14406">
        <v>10</v>
      </c>
      <c r="E14406">
        <f t="shared" si="224"/>
        <v>1.5727181077983658E-26</v>
      </c>
    </row>
    <row r="14407" spans="1:5" x14ac:dyDescent="0.25">
      <c r="A14407">
        <v>20</v>
      </c>
      <c r="B14407">
        <v>17</v>
      </c>
      <c r="C14407">
        <v>2</v>
      </c>
      <c r="D14407">
        <v>9</v>
      </c>
      <c r="E14407">
        <f t="shared" si="224"/>
        <v>3.1454362155967326E-25</v>
      </c>
    </row>
    <row r="14408" spans="1:5" x14ac:dyDescent="0.25">
      <c r="A14408">
        <v>20</v>
      </c>
      <c r="B14408">
        <v>17</v>
      </c>
      <c r="C14408">
        <v>3</v>
      </c>
      <c r="D14408">
        <v>8</v>
      </c>
      <c r="E14408">
        <f t="shared" si="224"/>
        <v>3.4969849691046025E-24</v>
      </c>
    </row>
    <row r="14409" spans="1:5" x14ac:dyDescent="0.25">
      <c r="A14409">
        <v>20</v>
      </c>
      <c r="B14409">
        <v>17</v>
      </c>
      <c r="C14409">
        <v>4</v>
      </c>
      <c r="D14409">
        <v>7</v>
      </c>
      <c r="E14409">
        <f t="shared" si="224"/>
        <v>2.4090340898276158E-23</v>
      </c>
    </row>
    <row r="14410" spans="1:5" x14ac:dyDescent="0.25">
      <c r="A14410">
        <v>20</v>
      </c>
      <c r="B14410">
        <v>17</v>
      </c>
      <c r="C14410">
        <v>5</v>
      </c>
      <c r="D14410">
        <v>6</v>
      </c>
      <c r="E14410">
        <f t="shared" si="224"/>
        <v>1.08279742774357E-22</v>
      </c>
    </row>
    <row r="14411" spans="1:5" x14ac:dyDescent="0.25">
      <c r="A14411">
        <v>20</v>
      </c>
      <c r="B14411">
        <v>17</v>
      </c>
      <c r="C14411">
        <v>6</v>
      </c>
      <c r="D14411">
        <v>5</v>
      </c>
      <c r="E14411">
        <f t="shared" si="224"/>
        <v>3.2483922832307098E-22</v>
      </c>
    </row>
    <row r="14412" spans="1:5" x14ac:dyDescent="0.25">
      <c r="A14412">
        <v>20</v>
      </c>
      <c r="B14412">
        <v>17</v>
      </c>
      <c r="C14412">
        <v>7</v>
      </c>
      <c r="D14412">
        <v>4</v>
      </c>
      <c r="E14412">
        <f t="shared" si="224"/>
        <v>6.5188824731500657E-22</v>
      </c>
    </row>
    <row r="14413" spans="1:5" x14ac:dyDescent="0.25">
      <c r="A14413">
        <v>20</v>
      </c>
      <c r="B14413">
        <v>17</v>
      </c>
      <c r="C14413">
        <v>8</v>
      </c>
      <c r="D14413">
        <v>3</v>
      </c>
      <c r="E14413">
        <f t="shared" si="224"/>
        <v>8.593072350970543E-22</v>
      </c>
    </row>
    <row r="14414" spans="1:5" x14ac:dyDescent="0.25">
      <c r="A14414">
        <v>20</v>
      </c>
      <c r="B14414">
        <v>17</v>
      </c>
      <c r="C14414">
        <v>9</v>
      </c>
      <c r="D14414">
        <v>2</v>
      </c>
      <c r="E14414">
        <f t="shared" ref="E14414:E14477" si="225">COMBIN(A$4,A14414)*COMBIN(B$4,B14414)*COMBIN(C$4,C14414)*COMBIN(D$4,D14414)/COMBIN($G$4,$F$4)</f>
        <v>7.0986249855843591E-22</v>
      </c>
    </row>
    <row r="14415" spans="1:5" x14ac:dyDescent="0.25">
      <c r="A14415">
        <v>20</v>
      </c>
      <c r="B14415">
        <v>17</v>
      </c>
      <c r="C14415">
        <v>10</v>
      </c>
      <c r="D14415">
        <v>1</v>
      </c>
      <c r="E14415">
        <f t="shared" si="225"/>
        <v>3.3126916599393682E-22</v>
      </c>
    </row>
    <row r="14416" spans="1:5" x14ac:dyDescent="0.25">
      <c r="A14416">
        <v>20</v>
      </c>
      <c r="B14416">
        <v>17</v>
      </c>
      <c r="C14416">
        <v>11</v>
      </c>
      <c r="D14416">
        <v>0</v>
      </c>
      <c r="E14416">
        <f t="shared" si="225"/>
        <v>6.6253833198787364E-23</v>
      </c>
    </row>
    <row r="14417" spans="1:5" x14ac:dyDescent="0.25">
      <c r="A14417">
        <v>20</v>
      </c>
      <c r="B14417">
        <v>18</v>
      </c>
      <c r="C14417">
        <v>0</v>
      </c>
      <c r="D14417">
        <v>10</v>
      </c>
      <c r="E14417">
        <f t="shared" si="225"/>
        <v>3.656233549753466E-27</v>
      </c>
    </row>
    <row r="14418" spans="1:5" x14ac:dyDescent="0.25">
      <c r="A14418">
        <v>20</v>
      </c>
      <c r="B14418">
        <v>18</v>
      </c>
      <c r="C14418">
        <v>1</v>
      </c>
      <c r="D14418">
        <v>9</v>
      </c>
      <c r="E14418">
        <f t="shared" si="225"/>
        <v>1.4853448795873458E-25</v>
      </c>
    </row>
    <row r="14419" spans="1:5" x14ac:dyDescent="0.25">
      <c r="A14419">
        <v>20</v>
      </c>
      <c r="B14419">
        <v>18</v>
      </c>
      <c r="C14419">
        <v>2</v>
      </c>
      <c r="D14419">
        <v>8</v>
      </c>
      <c r="E14419">
        <f t="shared" si="225"/>
        <v>2.5163489724773857E-24</v>
      </c>
    </row>
    <row r="14420" spans="1:5" x14ac:dyDescent="0.25">
      <c r="A14420">
        <v>20</v>
      </c>
      <c r="B14420">
        <v>18</v>
      </c>
      <c r="C14420">
        <v>3</v>
      </c>
      <c r="D14420">
        <v>7</v>
      </c>
      <c r="E14420">
        <f t="shared" si="225"/>
        <v>2.3485923743122277E-23</v>
      </c>
    </row>
    <row r="14421" spans="1:5" x14ac:dyDescent="0.25">
      <c r="A14421">
        <v>20</v>
      </c>
      <c r="B14421">
        <v>18</v>
      </c>
      <c r="C14421">
        <v>4</v>
      </c>
      <c r="D14421">
        <v>6</v>
      </c>
      <c r="E14421">
        <f t="shared" si="225"/>
        <v>1.3411698558572448E-22</v>
      </c>
    </row>
    <row r="14422" spans="1:5" x14ac:dyDescent="0.25">
      <c r="A14422">
        <v>20</v>
      </c>
      <c r="B14422">
        <v>18</v>
      </c>
      <c r="C14422">
        <v>5</v>
      </c>
      <c r="D14422">
        <v>5</v>
      </c>
      <c r="E14422">
        <f t="shared" si="225"/>
        <v>4.9086816724375182E-22</v>
      </c>
    </row>
    <row r="14423" spans="1:5" x14ac:dyDescent="0.25">
      <c r="A14423">
        <v>20</v>
      </c>
      <c r="B14423">
        <v>18</v>
      </c>
      <c r="C14423">
        <v>6</v>
      </c>
      <c r="D14423">
        <v>4</v>
      </c>
      <c r="E14423">
        <f t="shared" si="225"/>
        <v>1.1687337315327423E-21</v>
      </c>
    </row>
    <row r="14424" spans="1:5" x14ac:dyDescent="0.25">
      <c r="A14424">
        <v>20</v>
      </c>
      <c r="B14424">
        <v>18</v>
      </c>
      <c r="C14424">
        <v>7</v>
      </c>
      <c r="D14424">
        <v>3</v>
      </c>
      <c r="E14424">
        <f t="shared" si="225"/>
        <v>1.7910464976735531E-21</v>
      </c>
    </row>
    <row r="14425" spans="1:5" x14ac:dyDescent="0.25">
      <c r="A14425">
        <v>20</v>
      </c>
      <c r="B14425">
        <v>18</v>
      </c>
      <c r="C14425">
        <v>8</v>
      </c>
      <c r="D14425">
        <v>2</v>
      </c>
      <c r="E14425">
        <f t="shared" si="225"/>
        <v>1.6937070141043386E-21</v>
      </c>
    </row>
    <row r="14426" spans="1:5" x14ac:dyDescent="0.25">
      <c r="A14426">
        <v>20</v>
      </c>
      <c r="B14426">
        <v>18</v>
      </c>
      <c r="C14426">
        <v>9</v>
      </c>
      <c r="D14426">
        <v>1</v>
      </c>
      <c r="E14426">
        <f t="shared" si="225"/>
        <v>8.9390092411062312E-22</v>
      </c>
    </row>
    <row r="14427" spans="1:5" x14ac:dyDescent="0.25">
      <c r="A14427">
        <v>20</v>
      </c>
      <c r="B14427">
        <v>18</v>
      </c>
      <c r="C14427">
        <v>10</v>
      </c>
      <c r="D14427">
        <v>0</v>
      </c>
      <c r="E14427">
        <f t="shared" si="225"/>
        <v>2.0023380700077961E-22</v>
      </c>
    </row>
    <row r="14428" spans="1:5" x14ac:dyDescent="0.25">
      <c r="A14428">
        <v>20</v>
      </c>
      <c r="B14428">
        <v>19</v>
      </c>
      <c r="C14428">
        <v>0</v>
      </c>
      <c r="D14428">
        <v>9</v>
      </c>
      <c r="E14428">
        <f t="shared" si="225"/>
        <v>3.2593397762604903E-26</v>
      </c>
    </row>
    <row r="14429" spans="1:5" x14ac:dyDescent="0.25">
      <c r="A14429">
        <v>20</v>
      </c>
      <c r="B14429">
        <v>19</v>
      </c>
      <c r="C14429">
        <v>1</v>
      </c>
      <c r="D14429">
        <v>8</v>
      </c>
      <c r="E14429">
        <f t="shared" si="225"/>
        <v>1.1215963347719921E-24</v>
      </c>
    </row>
    <row r="14430" spans="1:5" x14ac:dyDescent="0.25">
      <c r="A14430">
        <v>20</v>
      </c>
      <c r="B14430">
        <v>19</v>
      </c>
      <c r="C14430">
        <v>2</v>
      </c>
      <c r="D14430">
        <v>7</v>
      </c>
      <c r="E14430">
        <f t="shared" si="225"/>
        <v>1.5951592316757225E-23</v>
      </c>
    </row>
    <row r="14431" spans="1:5" x14ac:dyDescent="0.25">
      <c r="A14431">
        <v>20</v>
      </c>
      <c r="B14431">
        <v>19</v>
      </c>
      <c r="C14431">
        <v>3</v>
      </c>
      <c r="D14431">
        <v>6</v>
      </c>
      <c r="E14431">
        <f t="shared" si="225"/>
        <v>1.2341495108227955E-22</v>
      </c>
    </row>
    <row r="14432" spans="1:5" x14ac:dyDescent="0.25">
      <c r="A14432">
        <v>20</v>
      </c>
      <c r="B14432">
        <v>19</v>
      </c>
      <c r="C14432">
        <v>4</v>
      </c>
      <c r="D14432">
        <v>5</v>
      </c>
      <c r="E14432">
        <f t="shared" si="225"/>
        <v>5.7387952253259991E-22</v>
      </c>
    </row>
    <row r="14433" spans="1:5" x14ac:dyDescent="0.25">
      <c r="A14433">
        <v>20</v>
      </c>
      <c r="B14433">
        <v>19</v>
      </c>
      <c r="C14433">
        <v>5</v>
      </c>
      <c r="D14433">
        <v>4</v>
      </c>
      <c r="E14433">
        <f t="shared" si="225"/>
        <v>1.666983374975648E-21</v>
      </c>
    </row>
    <row r="14434" spans="1:5" x14ac:dyDescent="0.25">
      <c r="A14434">
        <v>20</v>
      </c>
      <c r="B14434">
        <v>19</v>
      </c>
      <c r="C14434">
        <v>6</v>
      </c>
      <c r="D14434">
        <v>3</v>
      </c>
      <c r="E14434">
        <f t="shared" si="225"/>
        <v>3.0308788635920868E-21</v>
      </c>
    </row>
    <row r="14435" spans="1:5" x14ac:dyDescent="0.25">
      <c r="A14435">
        <v>20</v>
      </c>
      <c r="B14435">
        <v>19</v>
      </c>
      <c r="C14435">
        <v>7</v>
      </c>
      <c r="D14435">
        <v>2</v>
      </c>
      <c r="E14435">
        <f t="shared" si="225"/>
        <v>3.3320842164956484E-21</v>
      </c>
    </row>
    <row r="14436" spans="1:5" x14ac:dyDescent="0.25">
      <c r="A14436">
        <v>20</v>
      </c>
      <c r="B14436">
        <v>19</v>
      </c>
      <c r="C14436">
        <v>8</v>
      </c>
      <c r="D14436">
        <v>1</v>
      </c>
      <c r="E14436">
        <f t="shared" si="225"/>
        <v>2.0131342141327877E-21</v>
      </c>
    </row>
    <row r="14437" spans="1:5" x14ac:dyDescent="0.25">
      <c r="A14437">
        <v>20</v>
      </c>
      <c r="B14437">
        <v>19</v>
      </c>
      <c r="C14437">
        <v>9</v>
      </c>
      <c r="D14437">
        <v>0</v>
      </c>
      <c r="E14437">
        <f t="shared" si="225"/>
        <v>5.0999400091363943E-22</v>
      </c>
    </row>
    <row r="14438" spans="1:5" x14ac:dyDescent="0.25">
      <c r="A14438">
        <v>20</v>
      </c>
      <c r="B14438">
        <v>20</v>
      </c>
      <c r="C14438">
        <v>0</v>
      </c>
      <c r="D14438">
        <v>8</v>
      </c>
      <c r="E14438">
        <f t="shared" si="225"/>
        <v>2.329469310680292E-25</v>
      </c>
    </row>
    <row r="14439" spans="1:5" x14ac:dyDescent="0.25">
      <c r="A14439">
        <v>20</v>
      </c>
      <c r="B14439">
        <v>20</v>
      </c>
      <c r="C14439">
        <v>1</v>
      </c>
      <c r="D14439">
        <v>7</v>
      </c>
      <c r="E14439">
        <f t="shared" si="225"/>
        <v>6.7295780086319571E-24</v>
      </c>
    </row>
    <row r="14440" spans="1:5" x14ac:dyDescent="0.25">
      <c r="A14440">
        <v>20</v>
      </c>
      <c r="B14440">
        <v>20</v>
      </c>
      <c r="C14440">
        <v>2</v>
      </c>
      <c r="D14440">
        <v>6</v>
      </c>
      <c r="E14440">
        <f t="shared" si="225"/>
        <v>7.9338182838608298E-23</v>
      </c>
    </row>
    <row r="14441" spans="1:5" x14ac:dyDescent="0.25">
      <c r="A14441">
        <v>20</v>
      </c>
      <c r="B14441">
        <v>20</v>
      </c>
      <c r="C14441">
        <v>3</v>
      </c>
      <c r="D14441">
        <v>5</v>
      </c>
      <c r="E14441">
        <f t="shared" si="225"/>
        <v>4.9983055188323218E-22</v>
      </c>
    </row>
    <row r="14442" spans="1:5" x14ac:dyDescent="0.25">
      <c r="A14442">
        <v>20</v>
      </c>
      <c r="B14442">
        <v>20</v>
      </c>
      <c r="C14442">
        <v>4</v>
      </c>
      <c r="D14442">
        <v>4</v>
      </c>
      <c r="E14442">
        <f t="shared" si="225"/>
        <v>1.8446127509976433E-21</v>
      </c>
    </row>
    <row r="14443" spans="1:5" x14ac:dyDescent="0.25">
      <c r="A14443">
        <v>20</v>
      </c>
      <c r="B14443">
        <v>20</v>
      </c>
      <c r="C14443">
        <v>5</v>
      </c>
      <c r="D14443">
        <v>3</v>
      </c>
      <c r="E14443">
        <f t="shared" si="225"/>
        <v>4.0916864658493183E-21</v>
      </c>
    </row>
    <row r="14444" spans="1:5" x14ac:dyDescent="0.25">
      <c r="A14444">
        <v>20</v>
      </c>
      <c r="B14444">
        <v>20</v>
      </c>
      <c r="C14444">
        <v>6</v>
      </c>
      <c r="D14444">
        <v>2</v>
      </c>
      <c r="E14444">
        <f t="shared" si="225"/>
        <v>5.3369823467599799E-21</v>
      </c>
    </row>
    <row r="14445" spans="1:5" x14ac:dyDescent="0.25">
      <c r="A14445">
        <v>20</v>
      </c>
      <c r="B14445">
        <v>20</v>
      </c>
      <c r="C14445">
        <v>7</v>
      </c>
      <c r="D14445">
        <v>1</v>
      </c>
      <c r="E14445">
        <f t="shared" si="225"/>
        <v>3.7485947435576043E-21</v>
      </c>
    </row>
    <row r="14446" spans="1:5" x14ac:dyDescent="0.25">
      <c r="A14446">
        <v>20</v>
      </c>
      <c r="B14446">
        <v>20</v>
      </c>
      <c r="C14446">
        <v>8</v>
      </c>
      <c r="D14446">
        <v>0</v>
      </c>
      <c r="E14446">
        <f t="shared" si="225"/>
        <v>1.0870924756317054E-21</v>
      </c>
    </row>
    <row r="14447" spans="1:5" x14ac:dyDescent="0.25">
      <c r="A14447">
        <v>20</v>
      </c>
      <c r="B14447">
        <v>21</v>
      </c>
      <c r="C14447">
        <v>0</v>
      </c>
      <c r="D14447">
        <v>7</v>
      </c>
      <c r="E14447">
        <f t="shared" si="225"/>
        <v>1.3261952266095213E-24</v>
      </c>
    </row>
    <row r="14448" spans="1:5" x14ac:dyDescent="0.25">
      <c r="A14448">
        <v>20</v>
      </c>
      <c r="B14448">
        <v>21</v>
      </c>
      <c r="C14448">
        <v>1</v>
      </c>
      <c r="D14448">
        <v>6</v>
      </c>
      <c r="E14448">
        <f t="shared" si="225"/>
        <v>3.1758885689859576E-23</v>
      </c>
    </row>
    <row r="14449" spans="1:5" x14ac:dyDescent="0.25">
      <c r="A14449">
        <v>20</v>
      </c>
      <c r="B14449">
        <v>21</v>
      </c>
      <c r="C14449">
        <v>2</v>
      </c>
      <c r="D14449">
        <v>5</v>
      </c>
      <c r="E14449">
        <f t="shared" si="225"/>
        <v>3.0488530262265194E-22</v>
      </c>
    </row>
    <row r="14450" spans="1:5" x14ac:dyDescent="0.25">
      <c r="A14450">
        <v>20</v>
      </c>
      <c r="B14450">
        <v>21</v>
      </c>
      <c r="C14450">
        <v>3</v>
      </c>
      <c r="D14450">
        <v>4</v>
      </c>
      <c r="E14450">
        <f t="shared" si="225"/>
        <v>1.5244265131132601E-21</v>
      </c>
    </row>
    <row r="14451" spans="1:5" x14ac:dyDescent="0.25">
      <c r="A14451">
        <v>20</v>
      </c>
      <c r="B14451">
        <v>21</v>
      </c>
      <c r="C14451">
        <v>4</v>
      </c>
      <c r="D14451">
        <v>3</v>
      </c>
      <c r="E14451">
        <f t="shared" si="225"/>
        <v>4.2961110824100972E-21</v>
      </c>
    </row>
    <row r="14452" spans="1:5" x14ac:dyDescent="0.25">
      <c r="A14452">
        <v>20</v>
      </c>
      <c r="B14452">
        <v>21</v>
      </c>
      <c r="C14452">
        <v>5</v>
      </c>
      <c r="D14452">
        <v>2</v>
      </c>
      <c r="E14452">
        <f t="shared" si="225"/>
        <v>6.8364202441830239E-21</v>
      </c>
    </row>
    <row r="14453" spans="1:5" x14ac:dyDescent="0.25">
      <c r="A14453">
        <v>20</v>
      </c>
      <c r="B14453">
        <v>21</v>
      </c>
      <c r="C14453">
        <v>6</v>
      </c>
      <c r="D14453">
        <v>1</v>
      </c>
      <c r="E14453">
        <f t="shared" si="225"/>
        <v>5.6970168701525189E-21</v>
      </c>
    </row>
    <row r="14454" spans="1:5" x14ac:dyDescent="0.25">
      <c r="A14454">
        <v>20</v>
      </c>
      <c r="B14454">
        <v>21</v>
      </c>
      <c r="C14454">
        <v>7</v>
      </c>
      <c r="D14454">
        <v>0</v>
      </c>
      <c r="E14454">
        <f t="shared" si="225"/>
        <v>1.9207085447942777E-21</v>
      </c>
    </row>
    <row r="14455" spans="1:5" x14ac:dyDescent="0.25">
      <c r="A14455">
        <v>20</v>
      </c>
      <c r="B14455">
        <v>22</v>
      </c>
      <c r="C14455">
        <v>0</v>
      </c>
      <c r="D14455">
        <v>6</v>
      </c>
      <c r="E14455">
        <f t="shared" si="225"/>
        <v>5.9520149404771786E-24</v>
      </c>
    </row>
    <row r="14456" spans="1:5" x14ac:dyDescent="0.25">
      <c r="A14456">
        <v>20</v>
      </c>
      <c r="B14456">
        <v>22</v>
      </c>
      <c r="C14456">
        <v>1</v>
      </c>
      <c r="D14456">
        <v>5</v>
      </c>
      <c r="E14456">
        <f t="shared" si="225"/>
        <v>1.1606429133930501E-22</v>
      </c>
    </row>
    <row r="14457" spans="1:5" x14ac:dyDescent="0.25">
      <c r="A14457">
        <v>20</v>
      </c>
      <c r="B14457">
        <v>22</v>
      </c>
      <c r="C14457">
        <v>2</v>
      </c>
      <c r="D14457">
        <v>4</v>
      </c>
      <c r="E14457">
        <f t="shared" si="225"/>
        <v>8.8429936258518118E-22</v>
      </c>
    </row>
    <row r="14458" spans="1:5" x14ac:dyDescent="0.25">
      <c r="A14458">
        <v>20</v>
      </c>
      <c r="B14458">
        <v>22</v>
      </c>
      <c r="C14458">
        <v>3</v>
      </c>
      <c r="D14458">
        <v>3</v>
      </c>
      <c r="E14458">
        <f t="shared" si="225"/>
        <v>3.3764157480525094E-21</v>
      </c>
    </row>
    <row r="14459" spans="1:5" x14ac:dyDescent="0.25">
      <c r="A14459">
        <v>20</v>
      </c>
      <c r="B14459">
        <v>22</v>
      </c>
      <c r="C14459">
        <v>4</v>
      </c>
      <c r="D14459">
        <v>2</v>
      </c>
      <c r="E14459">
        <f t="shared" si="225"/>
        <v>6.8262318384539864E-21</v>
      </c>
    </row>
    <row r="14460" spans="1:5" x14ac:dyDescent="0.25">
      <c r="A14460">
        <v>20</v>
      </c>
      <c r="B14460">
        <v>22</v>
      </c>
      <c r="C14460">
        <v>5</v>
      </c>
      <c r="D14460">
        <v>1</v>
      </c>
      <c r="E14460">
        <f t="shared" si="225"/>
        <v>6.9400023690948865E-21</v>
      </c>
    </row>
    <row r="14461" spans="1:5" x14ac:dyDescent="0.25">
      <c r="A14461">
        <v>20</v>
      </c>
      <c r="B14461">
        <v>22</v>
      </c>
      <c r="C14461">
        <v>6</v>
      </c>
      <c r="D14461">
        <v>0</v>
      </c>
      <c r="E14461">
        <f t="shared" si="225"/>
        <v>2.7760009476379545E-21</v>
      </c>
    </row>
    <row r="14462" spans="1:5" x14ac:dyDescent="0.25">
      <c r="A14462">
        <v>20</v>
      </c>
      <c r="B14462">
        <v>23</v>
      </c>
      <c r="C14462">
        <v>0</v>
      </c>
      <c r="D14462">
        <v>5</v>
      </c>
      <c r="E14462">
        <f t="shared" si="225"/>
        <v>2.0728538988357469E-23</v>
      </c>
    </row>
    <row r="14463" spans="1:5" x14ac:dyDescent="0.25">
      <c r="A14463">
        <v>20</v>
      </c>
      <c r="B14463">
        <v>23</v>
      </c>
      <c r="C14463">
        <v>1</v>
      </c>
      <c r="D14463">
        <v>4</v>
      </c>
      <c r="E14463">
        <f t="shared" si="225"/>
        <v>3.2079881767696094E-22</v>
      </c>
    </row>
    <row r="14464" spans="1:5" x14ac:dyDescent="0.25">
      <c r="A14464">
        <v>20</v>
      </c>
      <c r="B14464">
        <v>23</v>
      </c>
      <c r="C14464">
        <v>2</v>
      </c>
      <c r="D14464">
        <v>3</v>
      </c>
      <c r="E14464">
        <f t="shared" si="225"/>
        <v>1.866465848302318E-21</v>
      </c>
    </row>
    <row r="14465" spans="1:5" x14ac:dyDescent="0.25">
      <c r="A14465">
        <v>20</v>
      </c>
      <c r="B14465">
        <v>23</v>
      </c>
      <c r="C14465">
        <v>3</v>
      </c>
      <c r="D14465">
        <v>2</v>
      </c>
      <c r="E14465">
        <f t="shared" si="225"/>
        <v>5.1124934105672186E-21</v>
      </c>
    </row>
    <row r="14466" spans="1:5" x14ac:dyDescent="0.25">
      <c r="A14466">
        <v>20</v>
      </c>
      <c r="B14466">
        <v>23</v>
      </c>
      <c r="C14466">
        <v>4</v>
      </c>
      <c r="D14466">
        <v>1</v>
      </c>
      <c r="E14466">
        <f t="shared" si="225"/>
        <v>6.6036373219826575E-21</v>
      </c>
    </row>
    <row r="14467" spans="1:5" x14ac:dyDescent="0.25">
      <c r="A14467">
        <v>20</v>
      </c>
      <c r="B14467">
        <v>23</v>
      </c>
      <c r="C14467">
        <v>5</v>
      </c>
      <c r="D14467">
        <v>0</v>
      </c>
      <c r="E14467">
        <f t="shared" si="225"/>
        <v>3.222575013127537E-21</v>
      </c>
    </row>
    <row r="14468" spans="1:5" x14ac:dyDescent="0.25">
      <c r="A14468">
        <v>20</v>
      </c>
      <c r="B14468">
        <v>24</v>
      </c>
      <c r="C14468">
        <v>0</v>
      </c>
      <c r="D14468">
        <v>4</v>
      </c>
      <c r="E14468">
        <f t="shared" si="225"/>
        <v>5.4700311219276709E-23</v>
      </c>
    </row>
    <row r="14469" spans="1:5" x14ac:dyDescent="0.25">
      <c r="A14469">
        <v>20</v>
      </c>
      <c r="B14469">
        <v>24</v>
      </c>
      <c r="C14469">
        <v>1</v>
      </c>
      <c r="D14469">
        <v>3</v>
      </c>
      <c r="E14469">
        <f t="shared" si="225"/>
        <v>6.4645822350054274E-22</v>
      </c>
    </row>
    <row r="14470" spans="1:5" x14ac:dyDescent="0.25">
      <c r="A14470">
        <v>20</v>
      </c>
      <c r="B14470">
        <v>24</v>
      </c>
      <c r="C14470">
        <v>2</v>
      </c>
      <c r="D14470">
        <v>2</v>
      </c>
      <c r="E14470">
        <f t="shared" si="225"/>
        <v>2.6982604111327001E-21</v>
      </c>
    </row>
    <row r="14471" spans="1:5" x14ac:dyDescent="0.25">
      <c r="A14471">
        <v>20</v>
      </c>
      <c r="B14471">
        <v>24</v>
      </c>
      <c r="C14471">
        <v>3</v>
      </c>
      <c r="D14471">
        <v>1</v>
      </c>
      <c r="E14471">
        <f t="shared" si="225"/>
        <v>4.7219557194822262E-21</v>
      </c>
    </row>
    <row r="14472" spans="1:5" x14ac:dyDescent="0.25">
      <c r="A14472">
        <v>20</v>
      </c>
      <c r="B14472">
        <v>24</v>
      </c>
      <c r="C14472">
        <v>4</v>
      </c>
      <c r="D14472">
        <v>0</v>
      </c>
      <c r="E14472">
        <f t="shared" si="225"/>
        <v>2.9276125460789798E-21</v>
      </c>
    </row>
    <row r="14473" spans="1:5" x14ac:dyDescent="0.25">
      <c r="A14473">
        <v>20</v>
      </c>
      <c r="B14473">
        <v>25</v>
      </c>
      <c r="C14473">
        <v>0</v>
      </c>
      <c r="D14473">
        <v>3</v>
      </c>
      <c r="E14473">
        <f t="shared" si="225"/>
        <v>1.0542241798624239E-22</v>
      </c>
    </row>
    <row r="14474" spans="1:5" x14ac:dyDescent="0.25">
      <c r="A14474">
        <v>20</v>
      </c>
      <c r="B14474">
        <v>25</v>
      </c>
      <c r="C14474">
        <v>1</v>
      </c>
      <c r="D14474">
        <v>2</v>
      </c>
      <c r="E14474">
        <f t="shared" si="225"/>
        <v>8.9379876118770724E-22</v>
      </c>
    </row>
    <row r="14475" spans="1:5" x14ac:dyDescent="0.25">
      <c r="A14475">
        <v>20</v>
      </c>
      <c r="B14475">
        <v>25</v>
      </c>
      <c r="C14475">
        <v>2</v>
      </c>
      <c r="D14475">
        <v>1</v>
      </c>
      <c r="E14475">
        <f t="shared" si="225"/>
        <v>2.3834633631672193E-21</v>
      </c>
    </row>
    <row r="14476" spans="1:5" x14ac:dyDescent="0.25">
      <c r="A14476">
        <v>20</v>
      </c>
      <c r="B14476">
        <v>25</v>
      </c>
      <c r="C14476">
        <v>3</v>
      </c>
      <c r="D14476">
        <v>0</v>
      </c>
      <c r="E14476">
        <f t="shared" si="225"/>
        <v>2.0021092250604643E-21</v>
      </c>
    </row>
    <row r="14477" spans="1:5" x14ac:dyDescent="0.25">
      <c r="A14477">
        <v>20</v>
      </c>
      <c r="B14477">
        <v>26</v>
      </c>
      <c r="C14477">
        <v>0</v>
      </c>
      <c r="D14477">
        <v>2</v>
      </c>
      <c r="E14477">
        <f t="shared" si="225"/>
        <v>1.3962300174766541E-22</v>
      </c>
    </row>
    <row r="14478" spans="1:5" x14ac:dyDescent="0.25">
      <c r="A14478">
        <v>20</v>
      </c>
      <c r="B14478">
        <v>26</v>
      </c>
      <c r="C14478">
        <v>1</v>
      </c>
      <c r="D14478">
        <v>1</v>
      </c>
      <c r="E14478">
        <f t="shared" ref="E14478:E14541" si="226">COMBIN(A$4,A14478)*COMBIN(B$4,B14478)*COMBIN(C$4,C14478)*COMBIN(D$4,D14478)/COMBIN($G$4,$F$4)</f>
        <v>7.5629125946652091E-22</v>
      </c>
    </row>
    <row r="14479" spans="1:5" x14ac:dyDescent="0.25">
      <c r="A14479">
        <v>20</v>
      </c>
      <c r="B14479">
        <v>26</v>
      </c>
      <c r="C14479">
        <v>2</v>
      </c>
      <c r="D14479">
        <v>0</v>
      </c>
      <c r="E14479">
        <f t="shared" si="226"/>
        <v>9.6805281211714679E-22</v>
      </c>
    </row>
    <row r="14480" spans="1:5" x14ac:dyDescent="0.25">
      <c r="A14480">
        <v>20</v>
      </c>
      <c r="B14480">
        <v>27</v>
      </c>
      <c r="C14480">
        <v>0</v>
      </c>
      <c r="D14480">
        <v>1</v>
      </c>
      <c r="E14480">
        <f t="shared" si="226"/>
        <v>1.1333595512233331E-22</v>
      </c>
    </row>
    <row r="14481" spans="1:5" x14ac:dyDescent="0.25">
      <c r="A14481">
        <v>20</v>
      </c>
      <c r="B14481">
        <v>27</v>
      </c>
      <c r="C14481">
        <v>1</v>
      </c>
      <c r="D14481">
        <v>0</v>
      </c>
      <c r="E14481">
        <f t="shared" si="226"/>
        <v>2.9467348331806664E-22</v>
      </c>
    </row>
    <row r="14482" spans="1:5" x14ac:dyDescent="0.25">
      <c r="A14482">
        <v>20</v>
      </c>
      <c r="B14482">
        <v>28</v>
      </c>
      <c r="C14482">
        <v>0</v>
      </c>
      <c r="D14482">
        <v>0</v>
      </c>
      <c r="E14482">
        <f t="shared" si="226"/>
        <v>4.2420028917216233E-23</v>
      </c>
    </row>
    <row r="14483" spans="1:5" x14ac:dyDescent="0.25">
      <c r="A14483">
        <v>21</v>
      </c>
      <c r="B14483">
        <v>0</v>
      </c>
      <c r="C14483">
        <v>2</v>
      </c>
      <c r="D14483">
        <v>25</v>
      </c>
      <c r="E14483">
        <f t="shared" si="226"/>
        <v>6.157181297358802E-60</v>
      </c>
    </row>
    <row r="14484" spans="1:5" x14ac:dyDescent="0.25">
      <c r="A14484">
        <v>21</v>
      </c>
      <c r="B14484">
        <v>0</v>
      </c>
      <c r="C14484">
        <v>3</v>
      </c>
      <c r="D14484">
        <v>24</v>
      </c>
      <c r="E14484">
        <f t="shared" si="226"/>
        <v>3.2325201811133711E-57</v>
      </c>
    </row>
    <row r="14485" spans="1:5" x14ac:dyDescent="0.25">
      <c r="A14485">
        <v>21</v>
      </c>
      <c r="B14485">
        <v>0</v>
      </c>
      <c r="C14485">
        <v>4</v>
      </c>
      <c r="D14485">
        <v>23</v>
      </c>
      <c r="E14485">
        <f t="shared" si="226"/>
        <v>6.0124875368708697E-55</v>
      </c>
    </row>
    <row r="14486" spans="1:5" x14ac:dyDescent="0.25">
      <c r="A14486">
        <v>21</v>
      </c>
      <c r="B14486">
        <v>0</v>
      </c>
      <c r="C14486">
        <v>5</v>
      </c>
      <c r="D14486">
        <v>22</v>
      </c>
      <c r="E14486">
        <f t="shared" si="226"/>
        <v>5.6236800094865549E-53</v>
      </c>
    </row>
    <row r="14487" spans="1:5" x14ac:dyDescent="0.25">
      <c r="A14487">
        <v>21</v>
      </c>
      <c r="B14487">
        <v>0</v>
      </c>
      <c r="C14487">
        <v>6</v>
      </c>
      <c r="D14487">
        <v>21</v>
      </c>
      <c r="E14487">
        <f t="shared" si="226"/>
        <v>3.0930240052176051E-51</v>
      </c>
    </row>
    <row r="14488" spans="1:5" x14ac:dyDescent="0.25">
      <c r="A14488">
        <v>21</v>
      </c>
      <c r="B14488">
        <v>0</v>
      </c>
      <c r="C14488">
        <v>7</v>
      </c>
      <c r="D14488">
        <v>20</v>
      </c>
      <c r="E14488">
        <f t="shared" si="226"/>
        <v>1.0949304978470318E-49</v>
      </c>
    </row>
    <row r="14489" spans="1:5" x14ac:dyDescent="0.25">
      <c r="A14489">
        <v>21</v>
      </c>
      <c r="B14489">
        <v>0</v>
      </c>
      <c r="C14489">
        <v>8</v>
      </c>
      <c r="D14489">
        <v>19</v>
      </c>
      <c r="E14489">
        <f t="shared" si="226"/>
        <v>2.6460820364636608E-48</v>
      </c>
    </row>
    <row r="14490" spans="1:5" x14ac:dyDescent="0.25">
      <c r="A14490">
        <v>21</v>
      </c>
      <c r="B14490">
        <v>0</v>
      </c>
      <c r="C14490">
        <v>9</v>
      </c>
      <c r="D14490">
        <v>18</v>
      </c>
      <c r="E14490">
        <f t="shared" si="226"/>
        <v>4.5487410245875325E-47</v>
      </c>
    </row>
    <row r="14491" spans="1:5" x14ac:dyDescent="0.25">
      <c r="A14491">
        <v>21</v>
      </c>
      <c r="B14491">
        <v>0</v>
      </c>
      <c r="C14491">
        <v>10</v>
      </c>
      <c r="D14491">
        <v>17</v>
      </c>
      <c r="E14491">
        <f t="shared" si="226"/>
        <v>5.7314136909802904E-46</v>
      </c>
    </row>
    <row r="14492" spans="1:5" x14ac:dyDescent="0.25">
      <c r="A14492">
        <v>21</v>
      </c>
      <c r="B14492">
        <v>0</v>
      </c>
      <c r="C14492">
        <v>11</v>
      </c>
      <c r="D14492">
        <v>16</v>
      </c>
      <c r="E14492">
        <f t="shared" si="226"/>
        <v>5.4130018192591638E-45</v>
      </c>
    </row>
    <row r="14493" spans="1:5" x14ac:dyDescent="0.25">
      <c r="A14493">
        <v>21</v>
      </c>
      <c r="B14493">
        <v>0</v>
      </c>
      <c r="C14493">
        <v>12</v>
      </c>
      <c r="D14493">
        <v>15</v>
      </c>
      <c r="E14493">
        <f t="shared" si="226"/>
        <v>3.8973613098665943E-44</v>
      </c>
    </row>
    <row r="14494" spans="1:5" x14ac:dyDescent="0.25">
      <c r="A14494">
        <v>21</v>
      </c>
      <c r="B14494">
        <v>0</v>
      </c>
      <c r="C14494">
        <v>13</v>
      </c>
      <c r="D14494">
        <v>14</v>
      </c>
      <c r="E14494">
        <f t="shared" si="226"/>
        <v>2.1667148540866744E-43</v>
      </c>
    </row>
    <row r="14495" spans="1:5" x14ac:dyDescent="0.25">
      <c r="A14495">
        <v>21</v>
      </c>
      <c r="B14495">
        <v>0</v>
      </c>
      <c r="C14495">
        <v>14</v>
      </c>
      <c r="D14495">
        <v>13</v>
      </c>
      <c r="E14495">
        <f t="shared" si="226"/>
        <v>9.3890977010422608E-43</v>
      </c>
    </row>
    <row r="14496" spans="1:5" x14ac:dyDescent="0.25">
      <c r="A14496">
        <v>21</v>
      </c>
      <c r="B14496">
        <v>0</v>
      </c>
      <c r="C14496">
        <v>15</v>
      </c>
      <c r="D14496">
        <v>12</v>
      </c>
      <c r="E14496">
        <f t="shared" si="226"/>
        <v>3.1922932183543668E-42</v>
      </c>
    </row>
    <row r="14497" spans="1:5" x14ac:dyDescent="0.25">
      <c r="A14497">
        <v>21</v>
      </c>
      <c r="B14497">
        <v>0</v>
      </c>
      <c r="C14497">
        <v>16</v>
      </c>
      <c r="D14497">
        <v>11</v>
      </c>
      <c r="E14497">
        <f t="shared" si="226"/>
        <v>8.5507854063063402E-42</v>
      </c>
    </row>
    <row r="14498" spans="1:5" x14ac:dyDescent="0.25">
      <c r="A14498">
        <v>21</v>
      </c>
      <c r="B14498">
        <v>0</v>
      </c>
      <c r="C14498">
        <v>17</v>
      </c>
      <c r="D14498">
        <v>10</v>
      </c>
      <c r="E14498">
        <f t="shared" si="226"/>
        <v>1.8074013074506349E-41</v>
      </c>
    </row>
    <row r="14499" spans="1:5" x14ac:dyDescent="0.25">
      <c r="A14499">
        <v>21</v>
      </c>
      <c r="B14499">
        <v>0</v>
      </c>
      <c r="C14499">
        <v>18</v>
      </c>
      <c r="D14499">
        <v>9</v>
      </c>
      <c r="E14499">
        <f t="shared" si="226"/>
        <v>3.0123355124177223E-41</v>
      </c>
    </row>
    <row r="14500" spans="1:5" x14ac:dyDescent="0.25">
      <c r="A14500">
        <v>21</v>
      </c>
      <c r="B14500">
        <v>0</v>
      </c>
      <c r="C14500">
        <v>19</v>
      </c>
      <c r="D14500">
        <v>8</v>
      </c>
      <c r="E14500">
        <f t="shared" si="226"/>
        <v>3.9449471261693409E-41</v>
      </c>
    </row>
    <row r="14501" spans="1:5" x14ac:dyDescent="0.25">
      <c r="A14501">
        <v>21</v>
      </c>
      <c r="B14501">
        <v>0</v>
      </c>
      <c r="C14501">
        <v>20</v>
      </c>
      <c r="D14501">
        <v>7</v>
      </c>
      <c r="E14501">
        <f t="shared" si="226"/>
        <v>4.0326126178619969E-41</v>
      </c>
    </row>
    <row r="14502" spans="1:5" x14ac:dyDescent="0.25">
      <c r="A14502">
        <v>21</v>
      </c>
      <c r="B14502">
        <v>0</v>
      </c>
      <c r="C14502">
        <v>21</v>
      </c>
      <c r="D14502">
        <v>6</v>
      </c>
      <c r="E14502">
        <f t="shared" si="226"/>
        <v>3.1836415404173608E-41</v>
      </c>
    </row>
    <row r="14503" spans="1:5" x14ac:dyDescent="0.25">
      <c r="A14503">
        <v>21</v>
      </c>
      <c r="B14503">
        <v>0</v>
      </c>
      <c r="C14503">
        <v>22</v>
      </c>
      <c r="D14503">
        <v>5</v>
      </c>
      <c r="E14503">
        <f t="shared" si="226"/>
        <v>1.9101849242504178E-41</v>
      </c>
    </row>
    <row r="14504" spans="1:5" x14ac:dyDescent="0.25">
      <c r="A14504">
        <v>21</v>
      </c>
      <c r="B14504">
        <v>0</v>
      </c>
      <c r="C14504">
        <v>23</v>
      </c>
      <c r="D14504">
        <v>4</v>
      </c>
      <c r="E14504">
        <f t="shared" si="226"/>
        <v>8.5028935551519651E-42</v>
      </c>
    </row>
    <row r="14505" spans="1:5" x14ac:dyDescent="0.25">
      <c r="A14505">
        <v>21</v>
      </c>
      <c r="B14505">
        <v>0</v>
      </c>
      <c r="C14505">
        <v>24</v>
      </c>
      <c r="D14505">
        <v>3</v>
      </c>
      <c r="E14505">
        <f t="shared" si="226"/>
        <v>2.7054661311847153E-42</v>
      </c>
    </row>
    <row r="14506" spans="1:5" x14ac:dyDescent="0.25">
      <c r="A14506">
        <v>21</v>
      </c>
      <c r="B14506">
        <v>0</v>
      </c>
      <c r="C14506">
        <v>25</v>
      </c>
      <c r="D14506">
        <v>2</v>
      </c>
      <c r="E14506">
        <f t="shared" si="226"/>
        <v>5.787344941490785E-43</v>
      </c>
    </row>
    <row r="14507" spans="1:5" x14ac:dyDescent="0.25">
      <c r="A14507">
        <v>21</v>
      </c>
      <c r="B14507">
        <v>0</v>
      </c>
      <c r="C14507">
        <v>26</v>
      </c>
      <c r="D14507">
        <v>1</v>
      </c>
      <c r="E14507">
        <f t="shared" si="226"/>
        <v>7.4196730019112583E-44</v>
      </c>
    </row>
    <row r="14508" spans="1:5" x14ac:dyDescent="0.25">
      <c r="A14508">
        <v>21</v>
      </c>
      <c r="B14508">
        <v>0</v>
      </c>
      <c r="C14508">
        <v>27</v>
      </c>
      <c r="D14508">
        <v>0</v>
      </c>
      <c r="E14508">
        <f t="shared" si="226"/>
        <v>4.2869221788820601E-45</v>
      </c>
    </row>
    <row r="14509" spans="1:5" x14ac:dyDescent="0.25">
      <c r="A14509">
        <v>21</v>
      </c>
      <c r="B14509">
        <v>1</v>
      </c>
      <c r="C14509">
        <v>1</v>
      </c>
      <c r="D14509">
        <v>25</v>
      </c>
      <c r="E14509">
        <f t="shared" si="226"/>
        <v>5.5607043591771677E-59</v>
      </c>
    </row>
    <row r="14510" spans="1:5" x14ac:dyDescent="0.25">
      <c r="A14510">
        <v>21</v>
      </c>
      <c r="B14510">
        <v>1</v>
      </c>
      <c r="C14510">
        <v>2</v>
      </c>
      <c r="D14510">
        <v>24</v>
      </c>
      <c r="E14510">
        <f t="shared" si="226"/>
        <v>4.4485634873417345E-56</v>
      </c>
    </row>
    <row r="14511" spans="1:5" x14ac:dyDescent="0.25">
      <c r="A14511">
        <v>21</v>
      </c>
      <c r="B14511">
        <v>1</v>
      </c>
      <c r="C14511">
        <v>3</v>
      </c>
      <c r="D14511">
        <v>23</v>
      </c>
      <c r="E14511">
        <f t="shared" si="226"/>
        <v>1.121037998810117E-53</v>
      </c>
    </row>
    <row r="14512" spans="1:5" x14ac:dyDescent="0.25">
      <c r="A14512">
        <v>21</v>
      </c>
      <c r="B14512">
        <v>1</v>
      </c>
      <c r="C14512">
        <v>4</v>
      </c>
      <c r="D14512">
        <v>22</v>
      </c>
      <c r="E14512">
        <f t="shared" si="226"/>
        <v>1.3321668219193558E-51</v>
      </c>
    </row>
    <row r="14513" spans="1:5" x14ac:dyDescent="0.25">
      <c r="A14513">
        <v>21</v>
      </c>
      <c r="B14513">
        <v>1</v>
      </c>
      <c r="C14513">
        <v>5</v>
      </c>
      <c r="D14513">
        <v>21</v>
      </c>
      <c r="E14513">
        <f t="shared" si="226"/>
        <v>8.9388393750788813E-50</v>
      </c>
    </row>
    <row r="14514" spans="1:5" x14ac:dyDescent="0.25">
      <c r="A14514">
        <v>21</v>
      </c>
      <c r="B14514">
        <v>1</v>
      </c>
      <c r="C14514">
        <v>6</v>
      </c>
      <c r="D14514">
        <v>20</v>
      </c>
      <c r="E14514">
        <f t="shared" si="226"/>
        <v>3.7543125375331277E-48</v>
      </c>
    </row>
    <row r="14515" spans="1:5" x14ac:dyDescent="0.25">
      <c r="A14515">
        <v>21</v>
      </c>
      <c r="B14515">
        <v>1</v>
      </c>
      <c r="C14515">
        <v>7</v>
      </c>
      <c r="D14515">
        <v>19</v>
      </c>
      <c r="E14515">
        <f t="shared" si="226"/>
        <v>1.0547830462593074E-46</v>
      </c>
    </row>
    <row r="14516" spans="1:5" x14ac:dyDescent="0.25">
      <c r="A14516">
        <v>21</v>
      </c>
      <c r="B14516">
        <v>1</v>
      </c>
      <c r="C14516">
        <v>8</v>
      </c>
      <c r="D14516">
        <v>18</v>
      </c>
      <c r="E14516">
        <f t="shared" si="226"/>
        <v>2.075662351745995E-45</v>
      </c>
    </row>
    <row r="14517" spans="1:5" x14ac:dyDescent="0.25">
      <c r="A14517">
        <v>21</v>
      </c>
      <c r="B14517">
        <v>1</v>
      </c>
      <c r="C14517">
        <v>9</v>
      </c>
      <c r="D14517">
        <v>17</v>
      </c>
      <c r="E14517">
        <f t="shared" si="226"/>
        <v>2.9578188512380417E-44</v>
      </c>
    </row>
    <row r="14518" spans="1:5" x14ac:dyDescent="0.25">
      <c r="A14518">
        <v>21</v>
      </c>
      <c r="B14518">
        <v>1</v>
      </c>
      <c r="C14518">
        <v>10</v>
      </c>
      <c r="D14518">
        <v>16</v>
      </c>
      <c r="E14518">
        <f t="shared" si="226"/>
        <v>3.128715051531796E-43</v>
      </c>
    </row>
    <row r="14519" spans="1:5" x14ac:dyDescent="0.25">
      <c r="A14519">
        <v>21</v>
      </c>
      <c r="B14519">
        <v>1</v>
      </c>
      <c r="C14519">
        <v>11</v>
      </c>
      <c r="D14519">
        <v>15</v>
      </c>
      <c r="E14519">
        <f t="shared" si="226"/>
        <v>2.5029720412254368E-42</v>
      </c>
    </row>
    <row r="14520" spans="1:5" x14ac:dyDescent="0.25">
      <c r="A14520">
        <v>21</v>
      </c>
      <c r="B14520">
        <v>1</v>
      </c>
      <c r="C14520">
        <v>12</v>
      </c>
      <c r="D14520">
        <v>14</v>
      </c>
      <c r="E14520">
        <f t="shared" si="226"/>
        <v>1.5359146616610626E-41</v>
      </c>
    </row>
    <row r="14521" spans="1:5" x14ac:dyDescent="0.25">
      <c r="A14521">
        <v>21</v>
      </c>
      <c r="B14521">
        <v>1</v>
      </c>
      <c r="C14521">
        <v>13</v>
      </c>
      <c r="D14521">
        <v>13</v>
      </c>
      <c r="E14521">
        <f t="shared" si="226"/>
        <v>7.3054402496955732E-41</v>
      </c>
    </row>
    <row r="14522" spans="1:5" x14ac:dyDescent="0.25">
      <c r="A14522">
        <v>21</v>
      </c>
      <c r="B14522">
        <v>1</v>
      </c>
      <c r="C14522">
        <v>14</v>
      </c>
      <c r="D14522">
        <v>12</v>
      </c>
      <c r="E14522">
        <f t="shared" si="226"/>
        <v>2.7134492356012127E-40</v>
      </c>
    </row>
    <row r="14523" spans="1:5" x14ac:dyDescent="0.25">
      <c r="A14523">
        <v>21</v>
      </c>
      <c r="B14523">
        <v>1</v>
      </c>
      <c r="C14523">
        <v>15</v>
      </c>
      <c r="D14523">
        <v>11</v>
      </c>
      <c r="E14523">
        <f t="shared" si="226"/>
        <v>7.907766343752102E-40</v>
      </c>
    </row>
    <row r="14524" spans="1:5" x14ac:dyDescent="0.25">
      <c r="A14524">
        <v>21</v>
      </c>
      <c r="B14524">
        <v>1</v>
      </c>
      <c r="C14524">
        <v>16</v>
      </c>
      <c r="D14524">
        <v>10</v>
      </c>
      <c r="E14524">
        <f t="shared" si="226"/>
        <v>1.8121964537765234E-39</v>
      </c>
    </row>
    <row r="14525" spans="1:5" x14ac:dyDescent="0.25">
      <c r="A14525">
        <v>21</v>
      </c>
      <c r="B14525">
        <v>1</v>
      </c>
      <c r="C14525">
        <v>17</v>
      </c>
      <c r="D14525">
        <v>9</v>
      </c>
      <c r="E14525">
        <f t="shared" si="226"/>
        <v>3.2646186115827098E-39</v>
      </c>
    </row>
    <row r="14526" spans="1:5" x14ac:dyDescent="0.25">
      <c r="A14526">
        <v>21</v>
      </c>
      <c r="B14526">
        <v>1</v>
      </c>
      <c r="C14526">
        <v>18</v>
      </c>
      <c r="D14526">
        <v>8</v>
      </c>
      <c r="E14526">
        <f t="shared" si="226"/>
        <v>4.6088733339991149E-39</v>
      </c>
    </row>
    <row r="14527" spans="1:5" x14ac:dyDescent="0.25">
      <c r="A14527">
        <v>21</v>
      </c>
      <c r="B14527">
        <v>1</v>
      </c>
      <c r="C14527">
        <v>19</v>
      </c>
      <c r="D14527">
        <v>7</v>
      </c>
      <c r="E14527">
        <f t="shared" si="226"/>
        <v>5.0670654198352874E-39</v>
      </c>
    </row>
    <row r="14528" spans="1:5" x14ac:dyDescent="0.25">
      <c r="A14528">
        <v>21</v>
      </c>
      <c r="B14528">
        <v>1</v>
      </c>
      <c r="C14528">
        <v>20</v>
      </c>
      <c r="D14528">
        <v>6</v>
      </c>
      <c r="E14528">
        <f t="shared" si="226"/>
        <v>4.2936712241762197E-39</v>
      </c>
    </row>
    <row r="14529" spans="1:5" x14ac:dyDescent="0.25">
      <c r="A14529">
        <v>21</v>
      </c>
      <c r="B14529">
        <v>1</v>
      </c>
      <c r="C14529">
        <v>21</v>
      </c>
      <c r="D14529">
        <v>5</v>
      </c>
      <c r="E14529">
        <f t="shared" si="226"/>
        <v>2.7602172155418519E-39</v>
      </c>
    </row>
    <row r="14530" spans="1:5" x14ac:dyDescent="0.25">
      <c r="A14530">
        <v>21</v>
      </c>
      <c r="B14530">
        <v>1</v>
      </c>
      <c r="C14530">
        <v>22</v>
      </c>
      <c r="D14530">
        <v>4</v>
      </c>
      <c r="E14530">
        <f t="shared" si="226"/>
        <v>1.3143891502580259E-39</v>
      </c>
    </row>
    <row r="14531" spans="1:5" x14ac:dyDescent="0.25">
      <c r="A14531">
        <v>21</v>
      </c>
      <c r="B14531">
        <v>1</v>
      </c>
      <c r="C14531">
        <v>23</v>
      </c>
      <c r="D14531">
        <v>3</v>
      </c>
      <c r="E14531">
        <f t="shared" si="226"/>
        <v>4.4678840680707586E-40</v>
      </c>
    </row>
    <row r="14532" spans="1:5" x14ac:dyDescent="0.25">
      <c r="A14532">
        <v>21</v>
      </c>
      <c r="B14532">
        <v>1</v>
      </c>
      <c r="C14532">
        <v>24</v>
      </c>
      <c r="D14532">
        <v>2</v>
      </c>
      <c r="E14532">
        <f t="shared" si="226"/>
        <v>1.0198431024944124E-40</v>
      </c>
    </row>
    <row r="14533" spans="1:5" x14ac:dyDescent="0.25">
      <c r="A14533">
        <v>21</v>
      </c>
      <c r="B14533">
        <v>1</v>
      </c>
      <c r="C14533">
        <v>25</v>
      </c>
      <c r="D14533">
        <v>1</v>
      </c>
      <c r="E14533">
        <f t="shared" si="226"/>
        <v>1.3937855734090305E-41</v>
      </c>
    </row>
    <row r="14534" spans="1:5" x14ac:dyDescent="0.25">
      <c r="A14534">
        <v>21</v>
      </c>
      <c r="B14534">
        <v>1</v>
      </c>
      <c r="C14534">
        <v>26</v>
      </c>
      <c r="D14534">
        <v>0</v>
      </c>
      <c r="E14534">
        <f t="shared" si="226"/>
        <v>8.5771419902094138E-43</v>
      </c>
    </row>
    <row r="14535" spans="1:5" x14ac:dyDescent="0.25">
      <c r="A14535">
        <v>21</v>
      </c>
      <c r="B14535">
        <v>2</v>
      </c>
      <c r="C14535">
        <v>0</v>
      </c>
      <c r="D14535">
        <v>25</v>
      </c>
      <c r="E14535">
        <f t="shared" si="226"/>
        <v>1.2319098888023264E-58</v>
      </c>
    </row>
    <row r="14536" spans="1:5" x14ac:dyDescent="0.25">
      <c r="A14536">
        <v>21</v>
      </c>
      <c r="B14536">
        <v>2</v>
      </c>
      <c r="C14536">
        <v>1</v>
      </c>
      <c r="D14536">
        <v>24</v>
      </c>
      <c r="E14536">
        <f t="shared" si="226"/>
        <v>2.0018535693037805E-55</v>
      </c>
    </row>
    <row r="14537" spans="1:5" x14ac:dyDescent="0.25">
      <c r="A14537">
        <v>21</v>
      </c>
      <c r="B14537">
        <v>2</v>
      </c>
      <c r="C14537">
        <v>2</v>
      </c>
      <c r="D14537">
        <v>23</v>
      </c>
      <c r="E14537">
        <f t="shared" si="226"/>
        <v>7.6871177061265174E-53</v>
      </c>
    </row>
    <row r="14538" spans="1:5" x14ac:dyDescent="0.25">
      <c r="A14538">
        <v>21</v>
      </c>
      <c r="B14538">
        <v>2</v>
      </c>
      <c r="C14538">
        <v>3</v>
      </c>
      <c r="D14538">
        <v>22</v>
      </c>
      <c r="E14538">
        <f t="shared" si="226"/>
        <v>1.2376259506863693E-50</v>
      </c>
    </row>
    <row r="14539" spans="1:5" x14ac:dyDescent="0.25">
      <c r="A14539">
        <v>21</v>
      </c>
      <c r="B14539">
        <v>2</v>
      </c>
      <c r="C14539">
        <v>4</v>
      </c>
      <c r="D14539">
        <v>21</v>
      </c>
      <c r="E14539">
        <f t="shared" si="226"/>
        <v>1.05507612296013E-48</v>
      </c>
    </row>
    <row r="14540" spans="1:5" x14ac:dyDescent="0.25">
      <c r="A14540">
        <v>21</v>
      </c>
      <c r="B14540">
        <v>2</v>
      </c>
      <c r="C14540">
        <v>5</v>
      </c>
      <c r="D14540">
        <v>20</v>
      </c>
      <c r="E14540">
        <f t="shared" si="226"/>
        <v>5.4062100540477051E-47</v>
      </c>
    </row>
    <row r="14541" spans="1:5" x14ac:dyDescent="0.25">
      <c r="A14541">
        <v>21</v>
      </c>
      <c r="B14541">
        <v>2</v>
      </c>
      <c r="C14541">
        <v>6</v>
      </c>
      <c r="D14541">
        <v>19</v>
      </c>
      <c r="E14541">
        <f t="shared" si="226"/>
        <v>1.8020700180159014E-45</v>
      </c>
    </row>
    <row r="14542" spans="1:5" x14ac:dyDescent="0.25">
      <c r="A14542">
        <v>21</v>
      </c>
      <c r="B14542">
        <v>2</v>
      </c>
      <c r="C14542">
        <v>7</v>
      </c>
      <c r="D14542">
        <v>18</v>
      </c>
      <c r="E14542">
        <f t="shared" ref="E14542:E14605" si="227">COMBIN(A$4,A14542)*COMBIN(B$4,B14542)*COMBIN(C$4,C14542)*COMBIN(D$4,D14542)/COMBIN($G$4,$F$4)</f>
        <v>4.1226948779506661E-44</v>
      </c>
    </row>
    <row r="14543" spans="1:5" x14ac:dyDescent="0.25">
      <c r="A14543">
        <v>21</v>
      </c>
      <c r="B14543">
        <v>2</v>
      </c>
      <c r="C14543">
        <v>8</v>
      </c>
      <c r="D14543">
        <v>17</v>
      </c>
      <c r="E14543">
        <f t="shared" si="227"/>
        <v>6.7251460196570226E-43</v>
      </c>
    </row>
    <row r="14544" spans="1:5" x14ac:dyDescent="0.25">
      <c r="A14544">
        <v>21</v>
      </c>
      <c r="B14544">
        <v>2</v>
      </c>
      <c r="C14544">
        <v>9</v>
      </c>
      <c r="D14544">
        <v>16</v>
      </c>
      <c r="E14544">
        <f t="shared" si="227"/>
        <v>8.0452672753674747E-42</v>
      </c>
    </row>
    <row r="14545" spans="1:5" x14ac:dyDescent="0.25">
      <c r="A14545">
        <v>21</v>
      </c>
      <c r="B14545">
        <v>2</v>
      </c>
      <c r="C14545">
        <v>10</v>
      </c>
      <c r="D14545">
        <v>15</v>
      </c>
      <c r="E14545">
        <f t="shared" si="227"/>
        <v>7.2085594787292576E-41</v>
      </c>
    </row>
    <row r="14546" spans="1:5" x14ac:dyDescent="0.25">
      <c r="A14546">
        <v>21</v>
      </c>
      <c r="B14546">
        <v>2</v>
      </c>
      <c r="C14546">
        <v>11</v>
      </c>
      <c r="D14546">
        <v>14</v>
      </c>
      <c r="E14546">
        <f t="shared" si="227"/>
        <v>4.9149269173154043E-40</v>
      </c>
    </row>
    <row r="14547" spans="1:5" x14ac:dyDescent="0.25">
      <c r="A14547">
        <v>21</v>
      </c>
      <c r="B14547">
        <v>2</v>
      </c>
      <c r="C14547">
        <v>12</v>
      </c>
      <c r="D14547">
        <v>13</v>
      </c>
      <c r="E14547">
        <f t="shared" si="227"/>
        <v>2.5803366315905857E-39</v>
      </c>
    </row>
    <row r="14548" spans="1:5" x14ac:dyDescent="0.25">
      <c r="A14548">
        <v>21</v>
      </c>
      <c r="B14548">
        <v>2</v>
      </c>
      <c r="C14548">
        <v>13</v>
      </c>
      <c r="D14548">
        <v>12</v>
      </c>
      <c r="E14548">
        <f t="shared" si="227"/>
        <v>1.0519833959561624E-38</v>
      </c>
    </row>
    <row r="14549" spans="1:5" x14ac:dyDescent="0.25">
      <c r="A14549">
        <v>21</v>
      </c>
      <c r="B14549">
        <v>2</v>
      </c>
      <c r="C14549">
        <v>14</v>
      </c>
      <c r="D14549">
        <v>11</v>
      </c>
      <c r="E14549">
        <f t="shared" si="227"/>
        <v>3.3491716279420679E-38</v>
      </c>
    </row>
    <row r="14550" spans="1:5" x14ac:dyDescent="0.25">
      <c r="A14550">
        <v>21</v>
      </c>
      <c r="B14550">
        <v>2</v>
      </c>
      <c r="C14550">
        <v>15</v>
      </c>
      <c r="D14550">
        <v>10</v>
      </c>
      <c r="E14550">
        <f t="shared" si="227"/>
        <v>8.3506012590022177E-38</v>
      </c>
    </row>
    <row r="14551" spans="1:5" x14ac:dyDescent="0.25">
      <c r="A14551">
        <v>21</v>
      </c>
      <c r="B14551">
        <v>2</v>
      </c>
      <c r="C14551">
        <v>16</v>
      </c>
      <c r="D14551">
        <v>9</v>
      </c>
      <c r="E14551">
        <f t="shared" si="227"/>
        <v>1.6309768083988711E-37</v>
      </c>
    </row>
    <row r="14552" spans="1:5" x14ac:dyDescent="0.25">
      <c r="A14552">
        <v>21</v>
      </c>
      <c r="B14552">
        <v>2</v>
      </c>
      <c r="C14552">
        <v>17</v>
      </c>
      <c r="D14552">
        <v>8</v>
      </c>
      <c r="E14552">
        <f t="shared" si="227"/>
        <v>2.4887916003595243E-37</v>
      </c>
    </row>
    <row r="14553" spans="1:5" x14ac:dyDescent="0.25">
      <c r="A14553">
        <v>21</v>
      </c>
      <c r="B14553">
        <v>2</v>
      </c>
      <c r="C14553">
        <v>18</v>
      </c>
      <c r="D14553">
        <v>7</v>
      </c>
      <c r="E14553">
        <f t="shared" si="227"/>
        <v>2.9496789337594344E-37</v>
      </c>
    </row>
    <row r="14554" spans="1:5" x14ac:dyDescent="0.25">
      <c r="A14554">
        <v>21</v>
      </c>
      <c r="B14554">
        <v>2</v>
      </c>
      <c r="C14554">
        <v>19</v>
      </c>
      <c r="D14554">
        <v>6</v>
      </c>
      <c r="E14554">
        <f t="shared" si="227"/>
        <v>2.6882115490494568E-37</v>
      </c>
    </row>
    <row r="14555" spans="1:5" x14ac:dyDescent="0.25">
      <c r="A14555">
        <v>21</v>
      </c>
      <c r="B14555">
        <v>2</v>
      </c>
      <c r="C14555">
        <v>20</v>
      </c>
      <c r="D14555">
        <v>5</v>
      </c>
      <c r="E14555">
        <f t="shared" si="227"/>
        <v>1.8548659688441268E-37</v>
      </c>
    </row>
    <row r="14556" spans="1:5" x14ac:dyDescent="0.25">
      <c r="A14556">
        <v>21</v>
      </c>
      <c r="B14556">
        <v>2</v>
      </c>
      <c r="C14556">
        <v>21</v>
      </c>
      <c r="D14556">
        <v>4</v>
      </c>
      <c r="E14556">
        <f t="shared" si="227"/>
        <v>9.4636018818577796E-38</v>
      </c>
    </row>
    <row r="14557" spans="1:5" x14ac:dyDescent="0.25">
      <c r="A14557">
        <v>21</v>
      </c>
      <c r="B14557">
        <v>2</v>
      </c>
      <c r="C14557">
        <v>22</v>
      </c>
      <c r="D14557">
        <v>3</v>
      </c>
      <c r="E14557">
        <f t="shared" si="227"/>
        <v>3.441309775221013E-38</v>
      </c>
    </row>
    <row r="14558" spans="1:5" x14ac:dyDescent="0.25">
      <c r="A14558">
        <v>21</v>
      </c>
      <c r="B14558">
        <v>2</v>
      </c>
      <c r="C14558">
        <v>23</v>
      </c>
      <c r="D14558">
        <v>2</v>
      </c>
      <c r="E14558">
        <f t="shared" si="227"/>
        <v>8.3918518148111655E-39</v>
      </c>
    </row>
    <row r="14559" spans="1:5" x14ac:dyDescent="0.25">
      <c r="A14559">
        <v>21</v>
      </c>
      <c r="B14559">
        <v>2</v>
      </c>
      <c r="C14559">
        <v>24</v>
      </c>
      <c r="D14559">
        <v>1</v>
      </c>
      <c r="E14559">
        <f t="shared" si="227"/>
        <v>1.2238117229932947E-39</v>
      </c>
    </row>
    <row r="14560" spans="1:5" x14ac:dyDescent="0.25">
      <c r="A14560">
        <v>21</v>
      </c>
      <c r="B14560">
        <v>2</v>
      </c>
      <c r="C14560">
        <v>25</v>
      </c>
      <c r="D14560">
        <v>0</v>
      </c>
      <c r="E14560">
        <f t="shared" si="227"/>
        <v>8.0282049028360159E-41</v>
      </c>
    </row>
    <row r="14561" spans="1:5" x14ac:dyDescent="0.25">
      <c r="A14561">
        <v>21</v>
      </c>
      <c r="B14561">
        <v>3</v>
      </c>
      <c r="C14561">
        <v>0</v>
      </c>
      <c r="D14561">
        <v>24</v>
      </c>
      <c r="E14561">
        <f t="shared" si="227"/>
        <v>2.9463178173855642E-55</v>
      </c>
    </row>
    <row r="14562" spans="1:5" x14ac:dyDescent="0.25">
      <c r="A14562">
        <v>21</v>
      </c>
      <c r="B14562">
        <v>3</v>
      </c>
      <c r="C14562">
        <v>1</v>
      </c>
      <c r="D14562">
        <v>23</v>
      </c>
      <c r="E14562">
        <f t="shared" si="227"/>
        <v>2.29812789756074E-52</v>
      </c>
    </row>
    <row r="14563" spans="1:5" x14ac:dyDescent="0.25">
      <c r="A14563">
        <v>21</v>
      </c>
      <c r="B14563">
        <v>3</v>
      </c>
      <c r="C14563">
        <v>2</v>
      </c>
      <c r="D14563">
        <v>22</v>
      </c>
      <c r="E14563">
        <f t="shared" si="227"/>
        <v>5.6380737753490156E-50</v>
      </c>
    </row>
    <row r="14564" spans="1:5" x14ac:dyDescent="0.25">
      <c r="A14564">
        <v>21</v>
      </c>
      <c r="B14564">
        <v>3</v>
      </c>
      <c r="C14564">
        <v>3</v>
      </c>
      <c r="D14564">
        <v>21</v>
      </c>
      <c r="E14564">
        <f t="shared" si="227"/>
        <v>6.5119752105281129E-48</v>
      </c>
    </row>
    <row r="14565" spans="1:5" x14ac:dyDescent="0.25">
      <c r="A14565">
        <v>21</v>
      </c>
      <c r="B14565">
        <v>3</v>
      </c>
      <c r="C14565">
        <v>4</v>
      </c>
      <c r="D14565">
        <v>20</v>
      </c>
      <c r="E14565">
        <f t="shared" si="227"/>
        <v>4.2392958620538009E-46</v>
      </c>
    </row>
    <row r="14566" spans="1:5" x14ac:dyDescent="0.25">
      <c r="A14566">
        <v>21</v>
      </c>
      <c r="B14566">
        <v>3</v>
      </c>
      <c r="C14566">
        <v>5</v>
      </c>
      <c r="D14566">
        <v>19</v>
      </c>
      <c r="E14566">
        <f t="shared" si="227"/>
        <v>1.7239803172352125E-44</v>
      </c>
    </row>
    <row r="14567" spans="1:5" x14ac:dyDescent="0.25">
      <c r="A14567">
        <v>21</v>
      </c>
      <c r="B14567">
        <v>3</v>
      </c>
      <c r="C14567">
        <v>6</v>
      </c>
      <c r="D14567">
        <v>18</v>
      </c>
      <c r="E14567">
        <f t="shared" si="227"/>
        <v>4.6793751467812925E-43</v>
      </c>
    </row>
    <row r="14568" spans="1:5" x14ac:dyDescent="0.25">
      <c r="A14568">
        <v>21</v>
      </c>
      <c r="B14568">
        <v>3</v>
      </c>
      <c r="C14568">
        <v>7</v>
      </c>
      <c r="D14568">
        <v>17</v>
      </c>
      <c r="E14568">
        <f t="shared" si="227"/>
        <v>8.8741007247888048E-42</v>
      </c>
    </row>
    <row r="14569" spans="1:5" x14ac:dyDescent="0.25">
      <c r="A14569">
        <v>21</v>
      </c>
      <c r="B14569">
        <v>3</v>
      </c>
      <c r="C14569">
        <v>8</v>
      </c>
      <c r="D14569">
        <v>16</v>
      </c>
      <c r="E14569">
        <f t="shared" si="227"/>
        <v>1.2152587937002451E-40</v>
      </c>
    </row>
    <row r="14570" spans="1:5" x14ac:dyDescent="0.25">
      <c r="A14570">
        <v>21</v>
      </c>
      <c r="B14570">
        <v>3</v>
      </c>
      <c r="C14570">
        <v>9</v>
      </c>
      <c r="D14570">
        <v>15</v>
      </c>
      <c r="E14570">
        <f t="shared" si="227"/>
        <v>1.2314622442829146E-39</v>
      </c>
    </row>
    <row r="14571" spans="1:5" x14ac:dyDescent="0.25">
      <c r="A14571">
        <v>21</v>
      </c>
      <c r="B14571">
        <v>3</v>
      </c>
      <c r="C14571">
        <v>10</v>
      </c>
      <c r="D14571">
        <v>14</v>
      </c>
      <c r="E14571">
        <f t="shared" si="227"/>
        <v>9.4038935017968048E-39</v>
      </c>
    </row>
    <row r="14572" spans="1:5" x14ac:dyDescent="0.25">
      <c r="A14572">
        <v>21</v>
      </c>
      <c r="B14572">
        <v>3</v>
      </c>
      <c r="C14572">
        <v>11</v>
      </c>
      <c r="D14572">
        <v>13</v>
      </c>
      <c r="E14572">
        <f t="shared" si="227"/>
        <v>5.4856045427148042E-38</v>
      </c>
    </row>
    <row r="14573" spans="1:5" x14ac:dyDescent="0.25">
      <c r="A14573">
        <v>21</v>
      </c>
      <c r="B14573">
        <v>3</v>
      </c>
      <c r="C14573">
        <v>12</v>
      </c>
      <c r="D14573">
        <v>12</v>
      </c>
      <c r="E14573">
        <f t="shared" si="227"/>
        <v>2.4685220442216607E-37</v>
      </c>
    </row>
    <row r="14574" spans="1:5" x14ac:dyDescent="0.25">
      <c r="A14574">
        <v>21</v>
      </c>
      <c r="B14574">
        <v>3</v>
      </c>
      <c r="C14574">
        <v>13</v>
      </c>
      <c r="D14574">
        <v>11</v>
      </c>
      <c r="E14574">
        <f t="shared" si="227"/>
        <v>8.6262638468405302E-37</v>
      </c>
    </row>
    <row r="14575" spans="1:5" x14ac:dyDescent="0.25">
      <c r="A14575">
        <v>21</v>
      </c>
      <c r="B14575">
        <v>3</v>
      </c>
      <c r="C14575">
        <v>14</v>
      </c>
      <c r="D14575">
        <v>10</v>
      </c>
      <c r="E14575">
        <f t="shared" si="227"/>
        <v>2.3496299620918017E-36</v>
      </c>
    </row>
    <row r="14576" spans="1:5" x14ac:dyDescent="0.25">
      <c r="A14576">
        <v>21</v>
      </c>
      <c r="B14576">
        <v>3</v>
      </c>
      <c r="C14576">
        <v>15</v>
      </c>
      <c r="D14576">
        <v>9</v>
      </c>
      <c r="E14576">
        <f t="shared" si="227"/>
        <v>4.9929636694450771E-36</v>
      </c>
    </row>
    <row r="14577" spans="1:5" x14ac:dyDescent="0.25">
      <c r="A14577">
        <v>21</v>
      </c>
      <c r="B14577">
        <v>3</v>
      </c>
      <c r="C14577">
        <v>16</v>
      </c>
      <c r="D14577">
        <v>8</v>
      </c>
      <c r="E14577">
        <f t="shared" si="227"/>
        <v>8.2604178354789891E-36</v>
      </c>
    </row>
    <row r="14578" spans="1:5" x14ac:dyDescent="0.25">
      <c r="A14578">
        <v>21</v>
      </c>
      <c r="B14578">
        <v>3</v>
      </c>
      <c r="C14578">
        <v>17</v>
      </c>
      <c r="D14578">
        <v>7</v>
      </c>
      <c r="E14578">
        <f t="shared" si="227"/>
        <v>1.0581973174861981E-35</v>
      </c>
    </row>
    <row r="14579" spans="1:5" x14ac:dyDescent="0.25">
      <c r="A14579">
        <v>21</v>
      </c>
      <c r="B14579">
        <v>3</v>
      </c>
      <c r="C14579">
        <v>18</v>
      </c>
      <c r="D14579">
        <v>6</v>
      </c>
      <c r="E14579">
        <f t="shared" si="227"/>
        <v>1.0396324522671406E-35</v>
      </c>
    </row>
    <row r="14580" spans="1:5" x14ac:dyDescent="0.25">
      <c r="A14580">
        <v>21</v>
      </c>
      <c r="B14580">
        <v>3</v>
      </c>
      <c r="C14580">
        <v>19</v>
      </c>
      <c r="D14580">
        <v>5</v>
      </c>
      <c r="E14580">
        <f t="shared" si="227"/>
        <v>7.7151671457719427E-36</v>
      </c>
    </row>
    <row r="14581" spans="1:5" x14ac:dyDescent="0.25">
      <c r="A14581">
        <v>21</v>
      </c>
      <c r="B14581">
        <v>3</v>
      </c>
      <c r="C14581">
        <v>20</v>
      </c>
      <c r="D14581">
        <v>4</v>
      </c>
      <c r="E14581">
        <f t="shared" si="227"/>
        <v>4.2249724845894019E-36</v>
      </c>
    </row>
    <row r="14582" spans="1:5" x14ac:dyDescent="0.25">
      <c r="A14582">
        <v>21</v>
      </c>
      <c r="B14582">
        <v>3</v>
      </c>
      <c r="C14582">
        <v>21</v>
      </c>
      <c r="D14582">
        <v>3</v>
      </c>
      <c r="E14582">
        <f t="shared" si="227"/>
        <v>1.64609317581405E-36</v>
      </c>
    </row>
    <row r="14583" spans="1:5" x14ac:dyDescent="0.25">
      <c r="A14583">
        <v>21</v>
      </c>
      <c r="B14583">
        <v>3</v>
      </c>
      <c r="C14583">
        <v>22</v>
      </c>
      <c r="D14583">
        <v>2</v>
      </c>
      <c r="E14583">
        <f t="shared" si="227"/>
        <v>4.2941561108192641E-37</v>
      </c>
    </row>
    <row r="14584" spans="1:5" x14ac:dyDescent="0.25">
      <c r="A14584">
        <v>21</v>
      </c>
      <c r="B14584">
        <v>3</v>
      </c>
      <c r="C14584">
        <v>23</v>
      </c>
      <c r="D14584">
        <v>1</v>
      </c>
      <c r="E14584">
        <f t="shared" si="227"/>
        <v>6.6901707523633436E-38</v>
      </c>
    </row>
    <row r="14585" spans="1:5" x14ac:dyDescent="0.25">
      <c r="A14585">
        <v>21</v>
      </c>
      <c r="B14585">
        <v>3</v>
      </c>
      <c r="C14585">
        <v>24</v>
      </c>
      <c r="D14585">
        <v>0</v>
      </c>
      <c r="E14585">
        <f t="shared" si="227"/>
        <v>4.6831195266543412E-39</v>
      </c>
    </row>
    <row r="14586" spans="1:5" x14ac:dyDescent="0.25">
      <c r="A14586">
        <v>21</v>
      </c>
      <c r="B14586">
        <v>4</v>
      </c>
      <c r="C14586">
        <v>0</v>
      </c>
      <c r="D14586">
        <v>23</v>
      </c>
      <c r="E14586">
        <f t="shared" si="227"/>
        <v>2.5279406873168141E-52</v>
      </c>
    </row>
    <row r="14587" spans="1:5" x14ac:dyDescent="0.25">
      <c r="A14587">
        <v>21</v>
      </c>
      <c r="B14587">
        <v>4</v>
      </c>
      <c r="C14587">
        <v>1</v>
      </c>
      <c r="D14587">
        <v>22</v>
      </c>
      <c r="E14587">
        <f t="shared" si="227"/>
        <v>1.2597571091795455E-49</v>
      </c>
    </row>
    <row r="14588" spans="1:5" x14ac:dyDescent="0.25">
      <c r="A14588">
        <v>21</v>
      </c>
      <c r="B14588">
        <v>4</v>
      </c>
      <c r="C14588">
        <v>2</v>
      </c>
      <c r="D14588">
        <v>21</v>
      </c>
      <c r="E14588">
        <f t="shared" si="227"/>
        <v>2.2171725121560008E-47</v>
      </c>
    </row>
    <row r="14589" spans="1:5" x14ac:dyDescent="0.25">
      <c r="A14589">
        <v>21</v>
      </c>
      <c r="B14589">
        <v>4</v>
      </c>
      <c r="C14589">
        <v>3</v>
      </c>
      <c r="D14589">
        <v>20</v>
      </c>
      <c r="E14589">
        <f t="shared" si="227"/>
        <v>1.9555461557215918E-45</v>
      </c>
    </row>
    <row r="14590" spans="1:5" x14ac:dyDescent="0.25">
      <c r="A14590">
        <v>21</v>
      </c>
      <c r="B14590">
        <v>4</v>
      </c>
      <c r="C14590">
        <v>4</v>
      </c>
      <c r="D14590">
        <v>19</v>
      </c>
      <c r="E14590">
        <f t="shared" si="227"/>
        <v>1.0103655137894891E-43</v>
      </c>
    </row>
    <row r="14591" spans="1:5" x14ac:dyDescent="0.25">
      <c r="A14591">
        <v>21</v>
      </c>
      <c r="B14591">
        <v>4</v>
      </c>
      <c r="C14591">
        <v>5</v>
      </c>
      <c r="D14591">
        <v>18</v>
      </c>
      <c r="E14591">
        <f t="shared" si="227"/>
        <v>3.3457532299486246E-42</v>
      </c>
    </row>
    <row r="14592" spans="1:5" x14ac:dyDescent="0.25">
      <c r="A14592">
        <v>21</v>
      </c>
      <c r="B14592">
        <v>4</v>
      </c>
      <c r="C14592">
        <v>6</v>
      </c>
      <c r="D14592">
        <v>17</v>
      </c>
      <c r="E14592">
        <f t="shared" si="227"/>
        <v>7.5279447673844019E-41</v>
      </c>
    </row>
    <row r="14593" spans="1:5" x14ac:dyDescent="0.25">
      <c r="A14593">
        <v>21</v>
      </c>
      <c r="B14593">
        <v>4</v>
      </c>
      <c r="C14593">
        <v>7</v>
      </c>
      <c r="D14593">
        <v>16</v>
      </c>
      <c r="E14593">
        <f t="shared" si="227"/>
        <v>1.1984966034423104E-39</v>
      </c>
    </row>
    <row r="14594" spans="1:5" x14ac:dyDescent="0.25">
      <c r="A14594">
        <v>21</v>
      </c>
      <c r="B14594">
        <v>4</v>
      </c>
      <c r="C14594">
        <v>8</v>
      </c>
      <c r="D14594">
        <v>15</v>
      </c>
      <c r="E14594">
        <f t="shared" si="227"/>
        <v>1.39025605999308E-38</v>
      </c>
    </row>
    <row r="14595" spans="1:5" x14ac:dyDescent="0.25">
      <c r="A14595">
        <v>21</v>
      </c>
      <c r="B14595">
        <v>4</v>
      </c>
      <c r="C14595">
        <v>9</v>
      </c>
      <c r="D14595">
        <v>14</v>
      </c>
      <c r="E14595">
        <f t="shared" si="227"/>
        <v>1.2006756881758418E-37</v>
      </c>
    </row>
    <row r="14596" spans="1:5" x14ac:dyDescent="0.25">
      <c r="A14596">
        <v>21</v>
      </c>
      <c r="B14596">
        <v>4</v>
      </c>
      <c r="C14596">
        <v>10</v>
      </c>
      <c r="D14596">
        <v>13</v>
      </c>
      <c r="E14596">
        <f t="shared" si="227"/>
        <v>7.8444144960821691E-37</v>
      </c>
    </row>
    <row r="14597" spans="1:5" x14ac:dyDescent="0.25">
      <c r="A14597">
        <v>21</v>
      </c>
      <c r="B14597">
        <v>4</v>
      </c>
      <c r="C14597">
        <v>11</v>
      </c>
      <c r="D14597">
        <v>12</v>
      </c>
      <c r="E14597">
        <f t="shared" si="227"/>
        <v>3.922207248041085E-36</v>
      </c>
    </row>
    <row r="14598" spans="1:5" x14ac:dyDescent="0.25">
      <c r="A14598">
        <v>21</v>
      </c>
      <c r="B14598">
        <v>4</v>
      </c>
      <c r="C14598">
        <v>12</v>
      </c>
      <c r="D14598">
        <v>11</v>
      </c>
      <c r="E14598">
        <f t="shared" si="227"/>
        <v>1.5128513671015601E-35</v>
      </c>
    </row>
    <row r="14599" spans="1:5" x14ac:dyDescent="0.25">
      <c r="A14599">
        <v>21</v>
      </c>
      <c r="B14599">
        <v>4</v>
      </c>
      <c r="C14599">
        <v>13</v>
      </c>
      <c r="D14599">
        <v>10</v>
      </c>
      <c r="E14599">
        <f t="shared" si="227"/>
        <v>4.5230376770267178E-35</v>
      </c>
    </row>
    <row r="14600" spans="1:5" x14ac:dyDescent="0.25">
      <c r="A14600">
        <v>21</v>
      </c>
      <c r="B14600">
        <v>4</v>
      </c>
      <c r="C14600">
        <v>14</v>
      </c>
      <c r="D14600">
        <v>9</v>
      </c>
      <c r="E14600">
        <f t="shared" si="227"/>
        <v>1.0499908893097738E-34</v>
      </c>
    </row>
    <row r="14601" spans="1:5" x14ac:dyDescent="0.25">
      <c r="A14601">
        <v>21</v>
      </c>
      <c r="B14601">
        <v>4</v>
      </c>
      <c r="C14601">
        <v>15</v>
      </c>
      <c r="D14601">
        <v>8</v>
      </c>
      <c r="E14601">
        <f t="shared" si="227"/>
        <v>1.8899836007575924E-34</v>
      </c>
    </row>
    <row r="14602" spans="1:5" x14ac:dyDescent="0.25">
      <c r="A14602">
        <v>21</v>
      </c>
      <c r="B14602">
        <v>4</v>
      </c>
      <c r="C14602">
        <v>16</v>
      </c>
      <c r="D14602">
        <v>7</v>
      </c>
      <c r="E14602">
        <f t="shared" si="227"/>
        <v>2.6249772232744349E-34</v>
      </c>
    </row>
    <row r="14603" spans="1:5" x14ac:dyDescent="0.25">
      <c r="A14603">
        <v>21</v>
      </c>
      <c r="B14603">
        <v>4</v>
      </c>
      <c r="C14603">
        <v>17</v>
      </c>
      <c r="D14603">
        <v>6</v>
      </c>
      <c r="E14603">
        <f t="shared" si="227"/>
        <v>2.7875145126412734E-34</v>
      </c>
    </row>
    <row r="14604" spans="1:5" x14ac:dyDescent="0.25">
      <c r="A14604">
        <v>21</v>
      </c>
      <c r="B14604">
        <v>4</v>
      </c>
      <c r="C14604">
        <v>18</v>
      </c>
      <c r="D14604">
        <v>5</v>
      </c>
      <c r="E14604">
        <f t="shared" si="227"/>
        <v>2.2300116101130166E-34</v>
      </c>
    </row>
    <row r="14605" spans="1:5" x14ac:dyDescent="0.25">
      <c r="A14605">
        <v>21</v>
      </c>
      <c r="B14605">
        <v>4</v>
      </c>
      <c r="C14605">
        <v>19</v>
      </c>
      <c r="D14605">
        <v>4</v>
      </c>
      <c r="E14605">
        <f t="shared" si="227"/>
        <v>1.3134153593397475E-34</v>
      </c>
    </row>
    <row r="14606" spans="1:5" x14ac:dyDescent="0.25">
      <c r="A14606">
        <v>21</v>
      </c>
      <c r="B14606">
        <v>4</v>
      </c>
      <c r="C14606">
        <v>20</v>
      </c>
      <c r="D14606">
        <v>3</v>
      </c>
      <c r="E14606">
        <f t="shared" ref="E14606:E14669" si="228">COMBIN(A$4,A14606)*COMBIN(B$4,B14606)*COMBIN(C$4,C14606)*COMBIN(D$4,D14606)/COMBIN($G$4,$F$4)</f>
        <v>5.4924642299662207E-35</v>
      </c>
    </row>
    <row r="14607" spans="1:5" x14ac:dyDescent="0.25">
      <c r="A14607">
        <v>21</v>
      </c>
      <c r="B14607">
        <v>4</v>
      </c>
      <c r="C14607">
        <v>21</v>
      </c>
      <c r="D14607">
        <v>2</v>
      </c>
      <c r="E14607">
        <f t="shared" si="228"/>
        <v>1.5351608096178858E-35</v>
      </c>
    </row>
    <row r="14608" spans="1:5" x14ac:dyDescent="0.25">
      <c r="A14608">
        <v>21</v>
      </c>
      <c r="B14608">
        <v>4</v>
      </c>
      <c r="C14608">
        <v>22</v>
      </c>
      <c r="D14608">
        <v>1</v>
      </c>
      <c r="E14608">
        <f t="shared" si="228"/>
        <v>2.5586013493631446E-36</v>
      </c>
    </row>
    <row r="14609" spans="1:5" x14ac:dyDescent="0.25">
      <c r="A14609">
        <v>21</v>
      </c>
      <c r="B14609">
        <v>4</v>
      </c>
      <c r="C14609">
        <v>23</v>
      </c>
      <c r="D14609">
        <v>0</v>
      </c>
      <c r="E14609">
        <f t="shared" si="228"/>
        <v>1.9133888351759164E-37</v>
      </c>
    </row>
    <row r="14610" spans="1:5" x14ac:dyDescent="0.25">
      <c r="A14610">
        <v>21</v>
      </c>
      <c r="B14610">
        <v>5</v>
      </c>
      <c r="C14610">
        <v>0</v>
      </c>
      <c r="D14610">
        <v>22</v>
      </c>
      <c r="E14610">
        <f t="shared" si="228"/>
        <v>1.1047100803574477E-49</v>
      </c>
    </row>
    <row r="14611" spans="1:5" x14ac:dyDescent="0.25">
      <c r="A14611">
        <v>21</v>
      </c>
      <c r="B14611">
        <v>5</v>
      </c>
      <c r="C14611">
        <v>1</v>
      </c>
      <c r="D14611">
        <v>21</v>
      </c>
      <c r="E14611">
        <f t="shared" si="228"/>
        <v>3.9493385372778763E-47</v>
      </c>
    </row>
    <row r="14612" spans="1:5" x14ac:dyDescent="0.25">
      <c r="A14612">
        <v>21</v>
      </c>
      <c r="B14612">
        <v>5</v>
      </c>
      <c r="C14612">
        <v>2</v>
      </c>
      <c r="D14612">
        <v>20</v>
      </c>
      <c r="E14612">
        <f t="shared" si="228"/>
        <v>5.3079109941014637E-45</v>
      </c>
    </row>
    <row r="14613" spans="1:5" x14ac:dyDescent="0.25">
      <c r="A14613">
        <v>21</v>
      </c>
      <c r="B14613">
        <v>5</v>
      </c>
      <c r="C14613">
        <v>3</v>
      </c>
      <c r="D14613">
        <v>19</v>
      </c>
      <c r="E14613">
        <f t="shared" si="228"/>
        <v>3.7155376958710249E-43</v>
      </c>
    </row>
    <row r="14614" spans="1:5" x14ac:dyDescent="0.25">
      <c r="A14614">
        <v>21</v>
      </c>
      <c r="B14614">
        <v>5</v>
      </c>
      <c r="C14614">
        <v>4</v>
      </c>
      <c r="D14614">
        <v>18</v>
      </c>
      <c r="E14614">
        <f t="shared" si="228"/>
        <v>1.5631797877628817E-41</v>
      </c>
    </row>
    <row r="14615" spans="1:5" x14ac:dyDescent="0.25">
      <c r="A14615">
        <v>21</v>
      </c>
      <c r="B14615">
        <v>5</v>
      </c>
      <c r="C14615">
        <v>5</v>
      </c>
      <c r="D14615">
        <v>17</v>
      </c>
      <c r="E14615">
        <f t="shared" si="228"/>
        <v>4.2909285174091096E-40</v>
      </c>
    </row>
    <row r="14616" spans="1:5" x14ac:dyDescent="0.25">
      <c r="A14616">
        <v>21</v>
      </c>
      <c r="B14616">
        <v>5</v>
      </c>
      <c r="C14616">
        <v>6</v>
      </c>
      <c r="D14616">
        <v>16</v>
      </c>
      <c r="E14616">
        <f t="shared" si="228"/>
        <v>8.1050871995505405E-39</v>
      </c>
    </row>
    <row r="14617" spans="1:5" x14ac:dyDescent="0.25">
      <c r="A14617">
        <v>21</v>
      </c>
      <c r="B14617">
        <v>5</v>
      </c>
      <c r="C14617">
        <v>7</v>
      </c>
      <c r="D14617">
        <v>15</v>
      </c>
      <c r="E14617">
        <f t="shared" si="228"/>
        <v>1.093028902339387E-37</v>
      </c>
    </row>
    <row r="14618" spans="1:5" x14ac:dyDescent="0.25">
      <c r="A14618">
        <v>21</v>
      </c>
      <c r="B14618">
        <v>5</v>
      </c>
      <c r="C14618">
        <v>8</v>
      </c>
      <c r="D14618">
        <v>14</v>
      </c>
      <c r="E14618">
        <f t="shared" si="228"/>
        <v>1.080608119358258E-36</v>
      </c>
    </row>
    <row r="14619" spans="1:5" x14ac:dyDescent="0.25">
      <c r="A14619">
        <v>21</v>
      </c>
      <c r="B14619">
        <v>5</v>
      </c>
      <c r="C14619">
        <v>9</v>
      </c>
      <c r="D14619">
        <v>13</v>
      </c>
      <c r="E14619">
        <f t="shared" si="228"/>
        <v>7.9844933263693502E-36</v>
      </c>
    </row>
    <row r="14620" spans="1:5" x14ac:dyDescent="0.25">
      <c r="A14620">
        <v>21</v>
      </c>
      <c r="B14620">
        <v>5</v>
      </c>
      <c r="C14620">
        <v>10</v>
      </c>
      <c r="D14620">
        <v>12</v>
      </c>
      <c r="E14620">
        <f t="shared" si="228"/>
        <v>4.4713162627668368E-35</v>
      </c>
    </row>
    <row r="14621" spans="1:5" x14ac:dyDescent="0.25">
      <c r="A14621">
        <v>21</v>
      </c>
      <c r="B14621">
        <v>5</v>
      </c>
      <c r="C14621">
        <v>11</v>
      </c>
      <c r="D14621">
        <v>11</v>
      </c>
      <c r="E14621">
        <f t="shared" si="228"/>
        <v>1.9162783983286443E-34</v>
      </c>
    </row>
    <row r="14622" spans="1:5" x14ac:dyDescent="0.25">
      <c r="A14622">
        <v>21</v>
      </c>
      <c r="B14622">
        <v>5</v>
      </c>
      <c r="C14622">
        <v>12</v>
      </c>
      <c r="D14622">
        <v>10</v>
      </c>
      <c r="E14622">
        <f t="shared" si="228"/>
        <v>6.323718714484521E-34</v>
      </c>
    </row>
    <row r="14623" spans="1:5" x14ac:dyDescent="0.25">
      <c r="A14623">
        <v>21</v>
      </c>
      <c r="B14623">
        <v>5</v>
      </c>
      <c r="C14623">
        <v>13</v>
      </c>
      <c r="D14623">
        <v>9</v>
      </c>
      <c r="E14623">
        <f t="shared" si="228"/>
        <v>1.6113321724407682E-33</v>
      </c>
    </row>
    <row r="14624" spans="1:5" x14ac:dyDescent="0.25">
      <c r="A14624">
        <v>21</v>
      </c>
      <c r="B14624">
        <v>5</v>
      </c>
      <c r="C14624">
        <v>14</v>
      </c>
      <c r="D14624">
        <v>8</v>
      </c>
      <c r="E14624">
        <f t="shared" si="228"/>
        <v>3.1685019189171414E-33</v>
      </c>
    </row>
    <row r="14625" spans="1:5" x14ac:dyDescent="0.25">
      <c r="A14625">
        <v>21</v>
      </c>
      <c r="B14625">
        <v>5</v>
      </c>
      <c r="C14625">
        <v>15</v>
      </c>
      <c r="D14625">
        <v>7</v>
      </c>
      <c r="E14625">
        <f t="shared" si="228"/>
        <v>4.7879584552525688E-33</v>
      </c>
    </row>
    <row r="14626" spans="1:5" x14ac:dyDescent="0.25">
      <c r="A14626">
        <v>21</v>
      </c>
      <c r="B14626">
        <v>5</v>
      </c>
      <c r="C14626">
        <v>16</v>
      </c>
      <c r="D14626">
        <v>6</v>
      </c>
      <c r="E14626">
        <f t="shared" si="228"/>
        <v>5.5124521688763107E-33</v>
      </c>
    </row>
    <row r="14627" spans="1:5" x14ac:dyDescent="0.25">
      <c r="A14627">
        <v>21</v>
      </c>
      <c r="B14627">
        <v>5</v>
      </c>
      <c r="C14627">
        <v>17</v>
      </c>
      <c r="D14627">
        <v>5</v>
      </c>
      <c r="E14627">
        <f t="shared" si="228"/>
        <v>4.7666498166165781E-33</v>
      </c>
    </row>
    <row r="14628" spans="1:5" x14ac:dyDescent="0.25">
      <c r="A14628">
        <v>21</v>
      </c>
      <c r="B14628">
        <v>5</v>
      </c>
      <c r="C14628">
        <v>18</v>
      </c>
      <c r="D14628">
        <v>4</v>
      </c>
      <c r="E14628">
        <f t="shared" si="228"/>
        <v>3.0264443280105229E-33</v>
      </c>
    </row>
    <row r="14629" spans="1:5" x14ac:dyDescent="0.25">
      <c r="A14629">
        <v>21</v>
      </c>
      <c r="B14629">
        <v>5</v>
      </c>
      <c r="C14629">
        <v>19</v>
      </c>
      <c r="D14629">
        <v>3</v>
      </c>
      <c r="E14629">
        <f t="shared" si="228"/>
        <v>1.3611759178611925E-33</v>
      </c>
    </row>
    <row r="14630" spans="1:5" x14ac:dyDescent="0.25">
      <c r="A14630">
        <v>21</v>
      </c>
      <c r="B14630">
        <v>5</v>
      </c>
      <c r="C14630">
        <v>20</v>
      </c>
      <c r="D14630">
        <v>2</v>
      </c>
      <c r="E14630">
        <f t="shared" si="228"/>
        <v>4.083527753583581E-34</v>
      </c>
    </row>
    <row r="14631" spans="1:5" x14ac:dyDescent="0.25">
      <c r="A14631">
        <v>21</v>
      </c>
      <c r="B14631">
        <v>5</v>
      </c>
      <c r="C14631">
        <v>21</v>
      </c>
      <c r="D14631">
        <v>1</v>
      </c>
      <c r="E14631">
        <f t="shared" si="228"/>
        <v>7.2920138456849587E-35</v>
      </c>
    </row>
    <row r="14632" spans="1:5" x14ac:dyDescent="0.25">
      <c r="A14632">
        <v>21</v>
      </c>
      <c r="B14632">
        <v>5</v>
      </c>
      <c r="C14632">
        <v>22</v>
      </c>
      <c r="D14632">
        <v>0</v>
      </c>
      <c r="E14632">
        <f t="shared" si="228"/>
        <v>5.8336110765479709E-36</v>
      </c>
    </row>
    <row r="14633" spans="1:5" x14ac:dyDescent="0.25">
      <c r="A14633">
        <v>21</v>
      </c>
      <c r="B14633">
        <v>6</v>
      </c>
      <c r="C14633">
        <v>0</v>
      </c>
      <c r="D14633">
        <v>21</v>
      </c>
      <c r="E14633">
        <f t="shared" si="228"/>
        <v>2.8759285758638895E-47</v>
      </c>
    </row>
    <row r="14634" spans="1:5" x14ac:dyDescent="0.25">
      <c r="A14634">
        <v>21</v>
      </c>
      <c r="B14634">
        <v>6</v>
      </c>
      <c r="C14634">
        <v>1</v>
      </c>
      <c r="D14634">
        <v>20</v>
      </c>
      <c r="E14634">
        <f t="shared" si="228"/>
        <v>7.8512850121084155E-45</v>
      </c>
    </row>
    <row r="14635" spans="1:5" x14ac:dyDescent="0.25">
      <c r="A14635">
        <v>21</v>
      </c>
      <c r="B14635">
        <v>6</v>
      </c>
      <c r="C14635">
        <v>2</v>
      </c>
      <c r="D14635">
        <v>19</v>
      </c>
      <c r="E14635">
        <f t="shared" si="228"/>
        <v>8.3747040129156427E-43</v>
      </c>
    </row>
    <row r="14636" spans="1:5" x14ac:dyDescent="0.25">
      <c r="A14636">
        <v>21</v>
      </c>
      <c r="B14636">
        <v>6</v>
      </c>
      <c r="C14636">
        <v>3</v>
      </c>
      <c r="D14636">
        <v>18</v>
      </c>
      <c r="E14636">
        <f t="shared" si="228"/>
        <v>4.7735812873619183E-41</v>
      </c>
    </row>
    <row r="14637" spans="1:5" x14ac:dyDescent="0.25">
      <c r="A14637">
        <v>21</v>
      </c>
      <c r="B14637">
        <v>6</v>
      </c>
      <c r="C14637">
        <v>4</v>
      </c>
      <c r="D14637">
        <v>17</v>
      </c>
      <c r="E14637">
        <f t="shared" si="228"/>
        <v>1.6647864739674687E-39</v>
      </c>
    </row>
    <row r="14638" spans="1:5" x14ac:dyDescent="0.25">
      <c r="A14638">
        <v>21</v>
      </c>
      <c r="B14638">
        <v>6</v>
      </c>
      <c r="C14638">
        <v>5</v>
      </c>
      <c r="D14638">
        <v>16</v>
      </c>
      <c r="E14638">
        <f t="shared" si="228"/>
        <v>3.8364079411205889E-38</v>
      </c>
    </row>
    <row r="14639" spans="1:5" x14ac:dyDescent="0.25">
      <c r="A14639">
        <v>21</v>
      </c>
      <c r="B14639">
        <v>6</v>
      </c>
      <c r="C14639">
        <v>6</v>
      </c>
      <c r="D14639">
        <v>15</v>
      </c>
      <c r="E14639">
        <f t="shared" si="228"/>
        <v>6.1382527057929414E-37</v>
      </c>
    </row>
    <row r="14640" spans="1:5" x14ac:dyDescent="0.25">
      <c r="A14640">
        <v>21</v>
      </c>
      <c r="B14640">
        <v>6</v>
      </c>
      <c r="C14640">
        <v>7</v>
      </c>
      <c r="D14640">
        <v>14</v>
      </c>
      <c r="E14640">
        <f t="shared" si="228"/>
        <v>7.0550047332814982E-36</v>
      </c>
    </row>
    <row r="14641" spans="1:5" x14ac:dyDescent="0.25">
      <c r="A14641">
        <v>21</v>
      </c>
      <c r="B14641">
        <v>6</v>
      </c>
      <c r="C14641">
        <v>8</v>
      </c>
      <c r="D14641">
        <v>13</v>
      </c>
      <c r="E14641">
        <f t="shared" si="228"/>
        <v>5.9673581702339365E-35</v>
      </c>
    </row>
    <row r="14642" spans="1:5" x14ac:dyDescent="0.25">
      <c r="A14642">
        <v>21</v>
      </c>
      <c r="B14642">
        <v>6</v>
      </c>
      <c r="C14642">
        <v>9</v>
      </c>
      <c r="D14642">
        <v>12</v>
      </c>
      <c r="E14642">
        <f t="shared" si="228"/>
        <v>3.7793268411481591E-34</v>
      </c>
    </row>
    <row r="14643" spans="1:5" x14ac:dyDescent="0.25">
      <c r="A14643">
        <v>21</v>
      </c>
      <c r="B14643">
        <v>6</v>
      </c>
      <c r="C14643">
        <v>10</v>
      </c>
      <c r="D14643">
        <v>11</v>
      </c>
      <c r="E14643">
        <f t="shared" si="228"/>
        <v>1.8140768837511163E-33</v>
      </c>
    </row>
    <row r="14644" spans="1:5" x14ac:dyDescent="0.25">
      <c r="A14644">
        <v>21</v>
      </c>
      <c r="B14644">
        <v>6</v>
      </c>
      <c r="C14644">
        <v>11</v>
      </c>
      <c r="D14644">
        <v>10</v>
      </c>
      <c r="E14644">
        <f t="shared" si="228"/>
        <v>6.6516152404207599E-33</v>
      </c>
    </row>
    <row r="14645" spans="1:5" x14ac:dyDescent="0.25">
      <c r="A14645">
        <v>21</v>
      </c>
      <c r="B14645">
        <v>6</v>
      </c>
      <c r="C14645">
        <v>12</v>
      </c>
      <c r="D14645">
        <v>9</v>
      </c>
      <c r="E14645">
        <f t="shared" si="228"/>
        <v>1.8707667863683381E-32</v>
      </c>
    </row>
    <row r="14646" spans="1:5" x14ac:dyDescent="0.25">
      <c r="A14646">
        <v>21</v>
      </c>
      <c r="B14646">
        <v>6</v>
      </c>
      <c r="C14646">
        <v>13</v>
      </c>
      <c r="D14646">
        <v>8</v>
      </c>
      <c r="E14646">
        <f t="shared" si="228"/>
        <v>4.0378088556456899E-32</v>
      </c>
    </row>
    <row r="14647" spans="1:5" x14ac:dyDescent="0.25">
      <c r="A14647">
        <v>21</v>
      </c>
      <c r="B14647">
        <v>6</v>
      </c>
      <c r="C14647">
        <v>14</v>
      </c>
      <c r="D14647">
        <v>7</v>
      </c>
      <c r="E14647">
        <f t="shared" si="228"/>
        <v>6.6655892220182847E-32</v>
      </c>
    </row>
    <row r="14648" spans="1:5" x14ac:dyDescent="0.25">
      <c r="A14648">
        <v>21</v>
      </c>
      <c r="B14648">
        <v>6</v>
      </c>
      <c r="C14648">
        <v>15</v>
      </c>
      <c r="D14648">
        <v>6</v>
      </c>
      <c r="E14648">
        <f t="shared" si="228"/>
        <v>8.3495275517913176E-32</v>
      </c>
    </row>
    <row r="14649" spans="1:5" x14ac:dyDescent="0.25">
      <c r="A14649">
        <v>21</v>
      </c>
      <c r="B14649">
        <v>6</v>
      </c>
      <c r="C14649">
        <v>16</v>
      </c>
      <c r="D14649">
        <v>5</v>
      </c>
      <c r="E14649">
        <f t="shared" si="228"/>
        <v>7.8276820798043614E-32</v>
      </c>
    </row>
    <row r="14650" spans="1:5" x14ac:dyDescent="0.25">
      <c r="A14650">
        <v>21</v>
      </c>
      <c r="B14650">
        <v>6</v>
      </c>
      <c r="C14650">
        <v>17</v>
      </c>
      <c r="D14650">
        <v>4</v>
      </c>
      <c r="E14650">
        <f t="shared" si="228"/>
        <v>5.3719386822186837E-32</v>
      </c>
    </row>
    <row r="14651" spans="1:5" x14ac:dyDescent="0.25">
      <c r="A14651">
        <v>21</v>
      </c>
      <c r="B14651">
        <v>6</v>
      </c>
      <c r="C14651">
        <v>18</v>
      </c>
      <c r="D14651">
        <v>3</v>
      </c>
      <c r="E14651">
        <f t="shared" si="228"/>
        <v>2.6045763307726926E-32</v>
      </c>
    </row>
    <row r="14652" spans="1:5" x14ac:dyDescent="0.25">
      <c r="A14652">
        <v>21</v>
      </c>
      <c r="B14652">
        <v>6</v>
      </c>
      <c r="C14652">
        <v>19</v>
      </c>
      <c r="D14652">
        <v>2</v>
      </c>
      <c r="E14652">
        <f t="shared" si="228"/>
        <v>8.4037817537517107E-33</v>
      </c>
    </row>
    <row r="14653" spans="1:5" x14ac:dyDescent="0.25">
      <c r="A14653">
        <v>21</v>
      </c>
      <c r="B14653">
        <v>6</v>
      </c>
      <c r="C14653">
        <v>20</v>
      </c>
      <c r="D14653">
        <v>1</v>
      </c>
      <c r="E14653">
        <f t="shared" si="228"/>
        <v>1.6107248361357459E-33</v>
      </c>
    </row>
    <row r="14654" spans="1:5" x14ac:dyDescent="0.25">
      <c r="A14654">
        <v>21</v>
      </c>
      <c r="B14654">
        <v>6</v>
      </c>
      <c r="C14654">
        <v>21</v>
      </c>
      <c r="D14654">
        <v>0</v>
      </c>
      <c r="E14654">
        <f t="shared" si="228"/>
        <v>1.3806212881163522E-34</v>
      </c>
    </row>
    <row r="14655" spans="1:5" x14ac:dyDescent="0.25">
      <c r="A14655">
        <v>21</v>
      </c>
      <c r="B14655">
        <v>7</v>
      </c>
      <c r="C14655">
        <v>0</v>
      </c>
      <c r="D14655">
        <v>20</v>
      </c>
      <c r="E14655">
        <f t="shared" si="228"/>
        <v>4.8833267218168835E-45</v>
      </c>
    </row>
    <row r="14656" spans="1:5" x14ac:dyDescent="0.25">
      <c r="A14656">
        <v>21</v>
      </c>
      <c r="B14656">
        <v>7</v>
      </c>
      <c r="C14656">
        <v>1</v>
      </c>
      <c r="D14656">
        <v>19</v>
      </c>
      <c r="E14656">
        <f t="shared" si="228"/>
        <v>1.0580541230603247E-42</v>
      </c>
    </row>
    <row r="14657" spans="1:5" x14ac:dyDescent="0.25">
      <c r="A14657">
        <v>21</v>
      </c>
      <c r="B14657">
        <v>7</v>
      </c>
      <c r="C14657">
        <v>2</v>
      </c>
      <c r="D14657">
        <v>18</v>
      </c>
      <c r="E14657">
        <f t="shared" si="228"/>
        <v>9.1899558117239677E-41</v>
      </c>
    </row>
    <row r="14658" spans="1:5" x14ac:dyDescent="0.25">
      <c r="A14658">
        <v>21</v>
      </c>
      <c r="B14658">
        <v>7</v>
      </c>
      <c r="C14658">
        <v>3</v>
      </c>
      <c r="D14658">
        <v>17</v>
      </c>
      <c r="E14658">
        <f t="shared" si="228"/>
        <v>4.3422541210395735E-39</v>
      </c>
    </row>
    <row r="14659" spans="1:5" x14ac:dyDescent="0.25">
      <c r="A14659">
        <v>21</v>
      </c>
      <c r="B14659">
        <v>7</v>
      </c>
      <c r="C14659">
        <v>4</v>
      </c>
      <c r="D14659">
        <v>16</v>
      </c>
      <c r="E14659">
        <f t="shared" si="228"/>
        <v>1.271315512104364E-37</v>
      </c>
    </row>
    <row r="14660" spans="1:5" x14ac:dyDescent="0.25">
      <c r="A14660">
        <v>21</v>
      </c>
      <c r="B14660">
        <v>7</v>
      </c>
      <c r="C14660">
        <v>5</v>
      </c>
      <c r="D14660">
        <v>15</v>
      </c>
      <c r="E14660">
        <f t="shared" si="228"/>
        <v>2.4816078796277184E-36</v>
      </c>
    </row>
    <row r="14661" spans="1:5" x14ac:dyDescent="0.25">
      <c r="A14661">
        <v>21</v>
      </c>
      <c r="B14661">
        <v>7</v>
      </c>
      <c r="C14661">
        <v>6</v>
      </c>
      <c r="D14661">
        <v>14</v>
      </c>
      <c r="E14661">
        <f t="shared" si="228"/>
        <v>3.3840107449468891E-35</v>
      </c>
    </row>
    <row r="14662" spans="1:5" x14ac:dyDescent="0.25">
      <c r="A14662">
        <v>21</v>
      </c>
      <c r="B14662">
        <v>7</v>
      </c>
      <c r="C14662">
        <v>7</v>
      </c>
      <c r="D14662">
        <v>13</v>
      </c>
      <c r="E14662">
        <f t="shared" si="228"/>
        <v>3.3276105658644412E-34</v>
      </c>
    </row>
    <row r="14663" spans="1:5" x14ac:dyDescent="0.25">
      <c r="A14663">
        <v>21</v>
      </c>
      <c r="B14663">
        <v>7</v>
      </c>
      <c r="C14663">
        <v>8</v>
      </c>
      <c r="D14663">
        <v>12</v>
      </c>
      <c r="E14663">
        <f t="shared" si="228"/>
        <v>2.4125176602517202E-33</v>
      </c>
    </row>
    <row r="14664" spans="1:5" x14ac:dyDescent="0.25">
      <c r="A14664">
        <v>21</v>
      </c>
      <c r="B14664">
        <v>7</v>
      </c>
      <c r="C14664">
        <v>9</v>
      </c>
      <c r="D14664">
        <v>11</v>
      </c>
      <c r="E14664">
        <f t="shared" si="228"/>
        <v>1.3096524441366475E-32</v>
      </c>
    </row>
    <row r="14665" spans="1:5" x14ac:dyDescent="0.25">
      <c r="A14665">
        <v>21</v>
      </c>
      <c r="B14665">
        <v>7</v>
      </c>
      <c r="C14665">
        <v>10</v>
      </c>
      <c r="D14665">
        <v>10</v>
      </c>
      <c r="E14665">
        <f t="shared" si="228"/>
        <v>5.3783060372544995E-32</v>
      </c>
    </row>
    <row r="14666" spans="1:5" x14ac:dyDescent="0.25">
      <c r="A14666">
        <v>21</v>
      </c>
      <c r="B14666">
        <v>7</v>
      </c>
      <c r="C14666">
        <v>11</v>
      </c>
      <c r="D14666">
        <v>9</v>
      </c>
      <c r="E14666">
        <f t="shared" si="228"/>
        <v>1.6807206366420318E-31</v>
      </c>
    </row>
    <row r="14667" spans="1:5" x14ac:dyDescent="0.25">
      <c r="A14667">
        <v>21</v>
      </c>
      <c r="B14667">
        <v>7</v>
      </c>
      <c r="C14667">
        <v>12</v>
      </c>
      <c r="D14667">
        <v>8</v>
      </c>
      <c r="E14667">
        <f t="shared" si="228"/>
        <v>4.0040697520001314E-31</v>
      </c>
    </row>
    <row r="14668" spans="1:5" x14ac:dyDescent="0.25">
      <c r="A14668">
        <v>21</v>
      </c>
      <c r="B14668">
        <v>7</v>
      </c>
      <c r="C14668">
        <v>13</v>
      </c>
      <c r="D14668">
        <v>7</v>
      </c>
      <c r="E14668">
        <f t="shared" si="228"/>
        <v>7.2552374993506704E-31</v>
      </c>
    </row>
    <row r="14669" spans="1:5" x14ac:dyDescent="0.25">
      <c r="A14669">
        <v>21</v>
      </c>
      <c r="B14669">
        <v>7</v>
      </c>
      <c r="C14669">
        <v>14</v>
      </c>
      <c r="D14669">
        <v>6</v>
      </c>
      <c r="E14669">
        <f t="shared" si="228"/>
        <v>9.9282197359535458E-31</v>
      </c>
    </row>
    <row r="14670" spans="1:5" x14ac:dyDescent="0.25">
      <c r="A14670">
        <v>21</v>
      </c>
      <c r="B14670">
        <v>7</v>
      </c>
      <c r="C14670">
        <v>15</v>
      </c>
      <c r="D14670">
        <v>5</v>
      </c>
      <c r="E14670">
        <f t="shared" ref="E14670:E14733" si="229">COMBIN(A$4,A14670)*COMBIN(B$4,B14670)*COMBIN(C$4,C14670)*COMBIN(D$4,D14670)/COMBIN($G$4,$F$4)</f>
        <v>1.0126784130672614E-30</v>
      </c>
    </row>
    <row r="14671" spans="1:5" x14ac:dyDescent="0.25">
      <c r="A14671">
        <v>21</v>
      </c>
      <c r="B14671">
        <v>7</v>
      </c>
      <c r="C14671">
        <v>16</v>
      </c>
      <c r="D14671">
        <v>4</v>
      </c>
      <c r="E14671">
        <f t="shared" si="229"/>
        <v>7.534809621036175E-31</v>
      </c>
    </row>
    <row r="14672" spans="1:5" x14ac:dyDescent="0.25">
      <c r="A14672">
        <v>21</v>
      </c>
      <c r="B14672">
        <v>7</v>
      </c>
      <c r="C14672">
        <v>17</v>
      </c>
      <c r="D14672">
        <v>3</v>
      </c>
      <c r="E14672">
        <f t="shared" si="229"/>
        <v>3.9487237586178897E-31</v>
      </c>
    </row>
    <row r="14673" spans="1:5" x14ac:dyDescent="0.25">
      <c r="A14673">
        <v>21</v>
      </c>
      <c r="B14673">
        <v>7</v>
      </c>
      <c r="C14673">
        <v>18</v>
      </c>
      <c r="D14673">
        <v>2</v>
      </c>
      <c r="E14673">
        <f t="shared" si="229"/>
        <v>1.3734691334323084E-31</v>
      </c>
    </row>
    <row r="14674" spans="1:5" x14ac:dyDescent="0.25">
      <c r="A14674">
        <v>21</v>
      </c>
      <c r="B14674">
        <v>7</v>
      </c>
      <c r="C14674">
        <v>19</v>
      </c>
      <c r="D14674">
        <v>1</v>
      </c>
      <c r="E14674">
        <f t="shared" si="229"/>
        <v>2.8312740908473029E-32</v>
      </c>
    </row>
    <row r="14675" spans="1:5" x14ac:dyDescent="0.25">
      <c r="A14675">
        <v>21</v>
      </c>
      <c r="B14675">
        <v>7</v>
      </c>
      <c r="C14675">
        <v>20</v>
      </c>
      <c r="D14675">
        <v>0</v>
      </c>
      <c r="E14675">
        <f t="shared" si="229"/>
        <v>2.6047721635795214E-33</v>
      </c>
    </row>
    <row r="14676" spans="1:5" x14ac:dyDescent="0.25">
      <c r="A14676">
        <v>21</v>
      </c>
      <c r="B14676">
        <v>8</v>
      </c>
      <c r="C14676">
        <v>0</v>
      </c>
      <c r="D14676">
        <v>19</v>
      </c>
      <c r="E14676">
        <f t="shared" si="229"/>
        <v>5.7379088981348366E-43</v>
      </c>
    </row>
    <row r="14677" spans="1:5" x14ac:dyDescent="0.25">
      <c r="A14677">
        <v>21</v>
      </c>
      <c r="B14677">
        <v>8</v>
      </c>
      <c r="C14677">
        <v>1</v>
      </c>
      <c r="D14677">
        <v>18</v>
      </c>
      <c r="E14677">
        <f t="shared" si="229"/>
        <v>1.0123310698852181E-40</v>
      </c>
    </row>
    <row r="14678" spans="1:5" x14ac:dyDescent="0.25">
      <c r="A14678">
        <v>21</v>
      </c>
      <c r="B14678">
        <v>8</v>
      </c>
      <c r="C14678">
        <v>2</v>
      </c>
      <c r="D14678">
        <v>17</v>
      </c>
      <c r="E14678">
        <f t="shared" si="229"/>
        <v>7.2887837031735697E-39</v>
      </c>
    </row>
    <row r="14679" spans="1:5" x14ac:dyDescent="0.25">
      <c r="A14679">
        <v>21</v>
      </c>
      <c r="B14679">
        <v>8</v>
      </c>
      <c r="C14679">
        <v>3</v>
      </c>
      <c r="D14679">
        <v>16</v>
      </c>
      <c r="E14679">
        <f t="shared" si="229"/>
        <v>2.8912175355921818E-37</v>
      </c>
    </row>
    <row r="14680" spans="1:5" x14ac:dyDescent="0.25">
      <c r="A14680">
        <v>21</v>
      </c>
      <c r="B14680">
        <v>8</v>
      </c>
      <c r="C14680">
        <v>4</v>
      </c>
      <c r="D14680">
        <v>15</v>
      </c>
      <c r="E14680">
        <f t="shared" si="229"/>
        <v>7.1702194882686107E-36</v>
      </c>
    </row>
    <row r="14681" spans="1:5" x14ac:dyDescent="0.25">
      <c r="A14681">
        <v>21</v>
      </c>
      <c r="B14681">
        <v>8</v>
      </c>
      <c r="C14681">
        <v>5</v>
      </c>
      <c r="D14681">
        <v>14</v>
      </c>
      <c r="E14681">
        <f t="shared" si="229"/>
        <v>1.1928637875937781E-34</v>
      </c>
    </row>
    <row r="14682" spans="1:5" x14ac:dyDescent="0.25">
      <c r="A14682">
        <v>21</v>
      </c>
      <c r="B14682">
        <v>8</v>
      </c>
      <c r="C14682">
        <v>6</v>
      </c>
      <c r="D14682">
        <v>13</v>
      </c>
      <c r="E14682">
        <f t="shared" si="229"/>
        <v>1.3916744188594081E-33</v>
      </c>
    </row>
    <row r="14683" spans="1:5" x14ac:dyDescent="0.25">
      <c r="A14683">
        <v>21</v>
      </c>
      <c r="B14683">
        <v>8</v>
      </c>
      <c r="C14683">
        <v>7</v>
      </c>
      <c r="D14683">
        <v>12</v>
      </c>
      <c r="E14683">
        <f t="shared" si="229"/>
        <v>1.1729827244672152E-32</v>
      </c>
    </row>
    <row r="14684" spans="1:5" x14ac:dyDescent="0.25">
      <c r="A14684">
        <v>21</v>
      </c>
      <c r="B14684">
        <v>8</v>
      </c>
      <c r="C14684">
        <v>8</v>
      </c>
      <c r="D14684">
        <v>11</v>
      </c>
      <c r="E14684">
        <f t="shared" si="229"/>
        <v>7.2892497877605525E-32</v>
      </c>
    </row>
    <row r="14685" spans="1:5" x14ac:dyDescent="0.25">
      <c r="A14685">
        <v>21</v>
      </c>
      <c r="B14685">
        <v>8</v>
      </c>
      <c r="C14685">
        <v>9</v>
      </c>
      <c r="D14685">
        <v>10</v>
      </c>
      <c r="E14685">
        <f t="shared" si="229"/>
        <v>3.3854515680932334E-31</v>
      </c>
    </row>
    <row r="14686" spans="1:5" x14ac:dyDescent="0.25">
      <c r="A14686">
        <v>21</v>
      </c>
      <c r="B14686">
        <v>8</v>
      </c>
      <c r="C14686">
        <v>10</v>
      </c>
      <c r="D14686">
        <v>9</v>
      </c>
      <c r="E14686">
        <f t="shared" si="229"/>
        <v>1.1849080488326319E-30</v>
      </c>
    </row>
    <row r="14687" spans="1:5" x14ac:dyDescent="0.25">
      <c r="A14687">
        <v>21</v>
      </c>
      <c r="B14687">
        <v>8</v>
      </c>
      <c r="C14687">
        <v>11</v>
      </c>
      <c r="D14687">
        <v>8</v>
      </c>
      <c r="E14687">
        <f t="shared" si="229"/>
        <v>3.136521305733438E-30</v>
      </c>
    </row>
    <row r="14688" spans="1:5" x14ac:dyDescent="0.25">
      <c r="A14688">
        <v>21</v>
      </c>
      <c r="B14688">
        <v>8</v>
      </c>
      <c r="C14688">
        <v>12</v>
      </c>
      <c r="D14688">
        <v>7</v>
      </c>
      <c r="E14688">
        <f t="shared" si="229"/>
        <v>6.273042611466874E-30</v>
      </c>
    </row>
    <row r="14689" spans="1:5" x14ac:dyDescent="0.25">
      <c r="A14689">
        <v>21</v>
      </c>
      <c r="B14689">
        <v>8</v>
      </c>
      <c r="C14689">
        <v>13</v>
      </c>
      <c r="D14689">
        <v>6</v>
      </c>
      <c r="E14689">
        <f t="shared" si="229"/>
        <v>9.4222623840251428E-30</v>
      </c>
    </row>
    <row r="14690" spans="1:5" x14ac:dyDescent="0.25">
      <c r="A14690">
        <v>21</v>
      </c>
      <c r="B14690">
        <v>8</v>
      </c>
      <c r="C14690">
        <v>14</v>
      </c>
      <c r="D14690">
        <v>5</v>
      </c>
      <c r="E14690">
        <f t="shared" si="229"/>
        <v>1.0499092370770875E-29</v>
      </c>
    </row>
    <row r="14691" spans="1:5" x14ac:dyDescent="0.25">
      <c r="A14691">
        <v>21</v>
      </c>
      <c r="B14691">
        <v>8</v>
      </c>
      <c r="C14691">
        <v>15</v>
      </c>
      <c r="D14691">
        <v>4</v>
      </c>
      <c r="E14691">
        <f t="shared" si="229"/>
        <v>8.4992652525288019E-30</v>
      </c>
    </row>
    <row r="14692" spans="1:5" x14ac:dyDescent="0.25">
      <c r="A14692">
        <v>21</v>
      </c>
      <c r="B14692">
        <v>8</v>
      </c>
      <c r="C14692">
        <v>16</v>
      </c>
      <c r="D14692">
        <v>3</v>
      </c>
      <c r="E14692">
        <f t="shared" si="229"/>
        <v>4.8291279843913648E-30</v>
      </c>
    </row>
    <row r="14693" spans="1:5" x14ac:dyDescent="0.25">
      <c r="A14693">
        <v>21</v>
      </c>
      <c r="B14693">
        <v>8</v>
      </c>
      <c r="C14693">
        <v>17</v>
      </c>
      <c r="D14693">
        <v>2</v>
      </c>
      <c r="E14693">
        <f t="shared" si="229"/>
        <v>1.8155545107558341E-30</v>
      </c>
    </row>
    <row r="14694" spans="1:5" x14ac:dyDescent="0.25">
      <c r="A14694">
        <v>21</v>
      </c>
      <c r="B14694">
        <v>8</v>
      </c>
      <c r="C14694">
        <v>18</v>
      </c>
      <c r="D14694">
        <v>1</v>
      </c>
      <c r="E14694">
        <f t="shared" si="229"/>
        <v>4.0345655794574048E-31</v>
      </c>
    </row>
    <row r="14695" spans="1:5" x14ac:dyDescent="0.25">
      <c r="A14695">
        <v>21</v>
      </c>
      <c r="B14695">
        <v>8</v>
      </c>
      <c r="C14695">
        <v>19</v>
      </c>
      <c r="D14695">
        <v>0</v>
      </c>
      <c r="E14695">
        <f t="shared" si="229"/>
        <v>3.9920964680946971E-32</v>
      </c>
    </row>
    <row r="14696" spans="1:5" x14ac:dyDescent="0.25">
      <c r="A14696">
        <v>21</v>
      </c>
      <c r="B14696">
        <v>9</v>
      </c>
      <c r="C14696">
        <v>0</v>
      </c>
      <c r="D14696">
        <v>18</v>
      </c>
      <c r="E14696">
        <f t="shared" si="229"/>
        <v>4.862650096371731E-41</v>
      </c>
    </row>
    <row r="14697" spans="1:5" x14ac:dyDescent="0.25">
      <c r="A14697">
        <v>21</v>
      </c>
      <c r="B14697">
        <v>9</v>
      </c>
      <c r="C14697">
        <v>1</v>
      </c>
      <c r="D14697">
        <v>17</v>
      </c>
      <c r="E14697">
        <f t="shared" si="229"/>
        <v>7.1116257659436559E-39</v>
      </c>
    </row>
    <row r="14698" spans="1:5" x14ac:dyDescent="0.25">
      <c r="A14698">
        <v>21</v>
      </c>
      <c r="B14698">
        <v>9</v>
      </c>
      <c r="C14698">
        <v>2</v>
      </c>
      <c r="D14698">
        <v>16</v>
      </c>
      <c r="E14698">
        <f t="shared" si="229"/>
        <v>4.2985826851926097E-37</v>
      </c>
    </row>
    <row r="14699" spans="1:5" x14ac:dyDescent="0.25">
      <c r="A14699">
        <v>21</v>
      </c>
      <c r="B14699">
        <v>9</v>
      </c>
      <c r="C14699">
        <v>3</v>
      </c>
      <c r="D14699">
        <v>15</v>
      </c>
      <c r="E14699">
        <f t="shared" si="229"/>
        <v>1.4443237822247167E-35</v>
      </c>
    </row>
    <row r="14700" spans="1:5" x14ac:dyDescent="0.25">
      <c r="A14700">
        <v>21</v>
      </c>
      <c r="B14700">
        <v>9</v>
      </c>
      <c r="C14700">
        <v>4</v>
      </c>
      <c r="D14700">
        <v>14</v>
      </c>
      <c r="E14700">
        <f t="shared" si="229"/>
        <v>3.0527752669749693E-34</v>
      </c>
    </row>
    <row r="14701" spans="1:5" x14ac:dyDescent="0.25">
      <c r="A14701">
        <v>21</v>
      </c>
      <c r="B14701">
        <v>9</v>
      </c>
      <c r="C14701">
        <v>5</v>
      </c>
      <c r="D14701">
        <v>13</v>
      </c>
      <c r="E14701">
        <f t="shared" si="229"/>
        <v>4.3451167966610407E-33</v>
      </c>
    </row>
    <row r="14702" spans="1:5" x14ac:dyDescent="0.25">
      <c r="A14702">
        <v>21</v>
      </c>
      <c r="B14702">
        <v>9</v>
      </c>
      <c r="C14702">
        <v>6</v>
      </c>
      <c r="D14702">
        <v>12</v>
      </c>
      <c r="E14702">
        <f t="shared" si="229"/>
        <v>4.3451167966610403E-32</v>
      </c>
    </row>
    <row r="14703" spans="1:5" x14ac:dyDescent="0.25">
      <c r="A14703">
        <v>21</v>
      </c>
      <c r="B14703">
        <v>9</v>
      </c>
      <c r="C14703">
        <v>7</v>
      </c>
      <c r="D14703">
        <v>11</v>
      </c>
      <c r="E14703">
        <f t="shared" si="229"/>
        <v>3.1391251959551188E-31</v>
      </c>
    </row>
    <row r="14704" spans="1:5" x14ac:dyDescent="0.25">
      <c r="A14704">
        <v>21</v>
      </c>
      <c r="B14704">
        <v>9</v>
      </c>
      <c r="C14704">
        <v>8</v>
      </c>
      <c r="D14704">
        <v>10</v>
      </c>
      <c r="E14704">
        <f t="shared" si="229"/>
        <v>1.6689682291828049E-30</v>
      </c>
    </row>
    <row r="14705" spans="1:5" x14ac:dyDescent="0.25">
      <c r="A14705">
        <v>21</v>
      </c>
      <c r="B14705">
        <v>9</v>
      </c>
      <c r="C14705">
        <v>9</v>
      </c>
      <c r="D14705">
        <v>9</v>
      </c>
      <c r="E14705">
        <f t="shared" si="229"/>
        <v>6.6063325738486016E-30</v>
      </c>
    </row>
    <row r="14706" spans="1:5" x14ac:dyDescent="0.25">
      <c r="A14706">
        <v>21</v>
      </c>
      <c r="B14706">
        <v>9</v>
      </c>
      <c r="C14706">
        <v>10</v>
      </c>
      <c r="D14706">
        <v>8</v>
      </c>
      <c r="E14706">
        <f t="shared" si="229"/>
        <v>1.9585833042468796E-29</v>
      </c>
    </row>
    <row r="14707" spans="1:5" x14ac:dyDescent="0.25">
      <c r="A14707">
        <v>21</v>
      </c>
      <c r="B14707">
        <v>9</v>
      </c>
      <c r="C14707">
        <v>11</v>
      </c>
      <c r="D14707">
        <v>7</v>
      </c>
      <c r="E14707">
        <f t="shared" si="229"/>
        <v>4.3524073427708467E-29</v>
      </c>
    </row>
    <row r="14708" spans="1:5" x14ac:dyDescent="0.25">
      <c r="A14708">
        <v>21</v>
      </c>
      <c r="B14708">
        <v>9</v>
      </c>
      <c r="C14708">
        <v>12</v>
      </c>
      <c r="D14708">
        <v>6</v>
      </c>
      <c r="E14708">
        <f t="shared" si="229"/>
        <v>7.2158332261727112E-29</v>
      </c>
    </row>
    <row r="14709" spans="1:5" x14ac:dyDescent="0.25">
      <c r="A14709">
        <v>21</v>
      </c>
      <c r="B14709">
        <v>9</v>
      </c>
      <c r="C14709">
        <v>13</v>
      </c>
      <c r="D14709">
        <v>5</v>
      </c>
      <c r="E14709">
        <f t="shared" si="229"/>
        <v>8.82551909970355E-29</v>
      </c>
    </row>
    <row r="14710" spans="1:5" x14ac:dyDescent="0.25">
      <c r="A14710">
        <v>21</v>
      </c>
      <c r="B14710">
        <v>9</v>
      </c>
      <c r="C14710">
        <v>14</v>
      </c>
      <c r="D14710">
        <v>4</v>
      </c>
      <c r="E14710">
        <f t="shared" si="229"/>
        <v>7.8048808364725313E-29</v>
      </c>
    </row>
    <row r="14711" spans="1:5" x14ac:dyDescent="0.25">
      <c r="A14711">
        <v>21</v>
      </c>
      <c r="B14711">
        <v>9</v>
      </c>
      <c r="C14711">
        <v>15</v>
      </c>
      <c r="D14711">
        <v>3</v>
      </c>
      <c r="E14711">
        <f t="shared" si="229"/>
        <v>4.8248354261830167E-29</v>
      </c>
    </row>
    <row r="14712" spans="1:5" x14ac:dyDescent="0.25">
      <c r="A14712">
        <v>21</v>
      </c>
      <c r="B14712">
        <v>9</v>
      </c>
      <c r="C14712">
        <v>16</v>
      </c>
      <c r="D14712">
        <v>2</v>
      </c>
      <c r="E14712">
        <f t="shared" si="229"/>
        <v>1.9666448748028605E-29</v>
      </c>
    </row>
    <row r="14713" spans="1:5" x14ac:dyDescent="0.25">
      <c r="A14713">
        <v>21</v>
      </c>
      <c r="B14713">
        <v>9</v>
      </c>
      <c r="C14713">
        <v>17</v>
      </c>
      <c r="D14713">
        <v>1</v>
      </c>
      <c r="E14713">
        <f t="shared" si="229"/>
        <v>4.7238038659480495E-30</v>
      </c>
    </row>
    <row r="14714" spans="1:5" x14ac:dyDescent="0.25">
      <c r="A14714">
        <v>21</v>
      </c>
      <c r="B14714">
        <v>9</v>
      </c>
      <c r="C14714">
        <v>18</v>
      </c>
      <c r="D14714">
        <v>0</v>
      </c>
      <c r="E14714">
        <f t="shared" si="229"/>
        <v>5.0387241236779141E-31</v>
      </c>
    </row>
    <row r="14715" spans="1:5" x14ac:dyDescent="0.25">
      <c r="A14715">
        <v>21</v>
      </c>
      <c r="B14715">
        <v>10</v>
      </c>
      <c r="C14715">
        <v>0</v>
      </c>
      <c r="D14715">
        <v>17</v>
      </c>
      <c r="E14715">
        <f t="shared" si="229"/>
        <v>3.0634695607141903E-39</v>
      </c>
    </row>
    <row r="14716" spans="1:5" x14ac:dyDescent="0.25">
      <c r="A14716">
        <v>21</v>
      </c>
      <c r="B14716">
        <v>10</v>
      </c>
      <c r="C14716">
        <v>1</v>
      </c>
      <c r="D14716">
        <v>16</v>
      </c>
      <c r="E14716">
        <f t="shared" si="229"/>
        <v>3.7612598495435338E-37</v>
      </c>
    </row>
    <row r="14717" spans="1:5" x14ac:dyDescent="0.25">
      <c r="A14717">
        <v>21</v>
      </c>
      <c r="B14717">
        <v>10</v>
      </c>
      <c r="C14717">
        <v>2</v>
      </c>
      <c r="D14717">
        <v>15</v>
      </c>
      <c r="E14717">
        <f t="shared" si="229"/>
        <v>1.925765042966289E-35</v>
      </c>
    </row>
    <row r="14718" spans="1:5" x14ac:dyDescent="0.25">
      <c r="A14718">
        <v>21</v>
      </c>
      <c r="B14718">
        <v>10</v>
      </c>
      <c r="C14718">
        <v>3</v>
      </c>
      <c r="D14718">
        <v>14</v>
      </c>
      <c r="E14718">
        <f t="shared" si="229"/>
        <v>5.5146908048580107E-34</v>
      </c>
    </row>
    <row r="14719" spans="1:5" x14ac:dyDescent="0.25">
      <c r="A14719">
        <v>21</v>
      </c>
      <c r="B14719">
        <v>10</v>
      </c>
      <c r="C14719">
        <v>4</v>
      </c>
      <c r="D14719">
        <v>13</v>
      </c>
      <c r="E14719">
        <f t="shared" si="229"/>
        <v>9.9723992054515721E-33</v>
      </c>
    </row>
    <row r="14720" spans="1:5" x14ac:dyDescent="0.25">
      <c r="A14720">
        <v>21</v>
      </c>
      <c r="B14720">
        <v>10</v>
      </c>
      <c r="C14720">
        <v>5</v>
      </c>
      <c r="D14720">
        <v>12</v>
      </c>
      <c r="E14720">
        <f t="shared" si="229"/>
        <v>1.2166327030650916E-31</v>
      </c>
    </row>
    <row r="14721" spans="1:5" x14ac:dyDescent="0.25">
      <c r="A14721">
        <v>21</v>
      </c>
      <c r="B14721">
        <v>10</v>
      </c>
      <c r="C14721">
        <v>6</v>
      </c>
      <c r="D14721">
        <v>11</v>
      </c>
      <c r="E14721">
        <f t="shared" si="229"/>
        <v>1.0428280311986497E-30</v>
      </c>
    </row>
    <row r="14722" spans="1:5" x14ac:dyDescent="0.25">
      <c r="A14722">
        <v>21</v>
      </c>
      <c r="B14722">
        <v>10</v>
      </c>
      <c r="C14722">
        <v>7</v>
      </c>
      <c r="D14722">
        <v>10</v>
      </c>
      <c r="E14722">
        <f t="shared" si="229"/>
        <v>6.445670402361177E-30</v>
      </c>
    </row>
    <row r="14723" spans="1:5" x14ac:dyDescent="0.25">
      <c r="A14723">
        <v>21</v>
      </c>
      <c r="B14723">
        <v>10</v>
      </c>
      <c r="C14723">
        <v>8</v>
      </c>
      <c r="D14723">
        <v>9</v>
      </c>
      <c r="E14723">
        <f t="shared" si="229"/>
        <v>2.9206944010699091E-29</v>
      </c>
    </row>
    <row r="14724" spans="1:5" x14ac:dyDescent="0.25">
      <c r="A14724">
        <v>21</v>
      </c>
      <c r="B14724">
        <v>10</v>
      </c>
      <c r="C14724">
        <v>9</v>
      </c>
      <c r="D14724">
        <v>8</v>
      </c>
      <c r="E14724">
        <f t="shared" si="229"/>
        <v>9.7929165212343996E-29</v>
      </c>
    </row>
    <row r="14725" spans="1:5" x14ac:dyDescent="0.25">
      <c r="A14725">
        <v>21</v>
      </c>
      <c r="B14725">
        <v>10</v>
      </c>
      <c r="C14725">
        <v>10</v>
      </c>
      <c r="D14725">
        <v>7</v>
      </c>
      <c r="E14725">
        <f t="shared" si="229"/>
        <v>2.4373481119516738E-28</v>
      </c>
    </row>
    <row r="14726" spans="1:5" x14ac:dyDescent="0.25">
      <c r="A14726">
        <v>21</v>
      </c>
      <c r="B14726">
        <v>10</v>
      </c>
      <c r="C14726">
        <v>11</v>
      </c>
      <c r="D14726">
        <v>6</v>
      </c>
      <c r="E14726">
        <f t="shared" si="229"/>
        <v>4.4898517851741342E-28</v>
      </c>
    </row>
    <row r="14727" spans="1:5" x14ac:dyDescent="0.25">
      <c r="A14727">
        <v>21</v>
      </c>
      <c r="B14727">
        <v>10</v>
      </c>
      <c r="C14727">
        <v>12</v>
      </c>
      <c r="D14727">
        <v>5</v>
      </c>
      <c r="E14727">
        <f t="shared" si="229"/>
        <v>6.0612999099850777E-28</v>
      </c>
    </row>
    <row r="14728" spans="1:5" x14ac:dyDescent="0.25">
      <c r="A14728">
        <v>21</v>
      </c>
      <c r="B14728">
        <v>10</v>
      </c>
      <c r="C14728">
        <v>13</v>
      </c>
      <c r="D14728">
        <v>4</v>
      </c>
      <c r="E14728">
        <f t="shared" si="229"/>
        <v>5.8836793998023699E-28</v>
      </c>
    </row>
    <row r="14729" spans="1:5" x14ac:dyDescent="0.25">
      <c r="A14729">
        <v>21</v>
      </c>
      <c r="B14729">
        <v>10</v>
      </c>
      <c r="C14729">
        <v>14</v>
      </c>
      <c r="D14729">
        <v>3</v>
      </c>
      <c r="E14729">
        <f t="shared" si="229"/>
        <v>3.9733938803860157E-28</v>
      </c>
    </row>
    <row r="14730" spans="1:5" x14ac:dyDescent="0.25">
      <c r="A14730">
        <v>21</v>
      </c>
      <c r="B14730">
        <v>10</v>
      </c>
      <c r="C14730">
        <v>15</v>
      </c>
      <c r="D14730">
        <v>2</v>
      </c>
      <c r="E14730">
        <f t="shared" si="229"/>
        <v>1.7621138078233627E-28</v>
      </c>
    </row>
    <row r="14731" spans="1:5" x14ac:dyDescent="0.25">
      <c r="A14731">
        <v>21</v>
      </c>
      <c r="B14731">
        <v>10</v>
      </c>
      <c r="C14731">
        <v>16</v>
      </c>
      <c r="D14731">
        <v>1</v>
      </c>
      <c r="E14731">
        <f t="shared" si="229"/>
        <v>4.5888380412066743E-29</v>
      </c>
    </row>
    <row r="14732" spans="1:5" x14ac:dyDescent="0.25">
      <c r="A14732">
        <v>21</v>
      </c>
      <c r="B14732">
        <v>10</v>
      </c>
      <c r="C14732">
        <v>17</v>
      </c>
      <c r="D14732">
        <v>0</v>
      </c>
      <c r="E14732">
        <f t="shared" si="229"/>
        <v>5.2906603298618163E-30</v>
      </c>
    </row>
    <row r="14733" spans="1:5" x14ac:dyDescent="0.25">
      <c r="A14733">
        <v>21</v>
      </c>
      <c r="B14733">
        <v>11</v>
      </c>
      <c r="C14733">
        <v>0</v>
      </c>
      <c r="D14733">
        <v>16</v>
      </c>
      <c r="E14733">
        <f t="shared" si="229"/>
        <v>1.4676804168148891E-37</v>
      </c>
    </row>
    <row r="14734" spans="1:5" x14ac:dyDescent="0.25">
      <c r="A14734">
        <v>21</v>
      </c>
      <c r="B14734">
        <v>11</v>
      </c>
      <c r="C14734">
        <v>1</v>
      </c>
      <c r="D14734">
        <v>15</v>
      </c>
      <c r="E14734">
        <f t="shared" ref="E14734:E14797" si="230">COMBIN(A$4,A14734)*COMBIN(B$4,B14734)*COMBIN(C$4,C14734)*COMBIN(D$4,D14734)/COMBIN($G$4,$F$4)</f>
        <v>1.5263876334874845E-35</v>
      </c>
    </row>
    <row r="14735" spans="1:5" x14ac:dyDescent="0.25">
      <c r="A14735">
        <v>21</v>
      </c>
      <c r="B14735">
        <v>11</v>
      </c>
      <c r="C14735">
        <v>2</v>
      </c>
      <c r="D14735">
        <v>14</v>
      </c>
      <c r="E14735">
        <f t="shared" si="230"/>
        <v>6.660600582490842E-34</v>
      </c>
    </row>
    <row r="14736" spans="1:5" x14ac:dyDescent="0.25">
      <c r="A14736">
        <v>21</v>
      </c>
      <c r="B14736">
        <v>11</v>
      </c>
      <c r="C14736">
        <v>3</v>
      </c>
      <c r="D14736">
        <v>13</v>
      </c>
      <c r="E14736">
        <f t="shared" si="230"/>
        <v>1.6318471427102566E-32</v>
      </c>
    </row>
    <row r="14737" spans="1:5" x14ac:dyDescent="0.25">
      <c r="A14737">
        <v>21</v>
      </c>
      <c r="B14737">
        <v>11</v>
      </c>
      <c r="C14737">
        <v>4</v>
      </c>
      <c r="D14737">
        <v>12</v>
      </c>
      <c r="E14737">
        <f t="shared" si="230"/>
        <v>2.5293630712008982E-31</v>
      </c>
    </row>
    <row r="14738" spans="1:5" x14ac:dyDescent="0.25">
      <c r="A14738">
        <v>21</v>
      </c>
      <c r="B14738">
        <v>11</v>
      </c>
      <c r="C14738">
        <v>5</v>
      </c>
      <c r="D14738">
        <v>11</v>
      </c>
      <c r="E14738">
        <f t="shared" si="230"/>
        <v>2.6449910973129389E-30</v>
      </c>
    </row>
    <row r="14739" spans="1:5" x14ac:dyDescent="0.25">
      <c r="A14739">
        <v>21</v>
      </c>
      <c r="B14739">
        <v>11</v>
      </c>
      <c r="C14739">
        <v>6</v>
      </c>
      <c r="D14739">
        <v>10</v>
      </c>
      <c r="E14739">
        <f t="shared" si="230"/>
        <v>1.939660138029488E-29</v>
      </c>
    </row>
    <row r="14740" spans="1:5" x14ac:dyDescent="0.25">
      <c r="A14740">
        <v>21</v>
      </c>
      <c r="B14740">
        <v>11</v>
      </c>
      <c r="C14740">
        <v>7</v>
      </c>
      <c r="D14740">
        <v>9</v>
      </c>
      <c r="E14740">
        <f t="shared" si="230"/>
        <v>1.0217852512833911E-28</v>
      </c>
    </row>
    <row r="14741" spans="1:5" x14ac:dyDescent="0.25">
      <c r="A14741">
        <v>21</v>
      </c>
      <c r="B14741">
        <v>11</v>
      </c>
      <c r="C14741">
        <v>8</v>
      </c>
      <c r="D14741">
        <v>8</v>
      </c>
      <c r="E14741">
        <f t="shared" si="230"/>
        <v>3.9218522144847809E-28</v>
      </c>
    </row>
    <row r="14742" spans="1:5" x14ac:dyDescent="0.25">
      <c r="A14742">
        <v>21</v>
      </c>
      <c r="B14742">
        <v>11</v>
      </c>
      <c r="C14742">
        <v>9</v>
      </c>
      <c r="D14742">
        <v>7</v>
      </c>
      <c r="E14742">
        <f t="shared" si="230"/>
        <v>1.1039287714846051E-27</v>
      </c>
    </row>
    <row r="14743" spans="1:5" x14ac:dyDescent="0.25">
      <c r="A14743">
        <v>21</v>
      </c>
      <c r="B14743">
        <v>11</v>
      </c>
      <c r="C14743">
        <v>10</v>
      </c>
      <c r="D14743">
        <v>6</v>
      </c>
      <c r="E14743">
        <f t="shared" si="230"/>
        <v>2.2775793601156061E-27</v>
      </c>
    </row>
    <row r="14744" spans="1:5" x14ac:dyDescent="0.25">
      <c r="A14744">
        <v>21</v>
      </c>
      <c r="B14744">
        <v>11</v>
      </c>
      <c r="C14744">
        <v>11</v>
      </c>
      <c r="D14744">
        <v>5</v>
      </c>
      <c r="E14744">
        <f t="shared" si="230"/>
        <v>3.416369040173409E-27</v>
      </c>
    </row>
    <row r="14745" spans="1:5" x14ac:dyDescent="0.25">
      <c r="A14745">
        <v>21</v>
      </c>
      <c r="B14745">
        <v>11</v>
      </c>
      <c r="C14745">
        <v>12</v>
      </c>
      <c r="D14745">
        <v>4</v>
      </c>
      <c r="E14745">
        <f t="shared" si="230"/>
        <v>3.6603954001857949E-27</v>
      </c>
    </row>
    <row r="14746" spans="1:5" x14ac:dyDescent="0.25">
      <c r="A14746">
        <v>21</v>
      </c>
      <c r="B14746">
        <v>11</v>
      </c>
      <c r="C14746">
        <v>13</v>
      </c>
      <c r="D14746">
        <v>3</v>
      </c>
      <c r="E14746">
        <f t="shared" si="230"/>
        <v>2.7133000868510093E-27</v>
      </c>
    </row>
    <row r="14747" spans="1:5" x14ac:dyDescent="0.25">
      <c r="A14747">
        <v>21</v>
      </c>
      <c r="B14747">
        <v>11</v>
      </c>
      <c r="C14747">
        <v>14</v>
      </c>
      <c r="D14747">
        <v>2</v>
      </c>
      <c r="E14747">
        <f t="shared" si="230"/>
        <v>1.3145180544992467E-27</v>
      </c>
    </row>
    <row r="14748" spans="1:5" x14ac:dyDescent="0.25">
      <c r="A14748">
        <v>21</v>
      </c>
      <c r="B14748">
        <v>11</v>
      </c>
      <c r="C14748">
        <v>15</v>
      </c>
      <c r="D14748">
        <v>1</v>
      </c>
      <c r="E14748">
        <f t="shared" si="230"/>
        <v>3.7244678210811981E-28</v>
      </c>
    </row>
    <row r="14749" spans="1:5" x14ac:dyDescent="0.25">
      <c r="A14749">
        <v>21</v>
      </c>
      <c r="B14749">
        <v>11</v>
      </c>
      <c r="C14749">
        <v>16</v>
      </c>
      <c r="D14749">
        <v>0</v>
      </c>
      <c r="E14749">
        <f t="shared" si="230"/>
        <v>4.6555847763514982E-29</v>
      </c>
    </row>
    <row r="14750" spans="1:5" x14ac:dyDescent="0.25">
      <c r="A14750">
        <v>21</v>
      </c>
      <c r="B14750">
        <v>12</v>
      </c>
      <c r="C14750">
        <v>0</v>
      </c>
      <c r="D14750">
        <v>15</v>
      </c>
      <c r="E14750">
        <f t="shared" si="230"/>
        <v>5.4402020783271879E-36</v>
      </c>
    </row>
    <row r="14751" spans="1:5" x14ac:dyDescent="0.25">
      <c r="A14751">
        <v>21</v>
      </c>
      <c r="B14751">
        <v>12</v>
      </c>
      <c r="C14751">
        <v>1</v>
      </c>
      <c r="D14751">
        <v>14</v>
      </c>
      <c r="E14751">
        <f t="shared" si="230"/>
        <v>4.8219972966991001E-34</v>
      </c>
    </row>
    <row r="14752" spans="1:5" x14ac:dyDescent="0.25">
      <c r="A14752">
        <v>21</v>
      </c>
      <c r="B14752">
        <v>12</v>
      </c>
      <c r="C14752">
        <v>2</v>
      </c>
      <c r="D14752">
        <v>13</v>
      </c>
      <c r="E14752">
        <f t="shared" si="230"/>
        <v>1.8002123241009976E-32</v>
      </c>
    </row>
    <row r="14753" spans="1:5" x14ac:dyDescent="0.25">
      <c r="A14753">
        <v>21</v>
      </c>
      <c r="B14753">
        <v>12</v>
      </c>
      <c r="C14753">
        <v>3</v>
      </c>
      <c r="D14753">
        <v>12</v>
      </c>
      <c r="E14753">
        <f t="shared" si="230"/>
        <v>3.780445880612094E-31</v>
      </c>
    </row>
    <row r="14754" spans="1:5" x14ac:dyDescent="0.25">
      <c r="A14754">
        <v>21</v>
      </c>
      <c r="B14754">
        <v>12</v>
      </c>
      <c r="C14754">
        <v>4</v>
      </c>
      <c r="D14754">
        <v>11</v>
      </c>
      <c r="E14754">
        <f t="shared" si="230"/>
        <v>5.0225923842417818E-30</v>
      </c>
    </row>
    <row r="14755" spans="1:5" x14ac:dyDescent="0.25">
      <c r="A14755">
        <v>21</v>
      </c>
      <c r="B14755">
        <v>12</v>
      </c>
      <c r="C14755">
        <v>5</v>
      </c>
      <c r="D14755">
        <v>10</v>
      </c>
      <c r="E14755">
        <f t="shared" si="230"/>
        <v>4.4935459864349808E-29</v>
      </c>
    </row>
    <row r="14756" spans="1:5" x14ac:dyDescent="0.25">
      <c r="A14756">
        <v>21</v>
      </c>
      <c r="B14756">
        <v>12</v>
      </c>
      <c r="C14756">
        <v>6</v>
      </c>
      <c r="D14756">
        <v>9</v>
      </c>
      <c r="E14756">
        <f t="shared" si="230"/>
        <v>2.8084662415218629E-28</v>
      </c>
    </row>
    <row r="14757" spans="1:5" x14ac:dyDescent="0.25">
      <c r="A14757">
        <v>21</v>
      </c>
      <c r="B14757">
        <v>12</v>
      </c>
      <c r="C14757">
        <v>7</v>
      </c>
      <c r="D14757">
        <v>8</v>
      </c>
      <c r="E14757">
        <f t="shared" si="230"/>
        <v>1.2531895581916884E-27</v>
      </c>
    </row>
    <row r="14758" spans="1:5" x14ac:dyDescent="0.25">
      <c r="A14758">
        <v>21</v>
      </c>
      <c r="B14758">
        <v>12</v>
      </c>
      <c r="C14758">
        <v>8</v>
      </c>
      <c r="D14758">
        <v>7</v>
      </c>
      <c r="E14758">
        <f t="shared" si="230"/>
        <v>4.038055243062109E-27</v>
      </c>
    </row>
    <row r="14759" spans="1:5" x14ac:dyDescent="0.25">
      <c r="A14759">
        <v>21</v>
      </c>
      <c r="B14759">
        <v>12</v>
      </c>
      <c r="C14759">
        <v>9</v>
      </c>
      <c r="D14759">
        <v>6</v>
      </c>
      <c r="E14759">
        <f t="shared" si="230"/>
        <v>9.4221289004782489E-27</v>
      </c>
    </row>
    <row r="14760" spans="1:5" x14ac:dyDescent="0.25">
      <c r="A14760">
        <v>21</v>
      </c>
      <c r="B14760">
        <v>12</v>
      </c>
      <c r="C14760">
        <v>10</v>
      </c>
      <c r="D14760">
        <v>5</v>
      </c>
      <c r="E14760">
        <f t="shared" si="230"/>
        <v>1.582917655280346E-26</v>
      </c>
    </row>
    <row r="14761" spans="1:5" x14ac:dyDescent="0.25">
      <c r="A14761">
        <v>21</v>
      </c>
      <c r="B14761">
        <v>12</v>
      </c>
      <c r="C14761">
        <v>11</v>
      </c>
      <c r="D14761">
        <v>4</v>
      </c>
      <c r="E14761">
        <f t="shared" si="230"/>
        <v>1.8844257800956506E-26</v>
      </c>
    </row>
    <row r="14762" spans="1:5" x14ac:dyDescent="0.25">
      <c r="A14762">
        <v>21</v>
      </c>
      <c r="B14762">
        <v>12</v>
      </c>
      <c r="C14762">
        <v>12</v>
      </c>
      <c r="D14762">
        <v>3</v>
      </c>
      <c r="E14762">
        <f t="shared" si="230"/>
        <v>1.5418029109873494E-26</v>
      </c>
    </row>
    <row r="14763" spans="1:5" x14ac:dyDescent="0.25">
      <c r="A14763">
        <v>21</v>
      </c>
      <c r="B14763">
        <v>12</v>
      </c>
      <c r="C14763">
        <v>13</v>
      </c>
      <c r="D14763">
        <v>2</v>
      </c>
      <c r="E14763">
        <f t="shared" si="230"/>
        <v>8.198885045049788E-27</v>
      </c>
    </row>
    <row r="14764" spans="1:5" x14ac:dyDescent="0.25">
      <c r="A14764">
        <v>21</v>
      </c>
      <c r="B14764">
        <v>12</v>
      </c>
      <c r="C14764">
        <v>14</v>
      </c>
      <c r="D14764">
        <v>1</v>
      </c>
      <c r="E14764">
        <f t="shared" si="230"/>
        <v>2.5377501329916013E-27</v>
      </c>
    </row>
    <row r="14765" spans="1:5" x14ac:dyDescent="0.25">
      <c r="A14765">
        <v>21</v>
      </c>
      <c r="B14765">
        <v>12</v>
      </c>
      <c r="C14765">
        <v>15</v>
      </c>
      <c r="D14765">
        <v>0</v>
      </c>
      <c r="E14765">
        <f t="shared" si="230"/>
        <v>3.4513401808685765E-28</v>
      </c>
    </row>
    <row r="14766" spans="1:5" x14ac:dyDescent="0.25">
      <c r="A14766">
        <v>21</v>
      </c>
      <c r="B14766">
        <v>13</v>
      </c>
      <c r="C14766">
        <v>0</v>
      </c>
      <c r="D14766">
        <v>14</v>
      </c>
      <c r="E14766">
        <f t="shared" si="230"/>
        <v>1.5807020724090541E-34</v>
      </c>
    </row>
    <row r="14767" spans="1:5" x14ac:dyDescent="0.25">
      <c r="A14767">
        <v>21</v>
      </c>
      <c r="B14767">
        <v>13</v>
      </c>
      <c r="C14767">
        <v>1</v>
      </c>
      <c r="D14767">
        <v>13</v>
      </c>
      <c r="E14767">
        <f t="shared" si="230"/>
        <v>1.1986990715768662E-32</v>
      </c>
    </row>
    <row r="14768" spans="1:5" x14ac:dyDescent="0.25">
      <c r="A14768">
        <v>21</v>
      </c>
      <c r="B14768">
        <v>13</v>
      </c>
      <c r="C14768">
        <v>2</v>
      </c>
      <c r="D14768">
        <v>12</v>
      </c>
      <c r="E14768">
        <f t="shared" si="230"/>
        <v>3.835837029045972E-31</v>
      </c>
    </row>
    <row r="14769" spans="1:5" x14ac:dyDescent="0.25">
      <c r="A14769">
        <v>21</v>
      </c>
      <c r="B14769">
        <v>13</v>
      </c>
      <c r="C14769">
        <v>3</v>
      </c>
      <c r="D14769">
        <v>11</v>
      </c>
      <c r="E14769">
        <f t="shared" si="230"/>
        <v>6.9045066522827471E-30</v>
      </c>
    </row>
    <row r="14770" spans="1:5" x14ac:dyDescent="0.25">
      <c r="A14770">
        <v>21</v>
      </c>
      <c r="B14770">
        <v>13</v>
      </c>
      <c r="C14770">
        <v>4</v>
      </c>
      <c r="D14770">
        <v>10</v>
      </c>
      <c r="E14770">
        <f t="shared" si="230"/>
        <v>7.8481225614280549E-29</v>
      </c>
    </row>
    <row r="14771" spans="1:5" x14ac:dyDescent="0.25">
      <c r="A14771">
        <v>21</v>
      </c>
      <c r="B14771">
        <v>13</v>
      </c>
      <c r="C14771">
        <v>5</v>
      </c>
      <c r="D14771">
        <v>9</v>
      </c>
      <c r="E14771">
        <f t="shared" si="230"/>
        <v>5.984193453088893E-28</v>
      </c>
    </row>
    <row r="14772" spans="1:5" x14ac:dyDescent="0.25">
      <c r="A14772">
        <v>21</v>
      </c>
      <c r="B14772">
        <v>13</v>
      </c>
      <c r="C14772">
        <v>6</v>
      </c>
      <c r="D14772">
        <v>8</v>
      </c>
      <c r="E14772">
        <f t="shared" si="230"/>
        <v>3.1681024163411788E-27</v>
      </c>
    </row>
    <row r="14773" spans="1:5" x14ac:dyDescent="0.25">
      <c r="A14773">
        <v>21</v>
      </c>
      <c r="B14773">
        <v>13</v>
      </c>
      <c r="C14773">
        <v>7</v>
      </c>
      <c r="D14773">
        <v>7</v>
      </c>
      <c r="E14773">
        <f t="shared" si="230"/>
        <v>1.1867812226293943E-26</v>
      </c>
    </row>
    <row r="14774" spans="1:5" x14ac:dyDescent="0.25">
      <c r="A14774">
        <v>21</v>
      </c>
      <c r="B14774">
        <v>13</v>
      </c>
      <c r="C14774">
        <v>8</v>
      </c>
      <c r="D14774">
        <v>6</v>
      </c>
      <c r="E14774">
        <f t="shared" si="230"/>
        <v>3.1699551078127235E-26</v>
      </c>
    </row>
    <row r="14775" spans="1:5" x14ac:dyDescent="0.25">
      <c r="A14775">
        <v>21</v>
      </c>
      <c r="B14775">
        <v>13</v>
      </c>
      <c r="C14775">
        <v>9</v>
      </c>
      <c r="D14775">
        <v>5</v>
      </c>
      <c r="E14775">
        <f t="shared" si="230"/>
        <v>6.0229147048441722E-26</v>
      </c>
    </row>
    <row r="14776" spans="1:5" x14ac:dyDescent="0.25">
      <c r="A14776">
        <v>21</v>
      </c>
      <c r="B14776">
        <v>13</v>
      </c>
      <c r="C14776">
        <v>10</v>
      </c>
      <c r="D14776">
        <v>4</v>
      </c>
      <c r="E14776">
        <f t="shared" si="230"/>
        <v>8.030552939792235E-26</v>
      </c>
    </row>
    <row r="14777" spans="1:5" x14ac:dyDescent="0.25">
      <c r="A14777">
        <v>21</v>
      </c>
      <c r="B14777">
        <v>13</v>
      </c>
      <c r="C14777">
        <v>11</v>
      </c>
      <c r="D14777">
        <v>3</v>
      </c>
      <c r="E14777">
        <f t="shared" si="230"/>
        <v>7.3005026725383949E-26</v>
      </c>
    </row>
    <row r="14778" spans="1:5" x14ac:dyDescent="0.25">
      <c r="A14778">
        <v>21</v>
      </c>
      <c r="B14778">
        <v>13</v>
      </c>
      <c r="C14778">
        <v>12</v>
      </c>
      <c r="D14778">
        <v>2</v>
      </c>
      <c r="E14778">
        <f t="shared" si="230"/>
        <v>4.2850776556203598E-26</v>
      </c>
    </row>
    <row r="14779" spans="1:5" x14ac:dyDescent="0.25">
      <c r="A14779">
        <v>21</v>
      </c>
      <c r="B14779">
        <v>13</v>
      </c>
      <c r="C14779">
        <v>13</v>
      </c>
      <c r="D14779">
        <v>1</v>
      </c>
      <c r="E14779">
        <f t="shared" si="230"/>
        <v>1.4558276650505073E-26</v>
      </c>
    </row>
    <row r="14780" spans="1:5" x14ac:dyDescent="0.25">
      <c r="A14780">
        <v>21</v>
      </c>
      <c r="B14780">
        <v>13</v>
      </c>
      <c r="C14780">
        <v>14</v>
      </c>
      <c r="D14780">
        <v>0</v>
      </c>
      <c r="E14780">
        <f t="shared" si="230"/>
        <v>2.1629439595036114E-27</v>
      </c>
    </row>
    <row r="14781" spans="1:5" x14ac:dyDescent="0.25">
      <c r="A14781">
        <v>21</v>
      </c>
      <c r="B14781">
        <v>14</v>
      </c>
      <c r="C14781">
        <v>0</v>
      </c>
      <c r="D14781">
        <v>13</v>
      </c>
      <c r="E14781">
        <f t="shared" si="230"/>
        <v>3.6356147665408242E-33</v>
      </c>
    </row>
    <row r="14782" spans="1:5" x14ac:dyDescent="0.25">
      <c r="A14782">
        <v>21</v>
      </c>
      <c r="B14782">
        <v>14</v>
      </c>
      <c r="C14782">
        <v>1</v>
      </c>
      <c r="D14782">
        <v>12</v>
      </c>
      <c r="E14782">
        <f t="shared" si="230"/>
        <v>2.3631495982515359E-31</v>
      </c>
    </row>
    <row r="14783" spans="1:5" x14ac:dyDescent="0.25">
      <c r="A14783">
        <v>21</v>
      </c>
      <c r="B14783">
        <v>14</v>
      </c>
      <c r="C14783">
        <v>2</v>
      </c>
      <c r="D14783">
        <v>11</v>
      </c>
      <c r="E14783">
        <f t="shared" si="230"/>
        <v>6.4817817552042117E-30</v>
      </c>
    </row>
    <row r="14784" spans="1:5" x14ac:dyDescent="0.25">
      <c r="A14784">
        <v>21</v>
      </c>
      <c r="B14784">
        <v>14</v>
      </c>
      <c r="C14784">
        <v>3</v>
      </c>
      <c r="D14784">
        <v>10</v>
      </c>
      <c r="E14784">
        <f t="shared" si="230"/>
        <v>9.9819439030144859E-29</v>
      </c>
    </row>
    <row r="14785" spans="1:5" x14ac:dyDescent="0.25">
      <c r="A14785">
        <v>21</v>
      </c>
      <c r="B14785">
        <v>14</v>
      </c>
      <c r="C14785">
        <v>4</v>
      </c>
      <c r="D14785">
        <v>9</v>
      </c>
      <c r="E14785">
        <f t="shared" si="230"/>
        <v>9.6700081560452826E-28</v>
      </c>
    </row>
    <row r="14786" spans="1:5" x14ac:dyDescent="0.25">
      <c r="A14786">
        <v>21</v>
      </c>
      <c r="B14786">
        <v>14</v>
      </c>
      <c r="C14786">
        <v>5</v>
      </c>
      <c r="D14786">
        <v>8</v>
      </c>
      <c r="E14786">
        <f t="shared" si="230"/>
        <v>6.2456876207868959E-27</v>
      </c>
    </row>
    <row r="14787" spans="1:5" x14ac:dyDescent="0.25">
      <c r="A14787">
        <v>21</v>
      </c>
      <c r="B14787">
        <v>14</v>
      </c>
      <c r="C14787">
        <v>6</v>
      </c>
      <c r="D14787">
        <v>7</v>
      </c>
      <c r="E14787">
        <f t="shared" si="230"/>
        <v>2.7758611647941759E-26</v>
      </c>
    </row>
    <row r="14788" spans="1:5" x14ac:dyDescent="0.25">
      <c r="A14788">
        <v>21</v>
      </c>
      <c r="B14788">
        <v>14</v>
      </c>
      <c r="C14788">
        <v>7</v>
      </c>
      <c r="D14788">
        <v>6</v>
      </c>
      <c r="E14788">
        <f t="shared" si="230"/>
        <v>8.6197794064661237E-26</v>
      </c>
    </row>
    <row r="14789" spans="1:5" x14ac:dyDescent="0.25">
      <c r="A14789">
        <v>21</v>
      </c>
      <c r="B14789">
        <v>14</v>
      </c>
      <c r="C14789">
        <v>8</v>
      </c>
      <c r="D14789">
        <v>5</v>
      </c>
      <c r="E14789">
        <f t="shared" si="230"/>
        <v>1.8748020209063822E-25</v>
      </c>
    </row>
    <row r="14790" spans="1:5" x14ac:dyDescent="0.25">
      <c r="A14790">
        <v>21</v>
      </c>
      <c r="B14790">
        <v>14</v>
      </c>
      <c r="C14790">
        <v>9</v>
      </c>
      <c r="D14790">
        <v>4</v>
      </c>
      <c r="E14790">
        <f t="shared" si="230"/>
        <v>2.8270824124778777E-25</v>
      </c>
    </row>
    <row r="14791" spans="1:5" x14ac:dyDescent="0.25">
      <c r="A14791">
        <v>21</v>
      </c>
      <c r="B14791">
        <v>14</v>
      </c>
      <c r="C14791">
        <v>10</v>
      </c>
      <c r="D14791">
        <v>3</v>
      </c>
      <c r="E14791">
        <f t="shared" si="230"/>
        <v>2.8784839108865667E-25</v>
      </c>
    </row>
    <row r="14792" spans="1:5" x14ac:dyDescent="0.25">
      <c r="A14792">
        <v>21</v>
      </c>
      <c r="B14792">
        <v>14</v>
      </c>
      <c r="C14792">
        <v>11</v>
      </c>
      <c r="D14792">
        <v>2</v>
      </c>
      <c r="E14792">
        <f t="shared" si="230"/>
        <v>1.8772721157955872E-25</v>
      </c>
    </row>
    <row r="14793" spans="1:5" x14ac:dyDescent="0.25">
      <c r="A14793">
        <v>21</v>
      </c>
      <c r="B14793">
        <v>14</v>
      </c>
      <c r="C14793">
        <v>12</v>
      </c>
      <c r="D14793">
        <v>1</v>
      </c>
      <c r="E14793">
        <f t="shared" si="230"/>
        <v>7.0397704342334467E-26</v>
      </c>
    </row>
    <row r="14794" spans="1:5" x14ac:dyDescent="0.25">
      <c r="A14794">
        <v>21</v>
      </c>
      <c r="B14794">
        <v>14</v>
      </c>
      <c r="C14794">
        <v>13</v>
      </c>
      <c r="D14794">
        <v>0</v>
      </c>
      <c r="E14794">
        <f t="shared" si="230"/>
        <v>1.1480241015826858E-26</v>
      </c>
    </row>
    <row r="14795" spans="1:5" x14ac:dyDescent="0.25">
      <c r="A14795">
        <v>21</v>
      </c>
      <c r="B14795">
        <v>15</v>
      </c>
      <c r="C14795">
        <v>0</v>
      </c>
      <c r="D14795">
        <v>12</v>
      </c>
      <c r="E14795">
        <f t="shared" si="230"/>
        <v>6.6652937386581779E-32</v>
      </c>
    </row>
    <row r="14796" spans="1:5" x14ac:dyDescent="0.25">
      <c r="A14796">
        <v>21</v>
      </c>
      <c r="B14796">
        <v>15</v>
      </c>
      <c r="C14796">
        <v>1</v>
      </c>
      <c r="D14796">
        <v>11</v>
      </c>
      <c r="E14796">
        <f t="shared" si="230"/>
        <v>3.7135207972524129E-30</v>
      </c>
    </row>
    <row r="14797" spans="1:5" x14ac:dyDescent="0.25">
      <c r="A14797">
        <v>21</v>
      </c>
      <c r="B14797">
        <v>15</v>
      </c>
      <c r="C14797">
        <v>2</v>
      </c>
      <c r="D14797">
        <v>10</v>
      </c>
      <c r="E14797">
        <f t="shared" si="230"/>
        <v>8.7143954708856604E-29</v>
      </c>
    </row>
    <row r="14798" spans="1:5" x14ac:dyDescent="0.25">
      <c r="A14798">
        <v>21</v>
      </c>
      <c r="B14798">
        <v>15</v>
      </c>
      <c r="C14798">
        <v>3</v>
      </c>
      <c r="D14798">
        <v>9</v>
      </c>
      <c r="E14798">
        <f t="shared" ref="E14798:E14861" si="231">COMBIN(A$4,A14798)*COMBIN(B$4,B14798)*COMBIN(C$4,C14798)*COMBIN(D$4,D14798)/COMBIN($G$4,$F$4)</f>
        <v>1.1437644055537431E-27</v>
      </c>
    </row>
    <row r="14799" spans="1:5" x14ac:dyDescent="0.25">
      <c r="A14799">
        <v>21</v>
      </c>
      <c r="B14799">
        <v>15</v>
      </c>
      <c r="C14799">
        <v>4</v>
      </c>
      <c r="D14799">
        <v>8</v>
      </c>
      <c r="E14799">
        <f t="shared" si="231"/>
        <v>9.3855961514557159E-27</v>
      </c>
    </row>
    <row r="14800" spans="1:5" x14ac:dyDescent="0.25">
      <c r="A14800">
        <v>21</v>
      </c>
      <c r="B14800">
        <v>15</v>
      </c>
      <c r="C14800">
        <v>5</v>
      </c>
      <c r="D14800">
        <v>7</v>
      </c>
      <c r="E14800">
        <f t="shared" si="231"/>
        <v>5.0890788021226568E-26</v>
      </c>
    </row>
    <row r="14801" spans="1:5" x14ac:dyDescent="0.25">
      <c r="A14801">
        <v>21</v>
      </c>
      <c r="B14801">
        <v>15</v>
      </c>
      <c r="C14801">
        <v>6</v>
      </c>
      <c r="D14801">
        <v>6</v>
      </c>
      <c r="E14801">
        <f t="shared" si="231"/>
        <v>1.8749237692030827E-25</v>
      </c>
    </row>
    <row r="14802" spans="1:5" x14ac:dyDescent="0.25">
      <c r="A14802">
        <v>21</v>
      </c>
      <c r="B14802">
        <v>15</v>
      </c>
      <c r="C14802">
        <v>7</v>
      </c>
      <c r="D14802">
        <v>5</v>
      </c>
      <c r="E14802">
        <f t="shared" si="231"/>
        <v>4.7408786735563669E-25</v>
      </c>
    </row>
    <row r="14803" spans="1:5" x14ac:dyDescent="0.25">
      <c r="A14803">
        <v>21</v>
      </c>
      <c r="B14803">
        <v>15</v>
      </c>
      <c r="C14803">
        <v>8</v>
      </c>
      <c r="D14803">
        <v>4</v>
      </c>
      <c r="E14803">
        <f t="shared" si="231"/>
        <v>8.1836596150675411E-25</v>
      </c>
    </row>
    <row r="14804" spans="1:5" x14ac:dyDescent="0.25">
      <c r="A14804">
        <v>21</v>
      </c>
      <c r="B14804">
        <v>15</v>
      </c>
      <c r="C14804">
        <v>9</v>
      </c>
      <c r="D14804">
        <v>3</v>
      </c>
      <c r="E14804">
        <f t="shared" si="231"/>
        <v>9.4236080415929249E-25</v>
      </c>
    </row>
    <row r="14805" spans="1:5" x14ac:dyDescent="0.25">
      <c r="A14805">
        <v>21</v>
      </c>
      <c r="B14805">
        <v>15</v>
      </c>
      <c r="C14805">
        <v>10</v>
      </c>
      <c r="D14805">
        <v>2</v>
      </c>
      <c r="E14805">
        <f t="shared" si="231"/>
        <v>6.8833310912504849E-25</v>
      </c>
    </row>
    <row r="14806" spans="1:5" x14ac:dyDescent="0.25">
      <c r="A14806">
        <v>21</v>
      </c>
      <c r="B14806">
        <v>15</v>
      </c>
      <c r="C14806">
        <v>11</v>
      </c>
      <c r="D14806">
        <v>1</v>
      </c>
      <c r="E14806">
        <f t="shared" si="231"/>
        <v>2.868054621354369E-25</v>
      </c>
    </row>
    <row r="14807" spans="1:5" x14ac:dyDescent="0.25">
      <c r="A14807">
        <v>21</v>
      </c>
      <c r="B14807">
        <v>15</v>
      </c>
      <c r="C14807">
        <v>12</v>
      </c>
      <c r="D14807">
        <v>0</v>
      </c>
      <c r="E14807">
        <f t="shared" si="231"/>
        <v>5.1624983184378609E-26</v>
      </c>
    </row>
    <row r="14808" spans="1:5" x14ac:dyDescent="0.25">
      <c r="A14808">
        <v>21</v>
      </c>
      <c r="B14808">
        <v>16</v>
      </c>
      <c r="C14808">
        <v>0</v>
      </c>
      <c r="D14808">
        <v>11</v>
      </c>
      <c r="E14808">
        <f t="shared" si="231"/>
        <v>9.7836990235303957E-31</v>
      </c>
    </row>
    <row r="14809" spans="1:5" x14ac:dyDescent="0.25">
      <c r="A14809">
        <v>21</v>
      </c>
      <c r="B14809">
        <v>16</v>
      </c>
      <c r="C14809">
        <v>1</v>
      </c>
      <c r="D14809">
        <v>10</v>
      </c>
      <c r="E14809">
        <f t="shared" si="231"/>
        <v>4.6635632012161541E-29</v>
      </c>
    </row>
    <row r="14810" spans="1:5" x14ac:dyDescent="0.25">
      <c r="A14810">
        <v>21</v>
      </c>
      <c r="B14810">
        <v>16</v>
      </c>
      <c r="C14810">
        <v>2</v>
      </c>
      <c r="D14810">
        <v>9</v>
      </c>
      <c r="E14810">
        <f t="shared" si="231"/>
        <v>9.327126402432309E-28</v>
      </c>
    </row>
    <row r="14811" spans="1:5" x14ac:dyDescent="0.25">
      <c r="A14811">
        <v>21</v>
      </c>
      <c r="B14811">
        <v>16</v>
      </c>
      <c r="C14811">
        <v>3</v>
      </c>
      <c r="D14811">
        <v>8</v>
      </c>
      <c r="E14811">
        <f t="shared" si="231"/>
        <v>1.0369569941527684E-26</v>
      </c>
    </row>
    <row r="14812" spans="1:5" x14ac:dyDescent="0.25">
      <c r="A14812">
        <v>21</v>
      </c>
      <c r="B14812">
        <v>16</v>
      </c>
      <c r="C14812">
        <v>4</v>
      </c>
      <c r="D14812">
        <v>7</v>
      </c>
      <c r="E14812">
        <f t="shared" si="231"/>
        <v>7.1434815152746286E-26</v>
      </c>
    </row>
    <row r="14813" spans="1:5" x14ac:dyDescent="0.25">
      <c r="A14813">
        <v>21</v>
      </c>
      <c r="B14813">
        <v>16</v>
      </c>
      <c r="C14813">
        <v>5</v>
      </c>
      <c r="D14813">
        <v>6</v>
      </c>
      <c r="E14813">
        <f t="shared" si="231"/>
        <v>3.2108069547602798E-25</v>
      </c>
    </row>
    <row r="14814" spans="1:5" x14ac:dyDescent="0.25">
      <c r="A14814">
        <v>21</v>
      </c>
      <c r="B14814">
        <v>16</v>
      </c>
      <c r="C14814">
        <v>6</v>
      </c>
      <c r="D14814">
        <v>5</v>
      </c>
      <c r="E14814">
        <f t="shared" si="231"/>
        <v>9.6324208642808389E-25</v>
      </c>
    </row>
    <row r="14815" spans="1:5" x14ac:dyDescent="0.25">
      <c r="A14815">
        <v>21</v>
      </c>
      <c r="B14815">
        <v>16</v>
      </c>
      <c r="C14815">
        <v>7</v>
      </c>
      <c r="D14815">
        <v>4</v>
      </c>
      <c r="E14815">
        <f t="shared" si="231"/>
        <v>1.933036840110781E-24</v>
      </c>
    </row>
    <row r="14816" spans="1:5" x14ac:dyDescent="0.25">
      <c r="A14816">
        <v>21</v>
      </c>
      <c r="B14816">
        <v>16</v>
      </c>
      <c r="C14816">
        <v>8</v>
      </c>
      <c r="D14816">
        <v>3</v>
      </c>
      <c r="E14816">
        <f t="shared" si="231"/>
        <v>2.548094016509666E-24</v>
      </c>
    </row>
    <row r="14817" spans="1:5" x14ac:dyDescent="0.25">
      <c r="A14817">
        <v>21</v>
      </c>
      <c r="B14817">
        <v>16</v>
      </c>
      <c r="C14817">
        <v>9</v>
      </c>
      <c r="D14817">
        <v>2</v>
      </c>
      <c r="E14817">
        <f t="shared" si="231"/>
        <v>2.1049472310297234E-24</v>
      </c>
    </row>
    <row r="14818" spans="1:5" x14ac:dyDescent="0.25">
      <c r="A14818">
        <v>21</v>
      </c>
      <c r="B14818">
        <v>16</v>
      </c>
      <c r="C14818">
        <v>10</v>
      </c>
      <c r="D14818">
        <v>1</v>
      </c>
      <c r="E14818">
        <f t="shared" si="231"/>
        <v>9.8230870781387131E-25</v>
      </c>
    </row>
    <row r="14819" spans="1:5" x14ac:dyDescent="0.25">
      <c r="A14819">
        <v>21</v>
      </c>
      <c r="B14819">
        <v>16</v>
      </c>
      <c r="C14819">
        <v>11</v>
      </c>
      <c r="D14819">
        <v>0</v>
      </c>
      <c r="E14819">
        <f t="shared" si="231"/>
        <v>1.9646174156277427E-25</v>
      </c>
    </row>
    <row r="14820" spans="1:5" x14ac:dyDescent="0.25">
      <c r="A14820">
        <v>21</v>
      </c>
      <c r="B14820">
        <v>17</v>
      </c>
      <c r="C14820">
        <v>0</v>
      </c>
      <c r="D14820">
        <v>10</v>
      </c>
      <c r="E14820">
        <f t="shared" si="231"/>
        <v>1.1521744379475207E-29</v>
      </c>
    </row>
    <row r="14821" spans="1:5" x14ac:dyDescent="0.25">
      <c r="A14821">
        <v>21</v>
      </c>
      <c r="B14821">
        <v>17</v>
      </c>
      <c r="C14821">
        <v>1</v>
      </c>
      <c r="D14821">
        <v>9</v>
      </c>
      <c r="E14821">
        <f t="shared" si="231"/>
        <v>4.6807086541618037E-28</v>
      </c>
    </row>
    <row r="14822" spans="1:5" x14ac:dyDescent="0.25">
      <c r="A14822">
        <v>21</v>
      </c>
      <c r="B14822">
        <v>17</v>
      </c>
      <c r="C14822">
        <v>2</v>
      </c>
      <c r="D14822">
        <v>8</v>
      </c>
      <c r="E14822">
        <f t="shared" si="231"/>
        <v>7.9296711317564672E-27</v>
      </c>
    </row>
    <row r="14823" spans="1:5" x14ac:dyDescent="0.25">
      <c r="A14823">
        <v>21</v>
      </c>
      <c r="B14823">
        <v>17</v>
      </c>
      <c r="C14823">
        <v>3</v>
      </c>
      <c r="D14823">
        <v>7</v>
      </c>
      <c r="E14823">
        <f t="shared" si="231"/>
        <v>7.4010263896393721E-26</v>
      </c>
    </row>
    <row r="14824" spans="1:5" x14ac:dyDescent="0.25">
      <c r="A14824">
        <v>21</v>
      </c>
      <c r="B14824">
        <v>17</v>
      </c>
      <c r="C14824">
        <v>4</v>
      </c>
      <c r="D14824">
        <v>6</v>
      </c>
      <c r="E14824">
        <f t="shared" si="231"/>
        <v>4.2263755961887969E-25</v>
      </c>
    </row>
    <row r="14825" spans="1:5" x14ac:dyDescent="0.25">
      <c r="A14825">
        <v>21</v>
      </c>
      <c r="B14825">
        <v>17</v>
      </c>
      <c r="C14825">
        <v>5</v>
      </c>
      <c r="D14825">
        <v>5</v>
      </c>
      <c r="E14825">
        <f t="shared" si="231"/>
        <v>1.5468534682051002E-24</v>
      </c>
    </row>
    <row r="14826" spans="1:5" x14ac:dyDescent="0.25">
      <c r="A14826">
        <v>21</v>
      </c>
      <c r="B14826">
        <v>17</v>
      </c>
      <c r="C14826">
        <v>6</v>
      </c>
      <c r="D14826">
        <v>4</v>
      </c>
      <c r="E14826">
        <f t="shared" si="231"/>
        <v>3.6829844481073821E-24</v>
      </c>
    </row>
    <row r="14827" spans="1:5" x14ac:dyDescent="0.25">
      <c r="A14827">
        <v>21</v>
      </c>
      <c r="B14827">
        <v>17</v>
      </c>
      <c r="C14827">
        <v>7</v>
      </c>
      <c r="D14827">
        <v>3</v>
      </c>
      <c r="E14827">
        <f t="shared" si="231"/>
        <v>5.6440540893074151E-24</v>
      </c>
    </row>
    <row r="14828" spans="1:5" x14ac:dyDescent="0.25">
      <c r="A14828">
        <v>21</v>
      </c>
      <c r="B14828">
        <v>17</v>
      </c>
      <c r="C14828">
        <v>8</v>
      </c>
      <c r="D14828">
        <v>2</v>
      </c>
      <c r="E14828">
        <f t="shared" si="231"/>
        <v>5.3373120192363614E-24</v>
      </c>
    </row>
    <row r="14829" spans="1:5" x14ac:dyDescent="0.25">
      <c r="A14829">
        <v>21</v>
      </c>
      <c r="B14829">
        <v>17</v>
      </c>
      <c r="C14829">
        <v>9</v>
      </c>
      <c r="D14829">
        <v>1</v>
      </c>
      <c r="E14829">
        <f t="shared" si="231"/>
        <v>2.8169146768191903E-24</v>
      </c>
    </row>
    <row r="14830" spans="1:5" x14ac:dyDescent="0.25">
      <c r="A14830">
        <v>21</v>
      </c>
      <c r="B14830">
        <v>17</v>
      </c>
      <c r="C14830">
        <v>10</v>
      </c>
      <c r="D14830">
        <v>0</v>
      </c>
      <c r="E14830">
        <f t="shared" si="231"/>
        <v>6.3098888760749865E-25</v>
      </c>
    </row>
    <row r="14831" spans="1:5" x14ac:dyDescent="0.25">
      <c r="A14831">
        <v>21</v>
      </c>
      <c r="B14831">
        <v>18</v>
      </c>
      <c r="C14831">
        <v>0</v>
      </c>
      <c r="D14831">
        <v>9</v>
      </c>
      <c r="E14831">
        <f t="shared" si="231"/>
        <v>1.0881647469504364E-28</v>
      </c>
    </row>
    <row r="14832" spans="1:5" x14ac:dyDescent="0.25">
      <c r="A14832">
        <v>21</v>
      </c>
      <c r="B14832">
        <v>18</v>
      </c>
      <c r="C14832">
        <v>1</v>
      </c>
      <c r="D14832">
        <v>8</v>
      </c>
      <c r="E14832">
        <f t="shared" si="231"/>
        <v>3.744566923329443E-27</v>
      </c>
    </row>
    <row r="14833" spans="1:5" x14ac:dyDescent="0.25">
      <c r="A14833">
        <v>21</v>
      </c>
      <c r="B14833">
        <v>18</v>
      </c>
      <c r="C14833">
        <v>2</v>
      </c>
      <c r="D14833">
        <v>7</v>
      </c>
      <c r="E14833">
        <f t="shared" si="231"/>
        <v>5.3256062909574312E-26</v>
      </c>
    </row>
    <row r="14834" spans="1:5" x14ac:dyDescent="0.25">
      <c r="A14834">
        <v>21</v>
      </c>
      <c r="B14834">
        <v>18</v>
      </c>
      <c r="C14834">
        <v>3</v>
      </c>
      <c r="D14834">
        <v>6</v>
      </c>
      <c r="E14834">
        <f t="shared" si="231"/>
        <v>4.1203374987933796E-25</v>
      </c>
    </row>
    <row r="14835" spans="1:5" x14ac:dyDescent="0.25">
      <c r="A14835">
        <v>21</v>
      </c>
      <c r="B14835">
        <v>18</v>
      </c>
      <c r="C14835">
        <v>4</v>
      </c>
      <c r="D14835">
        <v>5</v>
      </c>
      <c r="E14835">
        <f t="shared" si="231"/>
        <v>1.9159569369389217E-24</v>
      </c>
    </row>
    <row r="14836" spans="1:5" x14ac:dyDescent="0.25">
      <c r="A14836">
        <v>21</v>
      </c>
      <c r="B14836">
        <v>18</v>
      </c>
      <c r="C14836">
        <v>5</v>
      </c>
      <c r="D14836">
        <v>4</v>
      </c>
      <c r="E14836">
        <f t="shared" si="231"/>
        <v>5.5653987215844892E-24</v>
      </c>
    </row>
    <row r="14837" spans="1:5" x14ac:dyDescent="0.25">
      <c r="A14837">
        <v>21</v>
      </c>
      <c r="B14837">
        <v>18</v>
      </c>
      <c r="C14837">
        <v>6</v>
      </c>
      <c r="D14837">
        <v>3</v>
      </c>
      <c r="E14837">
        <f t="shared" si="231"/>
        <v>1.0118906766517247E-23</v>
      </c>
    </row>
    <row r="14838" spans="1:5" x14ac:dyDescent="0.25">
      <c r="A14838">
        <v>21</v>
      </c>
      <c r="B14838">
        <v>18</v>
      </c>
      <c r="C14838">
        <v>7</v>
      </c>
      <c r="D14838">
        <v>2</v>
      </c>
      <c r="E14838">
        <f t="shared" si="231"/>
        <v>1.1124512407910268E-23</v>
      </c>
    </row>
    <row r="14839" spans="1:5" x14ac:dyDescent="0.25">
      <c r="A14839">
        <v>21</v>
      </c>
      <c r="B14839">
        <v>18</v>
      </c>
      <c r="C14839">
        <v>8</v>
      </c>
      <c r="D14839">
        <v>1</v>
      </c>
      <c r="E14839">
        <f t="shared" si="231"/>
        <v>6.7210595797791215E-24</v>
      </c>
    </row>
    <row r="14840" spans="1:5" x14ac:dyDescent="0.25">
      <c r="A14840">
        <v>21</v>
      </c>
      <c r="B14840">
        <v>18</v>
      </c>
      <c r="C14840">
        <v>9</v>
      </c>
      <c r="D14840">
        <v>0</v>
      </c>
      <c r="E14840">
        <f t="shared" si="231"/>
        <v>1.7026684268773772E-24</v>
      </c>
    </row>
    <row r="14841" spans="1:5" x14ac:dyDescent="0.25">
      <c r="A14841">
        <v>21</v>
      </c>
      <c r="B14841">
        <v>19</v>
      </c>
      <c r="C14841">
        <v>0</v>
      </c>
      <c r="D14841">
        <v>8</v>
      </c>
      <c r="E14841">
        <f t="shared" si="231"/>
        <v>8.2168229653625803E-28</v>
      </c>
    </row>
    <row r="14842" spans="1:5" x14ac:dyDescent="0.25">
      <c r="A14842">
        <v>21</v>
      </c>
      <c r="B14842">
        <v>19</v>
      </c>
      <c r="C14842">
        <v>1</v>
      </c>
      <c r="D14842">
        <v>7</v>
      </c>
      <c r="E14842">
        <f t="shared" si="231"/>
        <v>2.373748856660302E-26</v>
      </c>
    </row>
    <row r="14843" spans="1:5" x14ac:dyDescent="0.25">
      <c r="A14843">
        <v>21</v>
      </c>
      <c r="B14843">
        <v>19</v>
      </c>
      <c r="C14843">
        <v>2</v>
      </c>
      <c r="D14843">
        <v>6</v>
      </c>
      <c r="E14843">
        <f t="shared" si="231"/>
        <v>2.7985249678521445E-25</v>
      </c>
    </row>
    <row r="14844" spans="1:5" x14ac:dyDescent="0.25">
      <c r="A14844">
        <v>21</v>
      </c>
      <c r="B14844">
        <v>19</v>
      </c>
      <c r="C14844">
        <v>3</v>
      </c>
      <c r="D14844">
        <v>5</v>
      </c>
      <c r="E14844">
        <f t="shared" si="231"/>
        <v>1.7630707297468512E-24</v>
      </c>
    </row>
    <row r="14845" spans="1:5" x14ac:dyDescent="0.25">
      <c r="A14845">
        <v>21</v>
      </c>
      <c r="B14845">
        <v>19</v>
      </c>
      <c r="C14845">
        <v>4</v>
      </c>
      <c r="D14845">
        <v>4</v>
      </c>
      <c r="E14845">
        <f t="shared" si="231"/>
        <v>6.5065705502562375E-24</v>
      </c>
    </row>
    <row r="14846" spans="1:5" x14ac:dyDescent="0.25">
      <c r="A14846">
        <v>21</v>
      </c>
      <c r="B14846">
        <v>19</v>
      </c>
      <c r="C14846">
        <v>5</v>
      </c>
      <c r="D14846">
        <v>3</v>
      </c>
      <c r="E14846">
        <f t="shared" si="231"/>
        <v>1.4432756493295654E-23</v>
      </c>
    </row>
    <row r="14847" spans="1:5" x14ac:dyDescent="0.25">
      <c r="A14847">
        <v>21</v>
      </c>
      <c r="B14847">
        <v>19</v>
      </c>
      <c r="C14847">
        <v>6</v>
      </c>
      <c r="D14847">
        <v>2</v>
      </c>
      <c r="E14847">
        <f t="shared" si="231"/>
        <v>1.8825334556472589E-23</v>
      </c>
    </row>
    <row r="14848" spans="1:5" x14ac:dyDescent="0.25">
      <c r="A14848">
        <v>21</v>
      </c>
      <c r="B14848">
        <v>19</v>
      </c>
      <c r="C14848">
        <v>7</v>
      </c>
      <c r="D14848">
        <v>1</v>
      </c>
      <c r="E14848">
        <f t="shared" si="231"/>
        <v>1.3222556414665272E-23</v>
      </c>
    </row>
    <row r="14849" spans="1:5" x14ac:dyDescent="0.25">
      <c r="A14849">
        <v>21</v>
      </c>
      <c r="B14849">
        <v>19</v>
      </c>
      <c r="C14849">
        <v>8</v>
      </c>
      <c r="D14849">
        <v>0</v>
      </c>
      <c r="E14849">
        <f t="shared" si="231"/>
        <v>3.8345413602529292E-24</v>
      </c>
    </row>
    <row r="14850" spans="1:5" x14ac:dyDescent="0.25">
      <c r="A14850">
        <v>21</v>
      </c>
      <c r="B14850">
        <v>20</v>
      </c>
      <c r="C14850">
        <v>0</v>
      </c>
      <c r="D14850">
        <v>7</v>
      </c>
      <c r="E14850">
        <f t="shared" si="231"/>
        <v>4.9300937792175493E-27</v>
      </c>
    </row>
    <row r="14851" spans="1:5" x14ac:dyDescent="0.25">
      <c r="A14851">
        <v>21</v>
      </c>
      <c r="B14851">
        <v>20</v>
      </c>
      <c r="C14851">
        <v>1</v>
      </c>
      <c r="D14851">
        <v>6</v>
      </c>
      <c r="E14851">
        <f t="shared" si="231"/>
        <v>1.1806277208126232E-25</v>
      </c>
    </row>
    <row r="14852" spans="1:5" x14ac:dyDescent="0.25">
      <c r="A14852">
        <v>21</v>
      </c>
      <c r="B14852">
        <v>20</v>
      </c>
      <c r="C14852">
        <v>2</v>
      </c>
      <c r="D14852">
        <v>5</v>
      </c>
      <c r="E14852">
        <f t="shared" si="231"/>
        <v>1.1334026119801184E-24</v>
      </c>
    </row>
    <row r="14853" spans="1:5" x14ac:dyDescent="0.25">
      <c r="A14853">
        <v>21</v>
      </c>
      <c r="B14853">
        <v>20</v>
      </c>
      <c r="C14853">
        <v>3</v>
      </c>
      <c r="D14853">
        <v>4</v>
      </c>
      <c r="E14853">
        <f t="shared" si="231"/>
        <v>5.6670130599005928E-24</v>
      </c>
    </row>
    <row r="14854" spans="1:5" x14ac:dyDescent="0.25">
      <c r="A14854">
        <v>21</v>
      </c>
      <c r="B14854">
        <v>20</v>
      </c>
      <c r="C14854">
        <v>4</v>
      </c>
      <c r="D14854">
        <v>3</v>
      </c>
      <c r="E14854">
        <f t="shared" si="231"/>
        <v>1.5970673168810763E-23</v>
      </c>
    </row>
    <row r="14855" spans="1:5" x14ac:dyDescent="0.25">
      <c r="A14855">
        <v>21</v>
      </c>
      <c r="B14855">
        <v>20</v>
      </c>
      <c r="C14855">
        <v>5</v>
      </c>
      <c r="D14855">
        <v>2</v>
      </c>
      <c r="E14855">
        <f t="shared" si="231"/>
        <v>2.5414201651237999E-23</v>
      </c>
    </row>
    <row r="14856" spans="1:5" x14ac:dyDescent="0.25">
      <c r="A14856">
        <v>21</v>
      </c>
      <c r="B14856">
        <v>20</v>
      </c>
      <c r="C14856">
        <v>6</v>
      </c>
      <c r="D14856">
        <v>1</v>
      </c>
      <c r="E14856">
        <f t="shared" si="231"/>
        <v>2.1178501376031664E-23</v>
      </c>
    </row>
    <row r="14857" spans="1:5" x14ac:dyDescent="0.25">
      <c r="A14857">
        <v>21</v>
      </c>
      <c r="B14857">
        <v>20</v>
      </c>
      <c r="C14857">
        <v>7</v>
      </c>
      <c r="D14857">
        <v>0</v>
      </c>
      <c r="E14857">
        <f t="shared" si="231"/>
        <v>7.140180463919246E-24</v>
      </c>
    </row>
    <row r="14858" spans="1:5" x14ac:dyDescent="0.25">
      <c r="A14858">
        <v>21</v>
      </c>
      <c r="B14858">
        <v>21</v>
      </c>
      <c r="C14858">
        <v>0</v>
      </c>
      <c r="D14858">
        <v>6</v>
      </c>
      <c r="E14858">
        <f t="shared" si="231"/>
        <v>2.326658292297405E-26</v>
      </c>
    </row>
    <row r="14859" spans="1:5" x14ac:dyDescent="0.25">
      <c r="A14859">
        <v>21</v>
      </c>
      <c r="B14859">
        <v>21</v>
      </c>
      <c r="C14859">
        <v>1</v>
      </c>
      <c r="D14859">
        <v>5</v>
      </c>
      <c r="E14859">
        <f t="shared" si="231"/>
        <v>4.5369836699799393E-25</v>
      </c>
    </row>
    <row r="14860" spans="1:5" x14ac:dyDescent="0.25">
      <c r="A14860">
        <v>21</v>
      </c>
      <c r="B14860">
        <v>21</v>
      </c>
      <c r="C14860">
        <v>2</v>
      </c>
      <c r="D14860">
        <v>4</v>
      </c>
      <c r="E14860">
        <f t="shared" si="231"/>
        <v>3.45674946284186E-24</v>
      </c>
    </row>
    <row r="14861" spans="1:5" x14ac:dyDescent="0.25">
      <c r="A14861">
        <v>21</v>
      </c>
      <c r="B14861">
        <v>21</v>
      </c>
      <c r="C14861">
        <v>3</v>
      </c>
      <c r="D14861">
        <v>3</v>
      </c>
      <c r="E14861">
        <f t="shared" si="231"/>
        <v>1.3198497949032555E-23</v>
      </c>
    </row>
    <row r="14862" spans="1:5" x14ac:dyDescent="0.25">
      <c r="A14862">
        <v>21</v>
      </c>
      <c r="B14862">
        <v>21</v>
      </c>
      <c r="C14862">
        <v>4</v>
      </c>
      <c r="D14862">
        <v>2</v>
      </c>
      <c r="E14862">
        <f t="shared" ref="E14862:E14925" si="232">COMBIN(A$4,A14862)*COMBIN(B$4,B14862)*COMBIN(C$4,C14862)*COMBIN(D$4,D14862)/COMBIN($G$4,$F$4)</f>
        <v>2.6683919766522341E-23</v>
      </c>
    </row>
    <row r="14863" spans="1:5" x14ac:dyDescent="0.25">
      <c r="A14863">
        <v>21</v>
      </c>
      <c r="B14863">
        <v>21</v>
      </c>
      <c r="C14863">
        <v>5</v>
      </c>
      <c r="D14863">
        <v>1</v>
      </c>
      <c r="E14863">
        <f t="shared" si="232"/>
        <v>2.7128651762631041E-23</v>
      </c>
    </row>
    <row r="14864" spans="1:5" x14ac:dyDescent="0.25">
      <c r="A14864">
        <v>21</v>
      </c>
      <c r="B14864">
        <v>21</v>
      </c>
      <c r="C14864">
        <v>6</v>
      </c>
      <c r="D14864">
        <v>0</v>
      </c>
      <c r="E14864">
        <f t="shared" si="232"/>
        <v>1.0851460705052417E-23</v>
      </c>
    </row>
    <row r="14865" spans="1:5" x14ac:dyDescent="0.25">
      <c r="A14865">
        <v>21</v>
      </c>
      <c r="B14865">
        <v>22</v>
      </c>
      <c r="C14865">
        <v>0</v>
      </c>
      <c r="D14865">
        <v>5</v>
      </c>
      <c r="E14865">
        <f t="shared" si="232"/>
        <v>8.502878486395971E-26</v>
      </c>
    </row>
    <row r="14866" spans="1:5" x14ac:dyDescent="0.25">
      <c r="A14866">
        <v>21</v>
      </c>
      <c r="B14866">
        <v>22</v>
      </c>
      <c r="C14866">
        <v>1</v>
      </c>
      <c r="D14866">
        <v>4</v>
      </c>
      <c r="E14866">
        <f t="shared" si="232"/>
        <v>1.3159216705136626E-24</v>
      </c>
    </row>
    <row r="14867" spans="1:5" x14ac:dyDescent="0.25">
      <c r="A14867">
        <v>21</v>
      </c>
      <c r="B14867">
        <v>22</v>
      </c>
      <c r="C14867">
        <v>2</v>
      </c>
      <c r="D14867">
        <v>3</v>
      </c>
      <c r="E14867">
        <f t="shared" si="232"/>
        <v>7.6562715375340345E-24</v>
      </c>
    </row>
    <row r="14868" spans="1:5" x14ac:dyDescent="0.25">
      <c r="A14868">
        <v>21</v>
      </c>
      <c r="B14868">
        <v>22</v>
      </c>
      <c r="C14868">
        <v>3</v>
      </c>
      <c r="D14868">
        <v>2</v>
      </c>
      <c r="E14868">
        <f t="shared" si="232"/>
        <v>2.0971526385419313E-23</v>
      </c>
    </row>
    <row r="14869" spans="1:5" x14ac:dyDescent="0.25">
      <c r="A14869">
        <v>21</v>
      </c>
      <c r="B14869">
        <v>22</v>
      </c>
      <c r="C14869">
        <v>4</v>
      </c>
      <c r="D14869">
        <v>1</v>
      </c>
      <c r="E14869">
        <f t="shared" si="232"/>
        <v>2.7088221581166615E-23</v>
      </c>
    </row>
    <row r="14870" spans="1:5" x14ac:dyDescent="0.25">
      <c r="A14870">
        <v>21</v>
      </c>
      <c r="B14870">
        <v>22</v>
      </c>
      <c r="C14870">
        <v>5</v>
      </c>
      <c r="D14870">
        <v>0</v>
      </c>
      <c r="E14870">
        <f t="shared" si="232"/>
        <v>1.321905213160931E-23</v>
      </c>
    </row>
    <row r="14871" spans="1:5" x14ac:dyDescent="0.25">
      <c r="A14871">
        <v>21</v>
      </c>
      <c r="B14871">
        <v>23</v>
      </c>
      <c r="C14871">
        <v>0</v>
      </c>
      <c r="D14871">
        <v>4</v>
      </c>
      <c r="E14871">
        <f t="shared" si="232"/>
        <v>2.3501744884759044E-25</v>
      </c>
    </row>
    <row r="14872" spans="1:5" x14ac:dyDescent="0.25">
      <c r="A14872">
        <v>21</v>
      </c>
      <c r="B14872">
        <v>23</v>
      </c>
      <c r="C14872">
        <v>1</v>
      </c>
      <c r="D14872">
        <v>3</v>
      </c>
      <c r="E14872">
        <f t="shared" si="232"/>
        <v>2.7774789409260688E-24</v>
      </c>
    </row>
    <row r="14873" spans="1:5" x14ac:dyDescent="0.25">
      <c r="A14873">
        <v>21</v>
      </c>
      <c r="B14873">
        <v>23</v>
      </c>
      <c r="C14873">
        <v>2</v>
      </c>
      <c r="D14873">
        <v>2</v>
      </c>
      <c r="E14873">
        <f t="shared" si="232"/>
        <v>1.1592955579517504E-23</v>
      </c>
    </row>
    <row r="14874" spans="1:5" x14ac:dyDescent="0.25">
      <c r="A14874">
        <v>21</v>
      </c>
      <c r="B14874">
        <v>23</v>
      </c>
      <c r="C14874">
        <v>3</v>
      </c>
      <c r="D14874">
        <v>1</v>
      </c>
      <c r="E14874">
        <f t="shared" si="232"/>
        <v>2.0287672264155631E-23</v>
      </c>
    </row>
    <row r="14875" spans="1:5" x14ac:dyDescent="0.25">
      <c r="A14875">
        <v>21</v>
      </c>
      <c r="B14875">
        <v>23</v>
      </c>
      <c r="C14875">
        <v>4</v>
      </c>
      <c r="D14875">
        <v>0</v>
      </c>
      <c r="E14875">
        <f t="shared" si="232"/>
        <v>1.257835680377649E-23</v>
      </c>
    </row>
    <row r="14876" spans="1:5" x14ac:dyDescent="0.25">
      <c r="A14876">
        <v>21</v>
      </c>
      <c r="B14876">
        <v>24</v>
      </c>
      <c r="C14876">
        <v>0</v>
      </c>
      <c r="D14876">
        <v>3</v>
      </c>
      <c r="E14876">
        <f t="shared" si="232"/>
        <v>4.7359576813226573E-25</v>
      </c>
    </row>
    <row r="14877" spans="1:5" x14ac:dyDescent="0.25">
      <c r="A14877">
        <v>21</v>
      </c>
      <c r="B14877">
        <v>24</v>
      </c>
      <c r="C14877">
        <v>1</v>
      </c>
      <c r="D14877">
        <v>2</v>
      </c>
      <c r="E14877">
        <f t="shared" si="232"/>
        <v>4.0152684689474706E-24</v>
      </c>
    </row>
    <row r="14878" spans="1:5" x14ac:dyDescent="0.25">
      <c r="A14878">
        <v>21</v>
      </c>
      <c r="B14878">
        <v>24</v>
      </c>
      <c r="C14878">
        <v>2</v>
      </c>
      <c r="D14878">
        <v>1</v>
      </c>
      <c r="E14878">
        <f t="shared" si="232"/>
        <v>1.0707382583859922E-23</v>
      </c>
    </row>
    <row r="14879" spans="1:5" x14ac:dyDescent="0.25">
      <c r="A14879">
        <v>21</v>
      </c>
      <c r="B14879">
        <v>24</v>
      </c>
      <c r="C14879">
        <v>3</v>
      </c>
      <c r="D14879">
        <v>0</v>
      </c>
      <c r="E14879">
        <f t="shared" si="232"/>
        <v>8.9942013704423344E-24</v>
      </c>
    </row>
    <row r="14880" spans="1:5" x14ac:dyDescent="0.25">
      <c r="A14880">
        <v>21</v>
      </c>
      <c r="B14880">
        <v>25</v>
      </c>
      <c r="C14880">
        <v>0</v>
      </c>
      <c r="D14880">
        <v>2</v>
      </c>
      <c r="E14880">
        <f t="shared" si="232"/>
        <v>6.5479762724374163E-25</v>
      </c>
    </row>
    <row r="14881" spans="1:5" x14ac:dyDescent="0.25">
      <c r="A14881">
        <v>21</v>
      </c>
      <c r="B14881">
        <v>25</v>
      </c>
      <c r="C14881">
        <v>1</v>
      </c>
      <c r="D14881">
        <v>1</v>
      </c>
      <c r="E14881">
        <f t="shared" si="232"/>
        <v>3.5468204809036001E-24</v>
      </c>
    </row>
    <row r="14882" spans="1:5" x14ac:dyDescent="0.25">
      <c r="A14882">
        <v>21</v>
      </c>
      <c r="B14882">
        <v>25</v>
      </c>
      <c r="C14882">
        <v>2</v>
      </c>
      <c r="D14882">
        <v>0</v>
      </c>
      <c r="E14882">
        <f t="shared" si="232"/>
        <v>4.5399302155566082E-24</v>
      </c>
    </row>
    <row r="14883" spans="1:5" x14ac:dyDescent="0.25">
      <c r="A14883">
        <v>21</v>
      </c>
      <c r="B14883">
        <v>26</v>
      </c>
      <c r="C14883">
        <v>0</v>
      </c>
      <c r="D14883">
        <v>1</v>
      </c>
      <c r="E14883">
        <f t="shared" si="232"/>
        <v>5.5405953074470398E-25</v>
      </c>
    </row>
    <row r="14884" spans="1:5" x14ac:dyDescent="0.25">
      <c r="A14884">
        <v>21</v>
      </c>
      <c r="B14884">
        <v>26</v>
      </c>
      <c r="C14884">
        <v>1</v>
      </c>
      <c r="D14884">
        <v>0</v>
      </c>
      <c r="E14884">
        <f t="shared" si="232"/>
        <v>1.4405547799362304E-24</v>
      </c>
    </row>
    <row r="14885" spans="1:5" x14ac:dyDescent="0.25">
      <c r="A14885">
        <v>21</v>
      </c>
      <c r="B14885">
        <v>27</v>
      </c>
      <c r="C14885">
        <v>0</v>
      </c>
      <c r="D14885">
        <v>0</v>
      </c>
      <c r="E14885">
        <f t="shared" si="232"/>
        <v>2.1587800975682537E-25</v>
      </c>
    </row>
  </sheetData>
  <pageMargins left="0.75" right="0.75" top="1" bottom="1" header="0.5" footer="0.5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1238"/>
  <sheetViews>
    <sheetView showGridLines="0" zoomScale="160" zoomScaleNormal="160" workbookViewId="0"/>
  </sheetViews>
  <sheetFormatPr baseColWidth="10" defaultColWidth="9.140625" defaultRowHeight="15" x14ac:dyDescent="0.25"/>
  <cols>
    <col min="1" max="1" width="34" customWidth="1"/>
    <col min="2" max="5" width="20" customWidth="1"/>
  </cols>
  <sheetData>
    <row r="1" spans="1:6" ht="26.1" customHeight="1" x14ac:dyDescent="0.35">
      <c r="A1" s="1" t="s">
        <v>804</v>
      </c>
    </row>
    <row r="2" spans="1:6" x14ac:dyDescent="0.25">
      <c r="A2" s="2" t="s">
        <v>795</v>
      </c>
    </row>
    <row r="3" spans="1:6" x14ac:dyDescent="0.25">
      <c r="A3" s="10" t="s">
        <v>796</v>
      </c>
      <c r="E3" s="10" t="s">
        <v>797</v>
      </c>
      <c r="F3" s="10" t="s">
        <v>787</v>
      </c>
    </row>
    <row r="4" spans="1:6" x14ac:dyDescent="0.25">
      <c r="A4" s="26">
        <f>'4_Facteurs'!D67</f>
        <v>108</v>
      </c>
      <c r="B4" s="26">
        <f>'4_Facteurs'!D68</f>
        <v>203</v>
      </c>
      <c r="C4" s="26">
        <f>'4_Facteurs'!D69</f>
        <v>89</v>
      </c>
      <c r="E4" s="26">
        <f>'4_Facteurs'!C70</f>
        <v>48</v>
      </c>
      <c r="F4" s="26">
        <f>'4_Facteurs'!D70</f>
        <v>400</v>
      </c>
    </row>
    <row r="5" spans="1:6" x14ac:dyDescent="0.25">
      <c r="A5" s="2" t="s">
        <v>798</v>
      </c>
    </row>
    <row r="6" spans="1:6" x14ac:dyDescent="0.25">
      <c r="A6" s="44">
        <v>108</v>
      </c>
      <c r="B6" s="44">
        <v>203</v>
      </c>
      <c r="C6" s="44">
        <v>89</v>
      </c>
      <c r="E6" s="44">
        <v>48</v>
      </c>
      <c r="F6" s="44">
        <v>400</v>
      </c>
    </row>
    <row r="7" spans="1:6" x14ac:dyDescent="0.25">
      <c r="A7" s="3" t="str">
        <f>IF(AND(A4=A6,B4=B6,C4=C6,E4=E6),"Marges identiques : test valide","ATTENTION : les effectifs ont changé, ce test exact n'est plus valide")</f>
        <v>Marges identiques : test valide</v>
      </c>
    </row>
    <row r="9" spans="1:6" x14ac:dyDescent="0.25">
      <c r="A9" s="10" t="s">
        <v>788</v>
      </c>
      <c r="D9" s="42">
        <f>COMBIN(A4,'4_Facteurs'!C67)*COMBIN(B4,'4_Facteurs'!C68)*COMBIN(C4,'4_Facteurs'!C69)/COMBIN($F$4,$E$4)</f>
        <v>2.9970067001933467E-5</v>
      </c>
    </row>
    <row r="10" spans="1:6" x14ac:dyDescent="0.25">
      <c r="A10" s="10" t="s">
        <v>789</v>
      </c>
      <c r="D10" s="35">
        <f>SUMIF(D14:D1238,"&lt;="&amp;D9*(1+0.0000001))</f>
        <v>1.2564907884960775E-3</v>
      </c>
    </row>
    <row r="13" spans="1:6" x14ac:dyDescent="0.25">
      <c r="A13" s="6" t="s">
        <v>799</v>
      </c>
      <c r="B13" s="7" t="s">
        <v>800</v>
      </c>
      <c r="C13" s="7" t="s">
        <v>801</v>
      </c>
      <c r="D13" s="7" t="s">
        <v>803</v>
      </c>
    </row>
    <row r="14" spans="1:6" x14ac:dyDescent="0.25">
      <c r="A14">
        <v>0</v>
      </c>
      <c r="B14">
        <v>0</v>
      </c>
      <c r="C14">
        <v>48</v>
      </c>
      <c r="D14">
        <f t="shared" ref="D14:D77" si="0">COMBIN(A$4,A14)*COMBIN(B$4,B14)*COMBIN(C$4,C14)/COMBIN($F$4,$E$4)</f>
        <v>1.1767228156838839E-37</v>
      </c>
    </row>
    <row r="15" spans="1:6" x14ac:dyDescent="0.25">
      <c r="A15">
        <v>0</v>
      </c>
      <c r="B15">
        <v>1</v>
      </c>
      <c r="C15">
        <v>47</v>
      </c>
      <c r="D15">
        <f t="shared" si="0"/>
        <v>2.7299969323866083E-35</v>
      </c>
    </row>
    <row r="16" spans="1:6" x14ac:dyDescent="0.25">
      <c r="A16">
        <v>0</v>
      </c>
      <c r="B16">
        <v>2</v>
      </c>
      <c r="C16">
        <v>46</v>
      </c>
      <c r="D16">
        <f t="shared" si="0"/>
        <v>3.0137896367533095E-33</v>
      </c>
    </row>
    <row r="17" spans="1:4" x14ac:dyDescent="0.25">
      <c r="A17">
        <v>0</v>
      </c>
      <c r="B17">
        <v>3</v>
      </c>
      <c r="C17">
        <v>45</v>
      </c>
      <c r="D17">
        <f t="shared" si="0"/>
        <v>2.1110226501076614E-31</v>
      </c>
    </row>
    <row r="18" spans="1:4" x14ac:dyDescent="0.25">
      <c r="A18">
        <v>0</v>
      </c>
      <c r="B18">
        <v>4</v>
      </c>
      <c r="C18">
        <v>44</v>
      </c>
      <c r="D18">
        <f t="shared" si="0"/>
        <v>1.0555113250538309E-29</v>
      </c>
    </row>
    <row r="19" spans="1:4" x14ac:dyDescent="0.25">
      <c r="A19">
        <v>0</v>
      </c>
      <c r="B19">
        <v>5</v>
      </c>
      <c r="C19">
        <v>43</v>
      </c>
      <c r="D19">
        <f t="shared" si="0"/>
        <v>4.0182857226831885E-28</v>
      </c>
    </row>
    <row r="20" spans="1:4" x14ac:dyDescent="0.25">
      <c r="A20">
        <v>0</v>
      </c>
      <c r="B20">
        <v>6</v>
      </c>
      <c r="C20">
        <v>42</v>
      </c>
      <c r="D20">
        <f t="shared" si="0"/>
        <v>1.2131803064866895E-26</v>
      </c>
    </row>
    <row r="21" spans="1:4" x14ac:dyDescent="0.25">
      <c r="A21">
        <v>0</v>
      </c>
      <c r="B21">
        <v>7</v>
      </c>
      <c r="C21">
        <v>41</v>
      </c>
      <c r="D21">
        <f t="shared" si="0"/>
        <v>2.9874565047234767E-25</v>
      </c>
    </row>
    <row r="22" spans="1:4" x14ac:dyDescent="0.25">
      <c r="A22">
        <v>0</v>
      </c>
      <c r="B22">
        <v>8</v>
      </c>
      <c r="C22">
        <v>40</v>
      </c>
      <c r="D22">
        <f t="shared" si="0"/>
        <v>6.1242858346831264E-24</v>
      </c>
    </row>
    <row r="23" spans="1:4" x14ac:dyDescent="0.25">
      <c r="A23">
        <v>0</v>
      </c>
      <c r="B23">
        <v>9</v>
      </c>
      <c r="C23">
        <v>39</v>
      </c>
      <c r="D23">
        <f t="shared" si="0"/>
        <v>1.0615428780117402E-22</v>
      </c>
    </row>
    <row r="24" spans="1:4" x14ac:dyDescent="0.25">
      <c r="A24">
        <v>0</v>
      </c>
      <c r="B24">
        <v>10</v>
      </c>
      <c r="C24">
        <v>38</v>
      </c>
      <c r="D24">
        <f t="shared" si="0"/>
        <v>1.5748300813797716E-21</v>
      </c>
    </row>
    <row r="25" spans="1:4" x14ac:dyDescent="0.25">
      <c r="A25">
        <v>0</v>
      </c>
      <c r="B25">
        <v>11</v>
      </c>
      <c r="C25">
        <v>37</v>
      </c>
      <c r="D25">
        <f t="shared" si="0"/>
        <v>2.019196471475394E-20</v>
      </c>
    </row>
    <row r="26" spans="1:4" x14ac:dyDescent="0.25">
      <c r="A26">
        <v>0</v>
      </c>
      <c r="B26">
        <v>12</v>
      </c>
      <c r="C26">
        <v>36</v>
      </c>
      <c r="D26">
        <f t="shared" si="0"/>
        <v>2.2554043605913812E-19</v>
      </c>
    </row>
    <row r="27" spans="1:4" x14ac:dyDescent="0.25">
      <c r="A27">
        <v>0</v>
      </c>
      <c r="B27">
        <v>13</v>
      </c>
      <c r="C27">
        <v>35</v>
      </c>
      <c r="D27">
        <f t="shared" si="0"/>
        <v>2.209139655758738E-18</v>
      </c>
    </row>
    <row r="28" spans="1:4" x14ac:dyDescent="0.25">
      <c r="A28">
        <v>0</v>
      </c>
      <c r="B28">
        <v>14</v>
      </c>
      <c r="C28">
        <v>34</v>
      </c>
      <c r="D28">
        <f t="shared" si="0"/>
        <v>1.9078933390643666E-17</v>
      </c>
    </row>
    <row r="29" spans="1:4" x14ac:dyDescent="0.25">
      <c r="A29">
        <v>0</v>
      </c>
      <c r="B29">
        <v>15</v>
      </c>
      <c r="C29">
        <v>33</v>
      </c>
      <c r="D29">
        <f t="shared" si="0"/>
        <v>1.4595384043842388E-16</v>
      </c>
    </row>
    <row r="30" spans="1:4" x14ac:dyDescent="0.25">
      <c r="A30">
        <v>0</v>
      </c>
      <c r="B30">
        <v>16</v>
      </c>
      <c r="C30">
        <v>32</v>
      </c>
      <c r="D30">
        <f t="shared" si="0"/>
        <v>9.9287020403506816E-16</v>
      </c>
    </row>
    <row r="31" spans="1:4" x14ac:dyDescent="0.25">
      <c r="A31">
        <v>0</v>
      </c>
      <c r="B31">
        <v>17</v>
      </c>
      <c r="C31">
        <v>31</v>
      </c>
      <c r="D31">
        <f t="shared" si="0"/>
        <v>6.0256950313852376E-15</v>
      </c>
    </row>
    <row r="32" spans="1:4" x14ac:dyDescent="0.25">
      <c r="A32">
        <v>0</v>
      </c>
      <c r="B32">
        <v>18</v>
      </c>
      <c r="C32">
        <v>30</v>
      </c>
      <c r="D32">
        <f t="shared" si="0"/>
        <v>3.2715779238198937E-14</v>
      </c>
    </row>
    <row r="33" spans="1:4" x14ac:dyDescent="0.25">
      <c r="A33">
        <v>0</v>
      </c>
      <c r="B33">
        <v>19</v>
      </c>
      <c r="C33">
        <v>29</v>
      </c>
      <c r="D33">
        <f t="shared" si="0"/>
        <v>1.5927418839649491E-13</v>
      </c>
    </row>
    <row r="34" spans="1:4" x14ac:dyDescent="0.25">
      <c r="A34">
        <v>0</v>
      </c>
      <c r="B34">
        <v>20</v>
      </c>
      <c r="C34">
        <v>28</v>
      </c>
      <c r="D34">
        <f t="shared" si="0"/>
        <v>6.9662874531450531E-13</v>
      </c>
    </row>
    <row r="35" spans="1:4" x14ac:dyDescent="0.25">
      <c r="A35">
        <v>0</v>
      </c>
      <c r="B35">
        <v>21</v>
      </c>
      <c r="C35">
        <v>27</v>
      </c>
      <c r="D35">
        <f t="shared" si="0"/>
        <v>2.7415711912377306E-12</v>
      </c>
    </row>
    <row r="36" spans="1:4" x14ac:dyDescent="0.25">
      <c r="A36">
        <v>0</v>
      </c>
      <c r="B36">
        <v>22</v>
      </c>
      <c r="C36">
        <v>26</v>
      </c>
      <c r="D36">
        <f t="shared" si="0"/>
        <v>9.7201160416610555E-12</v>
      </c>
    </row>
    <row r="37" spans="1:4" x14ac:dyDescent="0.25">
      <c r="A37">
        <v>0</v>
      </c>
      <c r="B37">
        <v>23</v>
      </c>
      <c r="C37">
        <v>25</v>
      </c>
      <c r="D37">
        <f t="shared" si="0"/>
        <v>3.1075316638625601E-11</v>
      </c>
    </row>
    <row r="38" spans="1:4" x14ac:dyDescent="0.25">
      <c r="A38">
        <v>0</v>
      </c>
      <c r="B38">
        <v>24</v>
      </c>
      <c r="C38">
        <v>24</v>
      </c>
      <c r="D38">
        <f t="shared" si="0"/>
        <v>8.9640336457573826E-11</v>
      </c>
    </row>
    <row r="39" spans="1:4" x14ac:dyDescent="0.25">
      <c r="A39">
        <v>0</v>
      </c>
      <c r="B39">
        <v>25</v>
      </c>
      <c r="C39">
        <v>23</v>
      </c>
      <c r="D39">
        <f t="shared" si="0"/>
        <v>2.3339083964953772E-10</v>
      </c>
    </row>
    <row r="40" spans="1:4" x14ac:dyDescent="0.25">
      <c r="A40">
        <v>0</v>
      </c>
      <c r="B40">
        <v>26</v>
      </c>
      <c r="C40">
        <v>22</v>
      </c>
      <c r="D40">
        <f t="shared" si="0"/>
        <v>5.4850866677681306E-10</v>
      </c>
    </row>
    <row r="41" spans="1:4" x14ac:dyDescent="0.25">
      <c r="A41">
        <v>0</v>
      </c>
      <c r="B41">
        <v>27</v>
      </c>
      <c r="C41">
        <v>21</v>
      </c>
      <c r="D41">
        <f t="shared" si="0"/>
        <v>1.1633402769220635E-9</v>
      </c>
    </row>
    <row r="42" spans="1:4" x14ac:dyDescent="0.25">
      <c r="A42">
        <v>0</v>
      </c>
      <c r="B42">
        <v>28</v>
      </c>
      <c r="C42">
        <v>20</v>
      </c>
      <c r="D42">
        <f t="shared" si="0"/>
        <v>2.2255205297639446E-9</v>
      </c>
    </row>
    <row r="43" spans="1:4" x14ac:dyDescent="0.25">
      <c r="A43">
        <v>0</v>
      </c>
      <c r="B43">
        <v>29</v>
      </c>
      <c r="C43">
        <v>19</v>
      </c>
      <c r="D43">
        <f t="shared" si="0"/>
        <v>3.8371043616619778E-9</v>
      </c>
    </row>
    <row r="44" spans="1:4" x14ac:dyDescent="0.25">
      <c r="A44">
        <v>0</v>
      </c>
      <c r="B44">
        <v>30</v>
      </c>
      <c r="C44">
        <v>18</v>
      </c>
      <c r="D44">
        <f t="shared" si="0"/>
        <v>5.9556183190866215E-9</v>
      </c>
    </row>
    <row r="45" spans="1:4" x14ac:dyDescent="0.25">
      <c r="A45">
        <v>0</v>
      </c>
      <c r="B45">
        <v>31</v>
      </c>
      <c r="C45">
        <v>17</v>
      </c>
      <c r="D45">
        <f t="shared" si="0"/>
        <v>8.3090481387256902E-9</v>
      </c>
    </row>
    <row r="46" spans="1:4" x14ac:dyDescent="0.25">
      <c r="A46">
        <v>0</v>
      </c>
      <c r="B46">
        <v>32</v>
      </c>
      <c r="C46">
        <v>16</v>
      </c>
      <c r="D46">
        <f t="shared" si="0"/>
        <v>1.0400537995562462E-8</v>
      </c>
    </row>
    <row r="47" spans="1:4" x14ac:dyDescent="0.25">
      <c r="A47">
        <v>0</v>
      </c>
      <c r="B47">
        <v>33</v>
      </c>
      <c r="C47">
        <v>15</v>
      </c>
      <c r="D47">
        <f t="shared" si="0"/>
        <v>1.1652691218615436E-8</v>
      </c>
    </row>
    <row r="48" spans="1:4" x14ac:dyDescent="0.25">
      <c r="A48">
        <v>0</v>
      </c>
      <c r="B48">
        <v>34</v>
      </c>
      <c r="C48">
        <v>14</v>
      </c>
      <c r="D48">
        <f t="shared" si="0"/>
        <v>1.1652691218615434E-8</v>
      </c>
    </row>
    <row r="49" spans="1:4" x14ac:dyDescent="0.25">
      <c r="A49">
        <v>0</v>
      </c>
      <c r="B49">
        <v>35</v>
      </c>
      <c r="C49">
        <v>13</v>
      </c>
      <c r="D49">
        <f t="shared" si="0"/>
        <v>1.0364762189189521E-8</v>
      </c>
    </row>
    <row r="50" spans="1:4" x14ac:dyDescent="0.25">
      <c r="A50">
        <v>0</v>
      </c>
      <c r="B50">
        <v>36</v>
      </c>
      <c r="C50">
        <v>12</v>
      </c>
      <c r="D50">
        <f t="shared" si="0"/>
        <v>8.166176270270535E-9</v>
      </c>
    </row>
    <row r="51" spans="1:4" x14ac:dyDescent="0.25">
      <c r="A51">
        <v>0</v>
      </c>
      <c r="B51">
        <v>37</v>
      </c>
      <c r="C51">
        <v>11</v>
      </c>
      <c r="D51">
        <f t="shared" si="0"/>
        <v>5.6704841460922202E-9</v>
      </c>
    </row>
    <row r="52" spans="1:4" x14ac:dyDescent="0.25">
      <c r="A52">
        <v>0</v>
      </c>
      <c r="B52">
        <v>38</v>
      </c>
      <c r="C52">
        <v>10</v>
      </c>
      <c r="D52">
        <f t="shared" si="0"/>
        <v>3.4491352600814057E-9</v>
      </c>
    </row>
    <row r="53" spans="1:4" x14ac:dyDescent="0.25">
      <c r="A53">
        <v>0</v>
      </c>
      <c r="B53">
        <v>39</v>
      </c>
      <c r="C53">
        <v>9</v>
      </c>
      <c r="D53">
        <f t="shared" si="0"/>
        <v>1.8240619163892066E-9</v>
      </c>
    </row>
    <row r="54" spans="1:4" x14ac:dyDescent="0.25">
      <c r="A54">
        <v>0</v>
      </c>
      <c r="B54">
        <v>40</v>
      </c>
      <c r="C54">
        <v>8</v>
      </c>
      <c r="D54">
        <f t="shared" si="0"/>
        <v>8.309615396884165E-10</v>
      </c>
    </row>
    <row r="55" spans="1:4" x14ac:dyDescent="0.25">
      <c r="A55">
        <v>0</v>
      </c>
      <c r="B55">
        <v>41</v>
      </c>
      <c r="C55">
        <v>7</v>
      </c>
      <c r="D55">
        <f t="shared" si="0"/>
        <v>3.2230037113435306E-10</v>
      </c>
    </row>
    <row r="56" spans="1:4" x14ac:dyDescent="0.25">
      <c r="A56">
        <v>0</v>
      </c>
      <c r="B56">
        <v>42</v>
      </c>
      <c r="C56">
        <v>6</v>
      </c>
      <c r="D56">
        <f t="shared" si="0"/>
        <v>1.048446990437052E-10</v>
      </c>
    </row>
    <row r="57" spans="1:4" x14ac:dyDescent="0.25">
      <c r="A57">
        <v>0</v>
      </c>
      <c r="B57">
        <v>43</v>
      </c>
      <c r="C57">
        <v>5</v>
      </c>
      <c r="D57">
        <f t="shared" si="0"/>
        <v>2.8039861372153729E-11</v>
      </c>
    </row>
    <row r="58" spans="1:4" x14ac:dyDescent="0.25">
      <c r="A58">
        <v>0</v>
      </c>
      <c r="B58">
        <v>44</v>
      </c>
      <c r="C58">
        <v>4</v>
      </c>
      <c r="D58">
        <f t="shared" si="0"/>
        <v>5.9978313095516044E-12</v>
      </c>
    </row>
    <row r="59" spans="1:4" x14ac:dyDescent="0.25">
      <c r="A59">
        <v>0</v>
      </c>
      <c r="B59">
        <v>45</v>
      </c>
      <c r="C59">
        <v>3</v>
      </c>
      <c r="D59">
        <f t="shared" si="0"/>
        <v>9.8569010668599857E-13</v>
      </c>
    </row>
    <row r="60" spans="1:4" x14ac:dyDescent="0.25">
      <c r="A60">
        <v>0</v>
      </c>
      <c r="B60">
        <v>46</v>
      </c>
      <c r="C60">
        <v>2</v>
      </c>
      <c r="D60">
        <f t="shared" si="0"/>
        <v>1.1674590468994599E-13</v>
      </c>
    </row>
    <row r="61" spans="1:4" x14ac:dyDescent="0.25">
      <c r="A61">
        <v>0</v>
      </c>
      <c r="B61">
        <v>47</v>
      </c>
      <c r="C61">
        <v>1</v>
      </c>
      <c r="D61">
        <f t="shared" si="0"/>
        <v>8.8632045630181346E-15</v>
      </c>
    </row>
    <row r="62" spans="1:4" x14ac:dyDescent="0.25">
      <c r="A62">
        <v>0</v>
      </c>
      <c r="B62">
        <v>48</v>
      </c>
      <c r="C62">
        <v>0</v>
      </c>
      <c r="D62">
        <f t="shared" si="0"/>
        <v>3.2365634640234776E-16</v>
      </c>
    </row>
    <row r="63" spans="1:4" x14ac:dyDescent="0.25">
      <c r="A63">
        <v>1</v>
      </c>
      <c r="B63">
        <v>0</v>
      </c>
      <c r="C63">
        <v>47</v>
      </c>
      <c r="D63">
        <f t="shared" si="0"/>
        <v>1.4524121610726783E-35</v>
      </c>
    </row>
    <row r="64" spans="1:4" x14ac:dyDescent="0.25">
      <c r="A64">
        <v>1</v>
      </c>
      <c r="B64">
        <v>1</v>
      </c>
      <c r="C64">
        <v>46</v>
      </c>
      <c r="D64">
        <f t="shared" si="0"/>
        <v>3.2226661462312617E-33</v>
      </c>
    </row>
    <row r="65" spans="1:4" x14ac:dyDescent="0.25">
      <c r="A65">
        <v>1</v>
      </c>
      <c r="B65">
        <v>2</v>
      </c>
      <c r="C65">
        <v>45</v>
      </c>
      <c r="D65">
        <f t="shared" si="0"/>
        <v>3.4028424807705594E-31</v>
      </c>
    </row>
    <row r="66" spans="1:4" x14ac:dyDescent="0.25">
      <c r="A66">
        <v>1</v>
      </c>
      <c r="B66">
        <v>3</v>
      </c>
      <c r="C66">
        <v>44</v>
      </c>
      <c r="D66">
        <f t="shared" si="0"/>
        <v>2.2799044621162744E-29</v>
      </c>
    </row>
    <row r="67" spans="1:4" x14ac:dyDescent="0.25">
      <c r="A67">
        <v>1</v>
      </c>
      <c r="B67">
        <v>4</v>
      </c>
      <c r="C67">
        <v>43</v>
      </c>
      <c r="D67">
        <f t="shared" si="0"/>
        <v>1.0903890905773475E-27</v>
      </c>
    </row>
    <row r="68" spans="1:4" x14ac:dyDescent="0.25">
      <c r="A68">
        <v>1</v>
      </c>
      <c r="B68">
        <v>5</v>
      </c>
      <c r="C68">
        <v>42</v>
      </c>
      <c r="D68">
        <f t="shared" si="0"/>
        <v>3.9704082757746224E-26</v>
      </c>
    </row>
    <row r="69" spans="1:4" x14ac:dyDescent="0.25">
      <c r="A69">
        <v>1</v>
      </c>
      <c r="B69">
        <v>6</v>
      </c>
      <c r="C69">
        <v>41</v>
      </c>
      <c r="D69">
        <f t="shared" si="0"/>
        <v>1.1464553896299225E-24</v>
      </c>
    </row>
    <row r="70" spans="1:4" x14ac:dyDescent="0.25">
      <c r="A70">
        <v>1</v>
      </c>
      <c r="B70">
        <v>7</v>
      </c>
      <c r="C70">
        <v>40</v>
      </c>
      <c r="D70">
        <f t="shared" si="0"/>
        <v>2.6996851842684798E-23</v>
      </c>
    </row>
    <row r="71" spans="1:4" x14ac:dyDescent="0.25">
      <c r="A71">
        <v>1</v>
      </c>
      <c r="B71">
        <v>8</v>
      </c>
      <c r="C71">
        <v>39</v>
      </c>
      <c r="D71">
        <f t="shared" si="0"/>
        <v>5.2913829611662159E-22</v>
      </c>
    </row>
    <row r="72" spans="1:4" x14ac:dyDescent="0.25">
      <c r="A72">
        <v>1</v>
      </c>
      <c r="B72">
        <v>9</v>
      </c>
      <c r="C72">
        <v>38</v>
      </c>
      <c r="D72">
        <f t="shared" si="0"/>
        <v>8.767095298402849E-21</v>
      </c>
    </row>
    <row r="73" spans="1:4" x14ac:dyDescent="0.25">
      <c r="A73">
        <v>1</v>
      </c>
      <c r="B73">
        <v>10</v>
      </c>
      <c r="C73">
        <v>37</v>
      </c>
      <c r="D73">
        <f t="shared" si="0"/>
        <v>1.2429043565351126E-19</v>
      </c>
    </row>
    <row r="74" spans="1:4" x14ac:dyDescent="0.25">
      <c r="A74">
        <v>1</v>
      </c>
      <c r="B74">
        <v>11</v>
      </c>
      <c r="C74">
        <v>36</v>
      </c>
      <c r="D74">
        <f t="shared" si="0"/>
        <v>1.522397943399183E-18</v>
      </c>
    </row>
    <row r="75" spans="1:4" x14ac:dyDescent="0.25">
      <c r="A75">
        <v>1</v>
      </c>
      <c r="B75">
        <v>12</v>
      </c>
      <c r="C75">
        <v>35</v>
      </c>
      <c r="D75">
        <f t="shared" si="0"/>
        <v>1.6238911396257951E-17</v>
      </c>
    </row>
    <row r="76" spans="1:4" x14ac:dyDescent="0.25">
      <c r="A76">
        <v>1</v>
      </c>
      <c r="B76">
        <v>13</v>
      </c>
      <c r="C76">
        <v>34</v>
      </c>
      <c r="D76">
        <f t="shared" si="0"/>
        <v>1.5182814361396425E-16</v>
      </c>
    </row>
    <row r="77" spans="1:4" x14ac:dyDescent="0.25">
      <c r="A77">
        <v>1</v>
      </c>
      <c r="B77">
        <v>14</v>
      </c>
      <c r="C77">
        <v>33</v>
      </c>
      <c r="D77">
        <f t="shared" si="0"/>
        <v>1.2510329180436338E-15</v>
      </c>
    </row>
    <row r="78" spans="1:4" x14ac:dyDescent="0.25">
      <c r="A78">
        <v>1</v>
      </c>
      <c r="B78">
        <v>15</v>
      </c>
      <c r="C78">
        <v>32</v>
      </c>
      <c r="D78">
        <f t="shared" ref="D78:D141" si="1">COMBIN(A$4,A78)*COMBIN(B$4,B78)*COMBIN(C$4,C78)/COMBIN($F$4,$E$4)</f>
        <v>9.1259559179393474E-15</v>
      </c>
    </row>
    <row r="79" spans="1:4" x14ac:dyDescent="0.25">
      <c r="A79">
        <v>1</v>
      </c>
      <c r="B79">
        <v>16</v>
      </c>
      <c r="C79">
        <v>31</v>
      </c>
      <c r="D79">
        <f t="shared" si="1"/>
        <v>5.916136939905508E-14</v>
      </c>
    </row>
    <row r="80" spans="1:4" x14ac:dyDescent="0.25">
      <c r="A80">
        <v>1</v>
      </c>
      <c r="B80">
        <v>17</v>
      </c>
      <c r="C80">
        <v>30</v>
      </c>
      <c r="D80">
        <f t="shared" si="1"/>
        <v>3.4193266042504688E-13</v>
      </c>
    </row>
    <row r="81" spans="1:4" x14ac:dyDescent="0.25">
      <c r="A81">
        <v>1</v>
      </c>
      <c r="B81">
        <v>18</v>
      </c>
      <c r="C81">
        <v>29</v>
      </c>
      <c r="D81">
        <f t="shared" si="1"/>
        <v>1.7666520788627434E-12</v>
      </c>
    </row>
    <row r="82" spans="1:4" x14ac:dyDescent="0.25">
      <c r="A82">
        <v>1</v>
      </c>
      <c r="B82">
        <v>19</v>
      </c>
      <c r="C82">
        <v>28</v>
      </c>
      <c r="D82">
        <f t="shared" si="1"/>
        <v>8.1778157058659371E-12</v>
      </c>
    </row>
    <row r="83" spans="1:4" x14ac:dyDescent="0.25">
      <c r="A83">
        <v>1</v>
      </c>
      <c r="B83">
        <v>20</v>
      </c>
      <c r="C83">
        <v>27</v>
      </c>
      <c r="D83">
        <f t="shared" si="1"/>
        <v>3.397750525533973E-11</v>
      </c>
    </row>
    <row r="84" spans="1:4" x14ac:dyDescent="0.25">
      <c r="A84">
        <v>1</v>
      </c>
      <c r="B84">
        <v>21</v>
      </c>
      <c r="C84">
        <v>26</v>
      </c>
      <c r="D84">
        <f t="shared" si="1"/>
        <v>1.2689558085157508E-10</v>
      </c>
    </row>
    <row r="85" spans="1:4" x14ac:dyDescent="0.25">
      <c r="A85">
        <v>1</v>
      </c>
      <c r="B85">
        <v>22</v>
      </c>
      <c r="C85">
        <v>25</v>
      </c>
      <c r="D85">
        <f t="shared" si="1"/>
        <v>4.2647009132787858E-10</v>
      </c>
    </row>
    <row r="86" spans="1:4" x14ac:dyDescent="0.25">
      <c r="A86">
        <v>1</v>
      </c>
      <c r="B86">
        <v>23</v>
      </c>
      <c r="C86">
        <v>24</v>
      </c>
      <c r="D86">
        <f t="shared" si="1"/>
        <v>1.2908208449890633E-9</v>
      </c>
    </row>
    <row r="87" spans="1:4" x14ac:dyDescent="0.25">
      <c r="A87">
        <v>1</v>
      </c>
      <c r="B87">
        <v>24</v>
      </c>
      <c r="C87">
        <v>23</v>
      </c>
      <c r="D87">
        <f t="shared" si="1"/>
        <v>3.5204204863338098E-9</v>
      </c>
    </row>
    <row r="88" spans="1:4" x14ac:dyDescent="0.25">
      <c r="A88">
        <v>1</v>
      </c>
      <c r="B88">
        <v>25</v>
      </c>
      <c r="C88">
        <v>22</v>
      </c>
      <c r="D88">
        <f t="shared" si="1"/>
        <v>8.6528782938724155E-9</v>
      </c>
    </row>
    <row r="89" spans="1:4" x14ac:dyDescent="0.25">
      <c r="A89">
        <v>1</v>
      </c>
      <c r="B89">
        <v>26</v>
      </c>
      <c r="C89">
        <v>21</v>
      </c>
      <c r="D89">
        <f t="shared" si="1"/>
        <v>1.9165538121495699E-8</v>
      </c>
    </row>
    <row r="90" spans="1:4" x14ac:dyDescent="0.25">
      <c r="A90">
        <v>1</v>
      </c>
      <c r="B90">
        <v>27</v>
      </c>
      <c r="C90">
        <v>20</v>
      </c>
      <c r="D90">
        <f t="shared" si="1"/>
        <v>3.8238489102307798E-8</v>
      </c>
    </row>
    <row r="91" spans="1:4" x14ac:dyDescent="0.25">
      <c r="A91">
        <v>1</v>
      </c>
      <c r="B91">
        <v>28</v>
      </c>
      <c r="C91">
        <v>19</v>
      </c>
      <c r="D91">
        <f t="shared" si="1"/>
        <v>6.8673204918430328E-8</v>
      </c>
    </row>
    <row r="92" spans="1:4" x14ac:dyDescent="0.25">
      <c r="A92">
        <v>1</v>
      </c>
      <c r="B92">
        <v>29</v>
      </c>
      <c r="C92">
        <v>18</v>
      </c>
      <c r="D92">
        <f t="shared" si="1"/>
        <v>1.1089772042437157E-7</v>
      </c>
    </row>
    <row r="93" spans="1:4" x14ac:dyDescent="0.25">
      <c r="A93">
        <v>1</v>
      </c>
      <c r="B93">
        <v>30</v>
      </c>
      <c r="C93">
        <v>17</v>
      </c>
      <c r="D93">
        <f t="shared" si="1"/>
        <v>1.6080169461533872E-7</v>
      </c>
    </row>
    <row r="94" spans="1:4" x14ac:dyDescent="0.25">
      <c r="A94">
        <v>1</v>
      </c>
      <c r="B94">
        <v>31</v>
      </c>
      <c r="C94">
        <v>16</v>
      </c>
      <c r="D94">
        <f t="shared" si="1"/>
        <v>2.0897825181781319E-7</v>
      </c>
    </row>
    <row r="95" spans="1:4" x14ac:dyDescent="0.25">
      <c r="A95">
        <v>1</v>
      </c>
      <c r="B95">
        <v>32</v>
      </c>
      <c r="C95">
        <v>15</v>
      </c>
      <c r="D95">
        <f t="shared" si="1"/>
        <v>2.4286661697745861E-7</v>
      </c>
    </row>
    <row r="96" spans="1:4" x14ac:dyDescent="0.25">
      <c r="A96">
        <v>1</v>
      </c>
      <c r="B96">
        <v>33</v>
      </c>
      <c r="C96">
        <v>14</v>
      </c>
      <c r="D96">
        <f t="shared" si="1"/>
        <v>2.5169813032209344E-7</v>
      </c>
    </row>
    <row r="97" spans="1:4" x14ac:dyDescent="0.25">
      <c r="A97">
        <v>1</v>
      </c>
      <c r="B97">
        <v>34</v>
      </c>
      <c r="C97">
        <v>13</v>
      </c>
      <c r="D97">
        <f t="shared" si="1"/>
        <v>2.3182722529666498E-7</v>
      </c>
    </row>
    <row r="98" spans="1:4" x14ac:dyDescent="0.25">
      <c r="A98">
        <v>1</v>
      </c>
      <c r="B98">
        <v>35</v>
      </c>
      <c r="C98">
        <v>12</v>
      </c>
      <c r="D98">
        <f t="shared" si="1"/>
        <v>1.8898865082626087E-7</v>
      </c>
    </row>
    <row r="99" spans="1:4" x14ac:dyDescent="0.25">
      <c r="A99">
        <v>1</v>
      </c>
      <c r="B99">
        <v>36</v>
      </c>
      <c r="C99">
        <v>11</v>
      </c>
      <c r="D99">
        <f t="shared" si="1"/>
        <v>1.3568415956757198E-7</v>
      </c>
    </row>
    <row r="100" spans="1:4" x14ac:dyDescent="0.25">
      <c r="A100">
        <v>1</v>
      </c>
      <c r="B100">
        <v>37</v>
      </c>
      <c r="C100">
        <v>10</v>
      </c>
      <c r="D100">
        <f t="shared" si="1"/>
        <v>8.5272597032374161E-8</v>
      </c>
    </row>
    <row r="101" spans="1:4" x14ac:dyDescent="0.25">
      <c r="A101">
        <v>1</v>
      </c>
      <c r="B101">
        <v>38</v>
      </c>
      <c r="C101">
        <v>9</v>
      </c>
      <c r="D101">
        <f t="shared" si="1"/>
        <v>4.6563326011098987E-8</v>
      </c>
    </row>
    <row r="102" spans="1:4" x14ac:dyDescent="0.25">
      <c r="A102">
        <v>1</v>
      </c>
      <c r="B102">
        <v>39</v>
      </c>
      <c r="C102">
        <v>8</v>
      </c>
      <c r="D102">
        <f t="shared" si="1"/>
        <v>2.1888742996670478E-8</v>
      </c>
    </row>
    <row r="103" spans="1:4" x14ac:dyDescent="0.25">
      <c r="A103">
        <v>1</v>
      </c>
      <c r="B103">
        <v>40</v>
      </c>
      <c r="C103">
        <v>7</v>
      </c>
      <c r="D103">
        <f t="shared" si="1"/>
        <v>8.7554971986681922E-9</v>
      </c>
    </row>
    <row r="104" spans="1:4" x14ac:dyDescent="0.25">
      <c r="A104">
        <v>1</v>
      </c>
      <c r="B104">
        <v>41</v>
      </c>
      <c r="C104">
        <v>6</v>
      </c>
      <c r="D104">
        <f t="shared" si="1"/>
        <v>2.9356515732237454E-9</v>
      </c>
    </row>
    <row r="105" spans="1:4" x14ac:dyDescent="0.25">
      <c r="A105">
        <v>1</v>
      </c>
      <c r="B105">
        <v>42</v>
      </c>
      <c r="C105">
        <v>5</v>
      </c>
      <c r="D105">
        <f t="shared" si="1"/>
        <v>8.0880196405144046E-10</v>
      </c>
    </row>
    <row r="106" spans="1:4" x14ac:dyDescent="0.25">
      <c r="A106">
        <v>1</v>
      </c>
      <c r="B106">
        <v>43</v>
      </c>
      <c r="C106">
        <v>4</v>
      </c>
      <c r="D106">
        <f t="shared" si="1"/>
        <v>1.7813558989368247E-10</v>
      </c>
    </row>
    <row r="107" spans="1:4" x14ac:dyDescent="0.25">
      <c r="A107">
        <v>1</v>
      </c>
      <c r="B107">
        <v>44</v>
      </c>
      <c r="C107">
        <v>3</v>
      </c>
      <c r="D107">
        <f t="shared" si="1"/>
        <v>3.0128640996817359E-11</v>
      </c>
    </row>
    <row r="108" spans="1:4" x14ac:dyDescent="0.25">
      <c r="A108">
        <v>1</v>
      </c>
      <c r="B108">
        <v>45</v>
      </c>
      <c r="C108">
        <v>2</v>
      </c>
      <c r="D108">
        <f t="shared" si="1"/>
        <v>3.6708459145547533E-12</v>
      </c>
    </row>
    <row r="109" spans="1:4" x14ac:dyDescent="0.25">
      <c r="A109">
        <v>1</v>
      </c>
      <c r="B109">
        <v>46</v>
      </c>
      <c r="C109">
        <v>1</v>
      </c>
      <c r="D109">
        <f t="shared" si="1"/>
        <v>2.8655812969350375E-13</v>
      </c>
    </row>
    <row r="110" spans="1:4" x14ac:dyDescent="0.25">
      <c r="A110">
        <v>1</v>
      </c>
      <c r="B110">
        <v>47</v>
      </c>
      <c r="C110">
        <v>0</v>
      </c>
      <c r="D110">
        <f t="shared" si="1"/>
        <v>1.075534935737032E-14</v>
      </c>
    </row>
    <row r="111" spans="1:4" x14ac:dyDescent="0.25">
      <c r="A111">
        <v>2</v>
      </c>
      <c r="B111">
        <v>0</v>
      </c>
      <c r="C111">
        <v>46</v>
      </c>
      <c r="D111">
        <f t="shared" si="1"/>
        <v>8.4932334395750008E-34</v>
      </c>
    </row>
    <row r="112" spans="1:4" x14ac:dyDescent="0.25">
      <c r="A112">
        <v>2</v>
      </c>
      <c r="B112">
        <v>1</v>
      </c>
      <c r="C112">
        <v>45</v>
      </c>
      <c r="D112">
        <f t="shared" si="1"/>
        <v>1.8024957695170786E-31</v>
      </c>
    </row>
    <row r="113" spans="1:4" x14ac:dyDescent="0.25">
      <c r="A113">
        <v>2</v>
      </c>
      <c r="B113">
        <v>2</v>
      </c>
      <c r="C113">
        <v>44</v>
      </c>
      <c r="D113">
        <f t="shared" si="1"/>
        <v>1.8205207272122492E-29</v>
      </c>
    </row>
    <row r="114" spans="1:4" x14ac:dyDescent="0.25">
      <c r="A114">
        <v>2</v>
      </c>
      <c r="B114">
        <v>3</v>
      </c>
      <c r="C114">
        <v>43</v>
      </c>
      <c r="D114">
        <f t="shared" si="1"/>
        <v>1.1667163269177616E-27</v>
      </c>
    </row>
    <row r="115" spans="1:4" x14ac:dyDescent="0.25">
      <c r="A115">
        <v>2</v>
      </c>
      <c r="B115">
        <v>4</v>
      </c>
      <c r="C115">
        <v>42</v>
      </c>
      <c r="D115">
        <f t="shared" si="1"/>
        <v>5.3371066018578452E-26</v>
      </c>
    </row>
    <row r="116" spans="1:4" x14ac:dyDescent="0.25">
      <c r="A116">
        <v>2</v>
      </c>
      <c r="B116">
        <v>5</v>
      </c>
      <c r="C116">
        <v>41</v>
      </c>
      <c r="D116">
        <f t="shared" si="1"/>
        <v>1.8586473740969967E-24</v>
      </c>
    </row>
    <row r="117" spans="1:4" x14ac:dyDescent="0.25">
      <c r="A117">
        <v>2</v>
      </c>
      <c r="B117">
        <v>6</v>
      </c>
      <c r="C117">
        <v>40</v>
      </c>
      <c r="D117">
        <f t="shared" si="1"/>
        <v>5.1321426472514989E-23</v>
      </c>
    </row>
    <row r="118" spans="1:4" x14ac:dyDescent="0.25">
      <c r="A118">
        <v>2</v>
      </c>
      <c r="B118">
        <v>7</v>
      </c>
      <c r="C118">
        <v>39</v>
      </c>
      <c r="D118">
        <f t="shared" si="1"/>
        <v>1.1554652588669083E-21</v>
      </c>
    </row>
    <row r="119" spans="1:4" x14ac:dyDescent="0.25">
      <c r="A119">
        <v>2</v>
      </c>
      <c r="B119">
        <v>8</v>
      </c>
      <c r="C119">
        <v>38</v>
      </c>
      <c r="D119">
        <f t="shared" si="1"/>
        <v>2.1647981467594742E-20</v>
      </c>
    </row>
    <row r="120" spans="1:4" x14ac:dyDescent="0.25">
      <c r="A120">
        <v>2</v>
      </c>
      <c r="B120">
        <v>9</v>
      </c>
      <c r="C120">
        <v>37</v>
      </c>
      <c r="D120">
        <f t="shared" si="1"/>
        <v>3.4275970657024992E-19</v>
      </c>
    </row>
    <row r="121" spans="1:4" x14ac:dyDescent="0.25">
      <c r="A121">
        <v>2</v>
      </c>
      <c r="B121">
        <v>10</v>
      </c>
      <c r="C121">
        <v>36</v>
      </c>
      <c r="D121">
        <f t="shared" si="1"/>
        <v>4.6421305165306672E-18</v>
      </c>
    </row>
    <row r="122" spans="1:4" x14ac:dyDescent="0.25">
      <c r="A122">
        <v>2</v>
      </c>
      <c r="B122">
        <v>11</v>
      </c>
      <c r="C122">
        <v>35</v>
      </c>
      <c r="D122">
        <f t="shared" si="1"/>
        <v>5.4298859981237545E-17</v>
      </c>
    </row>
    <row r="123" spans="1:4" x14ac:dyDescent="0.25">
      <c r="A123">
        <v>2</v>
      </c>
      <c r="B123">
        <v>12</v>
      </c>
      <c r="C123">
        <v>34</v>
      </c>
      <c r="D123">
        <f t="shared" si="1"/>
        <v>5.5286111980896419E-16</v>
      </c>
    </row>
    <row r="124" spans="1:4" x14ac:dyDescent="0.25">
      <c r="A124">
        <v>2</v>
      </c>
      <c r="B124">
        <v>13</v>
      </c>
      <c r="C124">
        <v>33</v>
      </c>
      <c r="D124">
        <f t="shared" si="1"/>
        <v>4.9317034506035861E-15</v>
      </c>
    </row>
    <row r="125" spans="1:4" x14ac:dyDescent="0.25">
      <c r="A125">
        <v>2</v>
      </c>
      <c r="B125">
        <v>14</v>
      </c>
      <c r="C125">
        <v>32</v>
      </c>
      <c r="D125">
        <f t="shared" si="1"/>
        <v>3.874909854045677E-14</v>
      </c>
    </row>
    <row r="126" spans="1:4" x14ac:dyDescent="0.25">
      <c r="A126">
        <v>2</v>
      </c>
      <c r="B126">
        <v>15</v>
      </c>
      <c r="C126">
        <v>31</v>
      </c>
      <c r="D126">
        <f t="shared" si="1"/>
        <v>2.6937304364676129E-13</v>
      </c>
    </row>
    <row r="127" spans="1:4" x14ac:dyDescent="0.25">
      <c r="A127">
        <v>2</v>
      </c>
      <c r="B127">
        <v>16</v>
      </c>
      <c r="C127">
        <v>30</v>
      </c>
      <c r="D127">
        <f t="shared" si="1"/>
        <v>1.6630361211581834E-12</v>
      </c>
    </row>
    <row r="128" spans="1:4" x14ac:dyDescent="0.25">
      <c r="A128">
        <v>2</v>
      </c>
      <c r="B128">
        <v>17</v>
      </c>
      <c r="C128">
        <v>29</v>
      </c>
      <c r="D128">
        <f t="shared" si="1"/>
        <v>9.1466986663700087E-12</v>
      </c>
    </row>
    <row r="129" spans="1:4" x14ac:dyDescent="0.25">
      <c r="A129">
        <v>2</v>
      </c>
      <c r="B129">
        <v>18</v>
      </c>
      <c r="C129">
        <v>28</v>
      </c>
      <c r="D129">
        <f t="shared" si="1"/>
        <v>4.493378197304175E-11</v>
      </c>
    </row>
    <row r="130" spans="1:4" x14ac:dyDescent="0.25">
      <c r="A130">
        <v>2</v>
      </c>
      <c r="B130">
        <v>19</v>
      </c>
      <c r="C130">
        <v>27</v>
      </c>
      <c r="D130">
        <f t="shared" si="1"/>
        <v>1.975865794739866E-10</v>
      </c>
    </row>
    <row r="131" spans="1:4" x14ac:dyDescent="0.25">
      <c r="A131">
        <v>2</v>
      </c>
      <c r="B131">
        <v>20</v>
      </c>
      <c r="C131">
        <v>26</v>
      </c>
      <c r="D131">
        <f t="shared" si="1"/>
        <v>7.7905565621171876E-10</v>
      </c>
    </row>
    <row r="132" spans="1:4" x14ac:dyDescent="0.25">
      <c r="A132">
        <v>2</v>
      </c>
      <c r="B132">
        <v>21</v>
      </c>
      <c r="C132">
        <v>25</v>
      </c>
      <c r="D132">
        <f t="shared" si="1"/>
        <v>2.7579961400709501E-9</v>
      </c>
    </row>
    <row r="133" spans="1:4" x14ac:dyDescent="0.25">
      <c r="A133">
        <v>2</v>
      </c>
      <c r="B133">
        <v>22</v>
      </c>
      <c r="C133">
        <v>24</v>
      </c>
      <c r="D133">
        <f t="shared" si="1"/>
        <v>8.7754422638621131E-9</v>
      </c>
    </row>
    <row r="134" spans="1:4" x14ac:dyDescent="0.25">
      <c r="A134">
        <v>2</v>
      </c>
      <c r="B134">
        <v>23</v>
      </c>
      <c r="C134">
        <v>23</v>
      </c>
      <c r="D134">
        <f t="shared" si="1"/>
        <v>2.511233280251451E-8</v>
      </c>
    </row>
    <row r="135" spans="1:4" x14ac:dyDescent="0.25">
      <c r="A135">
        <v>2</v>
      </c>
      <c r="B135">
        <v>24</v>
      </c>
      <c r="C135">
        <v>22</v>
      </c>
      <c r="D135">
        <f t="shared" si="1"/>
        <v>6.4654886693041116E-8</v>
      </c>
    </row>
    <row r="136" spans="1:4" x14ac:dyDescent="0.25">
      <c r="A136">
        <v>2</v>
      </c>
      <c r="B136">
        <v>25</v>
      </c>
      <c r="C136">
        <v>21</v>
      </c>
      <c r="D136">
        <f t="shared" si="1"/>
        <v>1.4977114341011518E-7</v>
      </c>
    </row>
    <row r="137" spans="1:4" x14ac:dyDescent="0.25">
      <c r="A137">
        <v>2</v>
      </c>
      <c r="B137">
        <v>26</v>
      </c>
      <c r="C137">
        <v>20</v>
      </c>
      <c r="D137">
        <f t="shared" si="1"/>
        <v>3.1206495767391883E-7</v>
      </c>
    </row>
    <row r="138" spans="1:4" x14ac:dyDescent="0.25">
      <c r="A138">
        <v>2</v>
      </c>
      <c r="B138">
        <v>27</v>
      </c>
      <c r="C138">
        <v>19</v>
      </c>
      <c r="D138">
        <f t="shared" si="1"/>
        <v>5.8450261913527672E-7</v>
      </c>
    </row>
    <row r="139" spans="1:4" x14ac:dyDescent="0.25">
      <c r="A139">
        <v>2</v>
      </c>
      <c r="B139">
        <v>28</v>
      </c>
      <c r="C139">
        <v>18</v>
      </c>
      <c r="D139">
        <f t="shared" si="1"/>
        <v>9.8318750421949964E-7</v>
      </c>
    </row>
    <row r="140" spans="1:4" x14ac:dyDescent="0.25">
      <c r="A140">
        <v>2</v>
      </c>
      <c r="B140">
        <v>29</v>
      </c>
      <c r="C140">
        <v>17</v>
      </c>
      <c r="D140">
        <f t="shared" si="1"/>
        <v>1.4832570106759693E-6</v>
      </c>
    </row>
    <row r="141" spans="1:4" x14ac:dyDescent="0.25">
      <c r="A141">
        <v>2</v>
      </c>
      <c r="B141">
        <v>30</v>
      </c>
      <c r="C141">
        <v>16</v>
      </c>
      <c r="D141">
        <f t="shared" si="1"/>
        <v>2.0034128938719249E-6</v>
      </c>
    </row>
    <row r="142" spans="1:4" x14ac:dyDescent="0.25">
      <c r="A142">
        <v>2</v>
      </c>
      <c r="B142">
        <v>31</v>
      </c>
      <c r="C142">
        <v>15</v>
      </c>
      <c r="D142">
        <f t="shared" ref="D142:D205" si="2">COMBIN(A$4,A142)*COMBIN(B$4,B142)*COMBIN(C$4,C142)/COMBIN($F$4,$E$4)</f>
        <v>2.417370048054704E-6</v>
      </c>
    </row>
    <row r="143" spans="1:4" x14ac:dyDescent="0.25">
      <c r="A143">
        <v>2</v>
      </c>
      <c r="B143">
        <v>32</v>
      </c>
      <c r="C143">
        <v>14</v>
      </c>
      <c r="D143">
        <f t="shared" si="2"/>
        <v>2.5986728016588075E-6</v>
      </c>
    </row>
    <row r="144" spans="1:4" x14ac:dyDescent="0.25">
      <c r="A144">
        <v>2</v>
      </c>
      <c r="B144">
        <v>33</v>
      </c>
      <c r="C144">
        <v>13</v>
      </c>
      <c r="D144">
        <f t="shared" si="2"/>
        <v>2.4805513106743159E-6</v>
      </c>
    </row>
    <row r="145" spans="1:4" x14ac:dyDescent="0.25">
      <c r="A145">
        <v>2</v>
      </c>
      <c r="B145">
        <v>34</v>
      </c>
      <c r="C145">
        <v>12</v>
      </c>
      <c r="D145">
        <f t="shared" si="2"/>
        <v>2.0939718856341619E-6</v>
      </c>
    </row>
    <row r="146" spans="1:4" x14ac:dyDescent="0.25">
      <c r="A146">
        <v>2</v>
      </c>
      <c r="B146">
        <v>35</v>
      </c>
      <c r="C146">
        <v>11</v>
      </c>
      <c r="D146">
        <f t="shared" si="2"/>
        <v>1.5555219721853783E-6</v>
      </c>
    </row>
    <row r="147" spans="1:4" x14ac:dyDescent="0.25">
      <c r="A147">
        <v>2</v>
      </c>
      <c r="B147">
        <v>36</v>
      </c>
      <c r="C147">
        <v>10</v>
      </c>
      <c r="D147">
        <f t="shared" si="2"/>
        <v>1.010761112728052E-6</v>
      </c>
    </row>
    <row r="148" spans="1:4" x14ac:dyDescent="0.25">
      <c r="A148">
        <v>2</v>
      </c>
      <c r="B148">
        <v>37</v>
      </c>
      <c r="C148">
        <v>9</v>
      </c>
      <c r="D148">
        <f t="shared" si="2"/>
        <v>5.7026049265400209E-7</v>
      </c>
    </row>
    <row r="149" spans="1:4" x14ac:dyDescent="0.25">
      <c r="A149">
        <v>2</v>
      </c>
      <c r="B149">
        <v>38</v>
      </c>
      <c r="C149">
        <v>8</v>
      </c>
      <c r="D149">
        <f t="shared" si="2"/>
        <v>2.7679310462153283E-7</v>
      </c>
    </row>
    <row r="150" spans="1:4" x14ac:dyDescent="0.25">
      <c r="A150">
        <v>2</v>
      </c>
      <c r="B150">
        <v>39</v>
      </c>
      <c r="C150">
        <v>7</v>
      </c>
      <c r="D150">
        <f t="shared" si="2"/>
        <v>1.1424856100701174E-7</v>
      </c>
    </row>
    <row r="151" spans="1:4" x14ac:dyDescent="0.25">
      <c r="A151">
        <v>2</v>
      </c>
      <c r="B151">
        <v>40</v>
      </c>
      <c r="C151">
        <v>6</v>
      </c>
      <c r="D151">
        <f t="shared" si="2"/>
        <v>3.9505225312063102E-8</v>
      </c>
    </row>
    <row r="152" spans="1:4" x14ac:dyDescent="0.25">
      <c r="A152">
        <v>2</v>
      </c>
      <c r="B152">
        <v>41</v>
      </c>
      <c r="C152">
        <v>5</v>
      </c>
      <c r="D152">
        <f t="shared" si="2"/>
        <v>1.1218382797676461E-8</v>
      </c>
    </row>
    <row r="153" spans="1:4" x14ac:dyDescent="0.25">
      <c r="A153">
        <v>2</v>
      </c>
      <c r="B153">
        <v>42</v>
      </c>
      <c r="C153">
        <v>4</v>
      </c>
      <c r="D153">
        <f t="shared" si="2"/>
        <v>2.5453473574560031E-9</v>
      </c>
    </row>
    <row r="154" spans="1:4" x14ac:dyDescent="0.25">
      <c r="A154">
        <v>2</v>
      </c>
      <c r="B154">
        <v>43</v>
      </c>
      <c r="C154">
        <v>3</v>
      </c>
      <c r="D154">
        <f t="shared" si="2"/>
        <v>4.4326763066567505E-10</v>
      </c>
    </row>
    <row r="155" spans="1:4" x14ac:dyDescent="0.25">
      <c r="A155">
        <v>2</v>
      </c>
      <c r="B155">
        <v>44</v>
      </c>
      <c r="C155">
        <v>2</v>
      </c>
      <c r="D155">
        <f t="shared" si="2"/>
        <v>5.5582148045852718E-11</v>
      </c>
    </row>
    <row r="156" spans="1:4" x14ac:dyDescent="0.25">
      <c r="A156">
        <v>2</v>
      </c>
      <c r="B156">
        <v>45</v>
      </c>
      <c r="C156">
        <v>1</v>
      </c>
      <c r="D156">
        <f t="shared" si="2"/>
        <v>4.46341491883362E-12</v>
      </c>
    </row>
    <row r="157" spans="1:4" x14ac:dyDescent="0.25">
      <c r="A157">
        <v>2</v>
      </c>
      <c r="B157">
        <v>46</v>
      </c>
      <c r="C157">
        <v>0</v>
      </c>
      <c r="D157">
        <f t="shared" si="2"/>
        <v>1.7225685324272419E-13</v>
      </c>
    </row>
    <row r="158" spans="1:4" x14ac:dyDescent="0.25">
      <c r="A158">
        <v>3</v>
      </c>
      <c r="B158">
        <v>0</v>
      </c>
      <c r="C158">
        <v>45</v>
      </c>
      <c r="D158">
        <f t="shared" si="2"/>
        <v>3.1373489584369513E-32</v>
      </c>
    </row>
    <row r="159" spans="1:4" x14ac:dyDescent="0.25">
      <c r="A159">
        <v>3</v>
      </c>
      <c r="B159">
        <v>1</v>
      </c>
      <c r="C159">
        <v>44</v>
      </c>
      <c r="D159">
        <f t="shared" si="2"/>
        <v>6.3688183856270098E-30</v>
      </c>
    </row>
    <row r="160" spans="1:4" x14ac:dyDescent="0.25">
      <c r="A160">
        <v>3</v>
      </c>
      <c r="B160">
        <v>2</v>
      </c>
      <c r="C160">
        <v>43</v>
      </c>
      <c r="D160">
        <f t="shared" si="2"/>
        <v>6.1528323708100871E-28</v>
      </c>
    </row>
    <row r="161" spans="1:4" x14ac:dyDescent="0.25">
      <c r="A161">
        <v>3</v>
      </c>
      <c r="B161">
        <v>3</v>
      </c>
      <c r="C161">
        <v>42</v>
      </c>
      <c r="D161">
        <f t="shared" si="2"/>
        <v>3.7715553319795437E-26</v>
      </c>
    </row>
    <row r="162" spans="1:4" x14ac:dyDescent="0.25">
      <c r="A162">
        <v>3</v>
      </c>
      <c r="B162">
        <v>4</v>
      </c>
      <c r="C162">
        <v>41</v>
      </c>
      <c r="D162">
        <f t="shared" si="2"/>
        <v>1.6500554577410521E-24</v>
      </c>
    </row>
    <row r="163" spans="1:4" x14ac:dyDescent="0.25">
      <c r="A163">
        <v>3</v>
      </c>
      <c r="B163">
        <v>5</v>
      </c>
      <c r="C163">
        <v>40</v>
      </c>
      <c r="D163">
        <f t="shared" si="2"/>
        <v>5.4950214202894869E-23</v>
      </c>
    </row>
    <row r="164" spans="1:4" x14ac:dyDescent="0.25">
      <c r="A164">
        <v>3</v>
      </c>
      <c r="B164">
        <v>6</v>
      </c>
      <c r="C164">
        <v>39</v>
      </c>
      <c r="D164">
        <f t="shared" si="2"/>
        <v>1.4506856549564223E-21</v>
      </c>
    </row>
    <row r="165" spans="1:4" x14ac:dyDescent="0.25">
      <c r="A165">
        <v>3</v>
      </c>
      <c r="B165">
        <v>7</v>
      </c>
      <c r="C165">
        <v>38</v>
      </c>
      <c r="D165">
        <f t="shared" si="2"/>
        <v>3.1220218170952949E-20</v>
      </c>
    </row>
    <row r="166" spans="1:4" x14ac:dyDescent="0.25">
      <c r="A166">
        <v>3</v>
      </c>
      <c r="B166">
        <v>8</v>
      </c>
      <c r="C166">
        <v>37</v>
      </c>
      <c r="D166">
        <f t="shared" si="2"/>
        <v>5.5896198302225417E-19</v>
      </c>
    </row>
    <row r="167" spans="1:4" x14ac:dyDescent="0.25">
      <c r="A167">
        <v>3</v>
      </c>
      <c r="B167">
        <v>9</v>
      </c>
      <c r="C167">
        <v>36</v>
      </c>
      <c r="D167">
        <f t="shared" si="2"/>
        <v>8.4547394287328268E-18</v>
      </c>
    </row>
    <row r="168" spans="1:4" x14ac:dyDescent="0.25">
      <c r="A168">
        <v>3</v>
      </c>
      <c r="B168">
        <v>10</v>
      </c>
      <c r="C168">
        <v>35</v>
      </c>
      <c r="D168">
        <f t="shared" si="2"/>
        <v>1.0934796327827798E-16</v>
      </c>
    </row>
    <row r="169" spans="1:4" x14ac:dyDescent="0.25">
      <c r="A169">
        <v>3</v>
      </c>
      <c r="B169">
        <v>11</v>
      </c>
      <c r="C169">
        <v>34</v>
      </c>
      <c r="D169">
        <f t="shared" si="2"/>
        <v>1.2209016395781299E-15</v>
      </c>
    </row>
    <row r="170" spans="1:4" x14ac:dyDescent="0.25">
      <c r="A170">
        <v>3</v>
      </c>
      <c r="B170">
        <v>12</v>
      </c>
      <c r="C170">
        <v>33</v>
      </c>
      <c r="D170">
        <f t="shared" si="2"/>
        <v>1.1860187355901818E-14</v>
      </c>
    </row>
    <row r="171" spans="1:4" x14ac:dyDescent="0.25">
      <c r="A171">
        <v>3</v>
      </c>
      <c r="B171">
        <v>13</v>
      </c>
      <c r="C171">
        <v>32</v>
      </c>
      <c r="D171">
        <f t="shared" si="2"/>
        <v>1.0088361795445231E-13</v>
      </c>
    </row>
    <row r="172" spans="1:4" x14ac:dyDescent="0.25">
      <c r="A172">
        <v>3</v>
      </c>
      <c r="B172">
        <v>14</v>
      </c>
      <c r="C172">
        <v>31</v>
      </c>
      <c r="D172">
        <f t="shared" si="2"/>
        <v>7.5538472557028364E-13</v>
      </c>
    </row>
    <row r="173" spans="1:4" x14ac:dyDescent="0.25">
      <c r="A173">
        <v>3</v>
      </c>
      <c r="B173">
        <v>15</v>
      </c>
      <c r="C173">
        <v>30</v>
      </c>
      <c r="D173">
        <f t="shared" si="2"/>
        <v>5.0009029458941104E-12</v>
      </c>
    </row>
    <row r="174" spans="1:4" x14ac:dyDescent="0.25">
      <c r="A174">
        <v>3</v>
      </c>
      <c r="B174">
        <v>16</v>
      </c>
      <c r="C174">
        <v>29</v>
      </c>
      <c r="D174">
        <f t="shared" si="2"/>
        <v>2.9380304807127913E-11</v>
      </c>
    </row>
    <row r="175" spans="1:4" x14ac:dyDescent="0.25">
      <c r="A175">
        <v>3</v>
      </c>
      <c r="B175">
        <v>17</v>
      </c>
      <c r="C175">
        <v>28</v>
      </c>
      <c r="D175">
        <f t="shared" si="2"/>
        <v>1.5364454481104595E-10</v>
      </c>
    </row>
    <row r="176" spans="1:4" x14ac:dyDescent="0.25">
      <c r="A176">
        <v>3</v>
      </c>
      <c r="B176">
        <v>18</v>
      </c>
      <c r="C176">
        <v>27</v>
      </c>
      <c r="D176">
        <f t="shared" si="2"/>
        <v>7.1700787578488091E-10</v>
      </c>
    </row>
    <row r="177" spans="1:4" x14ac:dyDescent="0.25">
      <c r="A177">
        <v>3</v>
      </c>
      <c r="B177">
        <v>19</v>
      </c>
      <c r="C177">
        <v>26</v>
      </c>
      <c r="D177">
        <f t="shared" si="2"/>
        <v>2.9920253463203712E-9</v>
      </c>
    </row>
    <row r="178" spans="1:4" x14ac:dyDescent="0.25">
      <c r="A178">
        <v>3</v>
      </c>
      <c r="B178">
        <v>20</v>
      </c>
      <c r="C178">
        <v>25</v>
      </c>
      <c r="D178">
        <f t="shared" si="2"/>
        <v>1.1182694731872373E-8</v>
      </c>
    </row>
    <row r="179" spans="1:4" x14ac:dyDescent="0.25">
      <c r="A179">
        <v>3</v>
      </c>
      <c r="B179">
        <v>21</v>
      </c>
      <c r="C179">
        <v>24</v>
      </c>
      <c r="D179">
        <f t="shared" si="2"/>
        <v>3.7480460365066743E-8</v>
      </c>
    </row>
    <row r="180" spans="1:4" x14ac:dyDescent="0.25">
      <c r="A180">
        <v>3</v>
      </c>
      <c r="B180">
        <v>22</v>
      </c>
      <c r="C180">
        <v>23</v>
      </c>
      <c r="D180">
        <f t="shared" si="2"/>
        <v>1.1275113696598601E-7</v>
      </c>
    </row>
    <row r="181" spans="1:4" x14ac:dyDescent="0.25">
      <c r="A181">
        <v>3</v>
      </c>
      <c r="B181">
        <v>23</v>
      </c>
      <c r="C181">
        <v>22</v>
      </c>
      <c r="D181">
        <f t="shared" si="2"/>
        <v>3.0459635508721594E-7</v>
      </c>
    </row>
    <row r="182" spans="1:4" x14ac:dyDescent="0.25">
      <c r="A182">
        <v>3</v>
      </c>
      <c r="B182">
        <v>24</v>
      </c>
      <c r="C182">
        <v>21</v>
      </c>
      <c r="D182">
        <f t="shared" si="2"/>
        <v>7.390940969028031E-7</v>
      </c>
    </row>
    <row r="183" spans="1:4" x14ac:dyDescent="0.25">
      <c r="A183">
        <v>3</v>
      </c>
      <c r="B183">
        <v>25</v>
      </c>
      <c r="C183">
        <v>20</v>
      </c>
      <c r="D183">
        <f t="shared" si="2"/>
        <v>1.6105824407290632E-6</v>
      </c>
    </row>
    <row r="184" spans="1:4" x14ac:dyDescent="0.25">
      <c r="A184">
        <v>3</v>
      </c>
      <c r="B184">
        <v>26</v>
      </c>
      <c r="C184">
        <v>19</v>
      </c>
      <c r="D184">
        <f t="shared" si="2"/>
        <v>3.1503700488986115E-6</v>
      </c>
    </row>
    <row r="185" spans="1:4" x14ac:dyDescent="0.25">
      <c r="A185">
        <v>3</v>
      </c>
      <c r="B185">
        <v>27</v>
      </c>
      <c r="C185">
        <v>18</v>
      </c>
      <c r="D185">
        <f t="shared" si="2"/>
        <v>5.526705516142947E-6</v>
      </c>
    </row>
    <row r="186" spans="1:4" x14ac:dyDescent="0.25">
      <c r="A186">
        <v>3</v>
      </c>
      <c r="B186">
        <v>28</v>
      </c>
      <c r="C186">
        <v>17</v>
      </c>
      <c r="D186">
        <f t="shared" si="2"/>
        <v>8.6848229539389106E-6</v>
      </c>
    </row>
    <row r="187" spans="1:4" x14ac:dyDescent="0.25">
      <c r="A187">
        <v>3</v>
      </c>
      <c r="B187">
        <v>29</v>
      </c>
      <c r="C187">
        <v>16</v>
      </c>
      <c r="D187">
        <f t="shared" si="2"/>
        <v>1.2204699238530118E-5</v>
      </c>
    </row>
    <row r="188" spans="1:4" x14ac:dyDescent="0.25">
      <c r="A188">
        <v>3</v>
      </c>
      <c r="B188">
        <v>30</v>
      </c>
      <c r="C188">
        <v>15</v>
      </c>
      <c r="D188">
        <f t="shared" si="2"/>
        <v>1.5305352558589124E-5</v>
      </c>
    </row>
    <row r="189" spans="1:4" x14ac:dyDescent="0.25">
      <c r="A189">
        <v>3</v>
      </c>
      <c r="B189">
        <v>31</v>
      </c>
      <c r="C189">
        <v>14</v>
      </c>
      <c r="D189">
        <f t="shared" si="2"/>
        <v>1.7082748339586577E-5</v>
      </c>
    </row>
    <row r="190" spans="1:4" x14ac:dyDescent="0.25">
      <c r="A190">
        <v>3</v>
      </c>
      <c r="B190">
        <v>32</v>
      </c>
      <c r="C190">
        <v>13</v>
      </c>
      <c r="D190">
        <f t="shared" si="2"/>
        <v>1.6914168586235393E-5</v>
      </c>
    </row>
    <row r="191" spans="1:4" x14ac:dyDescent="0.25">
      <c r="A191">
        <v>3</v>
      </c>
      <c r="B191">
        <v>33</v>
      </c>
      <c r="C191">
        <v>12</v>
      </c>
      <c r="D191">
        <f t="shared" si="2"/>
        <v>1.4797401325148084E-5</v>
      </c>
    </row>
    <row r="192" spans="1:4" x14ac:dyDescent="0.25">
      <c r="A192">
        <v>3</v>
      </c>
      <c r="B192">
        <v>34</v>
      </c>
      <c r="C192">
        <v>11</v>
      </c>
      <c r="D192">
        <f t="shared" si="2"/>
        <v>1.1382616403960062E-5</v>
      </c>
    </row>
    <row r="193" spans="1:4" x14ac:dyDescent="0.25">
      <c r="A193">
        <v>3</v>
      </c>
      <c r="B193">
        <v>35</v>
      </c>
      <c r="C193">
        <v>10</v>
      </c>
      <c r="D193">
        <f t="shared" si="2"/>
        <v>7.6529055677981054E-6</v>
      </c>
    </row>
    <row r="194" spans="1:4" x14ac:dyDescent="0.25">
      <c r="A194">
        <v>3</v>
      </c>
      <c r="B194">
        <v>36</v>
      </c>
      <c r="C194">
        <v>9</v>
      </c>
      <c r="D194">
        <f t="shared" si="2"/>
        <v>4.4641949145488963E-6</v>
      </c>
    </row>
    <row r="195" spans="1:4" x14ac:dyDescent="0.25">
      <c r="A195">
        <v>3</v>
      </c>
      <c r="B195">
        <v>37</v>
      </c>
      <c r="C195">
        <v>8</v>
      </c>
      <c r="D195">
        <f t="shared" si="2"/>
        <v>2.2388004526416381E-6</v>
      </c>
    </row>
    <row r="196" spans="1:4" x14ac:dyDescent="0.25">
      <c r="A196">
        <v>3</v>
      </c>
      <c r="B196">
        <v>38</v>
      </c>
      <c r="C196">
        <v>7</v>
      </c>
      <c r="D196">
        <f t="shared" si="2"/>
        <v>9.5414858828886086E-7</v>
      </c>
    </row>
    <row r="197" spans="1:4" x14ac:dyDescent="0.25">
      <c r="A197">
        <v>3</v>
      </c>
      <c r="B197">
        <v>39</v>
      </c>
      <c r="C197">
        <v>6</v>
      </c>
      <c r="D197">
        <f t="shared" si="2"/>
        <v>3.4045153520964935E-7</v>
      </c>
    </row>
    <row r="198" spans="1:4" x14ac:dyDescent="0.25">
      <c r="A198">
        <v>3</v>
      </c>
      <c r="B198">
        <v>40</v>
      </c>
      <c r="C198">
        <v>5</v>
      </c>
      <c r="D198">
        <f t="shared" si="2"/>
        <v>9.9703663882825965E-8</v>
      </c>
    </row>
    <row r="199" spans="1:4" x14ac:dyDescent="0.25">
      <c r="A199">
        <v>3</v>
      </c>
      <c r="B199">
        <v>41</v>
      </c>
      <c r="C199">
        <v>4</v>
      </c>
      <c r="D199">
        <f t="shared" si="2"/>
        <v>2.3316638755954988E-8</v>
      </c>
    </row>
    <row r="200" spans="1:4" x14ac:dyDescent="0.25">
      <c r="A200">
        <v>3</v>
      </c>
      <c r="B200">
        <v>42</v>
      </c>
      <c r="C200">
        <v>3</v>
      </c>
      <c r="D200">
        <f t="shared" si="2"/>
        <v>4.1830514711680052E-9</v>
      </c>
    </row>
    <row r="201" spans="1:4" x14ac:dyDescent="0.25">
      <c r="A201">
        <v>3</v>
      </c>
      <c r="B201">
        <v>43</v>
      </c>
      <c r="C201">
        <v>2</v>
      </c>
      <c r="D201">
        <f t="shared" si="2"/>
        <v>5.4007320517886838E-10</v>
      </c>
    </row>
    <row r="202" spans="1:4" x14ac:dyDescent="0.25">
      <c r="A202">
        <v>3</v>
      </c>
      <c r="B202">
        <v>44</v>
      </c>
      <c r="C202">
        <v>1</v>
      </c>
      <c r="D202">
        <f t="shared" si="2"/>
        <v>4.4634149188336271E-11</v>
      </c>
    </row>
    <row r="203" spans="1:4" x14ac:dyDescent="0.25">
      <c r="A203">
        <v>3</v>
      </c>
      <c r="B203">
        <v>45</v>
      </c>
      <c r="C203">
        <v>0</v>
      </c>
      <c r="D203">
        <f t="shared" si="2"/>
        <v>1.7719924396867557E-12</v>
      </c>
    </row>
    <row r="204" spans="1:4" x14ac:dyDescent="0.25">
      <c r="A204">
        <v>4</v>
      </c>
      <c r="B204">
        <v>0</v>
      </c>
      <c r="C204">
        <v>44</v>
      </c>
      <c r="D204">
        <f t="shared" si="2"/>
        <v>8.2355410158969982E-31</v>
      </c>
    </row>
    <row r="205" spans="1:4" x14ac:dyDescent="0.25">
      <c r="A205">
        <v>4</v>
      </c>
      <c r="B205">
        <v>1</v>
      </c>
      <c r="C205">
        <v>43</v>
      </c>
      <c r="D205">
        <f t="shared" si="2"/>
        <v>1.5991272250867805E-28</v>
      </c>
    </row>
    <row r="206" spans="1:4" x14ac:dyDescent="0.25">
      <c r="A206">
        <v>4</v>
      </c>
      <c r="B206">
        <v>2</v>
      </c>
      <c r="C206">
        <v>42</v>
      </c>
      <c r="D206">
        <f t="shared" ref="D206:D269" si="3">COMBIN(A$4,A206)*COMBIN(B$4,B206)*COMBIN(C$4,C206)/COMBIN($F$4,$E$4)</f>
        <v>1.4776616039472097E-26</v>
      </c>
    </row>
    <row r="207" spans="1:4" x14ac:dyDescent="0.25">
      <c r="A207">
        <v>4</v>
      </c>
      <c r="B207">
        <v>3</v>
      </c>
      <c r="C207">
        <v>41</v>
      </c>
      <c r="D207">
        <f t="shared" si="3"/>
        <v>8.6627911531405232E-25</v>
      </c>
    </row>
    <row r="208" spans="1:4" x14ac:dyDescent="0.25">
      <c r="A208">
        <v>4</v>
      </c>
      <c r="B208">
        <v>4</v>
      </c>
      <c r="C208">
        <v>40</v>
      </c>
      <c r="D208">
        <f t="shared" si="3"/>
        <v>3.6242289518240959E-23</v>
      </c>
    </row>
    <row r="209" spans="1:4" x14ac:dyDescent="0.25">
      <c r="A209">
        <v>4</v>
      </c>
      <c r="B209">
        <v>5</v>
      </c>
      <c r="C209">
        <v>39</v>
      </c>
      <c r="D209">
        <f t="shared" si="3"/>
        <v>1.1539544982607913E-21</v>
      </c>
    </row>
    <row r="210" spans="1:4" x14ac:dyDescent="0.25">
      <c r="A210">
        <v>4</v>
      </c>
      <c r="B210">
        <v>6</v>
      </c>
      <c r="C210">
        <v>38</v>
      </c>
      <c r="D210">
        <f t="shared" si="3"/>
        <v>2.912038116199291E-20</v>
      </c>
    </row>
    <row r="211" spans="1:4" x14ac:dyDescent="0.25">
      <c r="A211">
        <v>4</v>
      </c>
      <c r="B211">
        <v>7</v>
      </c>
      <c r="C211">
        <v>37</v>
      </c>
      <c r="D211">
        <f t="shared" si="3"/>
        <v>5.9888783895241506E-19</v>
      </c>
    </row>
    <row r="212" spans="1:4" x14ac:dyDescent="0.25">
      <c r="A212">
        <v>4</v>
      </c>
      <c r="B212">
        <v>8</v>
      </c>
      <c r="C212">
        <v>36</v>
      </c>
      <c r="D212">
        <f t="shared" si="3"/>
        <v>1.0243242000195549E-17</v>
      </c>
    </row>
    <row r="213" spans="1:4" x14ac:dyDescent="0.25">
      <c r="A213">
        <v>4</v>
      </c>
      <c r="B213">
        <v>9</v>
      </c>
      <c r="C213">
        <v>35</v>
      </c>
      <c r="D213">
        <f t="shared" si="3"/>
        <v>1.4795794000282456E-16</v>
      </c>
    </row>
    <row r="214" spans="1:4" x14ac:dyDescent="0.25">
      <c r="A214">
        <v>4</v>
      </c>
      <c r="B214">
        <v>10</v>
      </c>
      <c r="C214">
        <v>34</v>
      </c>
      <c r="D214">
        <f t="shared" si="3"/>
        <v>1.8266080229439629E-15</v>
      </c>
    </row>
    <row r="215" spans="1:4" x14ac:dyDescent="0.25">
      <c r="A215">
        <v>4</v>
      </c>
      <c r="B215">
        <v>11</v>
      </c>
      <c r="C215">
        <v>33</v>
      </c>
      <c r="D215">
        <f t="shared" si="3"/>
        <v>1.9458119880776432E-14</v>
      </c>
    </row>
    <row r="216" spans="1:4" x14ac:dyDescent="0.25">
      <c r="A216">
        <v>4</v>
      </c>
      <c r="B216">
        <v>12</v>
      </c>
      <c r="C216">
        <v>32</v>
      </c>
      <c r="D216">
        <f t="shared" si="3"/>
        <v>1.802436367903501E-13</v>
      </c>
    </row>
    <row r="217" spans="1:4" x14ac:dyDescent="0.25">
      <c r="A217">
        <v>4</v>
      </c>
      <c r="B217">
        <v>13</v>
      </c>
      <c r="C217">
        <v>31</v>
      </c>
      <c r="D217">
        <f t="shared" si="3"/>
        <v>1.4610730876162059E-12</v>
      </c>
    </row>
    <row r="218" spans="1:4" x14ac:dyDescent="0.25">
      <c r="A218">
        <v>4</v>
      </c>
      <c r="B218">
        <v>14</v>
      </c>
      <c r="C218">
        <v>30</v>
      </c>
      <c r="D218">
        <f t="shared" si="3"/>
        <v>1.0418547803946071E-11</v>
      </c>
    </row>
    <row r="219" spans="1:4" x14ac:dyDescent="0.25">
      <c r="A219">
        <v>4</v>
      </c>
      <c r="B219">
        <v>15</v>
      </c>
      <c r="C219">
        <v>29</v>
      </c>
      <c r="D219">
        <f t="shared" si="3"/>
        <v>6.5636851164860227E-11</v>
      </c>
    </row>
    <row r="220" spans="1:4" x14ac:dyDescent="0.25">
      <c r="A220">
        <v>4</v>
      </c>
      <c r="B220">
        <v>16</v>
      </c>
      <c r="C220">
        <v>28</v>
      </c>
      <c r="D220">
        <f t="shared" si="3"/>
        <v>3.666517546627235E-10</v>
      </c>
    </row>
    <row r="221" spans="1:4" x14ac:dyDescent="0.25">
      <c r="A221">
        <v>4</v>
      </c>
      <c r="B221">
        <v>17</v>
      </c>
      <c r="C221">
        <v>27</v>
      </c>
      <c r="D221">
        <f t="shared" si="3"/>
        <v>1.8214312973567541E-9</v>
      </c>
    </row>
    <row r="222" spans="1:4" x14ac:dyDescent="0.25">
      <c r="A222">
        <v>4</v>
      </c>
      <c r="B222">
        <v>18</v>
      </c>
      <c r="C222">
        <v>26</v>
      </c>
      <c r="D222">
        <f t="shared" si="3"/>
        <v>8.0663386025799181E-9</v>
      </c>
    </row>
    <row r="223" spans="1:4" x14ac:dyDescent="0.25">
      <c r="A223">
        <v>4</v>
      </c>
      <c r="B223">
        <v>19</v>
      </c>
      <c r="C223">
        <v>25</v>
      </c>
      <c r="D223">
        <f t="shared" si="3"/>
        <v>3.1907145294744568E-8</v>
      </c>
    </row>
    <row r="224" spans="1:4" x14ac:dyDescent="0.25">
      <c r="A224">
        <v>4</v>
      </c>
      <c r="B224">
        <v>20</v>
      </c>
      <c r="C224">
        <v>24</v>
      </c>
      <c r="D224">
        <f t="shared" si="3"/>
        <v>1.1290220642755758E-7</v>
      </c>
    </row>
    <row r="225" spans="1:4" x14ac:dyDescent="0.25">
      <c r="A225">
        <v>4</v>
      </c>
      <c r="B225">
        <v>21</v>
      </c>
      <c r="C225">
        <v>23</v>
      </c>
      <c r="D225">
        <f t="shared" si="3"/>
        <v>3.5776803075745546E-7</v>
      </c>
    </row>
    <row r="226" spans="1:4" x14ac:dyDescent="0.25">
      <c r="A226">
        <v>4</v>
      </c>
      <c r="B226">
        <v>22</v>
      </c>
      <c r="C226">
        <v>22</v>
      </c>
      <c r="D226">
        <f t="shared" si="3"/>
        <v>1.0160223722867773E-6</v>
      </c>
    </row>
    <row r="227" spans="1:4" x14ac:dyDescent="0.25">
      <c r="A227">
        <v>4</v>
      </c>
      <c r="B227">
        <v>23</v>
      </c>
      <c r="C227">
        <v>21</v>
      </c>
      <c r="D227">
        <f t="shared" si="3"/>
        <v>2.5868293391598112E-6</v>
      </c>
    </row>
    <row r="228" spans="1:4" x14ac:dyDescent="0.25">
      <c r="A228">
        <v>4</v>
      </c>
      <c r="B228">
        <v>24</v>
      </c>
      <c r="C228">
        <v>20</v>
      </c>
      <c r="D228">
        <f t="shared" si="3"/>
        <v>5.9047191437343471E-6</v>
      </c>
    </row>
    <row r="229" spans="1:4" x14ac:dyDescent="0.25">
      <c r="A229">
        <v>4</v>
      </c>
      <c r="B229">
        <v>25</v>
      </c>
      <c r="C229">
        <v>19</v>
      </c>
      <c r="D229">
        <f t="shared" si="3"/>
        <v>1.2079368305467984E-5</v>
      </c>
    </row>
    <row r="230" spans="1:4" x14ac:dyDescent="0.25">
      <c r="A230">
        <v>4</v>
      </c>
      <c r="B230">
        <v>26</v>
      </c>
      <c r="C230">
        <v>18</v>
      </c>
      <c r="D230">
        <f t="shared" si="3"/>
        <v>2.2130240308284275E-5</v>
      </c>
    </row>
    <row r="231" spans="1:4" x14ac:dyDescent="0.25">
      <c r="A231">
        <v>4</v>
      </c>
      <c r="B231">
        <v>27</v>
      </c>
      <c r="C231">
        <v>17</v>
      </c>
      <c r="D231">
        <f t="shared" si="3"/>
        <v>3.6269004949688088E-5</v>
      </c>
    </row>
    <row r="232" spans="1:4" x14ac:dyDescent="0.25">
      <c r="A232">
        <v>4</v>
      </c>
      <c r="B232">
        <v>28</v>
      </c>
      <c r="C232">
        <v>16</v>
      </c>
      <c r="D232">
        <f t="shared" si="3"/>
        <v>5.3090441687606006E-5</v>
      </c>
    </row>
    <row r="233" spans="1:4" x14ac:dyDescent="0.25">
      <c r="A233">
        <v>4</v>
      </c>
      <c r="B233">
        <v>29</v>
      </c>
      <c r="C233">
        <v>15</v>
      </c>
      <c r="D233">
        <f t="shared" si="3"/>
        <v>6.9269914597062856E-5</v>
      </c>
    </row>
    <row r="234" spans="1:4" x14ac:dyDescent="0.25">
      <c r="A234">
        <v>4</v>
      </c>
      <c r="B234">
        <v>30</v>
      </c>
      <c r="C234">
        <v>14</v>
      </c>
      <c r="D234">
        <f t="shared" si="3"/>
        <v>8.0353100932592912E-5</v>
      </c>
    </row>
    <row r="235" spans="1:4" x14ac:dyDescent="0.25">
      <c r="A235">
        <v>4</v>
      </c>
      <c r="B235">
        <v>31</v>
      </c>
      <c r="C235">
        <v>13</v>
      </c>
      <c r="D235">
        <f t="shared" si="3"/>
        <v>8.260407914207985E-5</v>
      </c>
    </row>
    <row r="236" spans="1:4" x14ac:dyDescent="0.25">
      <c r="A236">
        <v>4</v>
      </c>
      <c r="B236">
        <v>32</v>
      </c>
      <c r="C236">
        <v>12</v>
      </c>
      <c r="D236">
        <f t="shared" si="3"/>
        <v>7.4960519870815966E-5</v>
      </c>
    </row>
    <row r="237" spans="1:4" x14ac:dyDescent="0.25">
      <c r="A237">
        <v>4</v>
      </c>
      <c r="B237">
        <v>33</v>
      </c>
      <c r="C237">
        <v>11</v>
      </c>
      <c r="D237">
        <f t="shared" si="3"/>
        <v>5.9758736120790354E-5</v>
      </c>
    </row>
    <row r="238" spans="1:4" x14ac:dyDescent="0.25">
      <c r="A238">
        <v>4</v>
      </c>
      <c r="B238">
        <v>34</v>
      </c>
      <c r="C238">
        <v>10</v>
      </c>
      <c r="D238">
        <f t="shared" si="3"/>
        <v>4.1604183375233777E-5</v>
      </c>
    </row>
    <row r="239" spans="1:4" x14ac:dyDescent="0.25">
      <c r="A239">
        <v>4</v>
      </c>
      <c r="B239">
        <v>35</v>
      </c>
      <c r="C239">
        <v>9</v>
      </c>
      <c r="D239">
        <f t="shared" si="3"/>
        <v>2.5111096394337534E-5</v>
      </c>
    </row>
    <row r="240" spans="1:4" x14ac:dyDescent="0.25">
      <c r="A240">
        <v>4</v>
      </c>
      <c r="B240">
        <v>36</v>
      </c>
      <c r="C240">
        <v>8</v>
      </c>
      <c r="D240">
        <f t="shared" si="3"/>
        <v>1.3020568500767618E-5</v>
      </c>
    </row>
    <row r="241" spans="1:4" x14ac:dyDescent="0.25">
      <c r="A241">
        <v>4</v>
      </c>
      <c r="B241">
        <v>37</v>
      </c>
      <c r="C241">
        <v>7</v>
      </c>
      <c r="D241">
        <f t="shared" si="3"/>
        <v>5.733513354326146E-6</v>
      </c>
    </row>
    <row r="242" spans="1:4" x14ac:dyDescent="0.25">
      <c r="A242">
        <v>4</v>
      </c>
      <c r="B242">
        <v>38</v>
      </c>
      <c r="C242">
        <v>6</v>
      </c>
      <c r="D242">
        <f t="shared" si="3"/>
        <v>2.1123470252780503E-6</v>
      </c>
    </row>
    <row r="243" spans="1:4" x14ac:dyDescent="0.25">
      <c r="A243">
        <v>4</v>
      </c>
      <c r="B243">
        <v>39</v>
      </c>
      <c r="C243">
        <v>5</v>
      </c>
      <c r="D243">
        <f t="shared" si="3"/>
        <v>6.3834662851809283E-7</v>
      </c>
    </row>
    <row r="244" spans="1:4" x14ac:dyDescent="0.25">
      <c r="A244">
        <v>4</v>
      </c>
      <c r="B244">
        <v>40</v>
      </c>
      <c r="C244">
        <v>4</v>
      </c>
      <c r="D244">
        <f t="shared" si="3"/>
        <v>1.5395418687789302E-7</v>
      </c>
    </row>
    <row r="245" spans="1:4" x14ac:dyDescent="0.25">
      <c r="A245">
        <v>4</v>
      </c>
      <c r="B245">
        <v>41</v>
      </c>
      <c r="C245">
        <v>3</v>
      </c>
      <c r="D245">
        <f t="shared" si="3"/>
        <v>2.8467989178782262E-8</v>
      </c>
    </row>
    <row r="246" spans="1:4" x14ac:dyDescent="0.25">
      <c r="A246">
        <v>4</v>
      </c>
      <c r="B246">
        <v>42</v>
      </c>
      <c r="C246">
        <v>2</v>
      </c>
      <c r="D246">
        <f t="shared" si="3"/>
        <v>3.7863827971779364E-9</v>
      </c>
    </row>
    <row r="247" spans="1:4" x14ac:dyDescent="0.25">
      <c r="A247">
        <v>4</v>
      </c>
      <c r="B247">
        <v>43</v>
      </c>
      <c r="C247">
        <v>1</v>
      </c>
      <c r="D247">
        <f t="shared" si="3"/>
        <v>3.2220276445330222E-10</v>
      </c>
    </row>
    <row r="248" spans="1:4" x14ac:dyDescent="0.25">
      <c r="A248">
        <v>4</v>
      </c>
      <c r="B248">
        <v>44</v>
      </c>
      <c r="C248">
        <v>0</v>
      </c>
      <c r="D248">
        <f t="shared" si="3"/>
        <v>1.3164566474087949E-11</v>
      </c>
    </row>
    <row r="249" spans="1:4" x14ac:dyDescent="0.25">
      <c r="A249">
        <v>5</v>
      </c>
      <c r="B249">
        <v>0</v>
      </c>
      <c r="C249">
        <v>43</v>
      </c>
      <c r="D249">
        <f t="shared" si="3"/>
        <v>1.6385145951628088E-29</v>
      </c>
    </row>
    <row r="250" spans="1:4" x14ac:dyDescent="0.25">
      <c r="A250">
        <v>5</v>
      </c>
      <c r="B250">
        <v>1</v>
      </c>
      <c r="C250">
        <v>42</v>
      </c>
      <c r="D250">
        <f t="shared" si="3"/>
        <v>3.0431050853566287E-27</v>
      </c>
    </row>
    <row r="251" spans="1:4" x14ac:dyDescent="0.25">
      <c r="A251">
        <v>5</v>
      </c>
      <c r="B251">
        <v>2</v>
      </c>
      <c r="C251">
        <v>41</v>
      </c>
      <c r="D251">
        <f t="shared" si="3"/>
        <v>2.6893441191839234E-25</v>
      </c>
    </row>
    <row r="252" spans="1:4" x14ac:dyDescent="0.25">
      <c r="A252">
        <v>5</v>
      </c>
      <c r="B252">
        <v>3</v>
      </c>
      <c r="C252">
        <v>40</v>
      </c>
      <c r="D252">
        <f t="shared" si="3"/>
        <v>1.5076792439588233E-23</v>
      </c>
    </row>
    <row r="253" spans="1:4" x14ac:dyDescent="0.25">
      <c r="A253">
        <v>5</v>
      </c>
      <c r="B253">
        <v>4</v>
      </c>
      <c r="C253">
        <v>39</v>
      </c>
      <c r="D253">
        <f t="shared" si="3"/>
        <v>6.030716975835288E-22</v>
      </c>
    </row>
    <row r="254" spans="1:4" x14ac:dyDescent="0.25">
      <c r="A254">
        <v>5</v>
      </c>
      <c r="B254">
        <v>5</v>
      </c>
      <c r="C254">
        <v>38</v>
      </c>
      <c r="D254">
        <f t="shared" si="3"/>
        <v>1.8354664489983412E-20</v>
      </c>
    </row>
    <row r="255" spans="1:4" x14ac:dyDescent="0.25">
      <c r="A255">
        <v>5</v>
      </c>
      <c r="B255">
        <v>6</v>
      </c>
      <c r="C255">
        <v>37</v>
      </c>
      <c r="D255">
        <f t="shared" si="3"/>
        <v>4.4262979366229225E-19</v>
      </c>
    </row>
    <row r="256" spans="1:4" x14ac:dyDescent="0.25">
      <c r="A256">
        <v>5</v>
      </c>
      <c r="B256">
        <v>7</v>
      </c>
      <c r="C256">
        <v>36</v>
      </c>
      <c r="D256">
        <f t="shared" si="3"/>
        <v>8.6963034124109105E-18</v>
      </c>
    </row>
    <row r="257" spans="1:4" x14ac:dyDescent="0.25">
      <c r="A257">
        <v>5</v>
      </c>
      <c r="B257">
        <v>8</v>
      </c>
      <c r="C257">
        <v>35</v>
      </c>
      <c r="D257">
        <f t="shared" si="3"/>
        <v>1.4203962240271159E-16</v>
      </c>
    </row>
    <row r="258" spans="1:4" x14ac:dyDescent="0.25">
      <c r="A258">
        <v>5</v>
      </c>
      <c r="B258">
        <v>9</v>
      </c>
      <c r="C258">
        <v>34</v>
      </c>
      <c r="D258">
        <f t="shared" si="3"/>
        <v>1.95842509676466E-15</v>
      </c>
    </row>
    <row r="259" spans="1:4" x14ac:dyDescent="0.25">
      <c r="A259">
        <v>5</v>
      </c>
      <c r="B259">
        <v>10</v>
      </c>
      <c r="C259">
        <v>33</v>
      </c>
      <c r="D259">
        <f t="shared" si="3"/>
        <v>2.3067449889749451E-14</v>
      </c>
    </row>
    <row r="260" spans="1:4" x14ac:dyDescent="0.25">
      <c r="A260">
        <v>5</v>
      </c>
      <c r="B260">
        <v>11</v>
      </c>
      <c r="C260">
        <v>32</v>
      </c>
      <c r="D260">
        <f t="shared" si="3"/>
        <v>2.3431672782745513E-13</v>
      </c>
    </row>
    <row r="261" spans="1:4" x14ac:dyDescent="0.25">
      <c r="A261">
        <v>5</v>
      </c>
      <c r="B261">
        <v>12</v>
      </c>
      <c r="C261">
        <v>31</v>
      </c>
      <c r="D261">
        <f t="shared" si="3"/>
        <v>2.0684511146147749E-12</v>
      </c>
    </row>
    <row r="262" spans="1:4" x14ac:dyDescent="0.25">
      <c r="A262">
        <v>5</v>
      </c>
      <c r="B262">
        <v>13</v>
      </c>
      <c r="C262">
        <v>30</v>
      </c>
      <c r="D262">
        <f t="shared" si="3"/>
        <v>1.5967795371100492E-11</v>
      </c>
    </row>
    <row r="263" spans="1:4" x14ac:dyDescent="0.25">
      <c r="A263">
        <v>5</v>
      </c>
      <c r="B263">
        <v>14</v>
      </c>
      <c r="C263">
        <v>29</v>
      </c>
      <c r="D263">
        <f t="shared" si="3"/>
        <v>1.0835289716103913E-10</v>
      </c>
    </row>
    <row r="264" spans="1:4" x14ac:dyDescent="0.25">
      <c r="A264">
        <v>5</v>
      </c>
      <c r="B264">
        <v>15</v>
      </c>
      <c r="C264">
        <v>28</v>
      </c>
      <c r="D264">
        <f t="shared" si="3"/>
        <v>6.4905161676465057E-10</v>
      </c>
    </row>
    <row r="265" spans="1:4" x14ac:dyDescent="0.25">
      <c r="A265">
        <v>5</v>
      </c>
      <c r="B265">
        <v>16</v>
      </c>
      <c r="C265">
        <v>27</v>
      </c>
      <c r="D265">
        <f t="shared" si="3"/>
        <v>3.4441609986382263E-9</v>
      </c>
    </row>
    <row r="266" spans="1:4" x14ac:dyDescent="0.25">
      <c r="A266">
        <v>5</v>
      </c>
      <c r="B266">
        <v>17</v>
      </c>
      <c r="C266">
        <v>26</v>
      </c>
      <c r="D266">
        <f t="shared" si="3"/>
        <v>1.6236758993580216E-8</v>
      </c>
    </row>
    <row r="267" spans="1:4" x14ac:dyDescent="0.25">
      <c r="A267">
        <v>5</v>
      </c>
      <c r="B267">
        <v>18</v>
      </c>
      <c r="C267">
        <v>25</v>
      </c>
      <c r="D267">
        <f t="shared" si="3"/>
        <v>6.8160561191800254E-8</v>
      </c>
    </row>
    <row r="268" spans="1:4" x14ac:dyDescent="0.25">
      <c r="A268">
        <v>5</v>
      </c>
      <c r="B268">
        <v>19</v>
      </c>
      <c r="C268">
        <v>24</v>
      </c>
      <c r="D268">
        <f t="shared" si="3"/>
        <v>2.5525716235795639E-7</v>
      </c>
    </row>
    <row r="269" spans="1:4" x14ac:dyDescent="0.25">
      <c r="A269">
        <v>5</v>
      </c>
      <c r="B269">
        <v>20</v>
      </c>
      <c r="C269">
        <v>23</v>
      </c>
      <c r="D269">
        <f t="shared" si="3"/>
        <v>8.5395123407025389E-7</v>
      </c>
    </row>
    <row r="270" spans="1:4" x14ac:dyDescent="0.25">
      <c r="A270">
        <v>5</v>
      </c>
      <c r="B270">
        <v>21</v>
      </c>
      <c r="C270">
        <v>22</v>
      </c>
      <c r="D270">
        <f t="shared" ref="D270:D333" si="4">COMBIN(A$4,A270)*COMBIN(B$4,B270)*COMBIN(C$4,C270)/COMBIN($F$4,$E$4)</f>
        <v>2.5545705360353242E-6</v>
      </c>
    </row>
    <row r="271" spans="1:4" x14ac:dyDescent="0.25">
      <c r="A271">
        <v>5</v>
      </c>
      <c r="B271">
        <v>22</v>
      </c>
      <c r="C271">
        <v>21</v>
      </c>
      <c r="D271">
        <f t="shared" si="4"/>
        <v>6.8372329052710139E-6</v>
      </c>
    </row>
    <row r="272" spans="1:4" x14ac:dyDescent="0.25">
      <c r="A272">
        <v>5</v>
      </c>
      <c r="B272">
        <v>23</v>
      </c>
      <c r="C272">
        <v>20</v>
      </c>
      <c r="D272">
        <f t="shared" si="4"/>
        <v>1.6375754425289918E-5</v>
      </c>
    </row>
    <row r="273" spans="1:4" x14ac:dyDescent="0.25">
      <c r="A273">
        <v>5</v>
      </c>
      <c r="B273">
        <v>24</v>
      </c>
      <c r="C273">
        <v>19</v>
      </c>
      <c r="D273">
        <f t="shared" si="4"/>
        <v>3.5090902339906988E-5</v>
      </c>
    </row>
    <row r="274" spans="1:4" x14ac:dyDescent="0.25">
      <c r="A274">
        <v>5</v>
      </c>
      <c r="B274">
        <v>25</v>
      </c>
      <c r="C274">
        <v>18</v>
      </c>
      <c r="D274">
        <f t="shared" si="4"/>
        <v>6.7236145835506314E-5</v>
      </c>
    </row>
    <row r="275" spans="1:4" x14ac:dyDescent="0.25">
      <c r="A275">
        <v>5</v>
      </c>
      <c r="B275">
        <v>26</v>
      </c>
      <c r="C275">
        <v>17</v>
      </c>
      <c r="D275">
        <f t="shared" si="4"/>
        <v>1.1507724960307814E-4</v>
      </c>
    </row>
    <row r="276" spans="1:4" x14ac:dyDescent="0.25">
      <c r="A276">
        <v>5</v>
      </c>
      <c r="B276">
        <v>27</v>
      </c>
      <c r="C276">
        <v>16</v>
      </c>
      <c r="D276">
        <f t="shared" si="4"/>
        <v>1.7568109794807805E-4</v>
      </c>
    </row>
    <row r="277" spans="1:4" x14ac:dyDescent="0.25">
      <c r="A277">
        <v>5</v>
      </c>
      <c r="B277">
        <v>28</v>
      </c>
      <c r="C277">
        <v>15</v>
      </c>
      <c r="D277">
        <f t="shared" si="4"/>
        <v>2.3876349991399019E-4</v>
      </c>
    </row>
    <row r="278" spans="1:4" x14ac:dyDescent="0.25">
      <c r="A278">
        <v>5</v>
      </c>
      <c r="B278">
        <v>29</v>
      </c>
      <c r="C278">
        <v>14</v>
      </c>
      <c r="D278">
        <f t="shared" si="4"/>
        <v>2.8816284472378139E-4</v>
      </c>
    </row>
    <row r="279" spans="1:4" x14ac:dyDescent="0.25">
      <c r="A279">
        <v>5</v>
      </c>
      <c r="B279">
        <v>30</v>
      </c>
      <c r="C279">
        <v>13</v>
      </c>
      <c r="D279">
        <f t="shared" si="4"/>
        <v>3.0787924988909271E-4</v>
      </c>
    </row>
    <row r="280" spans="1:4" x14ac:dyDescent="0.25">
      <c r="A280">
        <v>5</v>
      </c>
      <c r="B280">
        <v>31</v>
      </c>
      <c r="C280">
        <v>12</v>
      </c>
      <c r="D280">
        <f t="shared" si="4"/>
        <v>2.9007977922101795E-4</v>
      </c>
    </row>
    <row r="281" spans="1:4" x14ac:dyDescent="0.25">
      <c r="A281">
        <v>5</v>
      </c>
      <c r="B281">
        <v>32</v>
      </c>
      <c r="C281">
        <v>11</v>
      </c>
      <c r="D281">
        <f t="shared" si="4"/>
        <v>2.3987366358661107E-4</v>
      </c>
    </row>
    <row r="282" spans="1:4" x14ac:dyDescent="0.25">
      <c r="A282">
        <v>5</v>
      </c>
      <c r="B282">
        <v>33</v>
      </c>
      <c r="C282">
        <v>10</v>
      </c>
      <c r="D282">
        <f t="shared" si="4"/>
        <v>1.7307340284097248E-4</v>
      </c>
    </row>
    <row r="283" spans="1:4" x14ac:dyDescent="0.25">
      <c r="A283">
        <v>5</v>
      </c>
      <c r="B283">
        <v>34</v>
      </c>
      <c r="C283">
        <v>9</v>
      </c>
      <c r="D283">
        <f t="shared" si="4"/>
        <v>1.0817087677560779E-4</v>
      </c>
    </row>
    <row r="284" spans="1:4" x14ac:dyDescent="0.25">
      <c r="A284">
        <v>5</v>
      </c>
      <c r="B284">
        <v>35</v>
      </c>
      <c r="C284">
        <v>8</v>
      </c>
      <c r="D284">
        <f t="shared" si="4"/>
        <v>5.8034533889135626E-5</v>
      </c>
    </row>
    <row r="285" spans="1:4" x14ac:dyDescent="0.25">
      <c r="A285">
        <v>5</v>
      </c>
      <c r="B285">
        <v>36</v>
      </c>
      <c r="C285">
        <v>7</v>
      </c>
      <c r="D285">
        <f t="shared" si="4"/>
        <v>2.6422226811313785E-5</v>
      </c>
    </row>
    <row r="286" spans="1:4" x14ac:dyDescent="0.25">
      <c r="A286">
        <v>5</v>
      </c>
      <c r="B286">
        <v>37</v>
      </c>
      <c r="C286">
        <v>6</v>
      </c>
      <c r="D286">
        <f t="shared" si="4"/>
        <v>1.0057825836022727E-5</v>
      </c>
    </row>
    <row r="287" spans="1:4" x14ac:dyDescent="0.25">
      <c r="A287">
        <v>5</v>
      </c>
      <c r="B287">
        <v>38</v>
      </c>
      <c r="C287">
        <v>5</v>
      </c>
      <c r="D287">
        <f t="shared" si="4"/>
        <v>3.1383441518416753E-6</v>
      </c>
    </row>
    <row r="288" spans="1:4" x14ac:dyDescent="0.25">
      <c r="A288">
        <v>5</v>
      </c>
      <c r="B288">
        <v>39</v>
      </c>
      <c r="C288">
        <v>4</v>
      </c>
      <c r="D288">
        <f t="shared" si="4"/>
        <v>7.8103587489272511E-7</v>
      </c>
    </row>
    <row r="289" spans="1:4" x14ac:dyDescent="0.25">
      <c r="A289">
        <v>5</v>
      </c>
      <c r="B289">
        <v>40</v>
      </c>
      <c r="C289">
        <v>3</v>
      </c>
      <c r="D289">
        <f t="shared" si="4"/>
        <v>1.4894172497954296E-7</v>
      </c>
    </row>
    <row r="290" spans="1:4" x14ac:dyDescent="0.25">
      <c r="A290">
        <v>5</v>
      </c>
      <c r="B290">
        <v>41</v>
      </c>
      <c r="C290">
        <v>2</v>
      </c>
      <c r="D290">
        <f t="shared" si="4"/>
        <v>2.0418419824781748E-8</v>
      </c>
    </row>
    <row r="291" spans="1:4" x14ac:dyDescent="0.25">
      <c r="A291">
        <v>5</v>
      </c>
      <c r="B291">
        <v>42</v>
      </c>
      <c r="C291">
        <v>1</v>
      </c>
      <c r="D291">
        <f t="shared" si="4"/>
        <v>1.7899264132113875E-9</v>
      </c>
    </row>
    <row r="292" spans="1:4" x14ac:dyDescent="0.25">
      <c r="A292">
        <v>5</v>
      </c>
      <c r="B292">
        <v>43</v>
      </c>
      <c r="C292">
        <v>0</v>
      </c>
      <c r="D292">
        <f t="shared" si="4"/>
        <v>7.5301320231782962E-11</v>
      </c>
    </row>
    <row r="293" spans="1:4" x14ac:dyDescent="0.25">
      <c r="A293">
        <v>6</v>
      </c>
      <c r="B293">
        <v>0</v>
      </c>
      <c r="C293">
        <v>42</v>
      </c>
      <c r="D293">
        <f t="shared" si="4"/>
        <v>2.5733975680766238E-28</v>
      </c>
    </row>
    <row r="294" spans="1:4" x14ac:dyDescent="0.25">
      <c r="A294">
        <v>6</v>
      </c>
      <c r="B294">
        <v>1</v>
      </c>
      <c r="C294">
        <v>41</v>
      </c>
      <c r="D294">
        <f t="shared" si="4"/>
        <v>4.570997430296107E-26</v>
      </c>
    </row>
    <row r="295" spans="1:4" x14ac:dyDescent="0.25">
      <c r="A295">
        <v>6</v>
      </c>
      <c r="B295">
        <v>2</v>
      </c>
      <c r="C295">
        <v>40</v>
      </c>
      <c r="D295">
        <f t="shared" si="4"/>
        <v>3.8629592569094228E-24</v>
      </c>
    </row>
    <row r="296" spans="1:4" x14ac:dyDescent="0.25">
      <c r="A296">
        <v>6</v>
      </c>
      <c r="B296">
        <v>3</v>
      </c>
      <c r="C296">
        <v>39</v>
      </c>
      <c r="D296">
        <f t="shared" si="4"/>
        <v>2.0705461617034484E-22</v>
      </c>
    </row>
    <row r="297" spans="1:4" x14ac:dyDescent="0.25">
      <c r="A297">
        <v>6</v>
      </c>
      <c r="B297">
        <v>4</v>
      </c>
      <c r="C297">
        <v>38</v>
      </c>
      <c r="D297">
        <f t="shared" si="4"/>
        <v>7.9167941476896615E-21</v>
      </c>
    </row>
    <row r="298" spans="1:4" x14ac:dyDescent="0.25">
      <c r="A298">
        <v>6</v>
      </c>
      <c r="B298">
        <v>5</v>
      </c>
      <c r="C298">
        <v>37</v>
      </c>
      <c r="D298">
        <f t="shared" si="4"/>
        <v>2.3025691286472791E-19</v>
      </c>
    </row>
    <row r="299" spans="1:4" x14ac:dyDescent="0.25">
      <c r="A299">
        <v>6</v>
      </c>
      <c r="B299">
        <v>6</v>
      </c>
      <c r="C299">
        <v>36</v>
      </c>
      <c r="D299">
        <f t="shared" si="4"/>
        <v>5.3045979359968387E-18</v>
      </c>
    </row>
    <row r="300" spans="1:4" x14ac:dyDescent="0.25">
      <c r="A300">
        <v>6</v>
      </c>
      <c r="B300">
        <v>7</v>
      </c>
      <c r="C300">
        <v>35</v>
      </c>
      <c r="D300">
        <f t="shared" si="4"/>
        <v>9.9524361275369352E-17</v>
      </c>
    </row>
    <row r="301" spans="1:4" x14ac:dyDescent="0.25">
      <c r="A301">
        <v>6</v>
      </c>
      <c r="B301">
        <v>8</v>
      </c>
      <c r="C301">
        <v>34</v>
      </c>
      <c r="D301">
        <f t="shared" si="4"/>
        <v>1.5516752689750777E-15</v>
      </c>
    </row>
    <row r="302" spans="1:4" x14ac:dyDescent="0.25">
      <c r="A302">
        <v>6</v>
      </c>
      <c r="B302">
        <v>9</v>
      </c>
      <c r="C302">
        <v>33</v>
      </c>
      <c r="D302">
        <f t="shared" si="4"/>
        <v>2.0411918716874505E-14</v>
      </c>
    </row>
    <row r="303" spans="1:4" x14ac:dyDescent="0.25">
      <c r="A303">
        <v>6</v>
      </c>
      <c r="B303">
        <v>10</v>
      </c>
      <c r="C303">
        <v>32</v>
      </c>
      <c r="D303">
        <f t="shared" si="4"/>
        <v>2.2925807653584329E-13</v>
      </c>
    </row>
    <row r="304" spans="1:4" x14ac:dyDescent="0.25">
      <c r="A304">
        <v>6</v>
      </c>
      <c r="B304">
        <v>11</v>
      </c>
      <c r="C304">
        <v>31</v>
      </c>
      <c r="D304">
        <f t="shared" si="4"/>
        <v>2.2192756750554366E-12</v>
      </c>
    </row>
    <row r="305" spans="1:4" x14ac:dyDescent="0.25">
      <c r="A305">
        <v>6</v>
      </c>
      <c r="B305">
        <v>12</v>
      </c>
      <c r="C305">
        <v>30</v>
      </c>
      <c r="D305">
        <f t="shared" si="4"/>
        <v>1.8656961607245689E-11</v>
      </c>
    </row>
    <row r="306" spans="1:4" x14ac:dyDescent="0.25">
      <c r="A306">
        <v>6</v>
      </c>
      <c r="B306">
        <v>13</v>
      </c>
      <c r="C306">
        <v>29</v>
      </c>
      <c r="D306">
        <f t="shared" si="4"/>
        <v>1.3705691026861259E-10</v>
      </c>
    </row>
    <row r="307" spans="1:4" x14ac:dyDescent="0.25">
      <c r="A307">
        <v>6</v>
      </c>
      <c r="B307">
        <v>14</v>
      </c>
      <c r="C307">
        <v>28</v>
      </c>
      <c r="D307">
        <f t="shared" si="4"/>
        <v>8.8428990114760662E-10</v>
      </c>
    </row>
    <row r="308" spans="1:4" x14ac:dyDescent="0.25">
      <c r="A308">
        <v>6</v>
      </c>
      <c r="B308">
        <v>15</v>
      </c>
      <c r="C308">
        <v>27</v>
      </c>
      <c r="D308">
        <f t="shared" si="4"/>
        <v>5.0318947923366981E-9</v>
      </c>
    </row>
    <row r="309" spans="1:4" x14ac:dyDescent="0.25">
      <c r="A309">
        <v>6</v>
      </c>
      <c r="B309">
        <v>16</v>
      </c>
      <c r="C309">
        <v>26</v>
      </c>
      <c r="D309">
        <f t="shared" si="4"/>
        <v>2.5339184489981258E-8</v>
      </c>
    </row>
    <row r="310" spans="1:4" x14ac:dyDescent="0.25">
      <c r="A310">
        <v>6</v>
      </c>
      <c r="B310">
        <v>17</v>
      </c>
      <c r="C310">
        <v>25</v>
      </c>
      <c r="D310">
        <f t="shared" si="4"/>
        <v>1.1323448068960363E-7</v>
      </c>
    </row>
    <row r="311" spans="1:4" x14ac:dyDescent="0.25">
      <c r="A311">
        <v>6</v>
      </c>
      <c r="B311">
        <v>18</v>
      </c>
      <c r="C311">
        <v>24</v>
      </c>
      <c r="D311">
        <f t="shared" si="4"/>
        <v>4.5003447453560402E-7</v>
      </c>
    </row>
    <row r="312" spans="1:4" x14ac:dyDescent="0.25">
      <c r="A312">
        <v>6</v>
      </c>
      <c r="B312">
        <v>19</v>
      </c>
      <c r="C312">
        <v>23</v>
      </c>
      <c r="D312">
        <f t="shared" si="4"/>
        <v>1.5934234983557284E-6</v>
      </c>
    </row>
    <row r="313" spans="1:4" x14ac:dyDescent="0.25">
      <c r="A313">
        <v>6</v>
      </c>
      <c r="B313">
        <v>20</v>
      </c>
      <c r="C313">
        <v>22</v>
      </c>
      <c r="D313">
        <f t="shared" si="4"/>
        <v>5.0323643619712242E-6</v>
      </c>
    </row>
    <row r="314" spans="1:4" x14ac:dyDescent="0.25">
      <c r="A314">
        <v>6</v>
      </c>
      <c r="B314">
        <v>21</v>
      </c>
      <c r="C314">
        <v>21</v>
      </c>
      <c r="D314">
        <f t="shared" si="4"/>
        <v>1.4187884398666771E-5</v>
      </c>
    </row>
    <row r="315" spans="1:4" x14ac:dyDescent="0.25">
      <c r="A315">
        <v>6</v>
      </c>
      <c r="B315">
        <v>22</v>
      </c>
      <c r="C315">
        <v>20</v>
      </c>
      <c r="D315">
        <f t="shared" si="4"/>
        <v>3.5722064671742009E-5</v>
      </c>
    </row>
    <row r="316" spans="1:4" x14ac:dyDescent="0.25">
      <c r="A316">
        <v>6</v>
      </c>
      <c r="B316">
        <v>23</v>
      </c>
      <c r="C316">
        <v>19</v>
      </c>
      <c r="D316">
        <f t="shared" si="4"/>
        <v>8.0319176466898238E-5</v>
      </c>
    </row>
    <row r="317" spans="1:4" x14ac:dyDescent="0.25">
      <c r="A317">
        <v>6</v>
      </c>
      <c r="B317">
        <v>24</v>
      </c>
      <c r="C317">
        <v>18</v>
      </c>
      <c r="D317">
        <f t="shared" si="4"/>
        <v>1.6120398093708453E-4</v>
      </c>
    </row>
    <row r="318" spans="1:4" x14ac:dyDescent="0.25">
      <c r="A318">
        <v>6</v>
      </c>
      <c r="B318">
        <v>25</v>
      </c>
      <c r="C318">
        <v>17</v>
      </c>
      <c r="D318">
        <f t="shared" si="4"/>
        <v>2.8855512587738118E-4</v>
      </c>
    </row>
    <row r="319" spans="1:4" x14ac:dyDescent="0.25">
      <c r="A319">
        <v>6</v>
      </c>
      <c r="B319">
        <v>26</v>
      </c>
      <c r="C319">
        <v>16</v>
      </c>
      <c r="D319">
        <f t="shared" si="4"/>
        <v>4.6004626496573016E-4</v>
      </c>
    </row>
    <row r="320" spans="1:4" x14ac:dyDescent="0.25">
      <c r="A320">
        <v>6</v>
      </c>
      <c r="B320">
        <v>27</v>
      </c>
      <c r="C320">
        <v>15</v>
      </c>
      <c r="D320">
        <f t="shared" si="4"/>
        <v>6.5207758878025397E-4</v>
      </c>
    </row>
    <row r="321" spans="1:4" x14ac:dyDescent="0.25">
      <c r="A321">
        <v>6</v>
      </c>
      <c r="B321">
        <v>28</v>
      </c>
      <c r="C321">
        <v>14</v>
      </c>
      <c r="D321">
        <f t="shared" si="4"/>
        <v>8.1975468303803305E-4</v>
      </c>
    </row>
    <row r="322" spans="1:4" x14ac:dyDescent="0.25">
      <c r="A322">
        <v>6</v>
      </c>
      <c r="B322">
        <v>29</v>
      </c>
      <c r="C322">
        <v>13</v>
      </c>
      <c r="D322">
        <f t="shared" si="4"/>
        <v>9.1125180283265959E-4</v>
      </c>
    </row>
    <row r="323" spans="1:4" x14ac:dyDescent="0.25">
      <c r="A323">
        <v>6</v>
      </c>
      <c r="B323">
        <v>30</v>
      </c>
      <c r="C323">
        <v>12</v>
      </c>
      <c r="D323">
        <f t="shared" si="4"/>
        <v>8.9231670043613681E-4</v>
      </c>
    </row>
    <row r="324" spans="1:4" x14ac:dyDescent="0.25">
      <c r="A324">
        <v>6</v>
      </c>
      <c r="B324">
        <v>31</v>
      </c>
      <c r="C324">
        <v>11</v>
      </c>
      <c r="D324">
        <f t="shared" si="4"/>
        <v>7.6610813486576552E-4</v>
      </c>
    </row>
    <row r="325" spans="1:4" x14ac:dyDescent="0.25">
      <c r="A325">
        <v>6</v>
      </c>
      <c r="B325">
        <v>32</v>
      </c>
      <c r="C325">
        <v>10</v>
      </c>
      <c r="D325">
        <f t="shared" si="4"/>
        <v>5.7336890473339735E-4</v>
      </c>
    </row>
    <row r="326" spans="1:4" x14ac:dyDescent="0.25">
      <c r="A326">
        <v>6</v>
      </c>
      <c r="B326">
        <v>33</v>
      </c>
      <c r="C326">
        <v>9</v>
      </c>
      <c r="D326">
        <f t="shared" si="4"/>
        <v>3.713866769295869E-4</v>
      </c>
    </row>
    <row r="327" spans="1:4" x14ac:dyDescent="0.25">
      <c r="A327">
        <v>6</v>
      </c>
      <c r="B327">
        <v>34</v>
      </c>
      <c r="C327">
        <v>8</v>
      </c>
      <c r="D327">
        <f t="shared" si="4"/>
        <v>2.0632593162754823E-4</v>
      </c>
    </row>
    <row r="328" spans="1:4" x14ac:dyDescent="0.25">
      <c r="A328">
        <v>6</v>
      </c>
      <c r="B328">
        <v>35</v>
      </c>
      <c r="C328">
        <v>7</v>
      </c>
      <c r="D328">
        <f t="shared" si="4"/>
        <v>9.7196048627332828E-5</v>
      </c>
    </row>
    <row r="329" spans="1:4" x14ac:dyDescent="0.25">
      <c r="A329">
        <v>6</v>
      </c>
      <c r="B329">
        <v>36</v>
      </c>
      <c r="C329">
        <v>6</v>
      </c>
      <c r="D329">
        <f t="shared" si="4"/>
        <v>3.825386652802658E-5</v>
      </c>
    </row>
    <row r="330" spans="1:4" x14ac:dyDescent="0.25">
      <c r="A330">
        <v>6</v>
      </c>
      <c r="B330">
        <v>37</v>
      </c>
      <c r="C330">
        <v>5</v>
      </c>
      <c r="D330">
        <f t="shared" si="4"/>
        <v>1.2332810251313588E-5</v>
      </c>
    </row>
    <row r="331" spans="1:4" x14ac:dyDescent="0.25">
      <c r="A331">
        <v>6</v>
      </c>
      <c r="B331">
        <v>38</v>
      </c>
      <c r="C331">
        <v>4</v>
      </c>
      <c r="D331">
        <f t="shared" si="4"/>
        <v>3.1691122317616909E-6</v>
      </c>
    </row>
    <row r="332" spans="1:4" x14ac:dyDescent="0.25">
      <c r="A332">
        <v>6</v>
      </c>
      <c r="B332">
        <v>39</v>
      </c>
      <c r="C332">
        <v>3</v>
      </c>
      <c r="D332">
        <f t="shared" si="4"/>
        <v>6.2361779158101304E-7</v>
      </c>
    </row>
    <row r="333" spans="1:4" x14ac:dyDescent="0.25">
      <c r="A333">
        <v>6</v>
      </c>
      <c r="B333">
        <v>40</v>
      </c>
      <c r="C333">
        <v>2</v>
      </c>
      <c r="D333">
        <f t="shared" si="4"/>
        <v>8.8166653292488083E-8</v>
      </c>
    </row>
    <row r="334" spans="1:4" x14ac:dyDescent="0.25">
      <c r="A334">
        <v>6</v>
      </c>
      <c r="B334">
        <v>41</v>
      </c>
      <c r="C334">
        <v>1</v>
      </c>
      <c r="D334">
        <f t="shared" ref="D334:D397" si="5">COMBIN(A$4,A334)*COMBIN(B$4,B334)*COMBIN(C$4,C334)/COMBIN($F$4,$E$4)</f>
        <v>7.9662774316383357E-9</v>
      </c>
    </row>
    <row r="335" spans="1:4" x14ac:dyDescent="0.25">
      <c r="A335">
        <v>6</v>
      </c>
      <c r="B335">
        <v>42</v>
      </c>
      <c r="C335">
        <v>0</v>
      </c>
      <c r="D335">
        <f t="shared" si="5"/>
        <v>3.4524797857822642E-10</v>
      </c>
    </row>
    <row r="336" spans="1:4" x14ac:dyDescent="0.25">
      <c r="A336">
        <v>7</v>
      </c>
      <c r="B336">
        <v>0</v>
      </c>
      <c r="C336">
        <v>41</v>
      </c>
      <c r="D336">
        <f t="shared" si="5"/>
        <v>3.2810818992977003E-27</v>
      </c>
    </row>
    <row r="337" spans="1:4" x14ac:dyDescent="0.25">
      <c r="A337">
        <v>7</v>
      </c>
      <c r="B337">
        <v>1</v>
      </c>
      <c r="C337">
        <v>40</v>
      </c>
      <c r="D337">
        <f t="shared" si="5"/>
        <v>5.5731519689499481E-25</v>
      </c>
    </row>
    <row r="338" spans="1:4" x14ac:dyDescent="0.25">
      <c r="A338">
        <v>7</v>
      </c>
      <c r="B338">
        <v>2</v>
      </c>
      <c r="C338">
        <v>39</v>
      </c>
      <c r="D338">
        <f t="shared" si="5"/>
        <v>4.5031067909115536E-23</v>
      </c>
    </row>
    <row r="339" spans="1:4" x14ac:dyDescent="0.25">
      <c r="A339">
        <v>7</v>
      </c>
      <c r="B339">
        <v>3</v>
      </c>
      <c r="C339">
        <v>38</v>
      </c>
      <c r="D339">
        <f t="shared" si="5"/>
        <v>2.3071800087552732E-21</v>
      </c>
    </row>
    <row r="340" spans="1:4" x14ac:dyDescent="0.25">
      <c r="A340">
        <v>7</v>
      </c>
      <c r="B340">
        <v>4</v>
      </c>
      <c r="C340">
        <v>37</v>
      </c>
      <c r="D340">
        <f t="shared" si="5"/>
        <v>8.4300808012211965E-20</v>
      </c>
    </row>
    <row r="341" spans="1:4" x14ac:dyDescent="0.25">
      <c r="A341">
        <v>7</v>
      </c>
      <c r="B341">
        <v>5</v>
      </c>
      <c r="C341">
        <v>36</v>
      </c>
      <c r="D341">
        <f t="shared" si="5"/>
        <v>2.3422899977128921E-18</v>
      </c>
    </row>
    <row r="342" spans="1:4" x14ac:dyDescent="0.25">
      <c r="A342">
        <v>7</v>
      </c>
      <c r="B342">
        <v>6</v>
      </c>
      <c r="C342">
        <v>35</v>
      </c>
      <c r="D342">
        <f t="shared" si="5"/>
        <v>5.1530379949683624E-17</v>
      </c>
    </row>
    <row r="343" spans="1:4" x14ac:dyDescent="0.25">
      <c r="A343">
        <v>7</v>
      </c>
      <c r="B343">
        <v>7</v>
      </c>
      <c r="C343">
        <v>34</v>
      </c>
      <c r="D343">
        <f t="shared" si="5"/>
        <v>9.228622590988802E-16</v>
      </c>
    </row>
    <row r="344" spans="1:4" x14ac:dyDescent="0.25">
      <c r="A344">
        <v>7</v>
      </c>
      <c r="B344">
        <v>8</v>
      </c>
      <c r="C344">
        <v>33</v>
      </c>
      <c r="D344">
        <f t="shared" si="5"/>
        <v>1.3727576104095836E-14</v>
      </c>
    </row>
    <row r="345" spans="1:4" x14ac:dyDescent="0.25">
      <c r="A345">
        <v>7</v>
      </c>
      <c r="B345">
        <v>9</v>
      </c>
      <c r="C345">
        <v>32</v>
      </c>
      <c r="D345">
        <f t="shared" si="5"/>
        <v>1.7219678797243017E-13</v>
      </c>
    </row>
    <row r="346" spans="1:4" x14ac:dyDescent="0.25">
      <c r="A346">
        <v>7</v>
      </c>
      <c r="B346">
        <v>10</v>
      </c>
      <c r="C346">
        <v>31</v>
      </c>
      <c r="D346">
        <f t="shared" si="5"/>
        <v>1.843099413332494E-12</v>
      </c>
    </row>
    <row r="347" spans="1:4" x14ac:dyDescent="0.25">
      <c r="A347">
        <v>7</v>
      </c>
      <c r="B347">
        <v>11</v>
      </c>
      <c r="C347">
        <v>30</v>
      </c>
      <c r="D347">
        <f t="shared" si="5"/>
        <v>1.6991161463741623E-11</v>
      </c>
    </row>
    <row r="348" spans="1:4" x14ac:dyDescent="0.25">
      <c r="A348">
        <v>7</v>
      </c>
      <c r="B348">
        <v>12</v>
      </c>
      <c r="C348">
        <v>29</v>
      </c>
      <c r="D348">
        <f t="shared" si="5"/>
        <v>1.3592929170993298E-10</v>
      </c>
    </row>
    <row r="349" spans="1:4" x14ac:dyDescent="0.25">
      <c r="A349">
        <v>7</v>
      </c>
      <c r="B349">
        <v>13</v>
      </c>
      <c r="C349">
        <v>28</v>
      </c>
      <c r="D349">
        <f t="shared" si="5"/>
        <v>9.4944810439006162E-10</v>
      </c>
    </row>
    <row r="350" spans="1:4" x14ac:dyDescent="0.25">
      <c r="A350">
        <v>7</v>
      </c>
      <c r="B350">
        <v>14</v>
      </c>
      <c r="C350">
        <v>27</v>
      </c>
      <c r="D350">
        <f t="shared" si="5"/>
        <v>5.8191980591648933E-9</v>
      </c>
    </row>
    <row r="351" spans="1:4" x14ac:dyDescent="0.25">
      <c r="A351">
        <v>7</v>
      </c>
      <c r="B351">
        <v>15</v>
      </c>
      <c r="C351">
        <v>26</v>
      </c>
      <c r="D351">
        <f t="shared" si="5"/>
        <v>3.1423669519490436E-8</v>
      </c>
    </row>
    <row r="352" spans="1:4" x14ac:dyDescent="0.25">
      <c r="A352">
        <v>7</v>
      </c>
      <c r="B352">
        <v>16</v>
      </c>
      <c r="C352">
        <v>25</v>
      </c>
      <c r="D352">
        <f t="shared" si="5"/>
        <v>1.4999892247194257E-7</v>
      </c>
    </row>
    <row r="353" spans="1:4" x14ac:dyDescent="0.25">
      <c r="A353">
        <v>7</v>
      </c>
      <c r="B353">
        <v>17</v>
      </c>
      <c r="C353">
        <v>24</v>
      </c>
      <c r="D353">
        <f t="shared" si="5"/>
        <v>6.3461082584283348E-7</v>
      </c>
    </row>
    <row r="354" spans="1:4" x14ac:dyDescent="0.25">
      <c r="A354">
        <v>7</v>
      </c>
      <c r="B354">
        <v>18</v>
      </c>
      <c r="C354">
        <v>23</v>
      </c>
      <c r="D354">
        <f t="shared" si="5"/>
        <v>2.3845982546821641E-6</v>
      </c>
    </row>
    <row r="355" spans="1:4" x14ac:dyDescent="0.25">
      <c r="A355">
        <v>7</v>
      </c>
      <c r="B355">
        <v>19</v>
      </c>
      <c r="C355">
        <v>22</v>
      </c>
      <c r="D355">
        <f t="shared" si="5"/>
        <v>7.9705149832463561E-6</v>
      </c>
    </row>
    <row r="356" spans="1:4" x14ac:dyDescent="0.25">
      <c r="A356">
        <v>7</v>
      </c>
      <c r="B356">
        <v>20</v>
      </c>
      <c r="C356">
        <v>21</v>
      </c>
      <c r="D356">
        <f t="shared" si="5"/>
        <v>2.3724003420721485E-5</v>
      </c>
    </row>
    <row r="357" spans="1:4" x14ac:dyDescent="0.25">
      <c r="A357">
        <v>7</v>
      </c>
      <c r="B357">
        <v>21</v>
      </c>
      <c r="C357">
        <v>20</v>
      </c>
      <c r="D357">
        <f t="shared" si="5"/>
        <v>6.2920182985391746E-5</v>
      </c>
    </row>
    <row r="358" spans="1:4" x14ac:dyDescent="0.25">
      <c r="A358">
        <v>7</v>
      </c>
      <c r="B358">
        <v>22</v>
      </c>
      <c r="C358">
        <v>19</v>
      </c>
      <c r="D358">
        <f t="shared" si="5"/>
        <v>1.4872043251092608E-4</v>
      </c>
    </row>
    <row r="359" spans="1:4" x14ac:dyDescent="0.25">
      <c r="A359">
        <v>7</v>
      </c>
      <c r="B359">
        <v>23</v>
      </c>
      <c r="C359">
        <v>18</v>
      </c>
      <c r="D359">
        <f t="shared" si="5"/>
        <v>3.131963058206215E-4</v>
      </c>
    </row>
    <row r="360" spans="1:4" x14ac:dyDescent="0.25">
      <c r="A360">
        <v>7</v>
      </c>
      <c r="B360">
        <v>24</v>
      </c>
      <c r="C360">
        <v>17</v>
      </c>
      <c r="D360">
        <f t="shared" si="5"/>
        <v>5.8724307341366511E-4</v>
      </c>
    </row>
    <row r="361" spans="1:4" x14ac:dyDescent="0.25">
      <c r="A361">
        <v>7</v>
      </c>
      <c r="B361">
        <v>25</v>
      </c>
      <c r="C361">
        <v>16</v>
      </c>
      <c r="D361">
        <f t="shared" si="5"/>
        <v>9.791674917248121E-4</v>
      </c>
    </row>
    <row r="362" spans="1:4" x14ac:dyDescent="0.25">
      <c r="A362">
        <v>7</v>
      </c>
      <c r="B362">
        <v>26</v>
      </c>
      <c r="C362">
        <v>15</v>
      </c>
      <c r="D362">
        <f t="shared" si="5"/>
        <v>1.4494121707028418E-3</v>
      </c>
    </row>
    <row r="363" spans="1:4" x14ac:dyDescent="0.25">
      <c r="A363">
        <v>7</v>
      </c>
      <c r="B363">
        <v>27</v>
      </c>
      <c r="C363">
        <v>14</v>
      </c>
      <c r="D363">
        <f t="shared" si="5"/>
        <v>1.9003404015881691E-3</v>
      </c>
    </row>
    <row r="364" spans="1:4" x14ac:dyDescent="0.25">
      <c r="A364">
        <v>7</v>
      </c>
      <c r="B364">
        <v>28</v>
      </c>
      <c r="C364">
        <v>13</v>
      </c>
      <c r="D364">
        <f t="shared" si="5"/>
        <v>2.2003941492073531E-3</v>
      </c>
    </row>
    <row r="365" spans="1:4" x14ac:dyDescent="0.25">
      <c r="A365">
        <v>7</v>
      </c>
      <c r="B365">
        <v>29</v>
      </c>
      <c r="C365">
        <v>12</v>
      </c>
      <c r="D365">
        <f t="shared" si="5"/>
        <v>2.2417808730168967E-3</v>
      </c>
    </row>
    <row r="366" spans="1:4" x14ac:dyDescent="0.25">
      <c r="A366">
        <v>7</v>
      </c>
      <c r="B366">
        <v>30</v>
      </c>
      <c r="C366">
        <v>11</v>
      </c>
      <c r="D366">
        <f t="shared" si="5"/>
        <v>2.0003583174612307E-3</v>
      </c>
    </row>
    <row r="367" spans="1:4" x14ac:dyDescent="0.25">
      <c r="A367">
        <v>7</v>
      </c>
      <c r="B367">
        <v>31</v>
      </c>
      <c r="C367">
        <v>10</v>
      </c>
      <c r="D367">
        <f t="shared" si="5"/>
        <v>1.5543821470513368E-3</v>
      </c>
    </row>
    <row r="368" spans="1:4" x14ac:dyDescent="0.25">
      <c r="A368">
        <v>7</v>
      </c>
      <c r="B368">
        <v>32</v>
      </c>
      <c r="C368">
        <v>9</v>
      </c>
      <c r="D368">
        <f t="shared" si="5"/>
        <v>1.0443505050501171E-3</v>
      </c>
    </row>
    <row r="369" spans="1:4" x14ac:dyDescent="0.25">
      <c r="A369">
        <v>7</v>
      </c>
      <c r="B369">
        <v>33</v>
      </c>
      <c r="C369">
        <v>8</v>
      </c>
      <c r="D369">
        <f t="shared" si="5"/>
        <v>6.0129271502885515E-4</v>
      </c>
    </row>
    <row r="370" spans="1:4" x14ac:dyDescent="0.25">
      <c r="A370">
        <v>7</v>
      </c>
      <c r="B370">
        <v>34</v>
      </c>
      <c r="C370">
        <v>7</v>
      </c>
      <c r="D370">
        <f t="shared" si="5"/>
        <v>2.9331351952627071E-4</v>
      </c>
    </row>
    <row r="371" spans="1:4" x14ac:dyDescent="0.25">
      <c r="A371">
        <v>7</v>
      </c>
      <c r="B371">
        <v>35</v>
      </c>
      <c r="C371">
        <v>6</v>
      </c>
      <c r="D371">
        <f t="shared" si="5"/>
        <v>1.194457465058789E-4</v>
      </c>
    </row>
    <row r="372" spans="1:4" x14ac:dyDescent="0.25">
      <c r="A372">
        <v>7</v>
      </c>
      <c r="B372">
        <v>36</v>
      </c>
      <c r="C372">
        <v>5</v>
      </c>
      <c r="D372">
        <f t="shared" si="5"/>
        <v>3.9815248835292999E-5</v>
      </c>
    </row>
    <row r="373" spans="1:4" x14ac:dyDescent="0.25">
      <c r="A373">
        <v>7</v>
      </c>
      <c r="B373">
        <v>37</v>
      </c>
      <c r="C373">
        <v>4</v>
      </c>
      <c r="D373">
        <f t="shared" si="5"/>
        <v>1.0570980215411649E-5</v>
      </c>
    </row>
    <row r="374" spans="1:4" x14ac:dyDescent="0.25">
      <c r="A374">
        <v>7</v>
      </c>
      <c r="B374">
        <v>38</v>
      </c>
      <c r="C374">
        <v>3</v>
      </c>
      <c r="D374">
        <f t="shared" si="5"/>
        <v>2.1478368613933064E-6</v>
      </c>
    </row>
    <row r="375" spans="1:4" x14ac:dyDescent="0.25">
      <c r="A375">
        <v>7</v>
      </c>
      <c r="B375">
        <v>39</v>
      </c>
      <c r="C375">
        <v>2</v>
      </c>
      <c r="D375">
        <f t="shared" si="5"/>
        <v>3.133449002032678E-7</v>
      </c>
    </row>
    <row r="376" spans="1:4" x14ac:dyDescent="0.25">
      <c r="A376">
        <v>7</v>
      </c>
      <c r="B376">
        <v>40</v>
      </c>
      <c r="C376">
        <v>1</v>
      </c>
      <c r="D376">
        <f t="shared" si="5"/>
        <v>2.9198047518940872E-8</v>
      </c>
    </row>
    <row r="377" spans="1:4" x14ac:dyDescent="0.25">
      <c r="A377">
        <v>7</v>
      </c>
      <c r="B377">
        <v>41</v>
      </c>
      <c r="C377">
        <v>0</v>
      </c>
      <c r="D377">
        <f t="shared" si="5"/>
        <v>1.3042701412955225E-9</v>
      </c>
    </row>
    <row r="378" spans="1:4" x14ac:dyDescent="0.25">
      <c r="A378">
        <v>8</v>
      </c>
      <c r="B378">
        <v>0</v>
      </c>
      <c r="C378">
        <v>40</v>
      </c>
      <c r="D378">
        <f t="shared" si="5"/>
        <v>3.4660612614774914E-26</v>
      </c>
    </row>
    <row r="379" spans="1:4" x14ac:dyDescent="0.25">
      <c r="A379">
        <v>8</v>
      </c>
      <c r="B379">
        <v>1</v>
      </c>
      <c r="C379">
        <v>39</v>
      </c>
      <c r="D379">
        <f t="shared" si="5"/>
        <v>5.628883488639442E-24</v>
      </c>
    </row>
    <row r="380" spans="1:4" x14ac:dyDescent="0.25">
      <c r="A380">
        <v>8</v>
      </c>
      <c r="B380">
        <v>2</v>
      </c>
      <c r="C380">
        <v>38</v>
      </c>
      <c r="D380">
        <f t="shared" si="5"/>
        <v>4.3474847179903477E-22</v>
      </c>
    </row>
    <row r="381" spans="1:4" x14ac:dyDescent="0.25">
      <c r="A381">
        <v>8</v>
      </c>
      <c r="B381">
        <v>3</v>
      </c>
      <c r="C381">
        <v>37</v>
      </c>
      <c r="D381">
        <f t="shared" si="5"/>
        <v>2.1285954023083518E-20</v>
      </c>
    </row>
    <row r="382" spans="1:4" x14ac:dyDescent="0.25">
      <c r="A382">
        <v>8</v>
      </c>
      <c r="B382">
        <v>4</v>
      </c>
      <c r="C382">
        <v>36</v>
      </c>
      <c r="D382">
        <f t="shared" si="5"/>
        <v>7.4300028193782048E-19</v>
      </c>
    </row>
    <row r="383" spans="1:4" x14ac:dyDescent="0.25">
      <c r="A383">
        <v>8</v>
      </c>
      <c r="B383">
        <v>5</v>
      </c>
      <c r="C383">
        <v>35</v>
      </c>
      <c r="D383">
        <f t="shared" si="5"/>
        <v>1.971427414741685E-17</v>
      </c>
    </row>
    <row r="384" spans="1:4" x14ac:dyDescent="0.25">
      <c r="A384">
        <v>8</v>
      </c>
      <c r="B384">
        <v>6</v>
      </c>
      <c r="C384">
        <v>34</v>
      </c>
      <c r="D384">
        <f t="shared" si="5"/>
        <v>4.1399975709575377E-16</v>
      </c>
    </row>
    <row r="385" spans="1:4" x14ac:dyDescent="0.25">
      <c r="A385">
        <v>8</v>
      </c>
      <c r="B385">
        <v>7</v>
      </c>
      <c r="C385">
        <v>33</v>
      </c>
      <c r="D385">
        <f t="shared" si="5"/>
        <v>7.0739040128248929E-15</v>
      </c>
    </row>
    <row r="386" spans="1:4" x14ac:dyDescent="0.25">
      <c r="A386">
        <v>8</v>
      </c>
      <c r="B386">
        <v>8</v>
      </c>
      <c r="C386">
        <v>32</v>
      </c>
      <c r="D386">
        <f t="shared" si="5"/>
        <v>1.0033774376085841E-13</v>
      </c>
    </row>
    <row r="387" spans="1:4" x14ac:dyDescent="0.25">
      <c r="A387">
        <v>8</v>
      </c>
      <c r="B387">
        <v>9</v>
      </c>
      <c r="C387">
        <v>31</v>
      </c>
      <c r="D387">
        <f t="shared" si="5"/>
        <v>1.1994396955320992E-12</v>
      </c>
    </row>
    <row r="388" spans="1:4" x14ac:dyDescent="0.25">
      <c r="A388">
        <v>8</v>
      </c>
      <c r="B388">
        <v>10</v>
      </c>
      <c r="C388">
        <v>30</v>
      </c>
      <c r="D388">
        <f t="shared" si="5"/>
        <v>1.2226153099881432E-11</v>
      </c>
    </row>
    <row r="389" spans="1:4" x14ac:dyDescent="0.25">
      <c r="A389">
        <v>8</v>
      </c>
      <c r="B389">
        <v>11</v>
      </c>
      <c r="C389">
        <v>29</v>
      </c>
      <c r="D389">
        <f t="shared" si="5"/>
        <v>1.0725670673986902E-10</v>
      </c>
    </row>
    <row r="390" spans="1:4" x14ac:dyDescent="0.25">
      <c r="A390">
        <v>8</v>
      </c>
      <c r="B390">
        <v>12</v>
      </c>
      <c r="C390">
        <v>28</v>
      </c>
      <c r="D390">
        <f t="shared" si="5"/>
        <v>8.1585429389015113E-10</v>
      </c>
    </row>
    <row r="391" spans="1:4" x14ac:dyDescent="0.25">
      <c r="A391">
        <v>8</v>
      </c>
      <c r="B391">
        <v>13</v>
      </c>
      <c r="C391">
        <v>27</v>
      </c>
      <c r="D391">
        <f t="shared" si="5"/>
        <v>5.4133855629336545E-9</v>
      </c>
    </row>
    <row r="392" spans="1:4" x14ac:dyDescent="0.25">
      <c r="A392">
        <v>8</v>
      </c>
      <c r="B392">
        <v>14</v>
      </c>
      <c r="C392">
        <v>26</v>
      </c>
      <c r="D392">
        <f t="shared" si="5"/>
        <v>3.1486018070124363E-8</v>
      </c>
    </row>
    <row r="393" spans="1:4" x14ac:dyDescent="0.25">
      <c r="A393">
        <v>8</v>
      </c>
      <c r="B393">
        <v>15</v>
      </c>
      <c r="C393">
        <v>25</v>
      </c>
      <c r="D393">
        <f t="shared" si="5"/>
        <v>1.6116905499644886E-7</v>
      </c>
    </row>
    <row r="394" spans="1:4" x14ac:dyDescent="0.25">
      <c r="A394">
        <v>8</v>
      </c>
      <c r="B394">
        <v>16</v>
      </c>
      <c r="C394">
        <v>24</v>
      </c>
      <c r="D394">
        <f t="shared" si="5"/>
        <v>7.283601523877978E-7</v>
      </c>
    </row>
    <row r="395" spans="1:4" x14ac:dyDescent="0.25">
      <c r="A395">
        <v>8</v>
      </c>
      <c r="B395">
        <v>17</v>
      </c>
      <c r="C395">
        <v>23</v>
      </c>
      <c r="D395">
        <f t="shared" si="5"/>
        <v>2.9134406095511912E-6</v>
      </c>
    </row>
    <row r="396" spans="1:4" x14ac:dyDescent="0.25">
      <c r="A396">
        <v>8</v>
      </c>
      <c r="B396">
        <v>18</v>
      </c>
      <c r="C396">
        <v>22</v>
      </c>
      <c r="D396">
        <f t="shared" si="5"/>
        <v>1.033474206273632E-5</v>
      </c>
    </row>
    <row r="397" spans="1:4" x14ac:dyDescent="0.25">
      <c r="A397">
        <v>8</v>
      </c>
      <c r="B397">
        <v>19</v>
      </c>
      <c r="C397">
        <v>21</v>
      </c>
      <c r="D397">
        <f t="shared" si="5"/>
        <v>3.2556037302892273E-5</v>
      </c>
    </row>
    <row r="398" spans="1:4" x14ac:dyDescent="0.25">
      <c r="A398">
        <v>8</v>
      </c>
      <c r="B398">
        <v>20</v>
      </c>
      <c r="C398">
        <v>20</v>
      </c>
      <c r="D398">
        <f t="shared" ref="D398:D461" si="6">COMBIN(A$4,A398)*COMBIN(B$4,B398)*COMBIN(C$4,C398)/COMBIN($F$4,$E$4)</f>
        <v>9.1156904448098236E-5</v>
      </c>
    </row>
    <row r="399" spans="1:4" x14ac:dyDescent="0.25">
      <c r="A399">
        <v>8</v>
      </c>
      <c r="B399">
        <v>21</v>
      </c>
      <c r="C399">
        <v>19</v>
      </c>
      <c r="D399">
        <f t="shared" si="6"/>
        <v>2.2696208862587748E-4</v>
      </c>
    </row>
    <row r="400" spans="1:4" x14ac:dyDescent="0.25">
      <c r="A400">
        <v>8</v>
      </c>
      <c r="B400">
        <v>22</v>
      </c>
      <c r="C400">
        <v>18</v>
      </c>
      <c r="D400">
        <f t="shared" si="6"/>
        <v>5.0245512321913256E-4</v>
      </c>
    </row>
    <row r="401" spans="1:4" x14ac:dyDescent="0.25">
      <c r="A401">
        <v>8</v>
      </c>
      <c r="B401">
        <v>23</v>
      </c>
      <c r="C401">
        <v>17</v>
      </c>
      <c r="D401">
        <f t="shared" si="6"/>
        <v>9.8852584024633635E-4</v>
      </c>
    </row>
    <row r="402" spans="1:4" x14ac:dyDescent="0.25">
      <c r="A402">
        <v>8</v>
      </c>
      <c r="B402">
        <v>24</v>
      </c>
      <c r="C402">
        <v>16</v>
      </c>
      <c r="D402">
        <f t="shared" si="6"/>
        <v>1.7265348579644907E-3</v>
      </c>
    </row>
    <row r="403" spans="1:4" x14ac:dyDescent="0.25">
      <c r="A403">
        <v>8</v>
      </c>
      <c r="B403">
        <v>25</v>
      </c>
      <c r="C403">
        <v>15</v>
      </c>
      <c r="D403">
        <f t="shared" si="6"/>
        <v>2.6728626125461087E-3</v>
      </c>
    </row>
    <row r="404" spans="1:4" x14ac:dyDescent="0.25">
      <c r="A404">
        <v>8</v>
      </c>
      <c r="B404">
        <v>26</v>
      </c>
      <c r="C404">
        <v>14</v>
      </c>
      <c r="D404">
        <f t="shared" si="6"/>
        <v>3.6597657310246745E-3</v>
      </c>
    </row>
    <row r="405" spans="1:4" x14ac:dyDescent="0.25">
      <c r="A405">
        <v>8</v>
      </c>
      <c r="B405">
        <v>27</v>
      </c>
      <c r="C405">
        <v>13</v>
      </c>
      <c r="D405">
        <f t="shared" si="6"/>
        <v>4.4195416576409061E-3</v>
      </c>
    </row>
    <row r="406" spans="1:4" x14ac:dyDescent="0.25">
      <c r="A406">
        <v>8</v>
      </c>
      <c r="B406">
        <v>28</v>
      </c>
      <c r="C406">
        <v>12</v>
      </c>
      <c r="D406">
        <f t="shared" si="6"/>
        <v>4.690125840761776E-3</v>
      </c>
    </row>
    <row r="407" spans="1:4" x14ac:dyDescent="0.25">
      <c r="A407">
        <v>8</v>
      </c>
      <c r="B407">
        <v>29</v>
      </c>
      <c r="C407">
        <v>11</v>
      </c>
      <c r="D407">
        <f t="shared" si="6"/>
        <v>4.3542282341289731E-3</v>
      </c>
    </row>
    <row r="408" spans="1:4" x14ac:dyDescent="0.25">
      <c r="A408">
        <v>8</v>
      </c>
      <c r="B408">
        <v>30</v>
      </c>
      <c r="C408">
        <v>10</v>
      </c>
      <c r="D408">
        <f t="shared" si="6"/>
        <v>3.5164526751573217E-3</v>
      </c>
    </row>
    <row r="409" spans="1:4" x14ac:dyDescent="0.25">
      <c r="A409">
        <v>8</v>
      </c>
      <c r="B409">
        <v>31</v>
      </c>
      <c r="C409">
        <v>9</v>
      </c>
      <c r="D409">
        <f t="shared" si="6"/>
        <v>2.4530093258153906E-3</v>
      </c>
    </row>
    <row r="410" spans="1:4" x14ac:dyDescent="0.25">
      <c r="A410">
        <v>8</v>
      </c>
      <c r="B410">
        <v>32</v>
      </c>
      <c r="C410">
        <v>8</v>
      </c>
      <c r="D410">
        <f t="shared" si="6"/>
        <v>1.4649916806953028E-3</v>
      </c>
    </row>
    <row r="411" spans="1:4" x14ac:dyDescent="0.25">
      <c r="A411">
        <v>8</v>
      </c>
      <c r="B411">
        <v>33</v>
      </c>
      <c r="C411">
        <v>7</v>
      </c>
      <c r="D411">
        <f t="shared" si="6"/>
        <v>7.4061663680383345E-4</v>
      </c>
    </row>
    <row r="412" spans="1:4" x14ac:dyDescent="0.25">
      <c r="A412">
        <v>8</v>
      </c>
      <c r="B412">
        <v>34</v>
      </c>
      <c r="C412">
        <v>6</v>
      </c>
      <c r="D412">
        <f t="shared" si="6"/>
        <v>3.1230822033896584E-4</v>
      </c>
    </row>
    <row r="413" spans="1:4" x14ac:dyDescent="0.25">
      <c r="A413">
        <v>8</v>
      </c>
      <c r="B413">
        <v>35</v>
      </c>
      <c r="C413">
        <v>5</v>
      </c>
      <c r="D413">
        <f t="shared" si="6"/>
        <v>1.0771446783119439E-4</v>
      </c>
    </row>
    <row r="414" spans="1:4" x14ac:dyDescent="0.25">
      <c r="A414">
        <v>8</v>
      </c>
      <c r="B414">
        <v>36</v>
      </c>
      <c r="C414">
        <v>4</v>
      </c>
      <c r="D414">
        <f t="shared" si="6"/>
        <v>2.9568677443857293E-5</v>
      </c>
    </row>
    <row r="415" spans="1:4" x14ac:dyDescent="0.25">
      <c r="A415">
        <v>8</v>
      </c>
      <c r="B415">
        <v>37</v>
      </c>
      <c r="C415">
        <v>3</v>
      </c>
      <c r="D415">
        <f t="shared" si="6"/>
        <v>6.2073779171893977E-6</v>
      </c>
    </row>
    <row r="416" spans="1:4" x14ac:dyDescent="0.25">
      <c r="A416">
        <v>8</v>
      </c>
      <c r="B416">
        <v>38</v>
      </c>
      <c r="C416">
        <v>2</v>
      </c>
      <c r="D416">
        <f t="shared" si="6"/>
        <v>9.3504966810656862E-7</v>
      </c>
    </row>
    <row r="417" spans="1:4" x14ac:dyDescent="0.25">
      <c r="A417">
        <v>8</v>
      </c>
      <c r="B417">
        <v>39</v>
      </c>
      <c r="C417">
        <v>1</v>
      </c>
      <c r="D417">
        <f t="shared" si="6"/>
        <v>8.9908621933323982E-8</v>
      </c>
    </row>
    <row r="418" spans="1:4" x14ac:dyDescent="0.25">
      <c r="A418">
        <v>8</v>
      </c>
      <c r="B418">
        <v>40</v>
      </c>
      <c r="C418">
        <v>0</v>
      </c>
      <c r="D418">
        <f t="shared" si="6"/>
        <v>4.14185786434414E-9</v>
      </c>
    </row>
    <row r="419" spans="1:4" x14ac:dyDescent="0.25">
      <c r="A419">
        <v>9</v>
      </c>
      <c r="B419">
        <v>0</v>
      </c>
      <c r="C419">
        <v>39</v>
      </c>
      <c r="D419">
        <f t="shared" si="6"/>
        <v>3.0809433435355455E-25</v>
      </c>
    </row>
    <row r="420" spans="1:4" x14ac:dyDescent="0.25">
      <c r="A420">
        <v>9</v>
      </c>
      <c r="B420">
        <v>1</v>
      </c>
      <c r="C420">
        <v>38</v>
      </c>
      <c r="D420">
        <f t="shared" si="6"/>
        <v>4.7827114609354763E-23</v>
      </c>
    </row>
    <row r="421" spans="1:4" x14ac:dyDescent="0.25">
      <c r="A421">
        <v>9</v>
      </c>
      <c r="B421">
        <v>2</v>
      </c>
      <c r="C421">
        <v>37</v>
      </c>
      <c r="D421">
        <f t="shared" si="6"/>
        <v>3.5300089590519931E-21</v>
      </c>
    </row>
    <row r="422" spans="1:4" x14ac:dyDescent="0.25">
      <c r="A422">
        <v>9</v>
      </c>
      <c r="B422">
        <v>3</v>
      </c>
      <c r="C422">
        <v>36</v>
      </c>
      <c r="D422">
        <f t="shared" si="6"/>
        <v>1.6511117376396006E-19</v>
      </c>
    </row>
    <row r="423" spans="1:4" x14ac:dyDescent="0.25">
      <c r="A423">
        <v>9</v>
      </c>
      <c r="B423">
        <v>4</v>
      </c>
      <c r="C423">
        <v>35</v>
      </c>
      <c r="D423">
        <f t="shared" si="6"/>
        <v>5.5037057921320057E-18</v>
      </c>
    </row>
    <row r="424" spans="1:4" x14ac:dyDescent="0.25">
      <c r="A424">
        <v>9</v>
      </c>
      <c r="B424">
        <v>5</v>
      </c>
      <c r="C424">
        <v>34</v>
      </c>
      <c r="D424">
        <f t="shared" si="6"/>
        <v>1.39393857607998E-16</v>
      </c>
    </row>
    <row r="425" spans="1:4" x14ac:dyDescent="0.25">
      <c r="A425">
        <v>9</v>
      </c>
      <c r="B425">
        <v>6</v>
      </c>
      <c r="C425">
        <v>33</v>
      </c>
      <c r="D425">
        <f t="shared" si="6"/>
        <v>2.7928555042173847E-15</v>
      </c>
    </row>
    <row r="426" spans="1:4" x14ac:dyDescent="0.25">
      <c r="A426">
        <v>9</v>
      </c>
      <c r="B426">
        <v>7</v>
      </c>
      <c r="C426">
        <v>32</v>
      </c>
      <c r="D426">
        <f t="shared" si="6"/>
        <v>4.5504645696534409E-14</v>
      </c>
    </row>
    <row r="427" spans="1:4" x14ac:dyDescent="0.25">
      <c r="A427">
        <v>9</v>
      </c>
      <c r="B427">
        <v>8</v>
      </c>
      <c r="C427">
        <v>31</v>
      </c>
      <c r="D427">
        <f t="shared" si="6"/>
        <v>6.1509727976005124E-13</v>
      </c>
    </row>
    <row r="428" spans="1:4" x14ac:dyDescent="0.25">
      <c r="A428">
        <v>9</v>
      </c>
      <c r="B428">
        <v>9</v>
      </c>
      <c r="C428">
        <v>30</v>
      </c>
      <c r="D428">
        <f t="shared" si="6"/>
        <v>7.0023786368163953E-12</v>
      </c>
    </row>
    <row r="429" spans="1:4" x14ac:dyDescent="0.25">
      <c r="A429">
        <v>9</v>
      </c>
      <c r="B429">
        <v>10</v>
      </c>
      <c r="C429">
        <v>29</v>
      </c>
      <c r="D429">
        <f t="shared" si="6"/>
        <v>6.7923072777119098E-11</v>
      </c>
    </row>
    <row r="430" spans="1:4" x14ac:dyDescent="0.25">
      <c r="A430">
        <v>9</v>
      </c>
      <c r="B430">
        <v>11</v>
      </c>
      <c r="C430">
        <v>28</v>
      </c>
      <c r="D430">
        <f t="shared" si="6"/>
        <v>5.665654818681606E-10</v>
      </c>
    </row>
    <row r="431" spans="1:4" x14ac:dyDescent="0.25">
      <c r="A431">
        <v>9</v>
      </c>
      <c r="B431">
        <v>12</v>
      </c>
      <c r="C431">
        <v>27</v>
      </c>
      <c r="D431">
        <f t="shared" si="6"/>
        <v>4.0938925141441257E-9</v>
      </c>
    </row>
    <row r="432" spans="1:4" x14ac:dyDescent="0.25">
      <c r="A432">
        <v>9</v>
      </c>
      <c r="B432">
        <v>13</v>
      </c>
      <c r="C432">
        <v>26</v>
      </c>
      <c r="D432">
        <f t="shared" si="6"/>
        <v>2.5778026490160284E-8</v>
      </c>
    </row>
    <row r="433" spans="1:4" x14ac:dyDescent="0.25">
      <c r="A433">
        <v>9</v>
      </c>
      <c r="B433">
        <v>14</v>
      </c>
      <c r="C433">
        <v>25</v>
      </c>
      <c r="D433">
        <f t="shared" si="6"/>
        <v>1.4212438712208901E-7</v>
      </c>
    </row>
    <row r="434" spans="1:4" x14ac:dyDescent="0.25">
      <c r="A434">
        <v>9</v>
      </c>
      <c r="B434">
        <v>15</v>
      </c>
      <c r="C434">
        <v>24</v>
      </c>
      <c r="D434">
        <f t="shared" si="6"/>
        <v>6.8875664528396932E-7</v>
      </c>
    </row>
    <row r="435" spans="1:4" x14ac:dyDescent="0.25">
      <c r="A435">
        <v>9</v>
      </c>
      <c r="B435">
        <v>16</v>
      </c>
      <c r="C435">
        <v>23</v>
      </c>
      <c r="D435">
        <f t="shared" si="6"/>
        <v>2.9428693025769616E-6</v>
      </c>
    </row>
    <row r="436" spans="1:4" x14ac:dyDescent="0.25">
      <c r="A436">
        <v>9</v>
      </c>
      <c r="B436">
        <v>17</v>
      </c>
      <c r="C436">
        <v>22</v>
      </c>
      <c r="D436">
        <f t="shared" si="6"/>
        <v>1.111262587391002E-5</v>
      </c>
    </row>
    <row r="437" spans="1:4" x14ac:dyDescent="0.25">
      <c r="A437">
        <v>9</v>
      </c>
      <c r="B437">
        <v>18</v>
      </c>
      <c r="C437">
        <v>21</v>
      </c>
      <c r="D437">
        <f t="shared" si="6"/>
        <v>3.7151033558856036E-5</v>
      </c>
    </row>
    <row r="438" spans="1:4" x14ac:dyDescent="0.25">
      <c r="A438">
        <v>9</v>
      </c>
      <c r="B438">
        <v>19</v>
      </c>
      <c r="C438">
        <v>20</v>
      </c>
      <c r="D438">
        <f t="shared" si="6"/>
        <v>1.1009287976823465E-4</v>
      </c>
    </row>
    <row r="439" spans="1:4" x14ac:dyDescent="0.25">
      <c r="A439">
        <v>9</v>
      </c>
      <c r="B439">
        <v>20</v>
      </c>
      <c r="C439">
        <v>19</v>
      </c>
      <c r="D439">
        <f t="shared" si="6"/>
        <v>2.8938699824793113E-4</v>
      </c>
    </row>
    <row r="440" spans="1:4" x14ac:dyDescent="0.25">
      <c r="A440">
        <v>9</v>
      </c>
      <c r="B440">
        <v>21</v>
      </c>
      <c r="C440">
        <v>18</v>
      </c>
      <c r="D440">
        <f t="shared" si="6"/>
        <v>6.7484815084376752E-4</v>
      </c>
    </row>
    <row r="441" spans="1:4" x14ac:dyDescent="0.25">
      <c r="A441">
        <v>9</v>
      </c>
      <c r="B441">
        <v>22</v>
      </c>
      <c r="C441">
        <v>17</v>
      </c>
      <c r="D441">
        <f t="shared" si="6"/>
        <v>1.395708675608701E-3</v>
      </c>
    </row>
    <row r="442" spans="1:4" x14ac:dyDescent="0.25">
      <c r="A442">
        <v>9</v>
      </c>
      <c r="B442">
        <v>23</v>
      </c>
      <c r="C442">
        <v>16</v>
      </c>
      <c r="D442">
        <f t="shared" si="6"/>
        <v>2.5578294192066535E-3</v>
      </c>
    </row>
    <row r="443" spans="1:4" x14ac:dyDescent="0.25">
      <c r="A443">
        <v>9</v>
      </c>
      <c r="B443">
        <v>24</v>
      </c>
      <c r="C443">
        <v>15</v>
      </c>
      <c r="D443">
        <f t="shared" si="6"/>
        <v>4.1478314906053838E-3</v>
      </c>
    </row>
    <row r="444" spans="1:4" x14ac:dyDescent="0.25">
      <c r="A444">
        <v>9</v>
      </c>
      <c r="B444">
        <v>25</v>
      </c>
      <c r="C444">
        <v>14</v>
      </c>
      <c r="D444">
        <f t="shared" si="6"/>
        <v>5.9396946945469101E-3</v>
      </c>
    </row>
    <row r="445" spans="1:4" x14ac:dyDescent="0.25">
      <c r="A445">
        <v>9</v>
      </c>
      <c r="B445">
        <v>26</v>
      </c>
      <c r="C445">
        <v>13</v>
      </c>
      <c r="D445">
        <f t="shared" si="6"/>
        <v>7.4907485722727259E-3</v>
      </c>
    </row>
    <row r="446" spans="1:4" x14ac:dyDescent="0.25">
      <c r="A446">
        <v>9</v>
      </c>
      <c r="B446">
        <v>27</v>
      </c>
      <c r="C446">
        <v>12</v>
      </c>
      <c r="D446">
        <f t="shared" si="6"/>
        <v>8.2906264861950622E-3</v>
      </c>
    </row>
    <row r="447" spans="1:4" x14ac:dyDescent="0.25">
      <c r="A447">
        <v>9</v>
      </c>
      <c r="B447">
        <v>28</v>
      </c>
      <c r="C447">
        <v>11</v>
      </c>
      <c r="D447">
        <f t="shared" si="6"/>
        <v>8.0173091295073114E-3</v>
      </c>
    </row>
    <row r="448" spans="1:4" x14ac:dyDescent="0.25">
      <c r="A448">
        <v>9</v>
      </c>
      <c r="B448">
        <v>29</v>
      </c>
      <c r="C448">
        <v>10</v>
      </c>
      <c r="D448">
        <f t="shared" si="6"/>
        <v>6.7364993776960185E-3</v>
      </c>
    </row>
    <row r="449" spans="1:4" x14ac:dyDescent="0.25">
      <c r="A449">
        <v>9</v>
      </c>
      <c r="B449">
        <v>30</v>
      </c>
      <c r="C449">
        <v>9</v>
      </c>
      <c r="D449">
        <f t="shared" si="6"/>
        <v>4.8839620488296135E-3</v>
      </c>
    </row>
    <row r="450" spans="1:4" x14ac:dyDescent="0.25">
      <c r="A450">
        <v>9</v>
      </c>
      <c r="B450">
        <v>31</v>
      </c>
      <c r="C450">
        <v>8</v>
      </c>
      <c r="D450">
        <f t="shared" si="6"/>
        <v>3.0284065750807291E-3</v>
      </c>
    </row>
    <row r="451" spans="1:4" x14ac:dyDescent="0.25">
      <c r="A451">
        <v>9</v>
      </c>
      <c r="B451">
        <v>32</v>
      </c>
      <c r="C451">
        <v>7</v>
      </c>
      <c r="D451">
        <f t="shared" si="6"/>
        <v>1.5880668625423335E-3</v>
      </c>
    </row>
    <row r="452" spans="1:4" x14ac:dyDescent="0.25">
      <c r="A452">
        <v>9</v>
      </c>
      <c r="B452">
        <v>33</v>
      </c>
      <c r="C452">
        <v>6</v>
      </c>
      <c r="D452">
        <f t="shared" si="6"/>
        <v>6.9401826741992423E-4</v>
      </c>
    </row>
    <row r="453" spans="1:4" x14ac:dyDescent="0.25">
      <c r="A453">
        <v>9</v>
      </c>
      <c r="B453">
        <v>34</v>
      </c>
      <c r="C453">
        <v>5</v>
      </c>
      <c r="D453">
        <f t="shared" si="6"/>
        <v>2.4786366693568725E-4</v>
      </c>
    </row>
    <row r="454" spans="1:4" x14ac:dyDescent="0.25">
      <c r="A454">
        <v>9</v>
      </c>
      <c r="B454">
        <v>35</v>
      </c>
      <c r="C454">
        <v>4</v>
      </c>
      <c r="D454">
        <f t="shared" si="6"/>
        <v>7.0401612961564947E-5</v>
      </c>
    </row>
    <row r="455" spans="1:4" x14ac:dyDescent="0.25">
      <c r="A455">
        <v>9</v>
      </c>
      <c r="B455">
        <v>36</v>
      </c>
      <c r="C455">
        <v>3</v>
      </c>
      <c r="D455">
        <f t="shared" si="6"/>
        <v>1.5280970255223407E-5</v>
      </c>
    </row>
    <row r="456" spans="1:4" x14ac:dyDescent="0.25">
      <c r="A456">
        <v>9</v>
      </c>
      <c r="B456">
        <v>37</v>
      </c>
      <c r="C456">
        <v>2</v>
      </c>
      <c r="D456">
        <f t="shared" si="6"/>
        <v>2.3783057153982366E-6</v>
      </c>
    </row>
    <row r="457" spans="1:4" x14ac:dyDescent="0.25">
      <c r="A457">
        <v>9</v>
      </c>
      <c r="B457">
        <v>38</v>
      </c>
      <c r="C457">
        <v>1</v>
      </c>
      <c r="D457">
        <f t="shared" si="6"/>
        <v>2.3612365356226477E-7</v>
      </c>
    </row>
    <row r="458" spans="1:4" x14ac:dyDescent="0.25">
      <c r="A458">
        <v>9</v>
      </c>
      <c r="B458">
        <v>39</v>
      </c>
      <c r="C458">
        <v>0</v>
      </c>
      <c r="D458">
        <f t="shared" si="6"/>
        <v>1.1224547057843194E-8</v>
      </c>
    </row>
    <row r="459" spans="1:4" x14ac:dyDescent="0.25">
      <c r="A459">
        <v>10</v>
      </c>
      <c r="B459">
        <v>0</v>
      </c>
      <c r="C459">
        <v>38</v>
      </c>
      <c r="D459">
        <f t="shared" si="6"/>
        <v>2.3324553430177937E-24</v>
      </c>
    </row>
    <row r="460" spans="1:4" x14ac:dyDescent="0.25">
      <c r="A460">
        <v>10</v>
      </c>
      <c r="B460">
        <v>1</v>
      </c>
      <c r="C460">
        <v>37</v>
      </c>
      <c r="D460">
        <f t="shared" si="6"/>
        <v>3.4601077915460133E-22</v>
      </c>
    </row>
    <row r="461" spans="1:4" x14ac:dyDescent="0.25">
      <c r="A461">
        <v>10</v>
      </c>
      <c r="B461">
        <v>2</v>
      </c>
      <c r="C461">
        <v>36</v>
      </c>
      <c r="D461">
        <f t="shared" si="6"/>
        <v>2.439702418303291E-20</v>
      </c>
    </row>
    <row r="462" spans="1:4" x14ac:dyDescent="0.25">
      <c r="A462">
        <v>10</v>
      </c>
      <c r="B462">
        <v>3</v>
      </c>
      <c r="C462">
        <v>35</v>
      </c>
      <c r="D462">
        <f t="shared" ref="D462:D525" si="7">COMBIN(A$4,A462)*COMBIN(B$4,B462)*COMBIN(C$4,C462)/COMBIN($F$4,$E$4)</f>
        <v>1.089733746842137E-18</v>
      </c>
    </row>
    <row r="463" spans="1:4" x14ac:dyDescent="0.25">
      <c r="A463">
        <v>10</v>
      </c>
      <c r="B463">
        <v>4</v>
      </c>
      <c r="C463">
        <v>34</v>
      </c>
      <c r="D463">
        <f t="shared" si="7"/>
        <v>3.4673346490431652E-17</v>
      </c>
    </row>
    <row r="464" spans="1:4" x14ac:dyDescent="0.25">
      <c r="A464">
        <v>10</v>
      </c>
      <c r="B464">
        <v>5</v>
      </c>
      <c r="C464">
        <v>33</v>
      </c>
      <c r="D464">
        <f t="shared" si="7"/>
        <v>8.3785665126521583E-16</v>
      </c>
    </row>
    <row r="465" spans="1:4" x14ac:dyDescent="0.25">
      <c r="A465">
        <v>10</v>
      </c>
      <c r="B465">
        <v>6</v>
      </c>
      <c r="C465">
        <v>32</v>
      </c>
      <c r="D465">
        <f t="shared" si="7"/>
        <v>1.6007471811014385E-14</v>
      </c>
    </row>
    <row r="466" spans="1:4" x14ac:dyDescent="0.25">
      <c r="A466">
        <v>10</v>
      </c>
      <c r="B466">
        <v>7</v>
      </c>
      <c r="C466">
        <v>31</v>
      </c>
      <c r="D466">
        <f t="shared" si="7"/>
        <v>2.4854951304589822E-13</v>
      </c>
    </row>
    <row r="467" spans="1:4" x14ac:dyDescent="0.25">
      <c r="A467">
        <v>10</v>
      </c>
      <c r="B467">
        <v>8</v>
      </c>
      <c r="C467">
        <v>30</v>
      </c>
      <c r="D467">
        <f t="shared" si="7"/>
        <v>3.1995483925145707E-12</v>
      </c>
    </row>
    <row r="468" spans="1:4" x14ac:dyDescent="0.25">
      <c r="A468">
        <v>10</v>
      </c>
      <c r="B468">
        <v>9</v>
      </c>
      <c r="C468">
        <v>29</v>
      </c>
      <c r="D468">
        <f t="shared" si="7"/>
        <v>3.4661774252241176E-11</v>
      </c>
    </row>
    <row r="469" spans="1:4" x14ac:dyDescent="0.25">
      <c r="A469">
        <v>10</v>
      </c>
      <c r="B469">
        <v>10</v>
      </c>
      <c r="C469">
        <v>28</v>
      </c>
      <c r="D469">
        <f t="shared" si="7"/>
        <v>3.1968383925099832E-10</v>
      </c>
    </row>
    <row r="470" spans="1:4" x14ac:dyDescent="0.25">
      <c r="A470">
        <v>10</v>
      </c>
      <c r="B470">
        <v>11</v>
      </c>
      <c r="C470">
        <v>27</v>
      </c>
      <c r="D470">
        <f t="shared" si="7"/>
        <v>2.5330959931266786E-9</v>
      </c>
    </row>
    <row r="471" spans="1:4" x14ac:dyDescent="0.25">
      <c r="A471">
        <v>10</v>
      </c>
      <c r="B471">
        <v>12</v>
      </c>
      <c r="C471">
        <v>26</v>
      </c>
      <c r="D471">
        <f t="shared" si="7"/>
        <v>1.7369801095725806E-8</v>
      </c>
    </row>
    <row r="472" spans="1:4" x14ac:dyDescent="0.25">
      <c r="A472">
        <v>10</v>
      </c>
      <c r="B472">
        <v>13</v>
      </c>
      <c r="C472">
        <v>25</v>
      </c>
      <c r="D472">
        <f t="shared" si="7"/>
        <v>1.0367600029011332E-7</v>
      </c>
    </row>
    <row r="473" spans="1:4" x14ac:dyDescent="0.25">
      <c r="A473">
        <v>10</v>
      </c>
      <c r="B473">
        <v>14</v>
      </c>
      <c r="C473">
        <v>24</v>
      </c>
      <c r="D473">
        <f t="shared" si="7"/>
        <v>5.4116593558026203E-7</v>
      </c>
    </row>
    <row r="474" spans="1:4" x14ac:dyDescent="0.25">
      <c r="A474">
        <v>10</v>
      </c>
      <c r="B474">
        <v>15</v>
      </c>
      <c r="C474">
        <v>23</v>
      </c>
      <c r="D474">
        <f t="shared" si="7"/>
        <v>2.4795239230222907E-6</v>
      </c>
    </row>
    <row r="475" spans="1:4" x14ac:dyDescent="0.25">
      <c r="A475">
        <v>10</v>
      </c>
      <c r="B475">
        <v>16</v>
      </c>
      <c r="C475">
        <v>22</v>
      </c>
      <c r="D475">
        <f t="shared" si="7"/>
        <v>1.0001363286519021E-5</v>
      </c>
    </row>
    <row r="476" spans="1:4" x14ac:dyDescent="0.25">
      <c r="A476">
        <v>10</v>
      </c>
      <c r="B476">
        <v>17</v>
      </c>
      <c r="C476">
        <v>21</v>
      </c>
      <c r="D476">
        <f t="shared" si="7"/>
        <v>3.5593086990258844E-5</v>
      </c>
    </row>
    <row r="477" spans="1:4" x14ac:dyDescent="0.25">
      <c r="A477">
        <v>10</v>
      </c>
      <c r="B477">
        <v>18</v>
      </c>
      <c r="C477">
        <v>20</v>
      </c>
      <c r="D477">
        <f t="shared" si="7"/>
        <v>1.119376793751618E-4</v>
      </c>
    </row>
    <row r="478" spans="1:4" x14ac:dyDescent="0.25">
      <c r="A478">
        <v>10</v>
      </c>
      <c r="B478">
        <v>19</v>
      </c>
      <c r="C478">
        <v>19</v>
      </c>
      <c r="D478">
        <f t="shared" si="7"/>
        <v>3.1140557420157827E-4</v>
      </c>
    </row>
    <row r="479" spans="1:4" x14ac:dyDescent="0.25">
      <c r="A479">
        <v>10</v>
      </c>
      <c r="B479">
        <v>20</v>
      </c>
      <c r="C479">
        <v>18</v>
      </c>
      <c r="D479">
        <f t="shared" si="7"/>
        <v>7.6667175169627989E-4</v>
      </c>
    </row>
    <row r="480" spans="1:4" x14ac:dyDescent="0.25">
      <c r="A480">
        <v>10</v>
      </c>
      <c r="B480">
        <v>21</v>
      </c>
      <c r="C480">
        <v>17</v>
      </c>
      <c r="D480">
        <f t="shared" si="7"/>
        <v>1.6702491733383239E-3</v>
      </c>
    </row>
    <row r="481" spans="1:4" x14ac:dyDescent="0.25">
      <c r="A481">
        <v>10</v>
      </c>
      <c r="B481">
        <v>22</v>
      </c>
      <c r="C481">
        <v>16</v>
      </c>
      <c r="D481">
        <f t="shared" si="7"/>
        <v>3.2177776726704695E-3</v>
      </c>
    </row>
    <row r="482" spans="1:4" x14ac:dyDescent="0.25">
      <c r="A482">
        <v>10</v>
      </c>
      <c r="B482">
        <v>23</v>
      </c>
      <c r="C482">
        <v>15</v>
      </c>
      <c r="D482">
        <f t="shared" si="7"/>
        <v>5.4751375675991072E-3</v>
      </c>
    </row>
    <row r="483" spans="1:4" x14ac:dyDescent="0.25">
      <c r="A483">
        <v>10</v>
      </c>
      <c r="B483">
        <v>24</v>
      </c>
      <c r="C483">
        <v>14</v>
      </c>
      <c r="D483">
        <f t="shared" si="7"/>
        <v>8.2127063513986603E-3</v>
      </c>
    </row>
    <row r="484" spans="1:4" x14ac:dyDescent="0.25">
      <c r="A484">
        <v>10</v>
      </c>
      <c r="B484">
        <v>25</v>
      </c>
      <c r="C484">
        <v>13</v>
      </c>
      <c r="D484">
        <f t="shared" si="7"/>
        <v>1.0832127429792126E-2</v>
      </c>
    </row>
    <row r="485" spans="1:4" x14ac:dyDescent="0.25">
      <c r="A485">
        <v>10</v>
      </c>
      <c r="B485">
        <v>26</v>
      </c>
      <c r="C485">
        <v>12</v>
      </c>
      <c r="D485">
        <f t="shared" si="7"/>
        <v>1.2520251185084414E-2</v>
      </c>
    </row>
    <row r="486" spans="1:4" x14ac:dyDescent="0.25">
      <c r="A486">
        <v>10</v>
      </c>
      <c r="B486">
        <v>27</v>
      </c>
      <c r="C486">
        <v>11</v>
      </c>
      <c r="D486">
        <f t="shared" si="7"/>
        <v>1.2627261878974021E-2</v>
      </c>
    </row>
    <row r="487" spans="1:4" x14ac:dyDescent="0.25">
      <c r="A487">
        <v>10</v>
      </c>
      <c r="B487">
        <v>28</v>
      </c>
      <c r="C487">
        <v>10</v>
      </c>
      <c r="D487">
        <f t="shared" si="7"/>
        <v>1.1051708407637294E-2</v>
      </c>
    </row>
    <row r="488" spans="1:4" x14ac:dyDescent="0.25">
      <c r="A488">
        <v>10</v>
      </c>
      <c r="B488">
        <v>29</v>
      </c>
      <c r="C488">
        <v>9</v>
      </c>
      <c r="D488">
        <f t="shared" si="7"/>
        <v>8.336417979898824E-3</v>
      </c>
    </row>
    <row r="489" spans="1:4" x14ac:dyDescent="0.25">
      <c r="A489">
        <v>10</v>
      </c>
      <c r="B489">
        <v>30</v>
      </c>
      <c r="C489">
        <v>8</v>
      </c>
      <c r="D489">
        <f t="shared" si="7"/>
        <v>5.3723582537125742E-3</v>
      </c>
    </row>
    <row r="490" spans="1:4" x14ac:dyDescent="0.25">
      <c r="A490">
        <v>10</v>
      </c>
      <c r="B490">
        <v>31</v>
      </c>
      <c r="C490">
        <v>7</v>
      </c>
      <c r="D490">
        <f t="shared" si="7"/>
        <v>2.9249975700779722E-3</v>
      </c>
    </row>
    <row r="491" spans="1:4" x14ac:dyDescent="0.25">
      <c r="A491">
        <v>10</v>
      </c>
      <c r="B491">
        <v>32</v>
      </c>
      <c r="C491">
        <v>6</v>
      </c>
      <c r="D491">
        <f t="shared" si="7"/>
        <v>1.3259401635443819E-3</v>
      </c>
    </row>
    <row r="492" spans="1:4" x14ac:dyDescent="0.25">
      <c r="A492">
        <v>10</v>
      </c>
      <c r="B492">
        <v>33</v>
      </c>
      <c r="C492">
        <v>5</v>
      </c>
      <c r="D492">
        <f t="shared" si="7"/>
        <v>4.9077006053266088E-4</v>
      </c>
    </row>
    <row r="493" spans="1:4" x14ac:dyDescent="0.25">
      <c r="A493">
        <v>10</v>
      </c>
      <c r="B493">
        <v>34</v>
      </c>
      <c r="C493">
        <v>4</v>
      </c>
      <c r="D493">
        <f t="shared" si="7"/>
        <v>1.4434413545078256E-4</v>
      </c>
    </row>
    <row r="494" spans="1:4" x14ac:dyDescent="0.25">
      <c r="A494">
        <v>10</v>
      </c>
      <c r="B494">
        <v>35</v>
      </c>
      <c r="C494">
        <v>3</v>
      </c>
      <c r="D494">
        <f t="shared" si="7"/>
        <v>3.2417486898581076E-5</v>
      </c>
    </row>
    <row r="495" spans="1:4" x14ac:dyDescent="0.25">
      <c r="A495">
        <v>10</v>
      </c>
      <c r="B495">
        <v>36</v>
      </c>
      <c r="C495">
        <v>2</v>
      </c>
      <c r="D495">
        <f t="shared" si="7"/>
        <v>5.2166070871279902E-6</v>
      </c>
    </row>
    <row r="496" spans="1:4" x14ac:dyDescent="0.25">
      <c r="A496">
        <v>10</v>
      </c>
      <c r="B496">
        <v>37</v>
      </c>
      <c r="C496">
        <v>1</v>
      </c>
      <c r="D496">
        <f t="shared" si="7"/>
        <v>5.3511878596460337E-7</v>
      </c>
    </row>
    <row r="497" spans="1:4" x14ac:dyDescent="0.25">
      <c r="A497">
        <v>10</v>
      </c>
      <c r="B497">
        <v>38</v>
      </c>
      <c r="C497">
        <v>0</v>
      </c>
      <c r="D497">
        <f t="shared" si="7"/>
        <v>2.6265440115353055E-8</v>
      </c>
    </row>
    <row r="498" spans="1:4" x14ac:dyDescent="0.25">
      <c r="A498">
        <v>11</v>
      </c>
      <c r="B498">
        <v>0</v>
      </c>
      <c r="C498">
        <v>37</v>
      </c>
      <c r="D498">
        <f t="shared" si="7"/>
        <v>1.5185426044402563E-23</v>
      </c>
    </row>
    <row r="499" spans="1:4" x14ac:dyDescent="0.25">
      <c r="A499">
        <v>11</v>
      </c>
      <c r="B499">
        <v>1</v>
      </c>
      <c r="C499">
        <v>36</v>
      </c>
      <c r="D499">
        <f t="shared" si="7"/>
        <v>2.1520327362171238E-21</v>
      </c>
    </row>
    <row r="500" spans="1:4" x14ac:dyDescent="0.25">
      <c r="A500">
        <v>11</v>
      </c>
      <c r="B500">
        <v>2</v>
      </c>
      <c r="C500">
        <v>35</v>
      </c>
      <c r="D500">
        <f t="shared" si="7"/>
        <v>1.4490353757195306E-19</v>
      </c>
    </row>
    <row r="501" spans="1:4" x14ac:dyDescent="0.25">
      <c r="A501">
        <v>11</v>
      </c>
      <c r="B501">
        <v>3</v>
      </c>
      <c r="C501">
        <v>34</v>
      </c>
      <c r="D501">
        <f t="shared" si="7"/>
        <v>6.1781599201132743E-18</v>
      </c>
    </row>
    <row r="502" spans="1:4" x14ac:dyDescent="0.25">
      <c r="A502">
        <v>11</v>
      </c>
      <c r="B502">
        <v>4</v>
      </c>
      <c r="C502">
        <v>33</v>
      </c>
      <c r="D502">
        <f t="shared" si="7"/>
        <v>1.8755128328915286E-16</v>
      </c>
    </row>
    <row r="503" spans="1:4" x14ac:dyDescent="0.25">
      <c r="A503">
        <v>11</v>
      </c>
      <c r="B503">
        <v>5</v>
      </c>
      <c r="C503">
        <v>32</v>
      </c>
      <c r="D503">
        <f t="shared" si="7"/>
        <v>4.3215764117890081E-15</v>
      </c>
    </row>
    <row r="504" spans="1:4" x14ac:dyDescent="0.25">
      <c r="A504">
        <v>11</v>
      </c>
      <c r="B504">
        <v>6</v>
      </c>
      <c r="C504">
        <v>31</v>
      </c>
      <c r="D504">
        <f t="shared" si="7"/>
        <v>7.8682494669813607E-14</v>
      </c>
    </row>
    <row r="505" spans="1:4" x14ac:dyDescent="0.25">
      <c r="A505">
        <v>11</v>
      </c>
      <c r="B505">
        <v>7</v>
      </c>
      <c r="C505">
        <v>30</v>
      </c>
      <c r="D505">
        <f t="shared" si="7"/>
        <v>1.1634721427325708E-12</v>
      </c>
    </row>
    <row r="506" spans="1:4" x14ac:dyDescent="0.25">
      <c r="A506">
        <v>11</v>
      </c>
      <c r="B506">
        <v>8</v>
      </c>
      <c r="C506">
        <v>29</v>
      </c>
      <c r="D506">
        <f t="shared" si="7"/>
        <v>1.4252533748474E-11</v>
      </c>
    </row>
    <row r="507" spans="1:4" x14ac:dyDescent="0.25">
      <c r="A507">
        <v>11</v>
      </c>
      <c r="B507">
        <v>9</v>
      </c>
      <c r="C507">
        <v>28</v>
      </c>
      <c r="D507">
        <f t="shared" si="7"/>
        <v>1.4680888587909005E-10</v>
      </c>
    </row>
    <row r="508" spans="1:4" x14ac:dyDescent="0.25">
      <c r="A508">
        <v>11</v>
      </c>
      <c r="B508">
        <v>10</v>
      </c>
      <c r="C508">
        <v>27</v>
      </c>
      <c r="D508">
        <f t="shared" si="7"/>
        <v>1.2862352711213179E-9</v>
      </c>
    </row>
    <row r="509" spans="1:4" x14ac:dyDescent="0.25">
      <c r="A509">
        <v>11</v>
      </c>
      <c r="B509">
        <v>11</v>
      </c>
      <c r="C509">
        <v>26</v>
      </c>
      <c r="D509">
        <f t="shared" si="7"/>
        <v>9.6718210646655091E-9</v>
      </c>
    </row>
    <row r="510" spans="1:4" x14ac:dyDescent="0.25">
      <c r="A510">
        <v>11</v>
      </c>
      <c r="B510">
        <v>12</v>
      </c>
      <c r="C510">
        <v>25</v>
      </c>
      <c r="D510">
        <f t="shared" si="7"/>
        <v>6.2866836920325732E-8</v>
      </c>
    </row>
    <row r="511" spans="1:4" x14ac:dyDescent="0.25">
      <c r="A511">
        <v>11</v>
      </c>
      <c r="B511">
        <v>13</v>
      </c>
      <c r="C511">
        <v>24</v>
      </c>
      <c r="D511">
        <f t="shared" si="7"/>
        <v>3.5525342756752097E-7</v>
      </c>
    </row>
    <row r="512" spans="1:4" x14ac:dyDescent="0.25">
      <c r="A512">
        <v>11</v>
      </c>
      <c r="B512">
        <v>14</v>
      </c>
      <c r="C512">
        <v>23</v>
      </c>
      <c r="D512">
        <f t="shared" si="7"/>
        <v>1.7531987334501054E-6</v>
      </c>
    </row>
    <row r="513" spans="1:4" x14ac:dyDescent="0.25">
      <c r="A513">
        <v>11</v>
      </c>
      <c r="B513">
        <v>15</v>
      </c>
      <c r="C513">
        <v>22</v>
      </c>
      <c r="D513">
        <f t="shared" si="7"/>
        <v>7.5832387008035868E-6</v>
      </c>
    </row>
    <row r="514" spans="1:4" x14ac:dyDescent="0.25">
      <c r="A514">
        <v>11</v>
      </c>
      <c r="B514">
        <v>16</v>
      </c>
      <c r="C514">
        <v>21</v>
      </c>
      <c r="D514">
        <f t="shared" si="7"/>
        <v>2.8827458884672459E-5</v>
      </c>
    </row>
    <row r="515" spans="1:4" x14ac:dyDescent="0.25">
      <c r="A515">
        <v>11</v>
      </c>
      <c r="B515">
        <v>17</v>
      </c>
      <c r="C515">
        <v>20</v>
      </c>
      <c r="D515">
        <f t="shared" si="7"/>
        <v>9.6509318874772894E-5</v>
      </c>
    </row>
    <row r="516" spans="1:4" x14ac:dyDescent="0.25">
      <c r="A516">
        <v>11</v>
      </c>
      <c r="B516">
        <v>18</v>
      </c>
      <c r="C516">
        <v>19</v>
      </c>
      <c r="D516">
        <f t="shared" si="7"/>
        <v>2.849322747731393E-4</v>
      </c>
    </row>
    <row r="517" spans="1:4" x14ac:dyDescent="0.25">
      <c r="A517">
        <v>11</v>
      </c>
      <c r="B517">
        <v>19</v>
      </c>
      <c r="C517">
        <v>18</v>
      </c>
      <c r="D517">
        <f t="shared" si="7"/>
        <v>7.4242916666240574E-4</v>
      </c>
    </row>
    <row r="518" spans="1:4" x14ac:dyDescent="0.25">
      <c r="A518">
        <v>11</v>
      </c>
      <c r="B518">
        <v>20</v>
      </c>
      <c r="C518">
        <v>17</v>
      </c>
      <c r="D518">
        <f t="shared" si="7"/>
        <v>1.7075870833235317E-3</v>
      </c>
    </row>
    <row r="519" spans="1:4" x14ac:dyDescent="0.25">
      <c r="A519">
        <v>11</v>
      </c>
      <c r="B519">
        <v>21</v>
      </c>
      <c r="C519">
        <v>16</v>
      </c>
      <c r="D519">
        <f t="shared" si="7"/>
        <v>3.4652990321066583E-3</v>
      </c>
    </row>
    <row r="520" spans="1:4" x14ac:dyDescent="0.25">
      <c r="A520">
        <v>11</v>
      </c>
      <c r="B520">
        <v>22</v>
      </c>
      <c r="C520">
        <v>15</v>
      </c>
      <c r="D520">
        <f t="shared" si="7"/>
        <v>6.1983727159057702E-3</v>
      </c>
    </row>
    <row r="521" spans="1:4" x14ac:dyDescent="0.25">
      <c r="A521">
        <v>11</v>
      </c>
      <c r="B521">
        <v>23</v>
      </c>
      <c r="C521">
        <v>14</v>
      </c>
      <c r="D521">
        <f t="shared" si="7"/>
        <v>9.7556996659038629E-3</v>
      </c>
    </row>
    <row r="522" spans="1:4" x14ac:dyDescent="0.25">
      <c r="A522">
        <v>11</v>
      </c>
      <c r="B522">
        <v>24</v>
      </c>
      <c r="C522">
        <v>13</v>
      </c>
      <c r="D522">
        <f t="shared" si="7"/>
        <v>1.3478269275261917E-2</v>
      </c>
    </row>
    <row r="523" spans="1:4" x14ac:dyDescent="0.25">
      <c r="A523">
        <v>11</v>
      </c>
      <c r="B523">
        <v>25</v>
      </c>
      <c r="C523">
        <v>12</v>
      </c>
      <c r="D523">
        <f t="shared" si="7"/>
        <v>1.6292952001836086E-2</v>
      </c>
    </row>
    <row r="524" spans="1:4" x14ac:dyDescent="0.25">
      <c r="A524">
        <v>11</v>
      </c>
      <c r="B524">
        <v>26</v>
      </c>
      <c r="C524">
        <v>11</v>
      </c>
      <c r="D524">
        <f t="shared" si="7"/>
        <v>1.7160624001933883E-2</v>
      </c>
    </row>
    <row r="525" spans="1:4" x14ac:dyDescent="0.25">
      <c r="A525">
        <v>11</v>
      </c>
      <c r="B525">
        <v>27</v>
      </c>
      <c r="C525">
        <v>10</v>
      </c>
      <c r="D525">
        <f t="shared" si="7"/>
        <v>1.5664198280246247E-2</v>
      </c>
    </row>
    <row r="526" spans="1:4" x14ac:dyDescent="0.25">
      <c r="A526">
        <v>11</v>
      </c>
      <c r="B526">
        <v>28</v>
      </c>
      <c r="C526">
        <v>9</v>
      </c>
      <c r="D526">
        <f t="shared" ref="D526:D589" si="8">COMBIN(A$4,A526)*COMBIN(B$4,B526)*COMBIN(C$4,C526)/COMBIN($F$4,$E$4)</f>
        <v>1.2307584363050621E-2</v>
      </c>
    </row>
    <row r="527" spans="1:4" x14ac:dyDescent="0.25">
      <c r="A527">
        <v>11</v>
      </c>
      <c r="B527">
        <v>29</v>
      </c>
      <c r="C527">
        <v>8</v>
      </c>
      <c r="D527">
        <f t="shared" si="8"/>
        <v>8.2522117376776227E-3</v>
      </c>
    </row>
    <row r="528" spans="1:4" x14ac:dyDescent="0.25">
      <c r="A528">
        <v>11</v>
      </c>
      <c r="B528">
        <v>30</v>
      </c>
      <c r="C528">
        <v>7</v>
      </c>
      <c r="D528">
        <f t="shared" si="8"/>
        <v>4.6695442027834336E-3</v>
      </c>
    </row>
    <row r="529" spans="1:4" x14ac:dyDescent="0.25">
      <c r="A529">
        <v>11</v>
      </c>
      <c r="B529">
        <v>31</v>
      </c>
      <c r="C529">
        <v>6</v>
      </c>
      <c r="D529">
        <f t="shared" si="8"/>
        <v>2.1977528292152111E-3</v>
      </c>
    </row>
    <row r="530" spans="1:4" x14ac:dyDescent="0.25">
      <c r="A530">
        <v>11</v>
      </c>
      <c r="B530">
        <v>32</v>
      </c>
      <c r="C530">
        <v>5</v>
      </c>
      <c r="D530">
        <f t="shared" si="8"/>
        <v>8.4378010407369761E-4</v>
      </c>
    </row>
    <row r="531" spans="1:4" x14ac:dyDescent="0.25">
      <c r="A531">
        <v>11</v>
      </c>
      <c r="B531">
        <v>33</v>
      </c>
      <c r="C531">
        <v>4</v>
      </c>
      <c r="D531">
        <f t="shared" si="8"/>
        <v>2.5719500498503072E-4</v>
      </c>
    </row>
    <row r="532" spans="1:4" x14ac:dyDescent="0.25">
      <c r="A532">
        <v>11</v>
      </c>
      <c r="B532">
        <v>34</v>
      </c>
      <c r="C532">
        <v>3</v>
      </c>
      <c r="D532">
        <f t="shared" si="8"/>
        <v>5.9812791856983883E-5</v>
      </c>
    </row>
    <row r="533" spans="1:4" x14ac:dyDescent="0.25">
      <c r="A533">
        <v>11</v>
      </c>
      <c r="B533">
        <v>35</v>
      </c>
      <c r="C533">
        <v>2</v>
      </c>
      <c r="D533">
        <f t="shared" si="8"/>
        <v>9.9589771663352491E-6</v>
      </c>
    </row>
    <row r="534" spans="1:4" x14ac:dyDescent="0.25">
      <c r="A534">
        <v>11</v>
      </c>
      <c r="B534">
        <v>36</v>
      </c>
      <c r="C534">
        <v>1</v>
      </c>
      <c r="D534">
        <f t="shared" si="8"/>
        <v>1.0562551540052543E-6</v>
      </c>
    </row>
    <row r="535" spans="1:4" x14ac:dyDescent="0.25">
      <c r="A535">
        <v>11</v>
      </c>
      <c r="B535">
        <v>37</v>
      </c>
      <c r="C535">
        <v>0</v>
      </c>
      <c r="D535">
        <f t="shared" si="8"/>
        <v>5.3566538329449551E-8</v>
      </c>
    </row>
    <row r="536" spans="1:4" x14ac:dyDescent="0.25">
      <c r="A536">
        <v>12</v>
      </c>
      <c r="B536">
        <v>0</v>
      </c>
      <c r="C536">
        <v>36</v>
      </c>
      <c r="D536">
        <f t="shared" si="8"/>
        <v>8.5692600744277921E-23</v>
      </c>
    </row>
    <row r="537" spans="1:4" x14ac:dyDescent="0.25">
      <c r="A537">
        <v>12</v>
      </c>
      <c r="B537">
        <v>1</v>
      </c>
      <c r="C537">
        <v>35</v>
      </c>
      <c r="D537">
        <f t="shared" si="8"/>
        <v>1.1597065300725615E-20</v>
      </c>
    </row>
    <row r="538" spans="1:4" x14ac:dyDescent="0.25">
      <c r="A538">
        <v>12</v>
      </c>
      <c r="B538">
        <v>2</v>
      </c>
      <c r="C538">
        <v>34</v>
      </c>
      <c r="D538">
        <f t="shared" si="8"/>
        <v>7.453750152375467E-19</v>
      </c>
    </row>
    <row r="539" spans="1:4" x14ac:dyDescent="0.25">
      <c r="A539">
        <v>12</v>
      </c>
      <c r="B539">
        <v>3</v>
      </c>
      <c r="C539">
        <v>33</v>
      </c>
      <c r="D539">
        <f t="shared" si="8"/>
        <v>3.0320790798413042E-17</v>
      </c>
    </row>
    <row r="540" spans="1:4" x14ac:dyDescent="0.25">
      <c r="A540">
        <v>12</v>
      </c>
      <c r="B540">
        <v>4</v>
      </c>
      <c r="C540">
        <v>32</v>
      </c>
      <c r="D540">
        <f t="shared" si="8"/>
        <v>8.7770710205932519E-16</v>
      </c>
    </row>
    <row r="541" spans="1:4" x14ac:dyDescent="0.25">
      <c r="A541">
        <v>12</v>
      </c>
      <c r="B541">
        <v>5</v>
      </c>
      <c r="C541">
        <v>31</v>
      </c>
      <c r="D541">
        <f t="shared" si="8"/>
        <v>1.927323733073718E-14</v>
      </c>
    </row>
    <row r="542" spans="1:4" x14ac:dyDescent="0.25">
      <c r="A542">
        <v>12</v>
      </c>
      <c r="B542">
        <v>6</v>
      </c>
      <c r="C542">
        <v>30</v>
      </c>
      <c r="D542">
        <f t="shared" si="8"/>
        <v>3.3417833541261219E-13</v>
      </c>
    </row>
    <row r="543" spans="1:4" x14ac:dyDescent="0.25">
      <c r="A543">
        <v>12</v>
      </c>
      <c r="B543">
        <v>7</v>
      </c>
      <c r="C543">
        <v>29</v>
      </c>
      <c r="D543">
        <f t="shared" si="8"/>
        <v>4.7023665768774737E-12</v>
      </c>
    </row>
    <row r="544" spans="1:4" x14ac:dyDescent="0.25">
      <c r="A544">
        <v>12</v>
      </c>
      <c r="B544">
        <v>8</v>
      </c>
      <c r="C544">
        <v>28</v>
      </c>
      <c r="D544">
        <f t="shared" si="8"/>
        <v>5.4771007424122088E-11</v>
      </c>
    </row>
    <row r="545" spans="1:4" x14ac:dyDescent="0.25">
      <c r="A545">
        <v>12</v>
      </c>
      <c r="B545">
        <v>9</v>
      </c>
      <c r="C545">
        <v>27</v>
      </c>
      <c r="D545">
        <f t="shared" si="8"/>
        <v>5.3593136296721555E-10</v>
      </c>
    </row>
    <row r="546" spans="1:4" x14ac:dyDescent="0.25">
      <c r="A546">
        <v>12</v>
      </c>
      <c r="B546">
        <v>10</v>
      </c>
      <c r="C546">
        <v>26</v>
      </c>
      <c r="D546">
        <f t="shared" si="8"/>
        <v>4.4558864749559974E-9</v>
      </c>
    </row>
    <row r="547" spans="1:4" x14ac:dyDescent="0.25">
      <c r="A547">
        <v>12</v>
      </c>
      <c r="B547">
        <v>11</v>
      </c>
      <c r="C547">
        <v>25</v>
      </c>
      <c r="D547">
        <f t="shared" si="8"/>
        <v>3.1760849902456236E-8</v>
      </c>
    </row>
    <row r="548" spans="1:4" x14ac:dyDescent="0.25">
      <c r="A548">
        <v>12</v>
      </c>
      <c r="B548">
        <v>12</v>
      </c>
      <c r="C548">
        <v>24</v>
      </c>
      <c r="D548">
        <f t="shared" si="8"/>
        <v>1.9545138401511516E-7</v>
      </c>
    </row>
    <row r="549" spans="1:4" x14ac:dyDescent="0.25">
      <c r="A549">
        <v>12</v>
      </c>
      <c r="B549">
        <v>13</v>
      </c>
      <c r="C549">
        <v>23</v>
      </c>
      <c r="D549">
        <f t="shared" si="8"/>
        <v>1.0442297719408952E-6</v>
      </c>
    </row>
    <row r="550" spans="1:4" x14ac:dyDescent="0.25">
      <c r="A550">
        <v>12</v>
      </c>
      <c r="B550">
        <v>14</v>
      </c>
      <c r="C550">
        <v>22</v>
      </c>
      <c r="D550">
        <f t="shared" si="8"/>
        <v>4.8649084257800811E-6</v>
      </c>
    </row>
    <row r="551" spans="1:4" x14ac:dyDescent="0.25">
      <c r="A551">
        <v>12</v>
      </c>
      <c r="B551">
        <v>15</v>
      </c>
      <c r="C551">
        <v>21</v>
      </c>
      <c r="D551">
        <f t="shared" si="8"/>
        <v>1.9831656112150549E-5</v>
      </c>
    </row>
    <row r="552" spans="1:4" x14ac:dyDescent="0.25">
      <c r="A552">
        <v>12</v>
      </c>
      <c r="B552">
        <v>16</v>
      </c>
      <c r="C552">
        <v>20</v>
      </c>
      <c r="D552">
        <f t="shared" si="8"/>
        <v>7.0919726748886158E-5</v>
      </c>
    </row>
    <row r="553" spans="1:4" x14ac:dyDescent="0.25">
      <c r="A553">
        <v>12</v>
      </c>
      <c r="B553">
        <v>17</v>
      </c>
      <c r="C553">
        <v>19</v>
      </c>
      <c r="D553">
        <f t="shared" si="8"/>
        <v>2.2289056978221376E-4</v>
      </c>
    </row>
    <row r="554" spans="1:4" x14ac:dyDescent="0.25">
      <c r="A554">
        <v>12</v>
      </c>
      <c r="B554">
        <v>18</v>
      </c>
      <c r="C554">
        <v>18</v>
      </c>
      <c r="D554">
        <f t="shared" si="8"/>
        <v>6.1634997935081678E-4</v>
      </c>
    </row>
    <row r="555" spans="1:4" x14ac:dyDescent="0.25">
      <c r="A555">
        <v>12</v>
      </c>
      <c r="B555">
        <v>19</v>
      </c>
      <c r="C555">
        <v>17</v>
      </c>
      <c r="D555">
        <f t="shared" si="8"/>
        <v>1.5003256076302775E-3</v>
      </c>
    </row>
    <row r="556" spans="1:4" x14ac:dyDescent="0.25">
      <c r="A556">
        <v>12</v>
      </c>
      <c r="B556">
        <v>20</v>
      </c>
      <c r="C556">
        <v>16</v>
      </c>
      <c r="D556">
        <f t="shared" si="8"/>
        <v>3.2143962333339065E-3</v>
      </c>
    </row>
    <row r="557" spans="1:4" x14ac:dyDescent="0.25">
      <c r="A557">
        <v>12</v>
      </c>
      <c r="B557">
        <v>21</v>
      </c>
      <c r="C557">
        <v>15</v>
      </c>
      <c r="D557">
        <f t="shared" si="8"/>
        <v>6.056468578636863E-3</v>
      </c>
    </row>
    <row r="558" spans="1:4" x14ac:dyDescent="0.25">
      <c r="A558">
        <v>12</v>
      </c>
      <c r="B558">
        <v>22</v>
      </c>
      <c r="C558">
        <v>14</v>
      </c>
      <c r="D558">
        <f t="shared" si="8"/>
        <v>1.0020702557380993E-2</v>
      </c>
    </row>
    <row r="559" spans="1:4" x14ac:dyDescent="0.25">
      <c r="A559">
        <v>12</v>
      </c>
      <c r="B559">
        <v>23</v>
      </c>
      <c r="C559">
        <v>13</v>
      </c>
      <c r="D559">
        <f t="shared" si="8"/>
        <v>1.4526579107782283E-2</v>
      </c>
    </row>
    <row r="560" spans="1:4" x14ac:dyDescent="0.25">
      <c r="A560">
        <v>12</v>
      </c>
      <c r="B560">
        <v>24</v>
      </c>
      <c r="C560">
        <v>12</v>
      </c>
      <c r="D560">
        <f t="shared" si="8"/>
        <v>1.8394044974139902E-2</v>
      </c>
    </row>
    <row r="561" spans="1:4" x14ac:dyDescent="0.25">
      <c r="A561">
        <v>12</v>
      </c>
      <c r="B561">
        <v>25</v>
      </c>
      <c r="C561">
        <v>11</v>
      </c>
      <c r="D561">
        <f t="shared" si="8"/>
        <v>2.0261748002283343E-2</v>
      </c>
    </row>
    <row r="562" spans="1:4" x14ac:dyDescent="0.25">
      <c r="A562">
        <v>12</v>
      </c>
      <c r="B562">
        <v>26</v>
      </c>
      <c r="C562">
        <v>10</v>
      </c>
      <c r="D562">
        <f t="shared" si="8"/>
        <v>1.9314752964201952E-2</v>
      </c>
    </row>
    <row r="563" spans="1:4" x14ac:dyDescent="0.25">
      <c r="A563">
        <v>12</v>
      </c>
      <c r="B563">
        <v>27</v>
      </c>
      <c r="C563">
        <v>9</v>
      </c>
      <c r="D563">
        <f t="shared" si="8"/>
        <v>1.5827367012332148E-2</v>
      </c>
    </row>
    <row r="564" spans="1:4" x14ac:dyDescent="0.25">
      <c r="A564">
        <v>12</v>
      </c>
      <c r="B564">
        <v>28</v>
      </c>
      <c r="C564">
        <v>8</v>
      </c>
      <c r="D564">
        <f t="shared" si="8"/>
        <v>1.1054034103851017E-2</v>
      </c>
    </row>
    <row r="565" spans="1:4" x14ac:dyDescent="0.25">
      <c r="A565">
        <v>12</v>
      </c>
      <c r="B565">
        <v>29</v>
      </c>
      <c r="C565">
        <v>7</v>
      </c>
      <c r="D565">
        <f t="shared" si="8"/>
        <v>6.5078417768677154E-3</v>
      </c>
    </row>
    <row r="566" spans="1:4" x14ac:dyDescent="0.25">
      <c r="A566">
        <v>12</v>
      </c>
      <c r="B566">
        <v>30</v>
      </c>
      <c r="C566">
        <v>6</v>
      </c>
      <c r="D566">
        <f t="shared" si="8"/>
        <v>3.1833539294075803E-3</v>
      </c>
    </row>
    <row r="567" spans="1:4" x14ac:dyDescent="0.25">
      <c r="A567">
        <v>12</v>
      </c>
      <c r="B567">
        <v>31</v>
      </c>
      <c r="C567">
        <v>5</v>
      </c>
      <c r="D567">
        <f t="shared" si="8"/>
        <v>1.2689406216302118E-3</v>
      </c>
    </row>
    <row r="568" spans="1:4" x14ac:dyDescent="0.25">
      <c r="A568">
        <v>12</v>
      </c>
      <c r="B568">
        <v>32</v>
      </c>
      <c r="C568">
        <v>4</v>
      </c>
      <c r="D568">
        <f t="shared" si="8"/>
        <v>4.0120916713308154E-4</v>
      </c>
    </row>
    <row r="569" spans="1:4" x14ac:dyDescent="0.25">
      <c r="A569">
        <v>12</v>
      </c>
      <c r="B569">
        <v>33</v>
      </c>
      <c r="C569">
        <v>3</v>
      </c>
      <c r="D569">
        <f t="shared" si="8"/>
        <v>9.6697346835457286E-5</v>
      </c>
    </row>
    <row r="570" spans="1:4" x14ac:dyDescent="0.25">
      <c r="A570">
        <v>12</v>
      </c>
      <c r="B570">
        <v>34</v>
      </c>
      <c r="C570">
        <v>2</v>
      </c>
      <c r="D570">
        <f t="shared" si="8"/>
        <v>1.6671956350940904E-5</v>
      </c>
    </row>
    <row r="571" spans="1:4" x14ac:dyDescent="0.25">
      <c r="A571">
        <v>12</v>
      </c>
      <c r="B571">
        <v>35</v>
      </c>
      <c r="C571">
        <v>1</v>
      </c>
      <c r="D571">
        <f t="shared" si="8"/>
        <v>1.8295848203305286E-6</v>
      </c>
    </row>
    <row r="572" spans="1:4" x14ac:dyDescent="0.25">
      <c r="A572">
        <v>12</v>
      </c>
      <c r="B572">
        <v>36</v>
      </c>
      <c r="C572">
        <v>0</v>
      </c>
      <c r="D572">
        <f t="shared" si="8"/>
        <v>9.5933286459278676E-8</v>
      </c>
    </row>
    <row r="573" spans="1:4" x14ac:dyDescent="0.25">
      <c r="A573">
        <v>13</v>
      </c>
      <c r="B573">
        <v>0</v>
      </c>
      <c r="C573">
        <v>35</v>
      </c>
      <c r="D573">
        <f t="shared" si="8"/>
        <v>4.2187126520259936E-22</v>
      </c>
    </row>
    <row r="574" spans="1:4" x14ac:dyDescent="0.25">
      <c r="A574">
        <v>13</v>
      </c>
      <c r="B574">
        <v>1</v>
      </c>
      <c r="C574">
        <v>34</v>
      </c>
      <c r="D574">
        <f t="shared" si="8"/>
        <v>5.4498097077535821E-20</v>
      </c>
    </row>
    <row r="575" spans="1:4" x14ac:dyDescent="0.25">
      <c r="A575">
        <v>13</v>
      </c>
      <c r="B575">
        <v>2</v>
      </c>
      <c r="C575">
        <v>33</v>
      </c>
      <c r="D575">
        <f t="shared" si="8"/>
        <v>3.3419011672188907E-18</v>
      </c>
    </row>
    <row r="576" spans="1:4" x14ac:dyDescent="0.25">
      <c r="A576">
        <v>13</v>
      </c>
      <c r="B576">
        <v>3</v>
      </c>
      <c r="C576">
        <v>32</v>
      </c>
      <c r="D576">
        <f t="shared" si="8"/>
        <v>1.2963058738106962E-16</v>
      </c>
    </row>
    <row r="577" spans="1:4" x14ac:dyDescent="0.25">
      <c r="A577">
        <v>13</v>
      </c>
      <c r="B577">
        <v>4</v>
      </c>
      <c r="C577">
        <v>31</v>
      </c>
      <c r="D577">
        <f t="shared" si="8"/>
        <v>3.5760162036157132E-15</v>
      </c>
    </row>
    <row r="578" spans="1:4" x14ac:dyDescent="0.25">
      <c r="A578">
        <v>13</v>
      </c>
      <c r="B578">
        <v>5</v>
      </c>
      <c r="C578">
        <v>30</v>
      </c>
      <c r="D578">
        <f t="shared" si="8"/>
        <v>7.478116596645876E-14</v>
      </c>
    </row>
    <row r="579" spans="1:4" x14ac:dyDescent="0.25">
      <c r="A579">
        <v>13</v>
      </c>
      <c r="B579">
        <v>6</v>
      </c>
      <c r="C579">
        <v>29</v>
      </c>
      <c r="D579">
        <f t="shared" si="8"/>
        <v>1.2338892384465691E-12</v>
      </c>
    </row>
    <row r="580" spans="1:4" x14ac:dyDescent="0.25">
      <c r="A580">
        <v>13</v>
      </c>
      <c r="B580">
        <v>7</v>
      </c>
      <c r="C580">
        <v>28</v>
      </c>
      <c r="D580">
        <f t="shared" si="8"/>
        <v>1.6508686696124715E-11</v>
      </c>
    </row>
    <row r="581" spans="1:4" x14ac:dyDescent="0.25">
      <c r="A581">
        <v>13</v>
      </c>
      <c r="B581">
        <v>8</v>
      </c>
      <c r="C581">
        <v>27</v>
      </c>
      <c r="D581">
        <f t="shared" si="8"/>
        <v>1.8266063021841211E-10</v>
      </c>
    </row>
    <row r="582" spans="1:4" x14ac:dyDescent="0.25">
      <c r="A582">
        <v>13</v>
      </c>
      <c r="B582">
        <v>9</v>
      </c>
      <c r="C582">
        <v>26</v>
      </c>
      <c r="D582">
        <f t="shared" si="8"/>
        <v>1.6961344234566844E-9</v>
      </c>
    </row>
    <row r="583" spans="1:4" x14ac:dyDescent="0.25">
      <c r="A583">
        <v>13</v>
      </c>
      <c r="B583">
        <v>10</v>
      </c>
      <c r="C583">
        <v>25</v>
      </c>
      <c r="D583">
        <f t="shared" si="8"/>
        <v>1.3367659424867989E-8</v>
      </c>
    </row>
    <row r="584" spans="1:4" x14ac:dyDescent="0.25">
      <c r="A584">
        <v>13</v>
      </c>
      <c r="B584">
        <v>11</v>
      </c>
      <c r="C584">
        <v>24</v>
      </c>
      <c r="D584">
        <f t="shared" si="8"/>
        <v>9.0208331083899387E-8</v>
      </c>
    </row>
    <row r="585" spans="1:4" x14ac:dyDescent="0.25">
      <c r="A585">
        <v>13</v>
      </c>
      <c r="B585">
        <v>12</v>
      </c>
      <c r="C585">
        <v>23</v>
      </c>
      <c r="D585">
        <f t="shared" si="8"/>
        <v>5.2484847176086916E-7</v>
      </c>
    </row>
    <row r="586" spans="1:4" x14ac:dyDescent="0.25">
      <c r="A586">
        <v>13</v>
      </c>
      <c r="B586">
        <v>13</v>
      </c>
      <c r="C586">
        <v>22</v>
      </c>
      <c r="D586">
        <f t="shared" si="8"/>
        <v>2.6471404551613072E-6</v>
      </c>
    </row>
    <row r="587" spans="1:4" x14ac:dyDescent="0.25">
      <c r="A587">
        <v>13</v>
      </c>
      <c r="B587">
        <v>14</v>
      </c>
      <c r="C587">
        <v>21</v>
      </c>
      <c r="D587">
        <f t="shared" si="8"/>
        <v>1.1622948637157844E-5</v>
      </c>
    </row>
    <row r="588" spans="1:4" x14ac:dyDescent="0.25">
      <c r="A588">
        <v>13</v>
      </c>
      <c r="B588">
        <v>15</v>
      </c>
      <c r="C588">
        <v>20</v>
      </c>
      <c r="D588">
        <f t="shared" si="8"/>
        <v>4.4571481295535663E-5</v>
      </c>
    </row>
    <row r="589" spans="1:4" x14ac:dyDescent="0.25">
      <c r="A589">
        <v>13</v>
      </c>
      <c r="B589">
        <v>16</v>
      </c>
      <c r="C589">
        <v>19</v>
      </c>
      <c r="D589">
        <f t="shared" si="8"/>
        <v>1.4963283006358419E-4</v>
      </c>
    </row>
    <row r="590" spans="1:4" x14ac:dyDescent="0.25">
      <c r="A590">
        <v>13</v>
      </c>
      <c r="B590">
        <v>17</v>
      </c>
      <c r="C590">
        <v>18</v>
      </c>
      <c r="D590">
        <f t="shared" ref="D590:D653" si="9">COMBIN(A$4,A590)*COMBIN(B$4,B590)*COMBIN(C$4,C590)/COMBIN($F$4,$E$4)</f>
        <v>4.4046847159562107E-4</v>
      </c>
    </row>
    <row r="591" spans="1:4" x14ac:dyDescent="0.25">
      <c r="A591">
        <v>13</v>
      </c>
      <c r="B591">
        <v>18</v>
      </c>
      <c r="C591">
        <v>17</v>
      </c>
      <c r="D591">
        <f t="shared" si="9"/>
        <v>1.1378768849553541E-3</v>
      </c>
    </row>
    <row r="592" spans="1:4" x14ac:dyDescent="0.25">
      <c r="A592">
        <v>13</v>
      </c>
      <c r="B592">
        <v>19</v>
      </c>
      <c r="C592">
        <v>16</v>
      </c>
      <c r="D592">
        <f t="shared" si="9"/>
        <v>2.5801173779268845E-3</v>
      </c>
    </row>
    <row r="593" spans="1:4" x14ac:dyDescent="0.25">
      <c r="A593">
        <v>13</v>
      </c>
      <c r="B593">
        <v>20</v>
      </c>
      <c r="C593">
        <v>15</v>
      </c>
      <c r="D593">
        <f t="shared" si="9"/>
        <v>5.132341595011314E-3</v>
      </c>
    </row>
    <row r="594" spans="1:4" x14ac:dyDescent="0.25">
      <c r="A594">
        <v>13</v>
      </c>
      <c r="B594">
        <v>21</v>
      </c>
      <c r="C594">
        <v>14</v>
      </c>
      <c r="D594">
        <f t="shared" si="9"/>
        <v>8.9449382084482946E-3</v>
      </c>
    </row>
    <row r="595" spans="1:4" x14ac:dyDescent="0.25">
      <c r="A595">
        <v>13</v>
      </c>
      <c r="B595">
        <v>22</v>
      </c>
      <c r="C595">
        <v>13</v>
      </c>
      <c r="D595">
        <f t="shared" si="9"/>
        <v>1.3631401049716663E-2</v>
      </c>
    </row>
    <row r="596" spans="1:4" x14ac:dyDescent="0.25">
      <c r="A596">
        <v>13</v>
      </c>
      <c r="B596">
        <v>23</v>
      </c>
      <c r="C596">
        <v>12</v>
      </c>
      <c r="D596">
        <f t="shared" si="9"/>
        <v>1.8111059666845453E-2</v>
      </c>
    </row>
    <row r="597" spans="1:4" x14ac:dyDescent="0.25">
      <c r="A597">
        <v>13</v>
      </c>
      <c r="B597">
        <v>24</v>
      </c>
      <c r="C597">
        <v>11</v>
      </c>
      <c r="D597">
        <f t="shared" si="9"/>
        <v>2.0897376538667838E-2</v>
      </c>
    </row>
    <row r="598" spans="1:4" x14ac:dyDescent="0.25">
      <c r="A598">
        <v>13</v>
      </c>
      <c r="B598">
        <v>25</v>
      </c>
      <c r="C598">
        <v>10</v>
      </c>
      <c r="D598">
        <f t="shared" si="9"/>
        <v>2.0833890837790865E-2</v>
      </c>
    </row>
    <row r="599" spans="1:4" x14ac:dyDescent="0.25">
      <c r="A599">
        <v>13</v>
      </c>
      <c r="B599">
        <v>26</v>
      </c>
      <c r="C599">
        <v>9</v>
      </c>
      <c r="D599">
        <f t="shared" si="9"/>
        <v>1.7829002736186428E-2</v>
      </c>
    </row>
    <row r="600" spans="1:4" x14ac:dyDescent="0.25">
      <c r="A600">
        <v>13</v>
      </c>
      <c r="B600">
        <v>27</v>
      </c>
      <c r="C600">
        <v>8</v>
      </c>
      <c r="D600">
        <f t="shared" si="9"/>
        <v>1.2986557548580229E-2</v>
      </c>
    </row>
    <row r="601" spans="1:4" x14ac:dyDescent="0.25">
      <c r="A601">
        <v>13</v>
      </c>
      <c r="B601">
        <v>28</v>
      </c>
      <c r="C601">
        <v>7</v>
      </c>
      <c r="D601">
        <f t="shared" si="9"/>
        <v>7.9638819810108688E-3</v>
      </c>
    </row>
    <row r="602" spans="1:4" x14ac:dyDescent="0.25">
      <c r="A602">
        <v>13</v>
      </c>
      <c r="B602">
        <v>29</v>
      </c>
      <c r="C602">
        <v>6</v>
      </c>
      <c r="D602">
        <f t="shared" si="9"/>
        <v>4.0530766209963915E-3</v>
      </c>
    </row>
    <row r="603" spans="1:4" x14ac:dyDescent="0.25">
      <c r="A603">
        <v>13</v>
      </c>
      <c r="B603">
        <v>30</v>
      </c>
      <c r="C603">
        <v>5</v>
      </c>
      <c r="D603">
        <f t="shared" si="9"/>
        <v>1.6791317429842197E-3</v>
      </c>
    </row>
    <row r="604" spans="1:4" x14ac:dyDescent="0.25">
      <c r="A604">
        <v>13</v>
      </c>
      <c r="B604">
        <v>31</v>
      </c>
      <c r="C604">
        <v>4</v>
      </c>
      <c r="D604">
        <f t="shared" si="9"/>
        <v>5.5121402568552203E-4</v>
      </c>
    </row>
    <row r="605" spans="1:4" x14ac:dyDescent="0.25">
      <c r="A605">
        <v>13</v>
      </c>
      <c r="B605">
        <v>32</v>
      </c>
      <c r="C605">
        <v>3</v>
      </c>
      <c r="D605">
        <f t="shared" si="9"/>
        <v>1.3780350642138048E-4</v>
      </c>
    </row>
    <row r="606" spans="1:4" x14ac:dyDescent="0.25">
      <c r="A606">
        <v>13</v>
      </c>
      <c r="B606">
        <v>33</v>
      </c>
      <c r="C606">
        <v>2</v>
      </c>
      <c r="D606">
        <f t="shared" si="9"/>
        <v>2.4623197072158893E-5</v>
      </c>
    </row>
    <row r="607" spans="1:4" x14ac:dyDescent="0.25">
      <c r="A607">
        <v>13</v>
      </c>
      <c r="B607">
        <v>34</v>
      </c>
      <c r="C607">
        <v>1</v>
      </c>
      <c r="D607">
        <f t="shared" si="9"/>
        <v>2.7980905763816922E-6</v>
      </c>
    </row>
    <row r="608" spans="1:4" x14ac:dyDescent="0.25">
      <c r="A608">
        <v>13</v>
      </c>
      <c r="B608">
        <v>35</v>
      </c>
      <c r="C608">
        <v>0</v>
      </c>
      <c r="D608">
        <f t="shared" si="9"/>
        <v>1.518065192322652E-7</v>
      </c>
    </row>
    <row r="609" spans="1:4" x14ac:dyDescent="0.25">
      <c r="A609">
        <v>14</v>
      </c>
      <c r="B609">
        <v>0</v>
      </c>
      <c r="C609">
        <v>34</v>
      </c>
      <c r="D609">
        <f t="shared" si="9"/>
        <v>1.8217168270112251E-21</v>
      </c>
    </row>
    <row r="610" spans="1:4" x14ac:dyDescent="0.25">
      <c r="A610">
        <v>14</v>
      </c>
      <c r="B610">
        <v>1</v>
      </c>
      <c r="C610">
        <v>33</v>
      </c>
      <c r="D610">
        <f t="shared" si="9"/>
        <v>2.2452659892913334E-19</v>
      </c>
    </row>
    <row r="611" spans="1:4" x14ac:dyDescent="0.25">
      <c r="A611">
        <v>14</v>
      </c>
      <c r="B611">
        <v>2</v>
      </c>
      <c r="C611">
        <v>32</v>
      </c>
      <c r="D611">
        <f t="shared" si="9"/>
        <v>1.3128897442645643E-17</v>
      </c>
    </row>
    <row r="612" spans="1:4" x14ac:dyDescent="0.25">
      <c r="A612">
        <v>14</v>
      </c>
      <c r="B612">
        <v>3</v>
      </c>
      <c r="C612">
        <v>31</v>
      </c>
      <c r="D612">
        <f t="shared" si="9"/>
        <v>4.8531648477641799E-16</v>
      </c>
    </row>
    <row r="613" spans="1:4" x14ac:dyDescent="0.25">
      <c r="A613">
        <v>14</v>
      </c>
      <c r="B613">
        <v>4</v>
      </c>
      <c r="C613">
        <v>30</v>
      </c>
      <c r="D613">
        <f t="shared" si="9"/>
        <v>1.2749839854295728E-14</v>
      </c>
    </row>
    <row r="614" spans="1:4" x14ac:dyDescent="0.25">
      <c r="A614">
        <v>14</v>
      </c>
      <c r="B614">
        <v>5</v>
      </c>
      <c r="C614">
        <v>29</v>
      </c>
      <c r="D614">
        <f t="shared" si="9"/>
        <v>2.537218131004851E-13</v>
      </c>
    </row>
    <row r="615" spans="1:4" x14ac:dyDescent="0.25">
      <c r="A615">
        <v>14</v>
      </c>
      <c r="B615">
        <v>6</v>
      </c>
      <c r="C615">
        <v>28</v>
      </c>
      <c r="D615">
        <f t="shared" si="9"/>
        <v>3.9805209038879369E-12</v>
      </c>
    </row>
    <row r="616" spans="1:4" x14ac:dyDescent="0.25">
      <c r="A616">
        <v>14</v>
      </c>
      <c r="B616">
        <v>7</v>
      </c>
      <c r="C616">
        <v>27</v>
      </c>
      <c r="D616">
        <f t="shared" si="9"/>
        <v>5.0591136649414426E-11</v>
      </c>
    </row>
    <row r="617" spans="1:4" x14ac:dyDescent="0.25">
      <c r="A617">
        <v>14</v>
      </c>
      <c r="B617">
        <v>8</v>
      </c>
      <c r="C617">
        <v>26</v>
      </c>
      <c r="D617">
        <f t="shared" si="9"/>
        <v>5.3120693481885196E-10</v>
      </c>
    </row>
    <row r="618" spans="1:4" x14ac:dyDescent="0.25">
      <c r="A618">
        <v>14</v>
      </c>
      <c r="B618">
        <v>9</v>
      </c>
      <c r="C618">
        <v>25</v>
      </c>
      <c r="D618">
        <f t="shared" si="9"/>
        <v>4.6757277075200967E-9</v>
      </c>
    </row>
    <row r="619" spans="1:4" x14ac:dyDescent="0.25">
      <c r="A619">
        <v>14</v>
      </c>
      <c r="B619">
        <v>10</v>
      </c>
      <c r="C619">
        <v>24</v>
      </c>
      <c r="D619">
        <f t="shared" si="9"/>
        <v>3.4888122125342275E-8</v>
      </c>
    </row>
    <row r="620" spans="1:4" x14ac:dyDescent="0.25">
      <c r="A620">
        <v>14</v>
      </c>
      <c r="B620">
        <v>11</v>
      </c>
      <c r="C620">
        <v>23</v>
      </c>
      <c r="D620">
        <f t="shared" si="9"/>
        <v>2.2259198579144009E-7</v>
      </c>
    </row>
    <row r="621" spans="1:4" x14ac:dyDescent="0.25">
      <c r="A621">
        <v>14</v>
      </c>
      <c r="B621">
        <v>12</v>
      </c>
      <c r="C621">
        <v>22</v>
      </c>
      <c r="D621">
        <f t="shared" si="9"/>
        <v>1.2225947876305963E-6</v>
      </c>
    </row>
    <row r="622" spans="1:4" x14ac:dyDescent="0.25">
      <c r="A622">
        <v>14</v>
      </c>
      <c r="B622">
        <v>13</v>
      </c>
      <c r="C622">
        <v>21</v>
      </c>
      <c r="D622">
        <f t="shared" si="9"/>
        <v>5.8114743185789178E-6</v>
      </c>
    </row>
    <row r="623" spans="1:4" x14ac:dyDescent="0.25">
      <c r="A623">
        <v>14</v>
      </c>
      <c r="B623">
        <v>14</v>
      </c>
      <c r="C623">
        <v>20</v>
      </c>
      <c r="D623">
        <f t="shared" si="9"/>
        <v>2.4003915663695522E-5</v>
      </c>
    </row>
    <row r="624" spans="1:4" x14ac:dyDescent="0.25">
      <c r="A624">
        <v>14</v>
      </c>
      <c r="B624">
        <v>15</v>
      </c>
      <c r="C624">
        <v>19</v>
      </c>
      <c r="D624">
        <f t="shared" si="9"/>
        <v>8.641409638930389E-5</v>
      </c>
    </row>
    <row r="625" spans="1:4" x14ac:dyDescent="0.25">
      <c r="A625">
        <v>14</v>
      </c>
      <c r="B625">
        <v>16</v>
      </c>
      <c r="C625">
        <v>18</v>
      </c>
      <c r="D625">
        <f t="shared" si="9"/>
        <v>2.7171756364664942E-4</v>
      </c>
    </row>
    <row r="626" spans="1:4" x14ac:dyDescent="0.25">
      <c r="A626">
        <v>14</v>
      </c>
      <c r="B626">
        <v>17</v>
      </c>
      <c r="C626">
        <v>17</v>
      </c>
      <c r="D626">
        <f t="shared" si="9"/>
        <v>7.472233000282854E-4</v>
      </c>
    </row>
    <row r="627" spans="1:4" x14ac:dyDescent="0.25">
      <c r="A627">
        <v>14</v>
      </c>
      <c r="B627">
        <v>18</v>
      </c>
      <c r="C627">
        <v>16</v>
      </c>
      <c r="D627">
        <f t="shared" si="9"/>
        <v>1.7981126900224035E-3</v>
      </c>
    </row>
    <row r="628" spans="1:4" x14ac:dyDescent="0.25">
      <c r="A628">
        <v>14</v>
      </c>
      <c r="B628">
        <v>19</v>
      </c>
      <c r="C628">
        <v>15</v>
      </c>
      <c r="D628">
        <f t="shared" si="9"/>
        <v>3.7855004000471671E-3</v>
      </c>
    </row>
    <row r="629" spans="1:4" x14ac:dyDescent="0.25">
      <c r="A629">
        <v>14</v>
      </c>
      <c r="B629">
        <v>20</v>
      </c>
      <c r="C629">
        <v>14</v>
      </c>
      <c r="D629">
        <f t="shared" si="9"/>
        <v>6.9653207360867832E-3</v>
      </c>
    </row>
    <row r="630" spans="1:4" x14ac:dyDescent="0.25">
      <c r="A630">
        <v>14</v>
      </c>
      <c r="B630">
        <v>21</v>
      </c>
      <c r="C630">
        <v>13</v>
      </c>
      <c r="D630">
        <f t="shared" si="9"/>
        <v>1.1181172760560366E-2</v>
      </c>
    </row>
    <row r="631" spans="1:4" x14ac:dyDescent="0.25">
      <c r="A631">
        <v>14</v>
      </c>
      <c r="B631">
        <v>22</v>
      </c>
      <c r="C631">
        <v>12</v>
      </c>
      <c r="D631">
        <f t="shared" si="9"/>
        <v>1.5616679310204152E-2</v>
      </c>
    </row>
    <row r="632" spans="1:4" x14ac:dyDescent="0.25">
      <c r="A632">
        <v>14</v>
      </c>
      <c r="B632">
        <v>23</v>
      </c>
      <c r="C632">
        <v>11</v>
      </c>
      <c r="D632">
        <f t="shared" si="9"/>
        <v>1.8907150201651849E-2</v>
      </c>
    </row>
    <row r="633" spans="1:4" x14ac:dyDescent="0.25">
      <c r="A633">
        <v>14</v>
      </c>
      <c r="B633">
        <v>24</v>
      </c>
      <c r="C633">
        <v>10</v>
      </c>
      <c r="D633">
        <f t="shared" si="9"/>
        <v>1.9744808754889591E-2</v>
      </c>
    </row>
    <row r="634" spans="1:4" x14ac:dyDescent="0.25">
      <c r="A634">
        <v>14</v>
      </c>
      <c r="B634">
        <v>25</v>
      </c>
      <c r="C634">
        <v>9</v>
      </c>
      <c r="D634">
        <f t="shared" si="9"/>
        <v>1.767160383562618E-2</v>
      </c>
    </row>
    <row r="635" spans="1:4" x14ac:dyDescent="0.25">
      <c r="A635">
        <v>14</v>
      </c>
      <c r="B635">
        <v>26</v>
      </c>
      <c r="C635">
        <v>8</v>
      </c>
      <c r="D635">
        <f t="shared" si="9"/>
        <v>1.3442502062997699E-2</v>
      </c>
    </row>
    <row r="636" spans="1:4" x14ac:dyDescent="0.25">
      <c r="A636">
        <v>14</v>
      </c>
      <c r="B636">
        <v>27</v>
      </c>
      <c r="C636">
        <v>7</v>
      </c>
      <c r="D636">
        <f t="shared" si="9"/>
        <v>8.5973725931367349E-3</v>
      </c>
    </row>
    <row r="637" spans="1:4" x14ac:dyDescent="0.25">
      <c r="A637">
        <v>14</v>
      </c>
      <c r="B637">
        <v>28</v>
      </c>
      <c r="C637">
        <v>6</v>
      </c>
      <c r="D637">
        <f t="shared" si="9"/>
        <v>4.5576433023857355E-3</v>
      </c>
    </row>
    <row r="638" spans="1:4" x14ac:dyDescent="0.25">
      <c r="A638">
        <v>14</v>
      </c>
      <c r="B638">
        <v>29</v>
      </c>
      <c r="C638">
        <v>5</v>
      </c>
      <c r="D638">
        <f t="shared" si="9"/>
        <v>1.964501423442129E-3</v>
      </c>
    </row>
    <row r="639" spans="1:4" x14ac:dyDescent="0.25">
      <c r="A639">
        <v>14</v>
      </c>
      <c r="B639">
        <v>30</v>
      </c>
      <c r="C639">
        <v>4</v>
      </c>
      <c r="D639">
        <f t="shared" si="9"/>
        <v>6.702416621155498E-4</v>
      </c>
    </row>
    <row r="640" spans="1:4" x14ac:dyDescent="0.25">
      <c r="A640">
        <v>14</v>
      </c>
      <c r="B640">
        <v>31</v>
      </c>
      <c r="C640">
        <v>3</v>
      </c>
      <c r="D640">
        <f t="shared" si="9"/>
        <v>1.7397120412001519E-4</v>
      </c>
    </row>
    <row r="641" spans="1:4" x14ac:dyDescent="0.25">
      <c r="A641">
        <v>14</v>
      </c>
      <c r="B641">
        <v>32</v>
      </c>
      <c r="C641">
        <v>2</v>
      </c>
      <c r="D641">
        <f t="shared" si="9"/>
        <v>3.2244662832589032E-5</v>
      </c>
    </row>
    <row r="642" spans="1:4" x14ac:dyDescent="0.25">
      <c r="A642">
        <v>14</v>
      </c>
      <c r="B642">
        <v>33</v>
      </c>
      <c r="C642">
        <v>1</v>
      </c>
      <c r="D642">
        <f t="shared" si="9"/>
        <v>3.7974086393751538E-6</v>
      </c>
    </row>
    <row r="643" spans="1:4" x14ac:dyDescent="0.25">
      <c r="A643">
        <v>14</v>
      </c>
      <c r="B643">
        <v>34</v>
      </c>
      <c r="C643">
        <v>0</v>
      </c>
      <c r="D643">
        <f t="shared" si="9"/>
        <v>2.1333756400984004E-7</v>
      </c>
    </row>
    <row r="644" spans="1:4" x14ac:dyDescent="0.25">
      <c r="A644">
        <v>15</v>
      </c>
      <c r="B644">
        <v>0</v>
      </c>
      <c r="C644">
        <v>33</v>
      </c>
      <c r="D644">
        <f t="shared" si="9"/>
        <v>6.931198784676033E-21</v>
      </c>
    </row>
    <row r="645" spans="1:4" x14ac:dyDescent="0.25">
      <c r="A645">
        <v>15</v>
      </c>
      <c r="B645">
        <v>1</v>
      </c>
      <c r="C645">
        <v>32</v>
      </c>
      <c r="D645">
        <f t="shared" si="9"/>
        <v>8.1459825716745178E-19</v>
      </c>
    </row>
    <row r="646" spans="1:4" x14ac:dyDescent="0.25">
      <c r="A646">
        <v>15</v>
      </c>
      <c r="B646">
        <v>2</v>
      </c>
      <c r="C646">
        <v>31</v>
      </c>
      <c r="D646">
        <f t="shared" si="9"/>
        <v>4.5392785640779369E-17</v>
      </c>
    </row>
    <row r="647" spans="1:4" x14ac:dyDescent="0.25">
      <c r="A647">
        <v>15</v>
      </c>
      <c r="B647">
        <v>3</v>
      </c>
      <c r="C647">
        <v>30</v>
      </c>
      <c r="D647">
        <f t="shared" si="9"/>
        <v>1.5979799284050627E-15</v>
      </c>
    </row>
    <row r="648" spans="1:4" x14ac:dyDescent="0.25">
      <c r="A648">
        <v>15</v>
      </c>
      <c r="B648">
        <v>4</v>
      </c>
      <c r="C648">
        <v>29</v>
      </c>
      <c r="D648">
        <f t="shared" si="9"/>
        <v>3.9949498210126587E-14</v>
      </c>
    </row>
    <row r="649" spans="1:4" x14ac:dyDescent="0.25">
      <c r="A649">
        <v>15</v>
      </c>
      <c r="B649">
        <v>5</v>
      </c>
      <c r="C649">
        <v>28</v>
      </c>
      <c r="D649">
        <f t="shared" si="9"/>
        <v>7.5589689892013335E-13</v>
      </c>
    </row>
    <row r="650" spans="1:4" x14ac:dyDescent="0.25">
      <c r="A650">
        <v>15</v>
      </c>
      <c r="B650">
        <v>6</v>
      </c>
      <c r="C650">
        <v>27</v>
      </c>
      <c r="D650">
        <f t="shared" si="9"/>
        <v>1.1265302171003265E-11</v>
      </c>
    </row>
    <row r="651" spans="1:4" x14ac:dyDescent="0.25">
      <c r="A651">
        <v>15</v>
      </c>
      <c r="B651">
        <v>7</v>
      </c>
      <c r="C651">
        <v>26</v>
      </c>
      <c r="D651">
        <f t="shared" si="9"/>
        <v>1.3587333842985588E-10</v>
      </c>
    </row>
    <row r="652" spans="1:4" x14ac:dyDescent="0.25">
      <c r="A652">
        <v>15</v>
      </c>
      <c r="B652">
        <v>8</v>
      </c>
      <c r="C652">
        <v>25</v>
      </c>
      <c r="D652">
        <f t="shared" si="9"/>
        <v>1.3523643215596589E-9</v>
      </c>
    </row>
    <row r="653" spans="1:4" x14ac:dyDescent="0.25">
      <c r="A653">
        <v>15</v>
      </c>
      <c r="B653">
        <v>9</v>
      </c>
      <c r="C653">
        <v>24</v>
      </c>
      <c r="D653">
        <f t="shared" si="9"/>
        <v>1.1269702679663811E-8</v>
      </c>
    </row>
    <row r="654" spans="1:4" x14ac:dyDescent="0.25">
      <c r="A654">
        <v>15</v>
      </c>
      <c r="B654">
        <v>10</v>
      </c>
      <c r="C654">
        <v>23</v>
      </c>
      <c r="D654">
        <f t="shared" ref="D654:D717" si="10">COMBIN(A$4,A654)*COMBIN(B$4,B654)*COMBIN(C$4,C654)/COMBIN($F$4,$E$4)</f>
        <v>7.9502629812901131E-8</v>
      </c>
    </row>
    <row r="655" spans="1:4" x14ac:dyDescent="0.25">
      <c r="A655">
        <v>15</v>
      </c>
      <c r="B655">
        <v>11</v>
      </c>
      <c r="C655">
        <v>22</v>
      </c>
      <c r="D655">
        <f t="shared" si="10"/>
        <v>4.7884962515531672E-7</v>
      </c>
    </row>
    <row r="656" spans="1:4" x14ac:dyDescent="0.25">
      <c r="A656">
        <v>15</v>
      </c>
      <c r="B656">
        <v>12</v>
      </c>
      <c r="C656">
        <v>21</v>
      </c>
      <c r="D656">
        <f t="shared" si="10"/>
        <v>2.4787510008039906E-6</v>
      </c>
    </row>
    <row r="657" spans="1:4" x14ac:dyDescent="0.25">
      <c r="A657">
        <v>15</v>
      </c>
      <c r="B657">
        <v>13</v>
      </c>
      <c r="C657">
        <v>20</v>
      </c>
      <c r="D657">
        <f t="shared" si="10"/>
        <v>1.1083913338043253E-5</v>
      </c>
    </row>
    <row r="658" spans="1:4" x14ac:dyDescent="0.25">
      <c r="A658">
        <v>15</v>
      </c>
      <c r="B658">
        <v>14</v>
      </c>
      <c r="C658">
        <v>19</v>
      </c>
      <c r="D658">
        <f t="shared" si="10"/>
        <v>4.2978439474045311E-5</v>
      </c>
    </row>
    <row r="659" spans="1:4" x14ac:dyDescent="0.25">
      <c r="A659">
        <v>15</v>
      </c>
      <c r="B659">
        <v>15</v>
      </c>
      <c r="C659">
        <v>18</v>
      </c>
      <c r="D659">
        <f t="shared" si="10"/>
        <v>1.4491603394487952E-4</v>
      </c>
    </row>
    <row r="660" spans="1:4" x14ac:dyDescent="0.25">
      <c r="A660">
        <v>15</v>
      </c>
      <c r="B660">
        <v>16</v>
      </c>
      <c r="C660">
        <v>17</v>
      </c>
      <c r="D660">
        <f t="shared" si="10"/>
        <v>4.2569084971308364E-4</v>
      </c>
    </row>
    <row r="661" spans="1:4" x14ac:dyDescent="0.25">
      <c r="A661">
        <v>15</v>
      </c>
      <c r="B661">
        <v>17</v>
      </c>
      <c r="C661">
        <v>16</v>
      </c>
      <c r="D661">
        <f t="shared" si="10"/>
        <v>1.0904683410458437E-3</v>
      </c>
    </row>
    <row r="662" spans="1:4" x14ac:dyDescent="0.25">
      <c r="A662">
        <v>15</v>
      </c>
      <c r="B662">
        <v>18</v>
      </c>
      <c r="C662">
        <v>15</v>
      </c>
      <c r="D662">
        <f t="shared" si="10"/>
        <v>2.4363616989132369E-3</v>
      </c>
    </row>
    <row r="663" spans="1:4" x14ac:dyDescent="0.25">
      <c r="A663">
        <v>15</v>
      </c>
      <c r="B663">
        <v>19</v>
      </c>
      <c r="C663">
        <v>14</v>
      </c>
      <c r="D663">
        <f t="shared" si="10"/>
        <v>4.7444938347257779E-3</v>
      </c>
    </row>
    <row r="664" spans="1:4" x14ac:dyDescent="0.25">
      <c r="A664">
        <v>15</v>
      </c>
      <c r="B664">
        <v>20</v>
      </c>
      <c r="C664">
        <v>13</v>
      </c>
      <c r="D664">
        <f t="shared" si="10"/>
        <v>8.0406684988510516E-3</v>
      </c>
    </row>
    <row r="665" spans="1:4" x14ac:dyDescent="0.25">
      <c r="A665">
        <v>15</v>
      </c>
      <c r="B665">
        <v>21</v>
      </c>
      <c r="C665">
        <v>12</v>
      </c>
      <c r="D665">
        <f t="shared" si="10"/>
        <v>1.1829777587363427E-2</v>
      </c>
    </row>
    <row r="666" spans="1:4" x14ac:dyDescent="0.25">
      <c r="A666">
        <v>15</v>
      </c>
      <c r="B666">
        <v>22</v>
      </c>
      <c r="C666">
        <v>11</v>
      </c>
      <c r="D666">
        <f t="shared" si="10"/>
        <v>1.5056080565735276E-2</v>
      </c>
    </row>
    <row r="667" spans="1:4" x14ac:dyDescent="0.25">
      <c r="A667">
        <v>15</v>
      </c>
      <c r="B667">
        <v>23</v>
      </c>
      <c r="C667">
        <v>10</v>
      </c>
      <c r="D667">
        <f t="shared" si="10"/>
        <v>1.6497884648529956E-2</v>
      </c>
    </row>
    <row r="668" spans="1:4" x14ac:dyDescent="0.25">
      <c r="A668">
        <v>15</v>
      </c>
      <c r="B668">
        <v>24</v>
      </c>
      <c r="C668">
        <v>9</v>
      </c>
      <c r="D668">
        <f t="shared" si="10"/>
        <v>1.5466766857996833E-2</v>
      </c>
    </row>
    <row r="669" spans="1:4" x14ac:dyDescent="0.25">
      <c r="A669">
        <v>15</v>
      </c>
      <c r="B669">
        <v>25</v>
      </c>
      <c r="C669">
        <v>8</v>
      </c>
      <c r="D669">
        <f t="shared" si="10"/>
        <v>1.230467230036192E-2</v>
      </c>
    </row>
    <row r="670" spans="1:4" x14ac:dyDescent="0.25">
      <c r="A670">
        <v>15</v>
      </c>
      <c r="B670">
        <v>26</v>
      </c>
      <c r="C670">
        <v>7</v>
      </c>
      <c r="D670">
        <f t="shared" si="10"/>
        <v>8.2185053263205375E-3</v>
      </c>
    </row>
    <row r="671" spans="1:4" x14ac:dyDescent="0.25">
      <c r="A671">
        <v>15</v>
      </c>
      <c r="B671">
        <v>27</v>
      </c>
      <c r="C671">
        <v>6</v>
      </c>
      <c r="D671">
        <f t="shared" si="10"/>
        <v>4.5438322620754744E-3</v>
      </c>
    </row>
    <row r="672" spans="1:4" x14ac:dyDescent="0.25">
      <c r="A672">
        <v>15</v>
      </c>
      <c r="B672">
        <v>28</v>
      </c>
      <c r="C672">
        <v>5</v>
      </c>
      <c r="D672">
        <f t="shared" si="10"/>
        <v>2.0400879544012333E-3</v>
      </c>
    </row>
    <row r="673" spans="1:4" x14ac:dyDescent="0.25">
      <c r="A673">
        <v>15</v>
      </c>
      <c r="B673">
        <v>29</v>
      </c>
      <c r="C673">
        <v>4</v>
      </c>
      <c r="D673">
        <f t="shared" si="10"/>
        <v>7.2416915217082324E-4</v>
      </c>
    </row>
    <row r="674" spans="1:4" x14ac:dyDescent="0.25">
      <c r="A674">
        <v>15</v>
      </c>
      <c r="B674">
        <v>30</v>
      </c>
      <c r="C674">
        <v>3</v>
      </c>
      <c r="D674">
        <f t="shared" si="10"/>
        <v>1.9535725965538487E-4</v>
      </c>
    </row>
    <row r="675" spans="1:4" x14ac:dyDescent="0.25">
      <c r="A675">
        <v>15</v>
      </c>
      <c r="B675">
        <v>31</v>
      </c>
      <c r="C675">
        <v>2</v>
      </c>
      <c r="D675">
        <f t="shared" si="10"/>
        <v>3.7593777442026247E-5</v>
      </c>
    </row>
    <row r="676" spans="1:4" x14ac:dyDescent="0.25">
      <c r="A676">
        <v>15</v>
      </c>
      <c r="B676">
        <v>32</v>
      </c>
      <c r="C676">
        <v>1</v>
      </c>
      <c r="D676">
        <f t="shared" si="10"/>
        <v>4.5924216761566161E-6</v>
      </c>
    </row>
    <row r="677" spans="1:4" x14ac:dyDescent="0.25">
      <c r="A677">
        <v>15</v>
      </c>
      <c r="B677">
        <v>33</v>
      </c>
      <c r="C677">
        <v>0</v>
      </c>
      <c r="D677">
        <f t="shared" si="10"/>
        <v>2.6738308022566605E-7</v>
      </c>
    </row>
    <row r="678" spans="1:4" x14ac:dyDescent="0.25">
      <c r="A678">
        <v>16</v>
      </c>
      <c r="B678">
        <v>0</v>
      </c>
      <c r="C678">
        <v>32</v>
      </c>
      <c r="D678">
        <f t="shared" si="10"/>
        <v>2.3324395910274962E-20</v>
      </c>
    </row>
    <row r="679" spans="1:4" x14ac:dyDescent="0.25">
      <c r="A679">
        <v>16</v>
      </c>
      <c r="B679">
        <v>1</v>
      </c>
      <c r="C679">
        <v>31</v>
      </c>
      <c r="D679">
        <f t="shared" si="10"/>
        <v>2.6123323419507946E-18</v>
      </c>
    </row>
    <row r="680" spans="1:4" x14ac:dyDescent="0.25">
      <c r="A680">
        <v>16</v>
      </c>
      <c r="B680">
        <v>2</v>
      </c>
      <c r="C680">
        <v>30</v>
      </c>
      <c r="D680">
        <f t="shared" si="10"/>
        <v>1.3863072140081249E-16</v>
      </c>
    </row>
    <row r="681" spans="1:4" x14ac:dyDescent="0.25">
      <c r="A681">
        <v>16</v>
      </c>
      <c r="B681">
        <v>3</v>
      </c>
      <c r="C681">
        <v>29</v>
      </c>
      <c r="D681">
        <f t="shared" si="10"/>
        <v>4.6441291669272189E-15</v>
      </c>
    </row>
    <row r="682" spans="1:4" x14ac:dyDescent="0.25">
      <c r="A682">
        <v>16</v>
      </c>
      <c r="B682">
        <v>4</v>
      </c>
      <c r="C682">
        <v>28</v>
      </c>
      <c r="D682">
        <f t="shared" si="10"/>
        <v>1.10393234295811E-13</v>
      </c>
    </row>
    <row r="683" spans="1:4" x14ac:dyDescent="0.25">
      <c r="A683">
        <v>16</v>
      </c>
      <c r="B683">
        <v>5</v>
      </c>
      <c r="C683">
        <v>27</v>
      </c>
      <c r="D683">
        <f t="shared" si="10"/>
        <v>1.9842293596653505E-12</v>
      </c>
    </row>
    <row r="684" spans="1:4" x14ac:dyDescent="0.25">
      <c r="A684">
        <v>16</v>
      </c>
      <c r="B684">
        <v>6</v>
      </c>
      <c r="C684">
        <v>26</v>
      </c>
      <c r="D684">
        <f t="shared" si="10"/>
        <v>2.8062672372409965E-11</v>
      </c>
    </row>
    <row r="685" spans="1:4" x14ac:dyDescent="0.25">
      <c r="A685">
        <v>16</v>
      </c>
      <c r="B685">
        <v>7</v>
      </c>
      <c r="C685">
        <v>25</v>
      </c>
      <c r="D685">
        <f t="shared" si="10"/>
        <v>3.2084153547206206E-10</v>
      </c>
    </row>
    <row r="686" spans="1:4" x14ac:dyDescent="0.25">
      <c r="A686">
        <v>16</v>
      </c>
      <c r="B686">
        <v>8</v>
      </c>
      <c r="C686">
        <v>24</v>
      </c>
      <c r="D686">
        <f t="shared" si="10"/>
        <v>3.0233144688713537E-9</v>
      </c>
    </row>
    <row r="687" spans="1:4" x14ac:dyDescent="0.25">
      <c r="A687">
        <v>16</v>
      </c>
      <c r="B687">
        <v>9</v>
      </c>
      <c r="C687">
        <v>23</v>
      </c>
      <c r="D687">
        <f t="shared" si="10"/>
        <v>2.3820053391107631E-8</v>
      </c>
    </row>
    <row r="688" spans="1:4" x14ac:dyDescent="0.25">
      <c r="A688">
        <v>16</v>
      </c>
      <c r="B688">
        <v>10</v>
      </c>
      <c r="C688">
        <v>22</v>
      </c>
      <c r="D688">
        <f t="shared" si="10"/>
        <v>1.5863444512107808E-7</v>
      </c>
    </row>
    <row r="689" spans="1:4" x14ac:dyDescent="0.25">
      <c r="A689">
        <v>16</v>
      </c>
      <c r="B689">
        <v>11</v>
      </c>
      <c r="C689">
        <v>21</v>
      </c>
      <c r="D689">
        <f t="shared" si="10"/>
        <v>9.0048376201082557E-7</v>
      </c>
    </row>
    <row r="690" spans="1:4" x14ac:dyDescent="0.25">
      <c r="A690">
        <v>16</v>
      </c>
      <c r="B690">
        <v>12</v>
      </c>
      <c r="C690">
        <v>20</v>
      </c>
      <c r="D690">
        <f t="shared" si="10"/>
        <v>4.3849644063135811E-6</v>
      </c>
    </row>
    <row r="691" spans="1:4" x14ac:dyDescent="0.25">
      <c r="A691">
        <v>16</v>
      </c>
      <c r="B691">
        <v>13</v>
      </c>
      <c r="C691">
        <v>19</v>
      </c>
      <c r="D691">
        <f t="shared" si="10"/>
        <v>1.8407213222107571E-5</v>
      </c>
    </row>
    <row r="692" spans="1:4" x14ac:dyDescent="0.25">
      <c r="A692">
        <v>16</v>
      </c>
      <c r="B692">
        <v>14</v>
      </c>
      <c r="C692">
        <v>18</v>
      </c>
      <c r="D692">
        <f t="shared" si="10"/>
        <v>6.6851146611477259E-5</v>
      </c>
    </row>
    <row r="693" spans="1:4" x14ac:dyDescent="0.25">
      <c r="A693">
        <v>16</v>
      </c>
      <c r="B693">
        <v>15</v>
      </c>
      <c r="C693">
        <v>17</v>
      </c>
      <c r="D693">
        <f t="shared" si="10"/>
        <v>2.1058111182615312E-4</v>
      </c>
    </row>
    <row r="694" spans="1:4" x14ac:dyDescent="0.25">
      <c r="A694">
        <v>16</v>
      </c>
      <c r="B694">
        <v>16</v>
      </c>
      <c r="C694">
        <v>16</v>
      </c>
      <c r="D694">
        <f t="shared" si="10"/>
        <v>5.7621338475717936E-4</v>
      </c>
    </row>
    <row r="695" spans="1:4" x14ac:dyDescent="0.25">
      <c r="A695">
        <v>16</v>
      </c>
      <c r="B695">
        <v>17</v>
      </c>
      <c r="C695">
        <v>15</v>
      </c>
      <c r="D695">
        <f t="shared" si="10"/>
        <v>1.3704534556386969E-3</v>
      </c>
    </row>
    <row r="696" spans="1:4" x14ac:dyDescent="0.25">
      <c r="A696">
        <v>16</v>
      </c>
      <c r="B696">
        <v>18</v>
      </c>
      <c r="C696">
        <v>14</v>
      </c>
      <c r="D696">
        <f t="shared" si="10"/>
        <v>2.8322704749866403E-3</v>
      </c>
    </row>
    <row r="697" spans="1:4" x14ac:dyDescent="0.25">
      <c r="A697">
        <v>16</v>
      </c>
      <c r="B697">
        <v>19</v>
      </c>
      <c r="C697">
        <v>13</v>
      </c>
      <c r="D697">
        <f t="shared" si="10"/>
        <v>5.0800419184317174E-3</v>
      </c>
    </row>
    <row r="698" spans="1:4" x14ac:dyDescent="0.25">
      <c r="A698">
        <v>16</v>
      </c>
      <c r="B698">
        <v>20</v>
      </c>
      <c r="C698">
        <v>12</v>
      </c>
      <c r="D698">
        <f t="shared" si="10"/>
        <v>7.890558616161468E-3</v>
      </c>
    </row>
    <row r="699" spans="1:4" x14ac:dyDescent="0.25">
      <c r="A699">
        <v>16</v>
      </c>
      <c r="B699">
        <v>21</v>
      </c>
      <c r="C699">
        <v>11</v>
      </c>
      <c r="D699">
        <f t="shared" si="10"/>
        <v>1.057855111177692E-2</v>
      </c>
    </row>
    <row r="700" spans="1:4" x14ac:dyDescent="0.25">
      <c r="A700">
        <v>16</v>
      </c>
      <c r="B700">
        <v>22</v>
      </c>
      <c r="C700">
        <v>10</v>
      </c>
      <c r="D700">
        <f t="shared" si="10"/>
        <v>1.2185419635084809E-2</v>
      </c>
    </row>
    <row r="701" spans="1:4" x14ac:dyDescent="0.25">
      <c r="A701">
        <v>16</v>
      </c>
      <c r="B701">
        <v>23</v>
      </c>
      <c r="C701">
        <v>9</v>
      </c>
      <c r="D701">
        <f t="shared" si="10"/>
        <v>1.1986744314947553E-2</v>
      </c>
    </row>
    <row r="702" spans="1:4" x14ac:dyDescent="0.25">
      <c r="A702">
        <v>16</v>
      </c>
      <c r="B702">
        <v>24</v>
      </c>
      <c r="C702">
        <v>8</v>
      </c>
      <c r="D702">
        <f t="shared" si="10"/>
        <v>9.9889535957896295E-3</v>
      </c>
    </row>
    <row r="703" spans="1:4" x14ac:dyDescent="0.25">
      <c r="A703">
        <v>16</v>
      </c>
      <c r="B703">
        <v>25</v>
      </c>
      <c r="C703">
        <v>7</v>
      </c>
      <c r="D703">
        <f t="shared" si="10"/>
        <v>6.9776495361808496E-3</v>
      </c>
    </row>
    <row r="704" spans="1:4" x14ac:dyDescent="0.25">
      <c r="A704">
        <v>16</v>
      </c>
      <c r="B704">
        <v>26</v>
      </c>
      <c r="C704">
        <v>6</v>
      </c>
      <c r="D704">
        <f t="shared" si="10"/>
        <v>4.0288004272851447E-3</v>
      </c>
    </row>
    <row r="705" spans="1:4" x14ac:dyDescent="0.25">
      <c r="A705">
        <v>16</v>
      </c>
      <c r="B705">
        <v>27</v>
      </c>
      <c r="C705">
        <v>5</v>
      </c>
      <c r="D705">
        <f t="shared" si="10"/>
        <v>1.8865017873795518E-3</v>
      </c>
    </row>
    <row r="706" spans="1:4" x14ac:dyDescent="0.25">
      <c r="A706">
        <v>16</v>
      </c>
      <c r="B706">
        <v>28</v>
      </c>
      <c r="C706">
        <v>4</v>
      </c>
      <c r="D706">
        <f t="shared" si="10"/>
        <v>6.9753007264453982E-4</v>
      </c>
    </row>
    <row r="707" spans="1:4" x14ac:dyDescent="0.25">
      <c r="A707">
        <v>16</v>
      </c>
      <c r="B707">
        <v>29</v>
      </c>
      <c r="C707">
        <v>3</v>
      </c>
      <c r="D707">
        <f t="shared" si="10"/>
        <v>1.9577828823222853E-4</v>
      </c>
    </row>
    <row r="708" spans="1:4" x14ac:dyDescent="0.25">
      <c r="A708">
        <v>16</v>
      </c>
      <c r="B708">
        <v>30</v>
      </c>
      <c r="C708">
        <v>2</v>
      </c>
      <c r="D708">
        <f t="shared" si="10"/>
        <v>3.9155657646445711E-5</v>
      </c>
    </row>
    <row r="709" spans="1:4" x14ac:dyDescent="0.25">
      <c r="A709">
        <v>16</v>
      </c>
      <c r="B709">
        <v>31</v>
      </c>
      <c r="C709">
        <v>1</v>
      </c>
      <c r="D709">
        <f t="shared" si="10"/>
        <v>4.9662234404949479E-6</v>
      </c>
    </row>
    <row r="710" spans="1:4" x14ac:dyDescent="0.25">
      <c r="A710">
        <v>16</v>
      </c>
      <c r="B710">
        <v>32</v>
      </c>
      <c r="C710">
        <v>0</v>
      </c>
      <c r="D710">
        <f t="shared" si="10"/>
        <v>2.9992641564786906E-7</v>
      </c>
    </row>
    <row r="711" spans="1:4" x14ac:dyDescent="0.25">
      <c r="A711">
        <v>17</v>
      </c>
      <c r="B711">
        <v>0</v>
      </c>
      <c r="C711">
        <v>31</v>
      </c>
      <c r="D711">
        <f t="shared" si="10"/>
        <v>6.9642009695587672E-20</v>
      </c>
    </row>
    <row r="712" spans="1:4" x14ac:dyDescent="0.25">
      <c r="A712">
        <v>17</v>
      </c>
      <c r="B712">
        <v>1</v>
      </c>
      <c r="C712">
        <v>30</v>
      </c>
      <c r="D712">
        <f t="shared" si="10"/>
        <v>7.4280875765141203E-18</v>
      </c>
    </row>
    <row r="713" spans="1:4" x14ac:dyDescent="0.25">
      <c r="A713">
        <v>17</v>
      </c>
      <c r="B713">
        <v>2</v>
      </c>
      <c r="C713">
        <v>29</v>
      </c>
      <c r="D713">
        <f t="shared" si="10"/>
        <v>3.7511842261396319E-16</v>
      </c>
    </row>
    <row r="714" spans="1:4" x14ac:dyDescent="0.25">
      <c r="A714">
        <v>17</v>
      </c>
      <c r="B714">
        <v>3</v>
      </c>
      <c r="C714">
        <v>28</v>
      </c>
      <c r="D714">
        <f t="shared" si="10"/>
        <v>1.1948444182605418E-14</v>
      </c>
    </row>
    <row r="715" spans="1:4" x14ac:dyDescent="0.25">
      <c r="A715">
        <v>17</v>
      </c>
      <c r="B715">
        <v>4</v>
      </c>
      <c r="C715">
        <v>27</v>
      </c>
      <c r="D715">
        <f t="shared" si="10"/>
        <v>2.6980357831689648E-13</v>
      </c>
    </row>
    <row r="716" spans="1:4" x14ac:dyDescent="0.25">
      <c r="A716">
        <v>17</v>
      </c>
      <c r="B716">
        <v>5</v>
      </c>
      <c r="C716">
        <v>26</v>
      </c>
      <c r="D716">
        <f t="shared" si="10"/>
        <v>4.6020781787196396E-12</v>
      </c>
    </row>
    <row r="717" spans="1:4" x14ac:dyDescent="0.25">
      <c r="A717">
        <v>17</v>
      </c>
      <c r="B717">
        <v>6</v>
      </c>
      <c r="C717">
        <v>25</v>
      </c>
      <c r="D717">
        <f t="shared" si="10"/>
        <v>6.169661058346009E-11</v>
      </c>
    </row>
    <row r="718" spans="1:4" x14ac:dyDescent="0.25">
      <c r="A718">
        <v>17</v>
      </c>
      <c r="B718">
        <v>7</v>
      </c>
      <c r="C718">
        <v>24</v>
      </c>
      <c r="D718">
        <f t="shared" ref="D718:D781" si="11">COMBIN(A$4,A718)*COMBIN(B$4,B718)*COMBIN(C$4,C718)/COMBIN($F$4,$E$4)</f>
        <v>6.6781496071107905E-10</v>
      </c>
    </row>
    <row r="719" spans="1:4" x14ac:dyDescent="0.25">
      <c r="A719">
        <v>17</v>
      </c>
      <c r="B719">
        <v>8</v>
      </c>
      <c r="C719">
        <v>23</v>
      </c>
      <c r="D719">
        <f t="shared" si="11"/>
        <v>5.9496241954259804E-9</v>
      </c>
    </row>
    <row r="720" spans="1:4" x14ac:dyDescent="0.25">
      <c r="A720">
        <v>17</v>
      </c>
      <c r="B720">
        <v>9</v>
      </c>
      <c r="C720">
        <v>22</v>
      </c>
      <c r="D720">
        <f t="shared" si="11"/>
        <v>4.4252179961004167E-8</v>
      </c>
    </row>
    <row r="721" spans="1:4" x14ac:dyDescent="0.25">
      <c r="A721">
        <v>17</v>
      </c>
      <c r="B721">
        <v>10</v>
      </c>
      <c r="C721">
        <v>21</v>
      </c>
      <c r="D721">
        <f t="shared" si="11"/>
        <v>2.7774750599053797E-7</v>
      </c>
    </row>
    <row r="722" spans="1:4" x14ac:dyDescent="0.25">
      <c r="A722">
        <v>17</v>
      </c>
      <c r="B722">
        <v>11</v>
      </c>
      <c r="C722">
        <v>20</v>
      </c>
      <c r="D722">
        <f t="shared" si="11"/>
        <v>1.4831497256648879E-6</v>
      </c>
    </row>
    <row r="723" spans="1:4" x14ac:dyDescent="0.25">
      <c r="A723">
        <v>17</v>
      </c>
      <c r="B723">
        <v>12</v>
      </c>
      <c r="C723">
        <v>19</v>
      </c>
      <c r="D723">
        <f t="shared" si="11"/>
        <v>6.7801130316109183E-6</v>
      </c>
    </row>
    <row r="724" spans="1:4" x14ac:dyDescent="0.25">
      <c r="A724">
        <v>17</v>
      </c>
      <c r="B724">
        <v>13</v>
      </c>
      <c r="C724">
        <v>18</v>
      </c>
      <c r="D724">
        <f t="shared" si="11"/>
        <v>2.6657670846929608E-5</v>
      </c>
    </row>
    <row r="725" spans="1:4" x14ac:dyDescent="0.25">
      <c r="A725">
        <v>17</v>
      </c>
      <c r="B725">
        <v>14</v>
      </c>
      <c r="C725">
        <v>17</v>
      </c>
      <c r="D725">
        <f t="shared" si="11"/>
        <v>9.0445668944939757E-5</v>
      </c>
    </row>
    <row r="726" spans="1:4" x14ac:dyDescent="0.25">
      <c r="A726">
        <v>17</v>
      </c>
      <c r="B726">
        <v>15</v>
      </c>
      <c r="C726">
        <v>16</v>
      </c>
      <c r="D726">
        <f t="shared" si="11"/>
        <v>2.6538989435624769E-4</v>
      </c>
    </row>
    <row r="727" spans="1:4" x14ac:dyDescent="0.25">
      <c r="A727">
        <v>17</v>
      </c>
      <c r="B727">
        <v>16</v>
      </c>
      <c r="C727">
        <v>15</v>
      </c>
      <c r="D727">
        <f t="shared" si="11"/>
        <v>6.7423378566181869E-4</v>
      </c>
    </row>
    <row r="728" spans="1:4" x14ac:dyDescent="0.25">
      <c r="A728">
        <v>17</v>
      </c>
      <c r="B728">
        <v>17</v>
      </c>
      <c r="C728">
        <v>14</v>
      </c>
      <c r="D728">
        <f t="shared" si="11"/>
        <v>1.483314328456001E-3</v>
      </c>
    </row>
    <row r="729" spans="1:4" x14ac:dyDescent="0.25">
      <c r="A729">
        <v>17</v>
      </c>
      <c r="B729">
        <v>18</v>
      </c>
      <c r="C729">
        <v>13</v>
      </c>
      <c r="D729">
        <f t="shared" si="11"/>
        <v>2.8235018357451948E-3</v>
      </c>
    </row>
    <row r="730" spans="1:4" x14ac:dyDescent="0.25">
      <c r="A730">
        <v>17</v>
      </c>
      <c r="B730">
        <v>19</v>
      </c>
      <c r="C730">
        <v>12</v>
      </c>
      <c r="D730">
        <f t="shared" si="11"/>
        <v>4.641505068330277E-3</v>
      </c>
    </row>
    <row r="731" spans="1:4" x14ac:dyDescent="0.25">
      <c r="A731">
        <v>17</v>
      </c>
      <c r="B731">
        <v>20</v>
      </c>
      <c r="C731">
        <v>11</v>
      </c>
      <c r="D731">
        <f t="shared" si="11"/>
        <v>6.5695148659443902E-3</v>
      </c>
    </row>
    <row r="732" spans="1:4" x14ac:dyDescent="0.25">
      <c r="A732">
        <v>17</v>
      </c>
      <c r="B732">
        <v>21</v>
      </c>
      <c r="C732">
        <v>10</v>
      </c>
      <c r="D732">
        <f t="shared" si="11"/>
        <v>7.971328164645004E-3</v>
      </c>
    </row>
    <row r="733" spans="1:4" x14ac:dyDescent="0.25">
      <c r="A733">
        <v>17</v>
      </c>
      <c r="B733">
        <v>22</v>
      </c>
      <c r="C733">
        <v>9</v>
      </c>
      <c r="D733">
        <f t="shared" si="11"/>
        <v>8.2430779884397221E-3</v>
      </c>
    </row>
    <row r="734" spans="1:4" x14ac:dyDescent="0.25">
      <c r="A734">
        <v>17</v>
      </c>
      <c r="B734">
        <v>23</v>
      </c>
      <c r="C734">
        <v>8</v>
      </c>
      <c r="D734">
        <f t="shared" si="11"/>
        <v>7.2077155357854559E-3</v>
      </c>
    </row>
    <row r="735" spans="1:4" x14ac:dyDescent="0.25">
      <c r="A735">
        <v>17</v>
      </c>
      <c r="B735">
        <v>24</v>
      </c>
      <c r="C735">
        <v>7</v>
      </c>
      <c r="D735">
        <f t="shared" si="11"/>
        <v>5.2739381969161862E-3</v>
      </c>
    </row>
    <row r="736" spans="1:4" x14ac:dyDescent="0.25">
      <c r="A736">
        <v>17</v>
      </c>
      <c r="B736">
        <v>25</v>
      </c>
      <c r="C736">
        <v>6</v>
      </c>
      <c r="D736">
        <f t="shared" si="11"/>
        <v>3.1846961738486641E-3</v>
      </c>
    </row>
    <row r="737" spans="1:4" x14ac:dyDescent="0.25">
      <c r="A737">
        <v>17</v>
      </c>
      <c r="B737">
        <v>26</v>
      </c>
      <c r="C737">
        <v>5</v>
      </c>
      <c r="D737">
        <f t="shared" si="11"/>
        <v>1.5573514256732497E-3</v>
      </c>
    </row>
    <row r="738" spans="1:4" x14ac:dyDescent="0.25">
      <c r="A738">
        <v>17</v>
      </c>
      <c r="B738">
        <v>27</v>
      </c>
      <c r="C738">
        <v>4</v>
      </c>
      <c r="D738">
        <f t="shared" si="11"/>
        <v>6.0054728179556648E-4</v>
      </c>
    </row>
    <row r="739" spans="1:4" x14ac:dyDescent="0.25">
      <c r="A739">
        <v>17</v>
      </c>
      <c r="B739">
        <v>28</v>
      </c>
      <c r="C739">
        <v>3</v>
      </c>
      <c r="D739">
        <f t="shared" si="11"/>
        <v>1.7557528504322199E-4</v>
      </c>
    </row>
    <row r="740" spans="1:4" x14ac:dyDescent="0.25">
      <c r="A740">
        <v>17</v>
      </c>
      <c r="B740">
        <v>29</v>
      </c>
      <c r="C740">
        <v>2</v>
      </c>
      <c r="D740">
        <f t="shared" si="11"/>
        <v>3.6534690704594363E-5</v>
      </c>
    </row>
    <row r="741" spans="1:4" x14ac:dyDescent="0.25">
      <c r="A741">
        <v>17</v>
      </c>
      <c r="B741">
        <v>30</v>
      </c>
      <c r="C741">
        <v>1</v>
      </c>
      <c r="D741">
        <f t="shared" si="11"/>
        <v>4.8159365019692565E-6</v>
      </c>
    </row>
    <row r="742" spans="1:4" x14ac:dyDescent="0.25">
      <c r="A742">
        <v>17</v>
      </c>
      <c r="B742">
        <v>31</v>
      </c>
      <c r="C742">
        <v>0</v>
      </c>
      <c r="D742">
        <f t="shared" si="11"/>
        <v>3.0197789591905827E-7</v>
      </c>
    </row>
    <row r="743" spans="1:4" x14ac:dyDescent="0.25">
      <c r="A743">
        <v>18</v>
      </c>
      <c r="B743">
        <v>0</v>
      </c>
      <c r="C743">
        <v>30</v>
      </c>
      <c r="D743">
        <f t="shared" si="11"/>
        <v>1.849906867714245E-19</v>
      </c>
    </row>
    <row r="744" spans="1:4" x14ac:dyDescent="0.25">
      <c r="A744">
        <v>18</v>
      </c>
      <c r="B744">
        <v>1</v>
      </c>
      <c r="C744">
        <v>29</v>
      </c>
      <c r="D744">
        <f t="shared" si="11"/>
        <v>1.8776554707299593E-17</v>
      </c>
    </row>
    <row r="745" spans="1:4" x14ac:dyDescent="0.25">
      <c r="A745">
        <v>18</v>
      </c>
      <c r="B745">
        <v>2</v>
      </c>
      <c r="C745">
        <v>28</v>
      </c>
      <c r="D745">
        <f t="shared" si="11"/>
        <v>9.0158243832263155E-16</v>
      </c>
    </row>
    <row r="746" spans="1:4" x14ac:dyDescent="0.25">
      <c r="A746">
        <v>18</v>
      </c>
      <c r="B746">
        <v>3</v>
      </c>
      <c r="C746">
        <v>27</v>
      </c>
      <c r="D746">
        <f t="shared" si="11"/>
        <v>2.7280139585375092E-14</v>
      </c>
    </row>
    <row r="747" spans="1:4" x14ac:dyDescent="0.25">
      <c r="A747">
        <v>18</v>
      </c>
      <c r="B747">
        <v>4</v>
      </c>
      <c r="C747">
        <v>26</v>
      </c>
      <c r="D747">
        <f t="shared" si="11"/>
        <v>5.8457441968660961E-13</v>
      </c>
    </row>
    <row r="748" spans="1:4" x14ac:dyDescent="0.25">
      <c r="A748">
        <v>18</v>
      </c>
      <c r="B748">
        <v>5</v>
      </c>
      <c r="C748">
        <v>25</v>
      </c>
      <c r="D748">
        <f t="shared" si="11"/>
        <v>9.4518376483078644E-12</v>
      </c>
    </row>
    <row r="749" spans="1:4" x14ac:dyDescent="0.25">
      <c r="A749">
        <v>18</v>
      </c>
      <c r="B749">
        <v>6</v>
      </c>
      <c r="C749">
        <v>24</v>
      </c>
      <c r="D749">
        <f t="shared" si="11"/>
        <v>1.1996563169006125E-10</v>
      </c>
    </row>
    <row r="750" spans="1:4" x14ac:dyDescent="0.25">
      <c r="A750">
        <v>18</v>
      </c>
      <c r="B750">
        <v>7</v>
      </c>
      <c r="C750">
        <v>23</v>
      </c>
      <c r="D750">
        <f t="shared" si="11"/>
        <v>1.2277002308021863E-9</v>
      </c>
    </row>
    <row r="751" spans="1:4" x14ac:dyDescent="0.25">
      <c r="A751">
        <v>18</v>
      </c>
      <c r="B751">
        <v>8</v>
      </c>
      <c r="C751">
        <v>22</v>
      </c>
      <c r="D751">
        <f t="shared" si="11"/>
        <v>1.0325508657567646E-8</v>
      </c>
    </row>
    <row r="752" spans="1:4" x14ac:dyDescent="0.25">
      <c r="A752">
        <v>18</v>
      </c>
      <c r="B752">
        <v>9</v>
      </c>
      <c r="C752">
        <v>21</v>
      </c>
      <c r="D752">
        <f t="shared" si="11"/>
        <v>7.2379791080008442E-8</v>
      </c>
    </row>
    <row r="753" spans="1:4" x14ac:dyDescent="0.25">
      <c r="A753">
        <v>18</v>
      </c>
      <c r="B753">
        <v>10</v>
      </c>
      <c r="C753">
        <v>20</v>
      </c>
      <c r="D753">
        <f t="shared" si="11"/>
        <v>4.2735546211587579E-7</v>
      </c>
    </row>
    <row r="754" spans="1:4" x14ac:dyDescent="0.25">
      <c r="A754">
        <v>18</v>
      </c>
      <c r="B754">
        <v>11</v>
      </c>
      <c r="C754">
        <v>19</v>
      </c>
      <c r="D754">
        <f t="shared" si="11"/>
        <v>2.1423273815159514E-6</v>
      </c>
    </row>
    <row r="755" spans="1:4" x14ac:dyDescent="0.25">
      <c r="A755">
        <v>18</v>
      </c>
      <c r="B755">
        <v>12</v>
      </c>
      <c r="C755">
        <v>18</v>
      </c>
      <c r="D755">
        <f t="shared" si="11"/>
        <v>9.1727820278992837E-6</v>
      </c>
    </row>
    <row r="756" spans="1:4" x14ac:dyDescent="0.25">
      <c r="A756">
        <v>18</v>
      </c>
      <c r="B756">
        <v>13</v>
      </c>
      <c r="C756">
        <v>17</v>
      </c>
      <c r="D756">
        <f t="shared" si="11"/>
        <v>3.3692333987091586E-5</v>
      </c>
    </row>
    <row r="757" spans="1:4" x14ac:dyDescent="0.25">
      <c r="A757">
        <v>18</v>
      </c>
      <c r="B757">
        <v>14</v>
      </c>
      <c r="C757">
        <v>16</v>
      </c>
      <c r="D757">
        <f t="shared" si="11"/>
        <v>1.064835995873834E-4</v>
      </c>
    </row>
    <row r="758" spans="1:4" x14ac:dyDescent="0.25">
      <c r="A758">
        <v>18</v>
      </c>
      <c r="B758">
        <v>15</v>
      </c>
      <c r="C758">
        <v>15</v>
      </c>
      <c r="D758">
        <f t="shared" si="11"/>
        <v>2.9009586049752006E-4</v>
      </c>
    </row>
    <row r="759" spans="1:4" x14ac:dyDescent="0.25">
      <c r="A759">
        <v>18</v>
      </c>
      <c r="B759">
        <v>16</v>
      </c>
      <c r="C759">
        <v>14</v>
      </c>
      <c r="D759">
        <f t="shared" si="11"/>
        <v>6.817252721691725E-4</v>
      </c>
    </row>
    <row r="760" spans="1:4" x14ac:dyDescent="0.25">
      <c r="A760">
        <v>18</v>
      </c>
      <c r="B760">
        <v>17</v>
      </c>
      <c r="C760">
        <v>13</v>
      </c>
      <c r="D760">
        <f t="shared" si="11"/>
        <v>1.3813906830796386E-3</v>
      </c>
    </row>
    <row r="761" spans="1:4" x14ac:dyDescent="0.25">
      <c r="A761">
        <v>18</v>
      </c>
      <c r="B761">
        <v>18</v>
      </c>
      <c r="C761">
        <v>12</v>
      </c>
      <c r="D761">
        <f t="shared" si="11"/>
        <v>2.4099586375804951E-3</v>
      </c>
    </row>
    <row r="762" spans="1:4" x14ac:dyDescent="0.25">
      <c r="A762">
        <v>18</v>
      </c>
      <c r="B762">
        <v>19</v>
      </c>
      <c r="C762">
        <v>11</v>
      </c>
      <c r="D762">
        <f t="shared" si="11"/>
        <v>3.6100594975902165E-3</v>
      </c>
    </row>
    <row r="763" spans="1:4" x14ac:dyDescent="0.25">
      <c r="A763">
        <v>18</v>
      </c>
      <c r="B763">
        <v>20</v>
      </c>
      <c r="C763">
        <v>10</v>
      </c>
      <c r="D763">
        <f t="shared" si="11"/>
        <v>4.6245319133687308E-3</v>
      </c>
    </row>
    <row r="764" spans="1:4" x14ac:dyDescent="0.25">
      <c r="A764">
        <v>18</v>
      </c>
      <c r="B764">
        <v>21</v>
      </c>
      <c r="C764">
        <v>9</v>
      </c>
      <c r="D764">
        <f t="shared" si="11"/>
        <v>5.0374365484909403E-3</v>
      </c>
    </row>
    <row r="765" spans="1:4" x14ac:dyDescent="0.25">
      <c r="A765">
        <v>18</v>
      </c>
      <c r="B765">
        <v>22</v>
      </c>
      <c r="C765">
        <v>8</v>
      </c>
      <c r="D765">
        <f t="shared" si="11"/>
        <v>4.6303709688149067E-3</v>
      </c>
    </row>
    <row r="766" spans="1:4" x14ac:dyDescent="0.25">
      <c r="A766">
        <v>18</v>
      </c>
      <c r="B766">
        <v>23</v>
      </c>
      <c r="C766">
        <v>7</v>
      </c>
      <c r="D766">
        <f t="shared" si="11"/>
        <v>3.5550250068101708E-3</v>
      </c>
    </row>
    <row r="767" spans="1:4" x14ac:dyDescent="0.25">
      <c r="A767">
        <v>18</v>
      </c>
      <c r="B767">
        <v>24</v>
      </c>
      <c r="C767">
        <v>6</v>
      </c>
      <c r="D767">
        <f t="shared" si="11"/>
        <v>2.2486603958739027E-3</v>
      </c>
    </row>
    <row r="768" spans="1:4" x14ac:dyDescent="0.25">
      <c r="A768">
        <v>18</v>
      </c>
      <c r="B768">
        <v>25</v>
      </c>
      <c r="C768">
        <v>5</v>
      </c>
      <c r="D768">
        <f t="shared" si="11"/>
        <v>1.1500291738897961E-3</v>
      </c>
    </row>
    <row r="769" spans="1:4" x14ac:dyDescent="0.25">
      <c r="A769">
        <v>18</v>
      </c>
      <c r="B769">
        <v>26</v>
      </c>
      <c r="C769">
        <v>4</v>
      </c>
      <c r="D769">
        <f t="shared" si="11"/>
        <v>4.6313392070675071E-4</v>
      </c>
    </row>
    <row r="770" spans="1:4" x14ac:dyDescent="0.25">
      <c r="A770">
        <v>18</v>
      </c>
      <c r="B770">
        <v>27</v>
      </c>
      <c r="C770">
        <v>3</v>
      </c>
      <c r="D770">
        <f t="shared" si="11"/>
        <v>1.4121396031885412E-4</v>
      </c>
    </row>
    <row r="771" spans="1:4" x14ac:dyDescent="0.25">
      <c r="A771">
        <v>18</v>
      </c>
      <c r="B771">
        <v>28</v>
      </c>
      <c r="C771">
        <v>2</v>
      </c>
      <c r="D771">
        <f t="shared" si="11"/>
        <v>3.0607951990293495E-5</v>
      </c>
    </row>
    <row r="772" spans="1:4" x14ac:dyDescent="0.25">
      <c r="A772">
        <v>18</v>
      </c>
      <c r="B772">
        <v>29</v>
      </c>
      <c r="C772">
        <v>1</v>
      </c>
      <c r="D772">
        <f t="shared" si="11"/>
        <v>4.1977990582299089E-6</v>
      </c>
    </row>
    <row r="773" spans="1:4" x14ac:dyDescent="0.25">
      <c r="A773">
        <v>18</v>
      </c>
      <c r="B773">
        <v>30</v>
      </c>
      <c r="C773">
        <v>0</v>
      </c>
      <c r="D773">
        <f t="shared" si="11"/>
        <v>2.7356443300824122E-7</v>
      </c>
    </row>
    <row r="774" spans="1:4" x14ac:dyDescent="0.25">
      <c r="A774">
        <v>19</v>
      </c>
      <c r="B774">
        <v>0</v>
      </c>
      <c r="C774">
        <v>29</v>
      </c>
      <c r="D774">
        <f t="shared" si="11"/>
        <v>4.3813583709021618E-19</v>
      </c>
    </row>
    <row r="775" spans="1:4" x14ac:dyDescent="0.25">
      <c r="A775">
        <v>19</v>
      </c>
      <c r="B775">
        <v>1</v>
      </c>
      <c r="C775">
        <v>28</v>
      </c>
      <c r="D775">
        <f t="shared" si="11"/>
        <v>4.2283699556559067E-17</v>
      </c>
    </row>
    <row r="776" spans="1:4" x14ac:dyDescent="0.25">
      <c r="A776">
        <v>19</v>
      </c>
      <c r="B776">
        <v>2</v>
      </c>
      <c r="C776">
        <v>27</v>
      </c>
      <c r="D776">
        <f t="shared" si="11"/>
        <v>1.9286822959024032E-15</v>
      </c>
    </row>
    <row r="777" spans="1:4" x14ac:dyDescent="0.25">
      <c r="A777">
        <v>19</v>
      </c>
      <c r="B777">
        <v>3</v>
      </c>
      <c r="C777">
        <v>26</v>
      </c>
      <c r="D777">
        <f t="shared" si="11"/>
        <v>5.5380734496626184E-14</v>
      </c>
    </row>
    <row r="778" spans="1:4" x14ac:dyDescent="0.25">
      <c r="A778">
        <v>19</v>
      </c>
      <c r="B778">
        <v>4</v>
      </c>
      <c r="C778">
        <v>25</v>
      </c>
      <c r="D778">
        <f t="shared" si="11"/>
        <v>1.124921169462719E-12</v>
      </c>
    </row>
    <row r="779" spans="1:4" x14ac:dyDescent="0.25">
      <c r="A779">
        <v>19</v>
      </c>
      <c r="B779">
        <v>5</v>
      </c>
      <c r="C779">
        <v>24</v>
      </c>
      <c r="D779">
        <f t="shared" si="11"/>
        <v>1.7219947132544696E-11</v>
      </c>
    </row>
    <row r="780" spans="1:4" x14ac:dyDescent="0.25">
      <c r="A780">
        <v>19</v>
      </c>
      <c r="B780">
        <v>6</v>
      </c>
      <c r="C780">
        <v>23</v>
      </c>
      <c r="D780">
        <f t="shared" si="11"/>
        <v>2.066393655905363E-10</v>
      </c>
    </row>
    <row r="781" spans="1:4" x14ac:dyDescent="0.25">
      <c r="A781">
        <v>19</v>
      </c>
      <c r="B781">
        <v>7</v>
      </c>
      <c r="C781">
        <v>22</v>
      </c>
      <c r="D781">
        <f t="shared" si="11"/>
        <v>1.9963389456092126E-9</v>
      </c>
    </row>
    <row r="782" spans="1:4" x14ac:dyDescent="0.25">
      <c r="A782">
        <v>19</v>
      </c>
      <c r="B782">
        <v>8</v>
      </c>
      <c r="C782">
        <v>21</v>
      </c>
      <c r="D782">
        <f t="shared" ref="D782:D845" si="12">COMBIN(A$4,A782)*COMBIN(B$4,B782)*COMBIN(C$4,C782)/COMBIN($F$4,$E$4)</f>
        <v>1.582392193652008E-8</v>
      </c>
    </row>
    <row r="783" spans="1:4" x14ac:dyDescent="0.25">
      <c r="A783">
        <v>19</v>
      </c>
      <c r="B783">
        <v>9</v>
      </c>
      <c r="C783">
        <v>20</v>
      </c>
      <c r="D783">
        <f t="shared" si="12"/>
        <v>1.0434615190024095E-7</v>
      </c>
    </row>
    <row r="784" spans="1:4" x14ac:dyDescent="0.25">
      <c r="A784">
        <v>19</v>
      </c>
      <c r="B784">
        <v>10</v>
      </c>
      <c r="C784">
        <v>19</v>
      </c>
      <c r="D784">
        <f t="shared" si="12"/>
        <v>5.7837581338990766E-7</v>
      </c>
    </row>
    <row r="785" spans="1:4" x14ac:dyDescent="0.25">
      <c r="A785">
        <v>19</v>
      </c>
      <c r="B785">
        <v>11</v>
      </c>
      <c r="C785">
        <v>18</v>
      </c>
      <c r="D785">
        <f t="shared" si="12"/>
        <v>2.7156262582596584E-6</v>
      </c>
    </row>
    <row r="786" spans="1:4" x14ac:dyDescent="0.25">
      <c r="A786">
        <v>19</v>
      </c>
      <c r="B786">
        <v>12</v>
      </c>
      <c r="C786">
        <v>17</v>
      </c>
      <c r="D786">
        <f t="shared" si="12"/>
        <v>1.0862505033038625E-5</v>
      </c>
    </row>
    <row r="787" spans="1:4" x14ac:dyDescent="0.25">
      <c r="A787">
        <v>19</v>
      </c>
      <c r="B787">
        <v>13</v>
      </c>
      <c r="C787">
        <v>16</v>
      </c>
      <c r="D787">
        <f t="shared" si="12"/>
        <v>3.7166020908615811E-5</v>
      </c>
    </row>
    <row r="788" spans="1:4" x14ac:dyDescent="0.25">
      <c r="A788">
        <v>19</v>
      </c>
      <c r="B788">
        <v>14</v>
      </c>
      <c r="C788">
        <v>15</v>
      </c>
      <c r="D788">
        <f t="shared" si="12"/>
        <v>1.0905859417200013E-4</v>
      </c>
    </row>
    <row r="789" spans="1:4" x14ac:dyDescent="0.25">
      <c r="A789">
        <v>19</v>
      </c>
      <c r="B789">
        <v>15</v>
      </c>
      <c r="C789">
        <v>14</v>
      </c>
      <c r="D789">
        <f t="shared" si="12"/>
        <v>2.7482765731344012E-4</v>
      </c>
    </row>
    <row r="790" spans="1:4" x14ac:dyDescent="0.25">
      <c r="A790">
        <v>19</v>
      </c>
      <c r="B790">
        <v>16</v>
      </c>
      <c r="C790">
        <v>13</v>
      </c>
      <c r="D790">
        <f t="shared" si="12"/>
        <v>5.9485723194816994E-4</v>
      </c>
    </row>
    <row r="791" spans="1:4" x14ac:dyDescent="0.25">
      <c r="A791">
        <v>19</v>
      </c>
      <c r="B791">
        <v>17</v>
      </c>
      <c r="C791">
        <v>12</v>
      </c>
      <c r="D791">
        <f t="shared" si="12"/>
        <v>1.1047348593323154E-3</v>
      </c>
    </row>
    <row r="792" spans="1:4" x14ac:dyDescent="0.25">
      <c r="A792">
        <v>19</v>
      </c>
      <c r="B792">
        <v>18</v>
      </c>
      <c r="C792">
        <v>11</v>
      </c>
      <c r="D792">
        <f t="shared" si="12"/>
        <v>1.7562451609898354E-3</v>
      </c>
    </row>
    <row r="793" spans="1:4" x14ac:dyDescent="0.25">
      <c r="A793">
        <v>19</v>
      </c>
      <c r="B793">
        <v>19</v>
      </c>
      <c r="C793">
        <v>10</v>
      </c>
      <c r="D793">
        <f t="shared" si="12"/>
        <v>2.381051900475893E-3</v>
      </c>
    </row>
    <row r="794" spans="1:4" x14ac:dyDescent="0.25">
      <c r="A794">
        <v>19</v>
      </c>
      <c r="B794">
        <v>20</v>
      </c>
      <c r="C794">
        <v>9</v>
      </c>
      <c r="D794">
        <f t="shared" si="12"/>
        <v>2.7382096855472758E-3</v>
      </c>
    </row>
    <row r="795" spans="1:4" x14ac:dyDescent="0.25">
      <c r="A795">
        <v>19</v>
      </c>
      <c r="B795">
        <v>21</v>
      </c>
      <c r="C795">
        <v>8</v>
      </c>
      <c r="D795">
        <f t="shared" si="12"/>
        <v>2.6512823939426012E-3</v>
      </c>
    </row>
    <row r="796" spans="1:4" x14ac:dyDescent="0.25">
      <c r="A796">
        <v>19</v>
      </c>
      <c r="B796">
        <v>22</v>
      </c>
      <c r="C796">
        <v>7</v>
      </c>
      <c r="D796">
        <f t="shared" si="12"/>
        <v>2.1398376749337182E-3</v>
      </c>
    </row>
    <row r="797" spans="1:4" x14ac:dyDescent="0.25">
      <c r="A797">
        <v>19</v>
      </c>
      <c r="B797">
        <v>23</v>
      </c>
      <c r="C797">
        <v>6</v>
      </c>
      <c r="D797">
        <f t="shared" si="12"/>
        <v>1.4202065658150966E-3</v>
      </c>
    </row>
    <row r="798" spans="1:4" x14ac:dyDescent="0.25">
      <c r="A798">
        <v>19</v>
      </c>
      <c r="B798">
        <v>24</v>
      </c>
      <c r="C798">
        <v>5</v>
      </c>
      <c r="D798">
        <f t="shared" si="12"/>
        <v>7.6082494597237346E-4</v>
      </c>
    </row>
    <row r="799" spans="1:4" x14ac:dyDescent="0.25">
      <c r="A799">
        <v>19</v>
      </c>
      <c r="B799">
        <v>25</v>
      </c>
      <c r="C799">
        <v>4</v>
      </c>
      <c r="D799">
        <f t="shared" si="12"/>
        <v>3.2044156548012895E-4</v>
      </c>
    </row>
    <row r="800" spans="1:4" x14ac:dyDescent="0.25">
      <c r="A800">
        <v>19</v>
      </c>
      <c r="B800">
        <v>26</v>
      </c>
      <c r="C800">
        <v>3</v>
      </c>
      <c r="D800">
        <f t="shared" si="12"/>
        <v>1.0203684911531843E-4</v>
      </c>
    </row>
    <row r="801" spans="1:4" x14ac:dyDescent="0.25">
      <c r="A801">
        <v>19</v>
      </c>
      <c r="B801">
        <v>27</v>
      </c>
      <c r="C801">
        <v>2</v>
      </c>
      <c r="D801">
        <f t="shared" si="12"/>
        <v>2.3065801141010665E-5</v>
      </c>
    </row>
    <row r="802" spans="1:4" x14ac:dyDescent="0.25">
      <c r="A802">
        <v>19</v>
      </c>
      <c r="B802">
        <v>28</v>
      </c>
      <c r="C802">
        <v>1</v>
      </c>
      <c r="D802">
        <f t="shared" si="12"/>
        <v>3.2951144487158075E-6</v>
      </c>
    </row>
    <row r="803" spans="1:4" x14ac:dyDescent="0.25">
      <c r="A803">
        <v>19</v>
      </c>
      <c r="B803">
        <v>29</v>
      </c>
      <c r="C803">
        <v>0</v>
      </c>
      <c r="D803">
        <f t="shared" si="12"/>
        <v>2.2341922840963448E-7</v>
      </c>
    </row>
    <row r="804" spans="1:4" x14ac:dyDescent="0.25">
      <c r="A804">
        <v>20</v>
      </c>
      <c r="B804">
        <v>0</v>
      </c>
      <c r="C804">
        <v>28</v>
      </c>
      <c r="D804">
        <f t="shared" si="12"/>
        <v>9.2690868486053068E-19</v>
      </c>
    </row>
    <row r="805" spans="1:4" x14ac:dyDescent="0.25">
      <c r="A805">
        <v>20</v>
      </c>
      <c r="B805">
        <v>1</v>
      </c>
      <c r="C805">
        <v>27</v>
      </c>
      <c r="D805">
        <f t="shared" si="12"/>
        <v>8.4976596205600873E-17</v>
      </c>
    </row>
    <row r="806" spans="1:4" x14ac:dyDescent="0.25">
      <c r="A806">
        <v>20</v>
      </c>
      <c r="B806">
        <v>2</v>
      </c>
      <c r="C806">
        <v>26</v>
      </c>
      <c r="D806">
        <f t="shared" si="12"/>
        <v>3.6782726643281556E-15</v>
      </c>
    </row>
    <row r="807" spans="1:4" x14ac:dyDescent="0.25">
      <c r="A807">
        <v>20</v>
      </c>
      <c r="B807">
        <v>3</v>
      </c>
      <c r="C807">
        <v>25</v>
      </c>
      <c r="D807">
        <f t="shared" si="12"/>
        <v>1.0011798408218188E-13</v>
      </c>
    </row>
    <row r="808" spans="1:4" x14ac:dyDescent="0.25">
      <c r="A808">
        <v>20</v>
      </c>
      <c r="B808">
        <v>4</v>
      </c>
      <c r="C808">
        <v>24</v>
      </c>
      <c r="D808">
        <f t="shared" si="12"/>
        <v>1.9253458477342668E-12</v>
      </c>
    </row>
    <row r="809" spans="1:4" x14ac:dyDescent="0.25">
      <c r="A809">
        <v>20</v>
      </c>
      <c r="B809">
        <v>5</v>
      </c>
      <c r="C809">
        <v>23</v>
      </c>
      <c r="D809">
        <f t="shared" si="12"/>
        <v>2.7865005359935948E-11</v>
      </c>
    </row>
    <row r="810" spans="1:4" x14ac:dyDescent="0.25">
      <c r="A810">
        <v>20</v>
      </c>
      <c r="B810">
        <v>6</v>
      </c>
      <c r="C810">
        <v>22</v>
      </c>
      <c r="D810">
        <f t="shared" si="12"/>
        <v>3.1566476221181166E-10</v>
      </c>
    </row>
    <row r="811" spans="1:4" x14ac:dyDescent="0.25">
      <c r="A811">
        <v>20</v>
      </c>
      <c r="B811">
        <v>7</v>
      </c>
      <c r="C811">
        <v>21</v>
      </c>
      <c r="D811">
        <f t="shared" si="12"/>
        <v>2.8741409231638481E-9</v>
      </c>
    </row>
    <row r="812" spans="1:4" x14ac:dyDescent="0.25">
      <c r="A812">
        <v>20</v>
      </c>
      <c r="B812">
        <v>8</v>
      </c>
      <c r="C812">
        <v>20</v>
      </c>
      <c r="D812">
        <f t="shared" si="12"/>
        <v>2.1431094274895638E-8</v>
      </c>
    </row>
    <row r="813" spans="1:4" x14ac:dyDescent="0.25">
      <c r="A813">
        <v>20</v>
      </c>
      <c r="B813">
        <v>9</v>
      </c>
      <c r="C813">
        <v>19</v>
      </c>
      <c r="D813">
        <f t="shared" si="12"/>
        <v>1.3266867884459207E-7</v>
      </c>
    </row>
    <row r="814" spans="1:4" x14ac:dyDescent="0.25">
      <c r="A814">
        <v>20</v>
      </c>
      <c r="B814">
        <v>10</v>
      </c>
      <c r="C814">
        <v>18</v>
      </c>
      <c r="D814">
        <f t="shared" si="12"/>
        <v>6.8875598622699549E-7</v>
      </c>
    </row>
    <row r="815" spans="1:4" x14ac:dyDescent="0.25">
      <c r="A815">
        <v>20</v>
      </c>
      <c r="B815">
        <v>11</v>
      </c>
      <c r="C815">
        <v>17</v>
      </c>
      <c r="D815">
        <f t="shared" si="12"/>
        <v>3.021134212313867E-6</v>
      </c>
    </row>
    <row r="816" spans="1:4" x14ac:dyDescent="0.25">
      <c r="A816">
        <v>20</v>
      </c>
      <c r="B816">
        <v>12</v>
      </c>
      <c r="C816">
        <v>16</v>
      </c>
      <c r="D816">
        <f t="shared" si="12"/>
        <v>1.1256828845881796E-5</v>
      </c>
    </row>
    <row r="817" spans="1:4" x14ac:dyDescent="0.25">
      <c r="A817">
        <v>20</v>
      </c>
      <c r="B817">
        <v>13</v>
      </c>
      <c r="C817">
        <v>15</v>
      </c>
      <c r="D817">
        <f t="shared" si="12"/>
        <v>3.5759739036397896E-5</v>
      </c>
    </row>
    <row r="818" spans="1:4" x14ac:dyDescent="0.25">
      <c r="A818">
        <v>20</v>
      </c>
      <c r="B818">
        <v>14</v>
      </c>
      <c r="C818">
        <v>14</v>
      </c>
      <c r="D818">
        <f t="shared" si="12"/>
        <v>9.7062148813080036E-5</v>
      </c>
    </row>
    <row r="819" spans="1:4" x14ac:dyDescent="0.25">
      <c r="A819">
        <v>20</v>
      </c>
      <c r="B819">
        <v>15</v>
      </c>
      <c r="C819">
        <v>13</v>
      </c>
      <c r="D819">
        <f t="shared" si="12"/>
        <v>2.2528635592930667E-4</v>
      </c>
    </row>
    <row r="820" spans="1:4" x14ac:dyDescent="0.25">
      <c r="A820">
        <v>20</v>
      </c>
      <c r="B820">
        <v>16</v>
      </c>
      <c r="C820">
        <v>12</v>
      </c>
      <c r="D820">
        <f t="shared" si="12"/>
        <v>4.4691546582080016E-4</v>
      </c>
    </row>
    <row r="821" spans="1:4" x14ac:dyDescent="0.25">
      <c r="A821">
        <v>20</v>
      </c>
      <c r="B821">
        <v>17</v>
      </c>
      <c r="C821">
        <v>11</v>
      </c>
      <c r="D821">
        <f t="shared" si="12"/>
        <v>7.5631848061981561E-4</v>
      </c>
    </row>
    <row r="822" spans="1:4" x14ac:dyDescent="0.25">
      <c r="A822">
        <v>20</v>
      </c>
      <c r="B822">
        <v>18</v>
      </c>
      <c r="C822">
        <v>10</v>
      </c>
      <c r="D822">
        <f t="shared" si="12"/>
        <v>1.0882050712715491E-3</v>
      </c>
    </row>
    <row r="823" spans="1:4" x14ac:dyDescent="0.25">
      <c r="A823">
        <v>20</v>
      </c>
      <c r="B823">
        <v>19</v>
      </c>
      <c r="C823">
        <v>9</v>
      </c>
      <c r="D823">
        <f t="shared" si="12"/>
        <v>1.3244601196397148E-3</v>
      </c>
    </row>
    <row r="824" spans="1:4" x14ac:dyDescent="0.25">
      <c r="A824">
        <v>20</v>
      </c>
      <c r="B824">
        <v>20</v>
      </c>
      <c r="C824">
        <v>8</v>
      </c>
      <c r="D824">
        <f t="shared" si="12"/>
        <v>1.3538925667428185E-3</v>
      </c>
    </row>
    <row r="825" spans="1:4" x14ac:dyDescent="0.25">
      <c r="A825">
        <v>20</v>
      </c>
      <c r="B825">
        <v>21</v>
      </c>
      <c r="C825">
        <v>7</v>
      </c>
      <c r="D825">
        <f t="shared" si="12"/>
        <v>1.1510445515165429E-3</v>
      </c>
    </row>
    <row r="826" spans="1:4" x14ac:dyDescent="0.25">
      <c r="A826">
        <v>20</v>
      </c>
      <c r="B826">
        <v>22</v>
      </c>
      <c r="C826">
        <v>6</v>
      </c>
      <c r="D826">
        <f t="shared" si="12"/>
        <v>8.0308365752030438E-4</v>
      </c>
    </row>
    <row r="827" spans="1:4" x14ac:dyDescent="0.25">
      <c r="A827">
        <v>20</v>
      </c>
      <c r="B827">
        <v>23</v>
      </c>
      <c r="C827">
        <v>5</v>
      </c>
      <c r="D827">
        <f t="shared" si="12"/>
        <v>4.5142280127694127E-4</v>
      </c>
    </row>
    <row r="828" spans="1:4" x14ac:dyDescent="0.25">
      <c r="A828">
        <v>20</v>
      </c>
      <c r="B828">
        <v>24</v>
      </c>
      <c r="C828">
        <v>4</v>
      </c>
      <c r="D828">
        <f t="shared" si="12"/>
        <v>1.9915711821041524E-4</v>
      </c>
    </row>
    <row r="829" spans="1:4" x14ac:dyDescent="0.25">
      <c r="A829">
        <v>20</v>
      </c>
      <c r="B829">
        <v>25</v>
      </c>
      <c r="C829">
        <v>3</v>
      </c>
      <c r="D829">
        <f t="shared" si="12"/>
        <v>6.6323951924956878E-5</v>
      </c>
    </row>
    <row r="830" spans="1:4" x14ac:dyDescent="0.25">
      <c r="A830">
        <v>20</v>
      </c>
      <c r="B830">
        <v>26</v>
      </c>
      <c r="C830">
        <v>2</v>
      </c>
      <c r="D830">
        <f t="shared" si="12"/>
        <v>1.5657378571143678E-5</v>
      </c>
    </row>
    <row r="831" spans="1:4" x14ac:dyDescent="0.25">
      <c r="A831">
        <v>20</v>
      </c>
      <c r="B831">
        <v>27</v>
      </c>
      <c r="C831">
        <v>1</v>
      </c>
      <c r="D831">
        <f t="shared" si="12"/>
        <v>2.332791251761304E-6</v>
      </c>
    </row>
    <row r="832" spans="1:4" x14ac:dyDescent="0.25">
      <c r="A832">
        <v>20</v>
      </c>
      <c r="B832">
        <v>28</v>
      </c>
      <c r="C832">
        <v>0</v>
      </c>
      <c r="D832">
        <f t="shared" si="12"/>
        <v>1.6475572243579027E-7</v>
      </c>
    </row>
    <row r="833" spans="1:4" x14ac:dyDescent="0.25">
      <c r="A833">
        <v>21</v>
      </c>
      <c r="B833">
        <v>0</v>
      </c>
      <c r="C833">
        <v>27</v>
      </c>
      <c r="D833">
        <f t="shared" si="12"/>
        <v>1.7541497691984225E-18</v>
      </c>
    </row>
    <row r="834" spans="1:4" x14ac:dyDescent="0.25">
      <c r="A834">
        <v>21</v>
      </c>
      <c r="B834">
        <v>1</v>
      </c>
      <c r="C834">
        <v>26</v>
      </c>
      <c r="D834">
        <f t="shared" si="12"/>
        <v>1.5261102992026292E-16</v>
      </c>
    </row>
    <row r="835" spans="1:4" x14ac:dyDescent="0.25">
      <c r="A835">
        <v>21</v>
      </c>
      <c r="B835">
        <v>2</v>
      </c>
      <c r="C835">
        <v>25</v>
      </c>
      <c r="D835">
        <f t="shared" si="12"/>
        <v>6.2618213214157831E-15</v>
      </c>
    </row>
    <row r="836" spans="1:4" x14ac:dyDescent="0.25">
      <c r="A836">
        <v>21</v>
      </c>
      <c r="B836">
        <v>3</v>
      </c>
      <c r="C836">
        <v>24</v>
      </c>
      <c r="D836">
        <f t="shared" si="12"/>
        <v>1.6136231866725279E-13</v>
      </c>
    </row>
    <row r="837" spans="1:4" x14ac:dyDescent="0.25">
      <c r="A837">
        <v>21</v>
      </c>
      <c r="B837">
        <v>4</v>
      </c>
      <c r="C837">
        <v>23</v>
      </c>
      <c r="D837">
        <f t="shared" si="12"/>
        <v>2.9338603394045979E-12</v>
      </c>
    </row>
    <row r="838" spans="1:4" x14ac:dyDescent="0.25">
      <c r="A838">
        <v>21</v>
      </c>
      <c r="B838">
        <v>5</v>
      </c>
      <c r="C838">
        <v>22</v>
      </c>
      <c r="D838">
        <f t="shared" si="12"/>
        <v>4.0084414249118955E-11</v>
      </c>
    </row>
    <row r="839" spans="1:4" x14ac:dyDescent="0.25">
      <c r="A839">
        <v>21</v>
      </c>
      <c r="B839">
        <v>6</v>
      </c>
      <c r="C839">
        <v>21</v>
      </c>
      <c r="D839">
        <f t="shared" si="12"/>
        <v>4.2796006977735792E-10</v>
      </c>
    </row>
    <row r="840" spans="1:4" x14ac:dyDescent="0.25">
      <c r="A840">
        <v>21</v>
      </c>
      <c r="B840">
        <v>7</v>
      </c>
      <c r="C840">
        <v>20</v>
      </c>
      <c r="D840">
        <f t="shared" si="12"/>
        <v>3.6655710324408471E-9</v>
      </c>
    </row>
    <row r="841" spans="1:4" x14ac:dyDescent="0.25">
      <c r="A841">
        <v>21</v>
      </c>
      <c r="B841">
        <v>8</v>
      </c>
      <c r="C841">
        <v>19</v>
      </c>
      <c r="D841">
        <f t="shared" si="12"/>
        <v>2.5658997227085954E-8</v>
      </c>
    </row>
    <row r="842" spans="1:4" x14ac:dyDescent="0.25">
      <c r="A842">
        <v>21</v>
      </c>
      <c r="B842">
        <v>9</v>
      </c>
      <c r="C842">
        <v>18</v>
      </c>
      <c r="D842">
        <f t="shared" si="12"/>
        <v>1.4877399800681287E-7</v>
      </c>
    </row>
    <row r="843" spans="1:4" x14ac:dyDescent="0.25">
      <c r="A843">
        <v>21</v>
      </c>
      <c r="B843">
        <v>10</v>
      </c>
      <c r="C843">
        <v>17</v>
      </c>
      <c r="D843">
        <f t="shared" si="12"/>
        <v>7.2155389033304258E-7</v>
      </c>
    </row>
    <row r="844" spans="1:4" x14ac:dyDescent="0.25">
      <c r="A844">
        <v>21</v>
      </c>
      <c r="B844">
        <v>11</v>
      </c>
      <c r="C844">
        <v>16</v>
      </c>
      <c r="D844">
        <f t="shared" si="12"/>
        <v>2.9482170786833285E-6</v>
      </c>
    </row>
    <row r="845" spans="1:4" x14ac:dyDescent="0.25">
      <c r="A845">
        <v>21</v>
      </c>
      <c r="B845">
        <v>12</v>
      </c>
      <c r="C845">
        <v>15</v>
      </c>
      <c r="D845">
        <f t="shared" si="12"/>
        <v>1.0199237461390973E-5</v>
      </c>
    </row>
    <row r="846" spans="1:4" x14ac:dyDescent="0.25">
      <c r="A846">
        <v>21</v>
      </c>
      <c r="B846">
        <v>13</v>
      </c>
      <c r="C846">
        <v>14</v>
      </c>
      <c r="D846">
        <f t="shared" ref="D846:D909" si="13">COMBIN(A$4,A846)*COMBIN(B$4,B846)*COMBIN(C$4,C846)/COMBIN($F$4,$E$4)</f>
        <v>2.9970067001933467E-5</v>
      </c>
    </row>
    <row r="847" spans="1:4" x14ac:dyDescent="0.25">
      <c r="A847">
        <v>21</v>
      </c>
      <c r="B847">
        <v>14</v>
      </c>
      <c r="C847">
        <v>13</v>
      </c>
      <c r="D847">
        <f t="shared" si="13"/>
        <v>7.4925167504833726E-5</v>
      </c>
    </row>
    <row r="848" spans="1:4" x14ac:dyDescent="0.25">
      <c r="A848">
        <v>21</v>
      </c>
      <c r="B848">
        <v>15</v>
      </c>
      <c r="C848">
        <v>12</v>
      </c>
      <c r="D848">
        <f t="shared" si="13"/>
        <v>1.5938626541937343E-4</v>
      </c>
    </row>
    <row r="849" spans="1:4" x14ac:dyDescent="0.25">
      <c r="A849">
        <v>21</v>
      </c>
      <c r="B849">
        <v>16</v>
      </c>
      <c r="C849">
        <v>11</v>
      </c>
      <c r="D849">
        <f t="shared" si="13"/>
        <v>2.88121325950406E-4</v>
      </c>
    </row>
    <row r="850" spans="1:4" x14ac:dyDescent="0.25">
      <c r="A850">
        <v>21</v>
      </c>
      <c r="B850">
        <v>17</v>
      </c>
      <c r="C850">
        <v>10</v>
      </c>
      <c r="D850">
        <f t="shared" si="13"/>
        <v>4.4129975240505203E-4</v>
      </c>
    </row>
    <row r="851" spans="1:4" x14ac:dyDescent="0.25">
      <c r="A851">
        <v>21</v>
      </c>
      <c r="B851">
        <v>18</v>
      </c>
      <c r="C851">
        <v>9</v>
      </c>
      <c r="D851">
        <f t="shared" si="13"/>
        <v>5.7001218018985897E-4</v>
      </c>
    </row>
    <row r="852" spans="1:4" x14ac:dyDescent="0.25">
      <c r="A852">
        <v>21</v>
      </c>
      <c r="B852">
        <v>19</v>
      </c>
      <c r="C852">
        <v>8</v>
      </c>
      <c r="D852">
        <f t="shared" si="13"/>
        <v>6.166798440650522E-4</v>
      </c>
    </row>
    <row r="853" spans="1:4" x14ac:dyDescent="0.25">
      <c r="A853">
        <v>21</v>
      </c>
      <c r="B853">
        <v>20</v>
      </c>
      <c r="C853">
        <v>7</v>
      </c>
      <c r="D853">
        <f t="shared" si="13"/>
        <v>5.5350776247790011E-4</v>
      </c>
    </row>
    <row r="854" spans="1:4" x14ac:dyDescent="0.25">
      <c r="A854">
        <v>21</v>
      </c>
      <c r="B854">
        <v>21</v>
      </c>
      <c r="C854">
        <v>6</v>
      </c>
      <c r="D854">
        <f t="shared" si="13"/>
        <v>4.0679486158014353E-4</v>
      </c>
    </row>
    <row r="855" spans="1:4" x14ac:dyDescent="0.25">
      <c r="A855">
        <v>21</v>
      </c>
      <c r="B855">
        <v>22</v>
      </c>
      <c r="C855">
        <v>5</v>
      </c>
      <c r="D855">
        <f t="shared" si="13"/>
        <v>2.4037878184281222E-4</v>
      </c>
    </row>
    <row r="856" spans="1:4" x14ac:dyDescent="0.25">
      <c r="A856">
        <v>21</v>
      </c>
      <c r="B856">
        <v>23</v>
      </c>
      <c r="C856">
        <v>4</v>
      </c>
      <c r="D856">
        <f t="shared" si="13"/>
        <v>1.1127508826994629E-4</v>
      </c>
    </row>
    <row r="857" spans="1:4" x14ac:dyDescent="0.25">
      <c r="A857">
        <v>21</v>
      </c>
      <c r="B857">
        <v>24</v>
      </c>
      <c r="C857">
        <v>3</v>
      </c>
      <c r="D857">
        <f t="shared" si="13"/>
        <v>3.8816891256958008E-5</v>
      </c>
    </row>
    <row r="858" spans="1:4" x14ac:dyDescent="0.25">
      <c r="A858">
        <v>21</v>
      </c>
      <c r="B858">
        <v>25</v>
      </c>
      <c r="C858">
        <v>2</v>
      </c>
      <c r="D858">
        <f t="shared" si="13"/>
        <v>9.5837565999937664E-6</v>
      </c>
    </row>
    <row r="859" spans="1:4" x14ac:dyDescent="0.25">
      <c r="A859">
        <v>21</v>
      </c>
      <c r="B859">
        <v>26</v>
      </c>
      <c r="C859">
        <v>1</v>
      </c>
      <c r="D859">
        <f t="shared" si="13"/>
        <v>1.4911789115374929E-6</v>
      </c>
    </row>
    <row r="860" spans="1:4" x14ac:dyDescent="0.25">
      <c r="A860">
        <v>21</v>
      </c>
      <c r="B860">
        <v>27</v>
      </c>
      <c r="C860">
        <v>0</v>
      </c>
      <c r="D860">
        <f t="shared" si="13"/>
        <v>1.0983714829052689E-7</v>
      </c>
    </row>
    <row r="861" spans="1:4" x14ac:dyDescent="0.25">
      <c r="A861">
        <v>22</v>
      </c>
      <c r="B861">
        <v>0</v>
      </c>
      <c r="C861">
        <v>26</v>
      </c>
      <c r="D861">
        <f t="shared" si="13"/>
        <v>2.9729421413038242E-18</v>
      </c>
    </row>
    <row r="862" spans="1:4" x14ac:dyDescent="0.25">
      <c r="A862">
        <v>22</v>
      </c>
      <c r="B862">
        <v>1</v>
      </c>
      <c r="C862">
        <v>25</v>
      </c>
      <c r="D862">
        <f t="shared" si="13"/>
        <v>2.4517482221564958E-16</v>
      </c>
    </row>
    <row r="863" spans="1:4" x14ac:dyDescent="0.25">
      <c r="A863">
        <v>22</v>
      </c>
      <c r="B863">
        <v>2</v>
      </c>
      <c r="C863">
        <v>24</v>
      </c>
      <c r="D863">
        <f t="shared" si="13"/>
        <v>9.524098862992538E-15</v>
      </c>
    </row>
    <row r="864" spans="1:4" x14ac:dyDescent="0.25">
      <c r="A864">
        <v>22</v>
      </c>
      <c r="B864">
        <v>3</v>
      </c>
      <c r="C864">
        <v>23</v>
      </c>
      <c r="D864">
        <f t="shared" si="13"/>
        <v>2.320416813892728E-13</v>
      </c>
    </row>
    <row r="865" spans="1:4" x14ac:dyDescent="0.25">
      <c r="A865">
        <v>22</v>
      </c>
      <c r="B865">
        <v>4</v>
      </c>
      <c r="C865">
        <v>22</v>
      </c>
      <c r="D865">
        <f t="shared" si="13"/>
        <v>3.9828049790696099E-12</v>
      </c>
    </row>
    <row r="866" spans="1:4" x14ac:dyDescent="0.25">
      <c r="A866">
        <v>22</v>
      </c>
      <c r="B866">
        <v>5</v>
      </c>
      <c r="C866">
        <v>21</v>
      </c>
      <c r="D866">
        <f t="shared" si="13"/>
        <v>5.1284471171666905E-11</v>
      </c>
    </row>
    <row r="867" spans="1:4" x14ac:dyDescent="0.25">
      <c r="A867">
        <v>22</v>
      </c>
      <c r="B867">
        <v>6</v>
      </c>
      <c r="C867">
        <v>20</v>
      </c>
      <c r="D867">
        <f t="shared" si="13"/>
        <v>5.1507447133282787E-10</v>
      </c>
    </row>
    <row r="868" spans="1:4" x14ac:dyDescent="0.25">
      <c r="A868">
        <v>22</v>
      </c>
      <c r="B868">
        <v>7</v>
      </c>
      <c r="C868">
        <v>19</v>
      </c>
      <c r="D868">
        <f t="shared" si="13"/>
        <v>4.1416192184721303E-9</v>
      </c>
    </row>
    <row r="869" spans="1:4" x14ac:dyDescent="0.25">
      <c r="A869">
        <v>22</v>
      </c>
      <c r="B869">
        <v>8</v>
      </c>
      <c r="C869">
        <v>18</v>
      </c>
      <c r="D869">
        <f t="shared" si="13"/>
        <v>2.715385558026448E-8</v>
      </c>
    </row>
    <row r="870" spans="1:4" x14ac:dyDescent="0.25">
      <c r="A870">
        <v>22</v>
      </c>
      <c r="B870">
        <v>9</v>
      </c>
      <c r="C870">
        <v>17</v>
      </c>
      <c r="D870">
        <f t="shared" si="13"/>
        <v>1.4708338439309913E-7</v>
      </c>
    </row>
    <row r="871" spans="1:4" x14ac:dyDescent="0.25">
      <c r="A871">
        <v>22</v>
      </c>
      <c r="B871">
        <v>10</v>
      </c>
      <c r="C871">
        <v>16</v>
      </c>
      <c r="D871">
        <f t="shared" si="13"/>
        <v>6.6449452291567256E-7</v>
      </c>
    </row>
    <row r="872" spans="1:4" x14ac:dyDescent="0.25">
      <c r="A872">
        <v>22</v>
      </c>
      <c r="B872">
        <v>11</v>
      </c>
      <c r="C872">
        <v>15</v>
      </c>
      <c r="D872">
        <f t="shared" si="13"/>
        <v>2.5208342589233392E-6</v>
      </c>
    </row>
    <row r="873" spans="1:4" x14ac:dyDescent="0.25">
      <c r="A873">
        <v>22</v>
      </c>
      <c r="B873">
        <v>12</v>
      </c>
      <c r="C873">
        <v>14</v>
      </c>
      <c r="D873">
        <f t="shared" si="13"/>
        <v>8.0666696285546835E-6</v>
      </c>
    </row>
    <row r="874" spans="1:4" x14ac:dyDescent="0.25">
      <c r="A874">
        <v>22</v>
      </c>
      <c r="B874">
        <v>13</v>
      </c>
      <c r="C874">
        <v>13</v>
      </c>
      <c r="D874">
        <f t="shared" si="13"/>
        <v>2.1832261727485036E-5</v>
      </c>
    </row>
    <row r="875" spans="1:4" x14ac:dyDescent="0.25">
      <c r="A875">
        <v>22</v>
      </c>
      <c r="B875">
        <v>14</v>
      </c>
      <c r="C875">
        <v>12</v>
      </c>
      <c r="D875">
        <f t="shared" si="13"/>
        <v>5.0023827891361855E-5</v>
      </c>
    </row>
    <row r="876" spans="1:4" x14ac:dyDescent="0.25">
      <c r="A876">
        <v>22</v>
      </c>
      <c r="B876">
        <v>15</v>
      </c>
      <c r="C876">
        <v>11</v>
      </c>
      <c r="D876">
        <f t="shared" si="13"/>
        <v>9.6969266374024481E-5</v>
      </c>
    </row>
    <row r="877" spans="1:4" x14ac:dyDescent="0.25">
      <c r="A877">
        <v>22</v>
      </c>
      <c r="B877">
        <v>16</v>
      </c>
      <c r="C877">
        <v>10</v>
      </c>
      <c r="D877">
        <f t="shared" si="13"/>
        <v>1.5864908454231224E-4</v>
      </c>
    </row>
    <row r="878" spans="1:4" x14ac:dyDescent="0.25">
      <c r="A878">
        <v>22</v>
      </c>
      <c r="B878">
        <v>17</v>
      </c>
      <c r="C878">
        <v>9</v>
      </c>
      <c r="D878">
        <f t="shared" si="13"/>
        <v>2.1814249124567923E-4</v>
      </c>
    </row>
    <row r="879" spans="1:4" x14ac:dyDescent="0.25">
      <c r="A879">
        <v>22</v>
      </c>
      <c r="B879">
        <v>18</v>
      </c>
      <c r="C879">
        <v>8</v>
      </c>
      <c r="D879">
        <f t="shared" si="13"/>
        <v>2.5045989735615029E-4</v>
      </c>
    </row>
    <row r="880" spans="1:4" x14ac:dyDescent="0.25">
      <c r="A880">
        <v>22</v>
      </c>
      <c r="B880">
        <v>19</v>
      </c>
      <c r="C880">
        <v>7</v>
      </c>
      <c r="D880">
        <f t="shared" si="13"/>
        <v>2.3792082675680516E-4</v>
      </c>
    </row>
    <row r="881" spans="1:4" x14ac:dyDescent="0.25">
      <c r="A881">
        <v>22</v>
      </c>
      <c r="B881">
        <v>20</v>
      </c>
      <c r="C881">
        <v>6</v>
      </c>
      <c r="D881">
        <f t="shared" si="13"/>
        <v>1.8460362943540046E-4</v>
      </c>
    </row>
    <row r="882" spans="1:4" x14ac:dyDescent="0.25">
      <c r="A882">
        <v>22</v>
      </c>
      <c r="B882">
        <v>21</v>
      </c>
      <c r="C882">
        <v>5</v>
      </c>
      <c r="D882">
        <f t="shared" si="13"/>
        <v>1.1490634077101466E-4</v>
      </c>
    </row>
    <row r="883" spans="1:4" x14ac:dyDescent="0.25">
      <c r="A883">
        <v>22</v>
      </c>
      <c r="B883">
        <v>22</v>
      </c>
      <c r="C883">
        <v>4</v>
      </c>
      <c r="D883">
        <f t="shared" si="13"/>
        <v>5.5916989359156874E-5</v>
      </c>
    </row>
    <row r="884" spans="1:4" x14ac:dyDescent="0.25">
      <c r="A884">
        <v>22</v>
      </c>
      <c r="B884">
        <v>23</v>
      </c>
      <c r="C884">
        <v>3</v>
      </c>
      <c r="D884">
        <f t="shared" si="13"/>
        <v>2.0467088117305142E-5</v>
      </c>
    </row>
    <row r="885" spans="1:4" x14ac:dyDescent="0.25">
      <c r="A885">
        <v>22</v>
      </c>
      <c r="B885">
        <v>24</v>
      </c>
      <c r="C885">
        <v>2</v>
      </c>
      <c r="D885">
        <f t="shared" si="13"/>
        <v>5.2932124441306398E-6</v>
      </c>
    </row>
    <row r="886" spans="1:4" x14ac:dyDescent="0.25">
      <c r="A886">
        <v>22</v>
      </c>
      <c r="B886">
        <v>25</v>
      </c>
      <c r="C886">
        <v>1</v>
      </c>
      <c r="D886">
        <f t="shared" si="13"/>
        <v>8.6135002499944033E-7</v>
      </c>
    </row>
    <row r="887" spans="1:4" x14ac:dyDescent="0.25">
      <c r="A887">
        <v>22</v>
      </c>
      <c r="B887">
        <v>26</v>
      </c>
      <c r="C887">
        <v>0</v>
      </c>
      <c r="D887">
        <f t="shared" si="13"/>
        <v>6.6257694230726228E-8</v>
      </c>
    </row>
    <row r="888" spans="1:4" x14ac:dyDescent="0.25">
      <c r="A888">
        <v>23</v>
      </c>
      <c r="B888">
        <v>0</v>
      </c>
      <c r="C888">
        <v>25</v>
      </c>
      <c r="D888">
        <f t="shared" si="13"/>
        <v>4.5159637418174918E-18</v>
      </c>
    </row>
    <row r="889" spans="1:4" x14ac:dyDescent="0.25">
      <c r="A889">
        <v>23</v>
      </c>
      <c r="B889">
        <v>1</v>
      </c>
      <c r="C889">
        <v>24</v>
      </c>
      <c r="D889">
        <f t="shared" si="13"/>
        <v>3.5259255368805791E-16</v>
      </c>
    </row>
    <row r="890" spans="1:4" x14ac:dyDescent="0.25">
      <c r="A890">
        <v>23</v>
      </c>
      <c r="B890">
        <v>2</v>
      </c>
      <c r="C890">
        <v>23</v>
      </c>
      <c r="D890">
        <f t="shared" si="13"/>
        <v>1.2949762880906857E-14</v>
      </c>
    </row>
    <row r="891" spans="1:4" x14ac:dyDescent="0.25">
      <c r="A891">
        <v>23</v>
      </c>
      <c r="B891">
        <v>3</v>
      </c>
      <c r="C891">
        <v>22</v>
      </c>
      <c r="D891">
        <f t="shared" si="13"/>
        <v>2.978445462608578E-13</v>
      </c>
    </row>
    <row r="892" spans="1:4" x14ac:dyDescent="0.25">
      <c r="A892">
        <v>23</v>
      </c>
      <c r="B892">
        <v>4</v>
      </c>
      <c r="C892">
        <v>21</v>
      </c>
      <c r="D892">
        <f t="shared" si="13"/>
        <v>4.8180735424550525E-12</v>
      </c>
    </row>
    <row r="893" spans="1:4" x14ac:dyDescent="0.25">
      <c r="A893">
        <v>23</v>
      </c>
      <c r="B893">
        <v>5</v>
      </c>
      <c r="C893">
        <v>20</v>
      </c>
      <c r="D893">
        <f t="shared" si="13"/>
        <v>5.8361534301216372E-11</v>
      </c>
    </row>
    <row r="894" spans="1:4" x14ac:dyDescent="0.25">
      <c r="A894">
        <v>23</v>
      </c>
      <c r="B894">
        <v>6</v>
      </c>
      <c r="C894">
        <v>19</v>
      </c>
      <c r="D894">
        <f t="shared" si="13"/>
        <v>5.5026589484004025E-10</v>
      </c>
    </row>
    <row r="895" spans="1:4" x14ac:dyDescent="0.25">
      <c r="A895">
        <v>23</v>
      </c>
      <c r="B895">
        <v>7</v>
      </c>
      <c r="C895">
        <v>18</v>
      </c>
      <c r="D895">
        <f t="shared" si="13"/>
        <v>4.1441554213003463E-9</v>
      </c>
    </row>
    <row r="896" spans="1:4" x14ac:dyDescent="0.25">
      <c r="A896">
        <v>23</v>
      </c>
      <c r="B896">
        <v>8</v>
      </c>
      <c r="C896">
        <v>17</v>
      </c>
      <c r="D896">
        <f t="shared" si="13"/>
        <v>2.538295195546462E-8</v>
      </c>
    </row>
    <row r="897" spans="1:4" x14ac:dyDescent="0.25">
      <c r="A897">
        <v>23</v>
      </c>
      <c r="B897">
        <v>9</v>
      </c>
      <c r="C897">
        <v>16</v>
      </c>
      <c r="D897">
        <f t="shared" si="13"/>
        <v>1.2807379867939901E-7</v>
      </c>
    </row>
    <row r="898" spans="1:4" x14ac:dyDescent="0.25">
      <c r="A898">
        <v>23</v>
      </c>
      <c r="B898">
        <v>10</v>
      </c>
      <c r="C898">
        <v>15</v>
      </c>
      <c r="D898">
        <f t="shared" si="13"/>
        <v>5.3721766364980369E-7</v>
      </c>
    </row>
    <row r="899" spans="1:4" x14ac:dyDescent="0.25">
      <c r="A899">
        <v>23</v>
      </c>
      <c r="B899">
        <v>11</v>
      </c>
      <c r="C899">
        <v>14</v>
      </c>
      <c r="D899">
        <f t="shared" si="13"/>
        <v>1.8851456197165845E-6</v>
      </c>
    </row>
    <row r="900" spans="1:4" x14ac:dyDescent="0.25">
      <c r="A900">
        <v>23</v>
      </c>
      <c r="B900">
        <v>12</v>
      </c>
      <c r="C900">
        <v>13</v>
      </c>
      <c r="D900">
        <f t="shared" si="13"/>
        <v>5.5562186686383518E-6</v>
      </c>
    </row>
    <row r="901" spans="1:4" x14ac:dyDescent="0.25">
      <c r="A901">
        <v>23</v>
      </c>
      <c r="B901">
        <v>13</v>
      </c>
      <c r="C901">
        <v>12</v>
      </c>
      <c r="D901">
        <f t="shared" si="13"/>
        <v>1.3782308645583444E-5</v>
      </c>
    </row>
    <row r="902" spans="1:4" x14ac:dyDescent="0.25">
      <c r="A902">
        <v>23</v>
      </c>
      <c r="B902">
        <v>14</v>
      </c>
      <c r="C902">
        <v>11</v>
      </c>
      <c r="D902">
        <f t="shared" si="13"/>
        <v>2.8776248820448969E-5</v>
      </c>
    </row>
    <row r="903" spans="1:4" x14ac:dyDescent="0.25">
      <c r="A903">
        <v>23</v>
      </c>
      <c r="B903">
        <v>15</v>
      </c>
      <c r="C903">
        <v>10</v>
      </c>
      <c r="D903">
        <f t="shared" si="13"/>
        <v>5.0485925145749676E-5</v>
      </c>
    </row>
    <row r="904" spans="1:4" x14ac:dyDescent="0.25">
      <c r="A904">
        <v>23</v>
      </c>
      <c r="B904">
        <v>16</v>
      </c>
      <c r="C904">
        <v>9</v>
      </c>
      <c r="D904">
        <f t="shared" si="13"/>
        <v>7.4151202557819857E-5</v>
      </c>
    </row>
    <row r="905" spans="1:4" x14ac:dyDescent="0.25">
      <c r="A905">
        <v>23</v>
      </c>
      <c r="B905">
        <v>17</v>
      </c>
      <c r="C905">
        <v>8</v>
      </c>
      <c r="D905">
        <f t="shared" si="13"/>
        <v>9.062924757066868E-5</v>
      </c>
    </row>
    <row r="906" spans="1:4" x14ac:dyDescent="0.25">
      <c r="A906">
        <v>23</v>
      </c>
      <c r="B906">
        <v>18</v>
      </c>
      <c r="C906">
        <v>7</v>
      </c>
      <c r="D906">
        <f t="shared" si="13"/>
        <v>9.1366070721649734E-5</v>
      </c>
    </row>
    <row r="907" spans="1:4" x14ac:dyDescent="0.25">
      <c r="A907">
        <v>23</v>
      </c>
      <c r="B907">
        <v>19</v>
      </c>
      <c r="C907">
        <v>6</v>
      </c>
      <c r="D907">
        <f t="shared" si="13"/>
        <v>7.5027940129699687E-5</v>
      </c>
    </row>
    <row r="908" spans="1:4" x14ac:dyDescent="0.25">
      <c r="A908">
        <v>23</v>
      </c>
      <c r="B908">
        <v>20</v>
      </c>
      <c r="C908">
        <v>5</v>
      </c>
      <c r="D908">
        <f t="shared" si="13"/>
        <v>4.9304074942374071E-5</v>
      </c>
    </row>
    <row r="909" spans="1:4" x14ac:dyDescent="0.25">
      <c r="A909">
        <v>23</v>
      </c>
      <c r="B909">
        <v>21</v>
      </c>
      <c r="C909">
        <v>4</v>
      </c>
      <c r="D909">
        <f t="shared" si="13"/>
        <v>2.5273517407435456E-5</v>
      </c>
    </row>
    <row r="910" spans="1:4" x14ac:dyDescent="0.25">
      <c r="A910">
        <v>23</v>
      </c>
      <c r="B910">
        <v>22</v>
      </c>
      <c r="C910">
        <v>3</v>
      </c>
      <c r="D910">
        <f t="shared" ref="D910:D973" si="14">COMBIN(A$4,A910)*COMBIN(B$4,B910)*COMBIN(C$4,C910)/COMBIN($F$4,$E$4)</f>
        <v>9.7246938015925022E-6</v>
      </c>
    </row>
    <row r="911" spans="1:4" x14ac:dyDescent="0.25">
      <c r="A911">
        <v>23</v>
      </c>
      <c r="B911">
        <v>23</v>
      </c>
      <c r="C911">
        <v>2</v>
      </c>
      <c r="D911">
        <f t="shared" si="14"/>
        <v>2.6389348996825225E-6</v>
      </c>
    </row>
    <row r="912" spans="1:4" x14ac:dyDescent="0.25">
      <c r="A912">
        <v>23</v>
      </c>
      <c r="B912">
        <v>24</v>
      </c>
      <c r="C912">
        <v>1</v>
      </c>
      <c r="D912">
        <f t="shared" si="14"/>
        <v>4.4981844880952079E-7</v>
      </c>
    </row>
    <row r="913" spans="1:4" x14ac:dyDescent="0.25">
      <c r="A913">
        <v>23</v>
      </c>
      <c r="B913">
        <v>25</v>
      </c>
      <c r="C913">
        <v>0</v>
      </c>
      <c r="D913">
        <f t="shared" si="14"/>
        <v>3.6187641499732234E-8</v>
      </c>
    </row>
    <row r="914" spans="1:4" x14ac:dyDescent="0.25">
      <c r="A914">
        <v>24</v>
      </c>
      <c r="B914">
        <v>0</v>
      </c>
      <c r="C914">
        <v>24</v>
      </c>
      <c r="D914">
        <f t="shared" si="14"/>
        <v>6.1515531739501084E-18</v>
      </c>
    </row>
    <row r="915" spans="1:4" x14ac:dyDescent="0.25">
      <c r="A915">
        <v>24</v>
      </c>
      <c r="B915">
        <v>1</v>
      </c>
      <c r="C915">
        <v>23</v>
      </c>
      <c r="D915">
        <f t="shared" si="14"/>
        <v>4.5409647065886271E-16</v>
      </c>
    </row>
    <row r="916" spans="1:4" x14ac:dyDescent="0.25">
      <c r="A916">
        <v>24</v>
      </c>
      <c r="B916">
        <v>2</v>
      </c>
      <c r="C916">
        <v>22</v>
      </c>
      <c r="D916">
        <f t="shared" si="14"/>
        <v>1.5744270169261766E-14</v>
      </c>
    </row>
    <row r="917" spans="1:4" x14ac:dyDescent="0.25">
      <c r="A917">
        <v>24</v>
      </c>
      <c r="B917">
        <v>3</v>
      </c>
      <c r="C917">
        <v>21</v>
      </c>
      <c r="D917">
        <f t="shared" si="14"/>
        <v>3.4128020925723284E-13</v>
      </c>
    </row>
    <row r="918" spans="1:4" x14ac:dyDescent="0.25">
      <c r="A918">
        <v>24</v>
      </c>
      <c r="B918">
        <v>4</v>
      </c>
      <c r="C918">
        <v>20</v>
      </c>
      <c r="D918">
        <f t="shared" si="14"/>
        <v>5.1933944886970181E-12</v>
      </c>
    </row>
    <row r="919" spans="1:4" x14ac:dyDescent="0.25">
      <c r="A919">
        <v>24</v>
      </c>
      <c r="B919">
        <v>5</v>
      </c>
      <c r="C919">
        <v>19</v>
      </c>
      <c r="D919">
        <f t="shared" si="14"/>
        <v>5.9056314471469018E-11</v>
      </c>
    </row>
    <row r="920" spans="1:4" x14ac:dyDescent="0.25">
      <c r="A920">
        <v>24</v>
      </c>
      <c r="B920">
        <v>6</v>
      </c>
      <c r="C920">
        <v>18</v>
      </c>
      <c r="D920">
        <f t="shared" si="14"/>
        <v>5.215254813184657E-10</v>
      </c>
    </row>
    <row r="921" spans="1:4" x14ac:dyDescent="0.25">
      <c r="A921">
        <v>24</v>
      </c>
      <c r="B921">
        <v>7</v>
      </c>
      <c r="C921">
        <v>17</v>
      </c>
      <c r="D921">
        <f t="shared" si="14"/>
        <v>3.6693042792763483E-9</v>
      </c>
    </row>
    <row r="922" spans="1:4" x14ac:dyDescent="0.25">
      <c r="A922">
        <v>24</v>
      </c>
      <c r="B922">
        <v>8</v>
      </c>
      <c r="C922">
        <v>16</v>
      </c>
      <c r="D922">
        <f t="shared" si="14"/>
        <v>2.0935140168747929E-8</v>
      </c>
    </row>
    <row r="923" spans="1:4" x14ac:dyDescent="0.25">
      <c r="A923">
        <v>24</v>
      </c>
      <c r="B923">
        <v>9</v>
      </c>
      <c r="C923">
        <v>15</v>
      </c>
      <c r="D923">
        <f t="shared" si="14"/>
        <v>9.8074530520260539E-8</v>
      </c>
    </row>
    <row r="924" spans="1:4" x14ac:dyDescent="0.25">
      <c r="A924">
        <v>24</v>
      </c>
      <c r="B924">
        <v>10</v>
      </c>
      <c r="C924">
        <v>14</v>
      </c>
      <c r="D924">
        <f t="shared" si="14"/>
        <v>3.8052917841861106E-7</v>
      </c>
    </row>
    <row r="925" spans="1:4" x14ac:dyDescent="0.25">
      <c r="A925">
        <v>24</v>
      </c>
      <c r="B925">
        <v>11</v>
      </c>
      <c r="C925">
        <v>13</v>
      </c>
      <c r="D925">
        <f t="shared" si="14"/>
        <v>1.2298921532142194E-6</v>
      </c>
    </row>
    <row r="926" spans="1:4" x14ac:dyDescent="0.25">
      <c r="A926">
        <v>24</v>
      </c>
      <c r="B926">
        <v>12</v>
      </c>
      <c r="C926">
        <v>12</v>
      </c>
      <c r="D926">
        <f t="shared" si="14"/>
        <v>3.3223060762150328E-6</v>
      </c>
    </row>
    <row r="927" spans="1:4" x14ac:dyDescent="0.25">
      <c r="A927">
        <v>24</v>
      </c>
      <c r="B927">
        <v>13</v>
      </c>
      <c r="C927">
        <v>11</v>
      </c>
      <c r="D927">
        <f t="shared" si="14"/>
        <v>7.5095912491961101E-6</v>
      </c>
    </row>
    <row r="928" spans="1:4" x14ac:dyDescent="0.25">
      <c r="A928">
        <v>24</v>
      </c>
      <c r="B928">
        <v>14</v>
      </c>
      <c r="C928">
        <v>10</v>
      </c>
      <c r="D928">
        <f t="shared" si="14"/>
        <v>1.419081890670875E-5</v>
      </c>
    </row>
    <row r="929" spans="1:4" x14ac:dyDescent="0.25">
      <c r="A929">
        <v>24</v>
      </c>
      <c r="B929">
        <v>15</v>
      </c>
      <c r="C929">
        <v>9</v>
      </c>
      <c r="D929">
        <f t="shared" si="14"/>
        <v>2.235053977806627E-5</v>
      </c>
    </row>
    <row r="930" spans="1:4" x14ac:dyDescent="0.25">
      <c r="A930">
        <v>24</v>
      </c>
      <c r="B930">
        <v>16</v>
      </c>
      <c r="C930">
        <v>8</v>
      </c>
      <c r="D930">
        <f t="shared" si="14"/>
        <v>2.9179871376919862E-5</v>
      </c>
    </row>
    <row r="931" spans="1:4" x14ac:dyDescent="0.25">
      <c r="A931">
        <v>24</v>
      </c>
      <c r="B931">
        <v>17</v>
      </c>
      <c r="C931">
        <v>7</v>
      </c>
      <c r="D931">
        <f t="shared" si="14"/>
        <v>3.1314983916694463E-5</v>
      </c>
    </row>
    <row r="932" spans="1:4" x14ac:dyDescent="0.25">
      <c r="A932">
        <v>24</v>
      </c>
      <c r="B932">
        <v>18</v>
      </c>
      <c r="C932">
        <v>6</v>
      </c>
      <c r="D932">
        <f t="shared" si="14"/>
        <v>2.7290568312942568E-5</v>
      </c>
    </row>
    <row r="933" spans="1:4" x14ac:dyDescent="0.25">
      <c r="A933">
        <v>24</v>
      </c>
      <c r="B933">
        <v>19</v>
      </c>
      <c r="C933">
        <v>5</v>
      </c>
      <c r="D933">
        <f t="shared" si="14"/>
        <v>1.8980282473287136E-5</v>
      </c>
    </row>
    <row r="934" spans="1:4" x14ac:dyDescent="0.25">
      <c r="A934">
        <v>24</v>
      </c>
      <c r="B934">
        <v>20</v>
      </c>
      <c r="C934">
        <v>4</v>
      </c>
      <c r="D934">
        <f t="shared" si="14"/>
        <v>1.0271682279661264E-5</v>
      </c>
    </row>
    <row r="935" spans="1:4" x14ac:dyDescent="0.25">
      <c r="A935">
        <v>24</v>
      </c>
      <c r="B935">
        <v>21</v>
      </c>
      <c r="C935">
        <v>3</v>
      </c>
      <c r="D935">
        <f t="shared" si="14"/>
        <v>4.1632732163411127E-6</v>
      </c>
    </row>
    <row r="936" spans="1:4" x14ac:dyDescent="0.25">
      <c r="A936">
        <v>24</v>
      </c>
      <c r="B936">
        <v>22</v>
      </c>
      <c r="C936">
        <v>2</v>
      </c>
      <c r="D936">
        <f t="shared" si="14"/>
        <v>1.187642202780694E-6</v>
      </c>
    </row>
    <row r="937" spans="1:4" x14ac:dyDescent="0.25">
      <c r="A937">
        <v>24</v>
      </c>
      <c r="B937">
        <v>23</v>
      </c>
      <c r="C937">
        <v>1</v>
      </c>
      <c r="D937">
        <f t="shared" si="14"/>
        <v>2.1241426749338491E-7</v>
      </c>
    </row>
    <row r="938" spans="1:4" x14ac:dyDescent="0.25">
      <c r="A938">
        <v>24</v>
      </c>
      <c r="B938">
        <v>24</v>
      </c>
      <c r="C938">
        <v>0</v>
      </c>
      <c r="D938">
        <f t="shared" si="14"/>
        <v>1.7900078721352663E-8</v>
      </c>
    </row>
    <row r="939" spans="1:4" x14ac:dyDescent="0.25">
      <c r="A939">
        <v>25</v>
      </c>
      <c r="B939">
        <v>0</v>
      </c>
      <c r="C939">
        <v>23</v>
      </c>
      <c r="D939">
        <f t="shared" si="14"/>
        <v>7.5160795143535826E-18</v>
      </c>
    </row>
    <row r="940" spans="1:4" x14ac:dyDescent="0.25">
      <c r="A940">
        <v>25</v>
      </c>
      <c r="B940">
        <v>1</v>
      </c>
      <c r="C940">
        <v>22</v>
      </c>
      <c r="D940">
        <f t="shared" si="14"/>
        <v>5.2376977988831166E-16</v>
      </c>
    </row>
    <row r="941" spans="1:4" x14ac:dyDescent="0.25">
      <c r="A941">
        <v>25</v>
      </c>
      <c r="B941">
        <v>2</v>
      </c>
      <c r="C941">
        <v>21</v>
      </c>
      <c r="D941">
        <f t="shared" si="14"/>
        <v>1.7114947807526889E-14</v>
      </c>
    </row>
    <row r="942" spans="1:4" x14ac:dyDescent="0.25">
      <c r="A942">
        <v>25</v>
      </c>
      <c r="B942">
        <v>3</v>
      </c>
      <c r="C942">
        <v>20</v>
      </c>
      <c r="D942">
        <f t="shared" si="14"/>
        <v>3.489961096404392E-13</v>
      </c>
    </row>
    <row r="943" spans="1:4" x14ac:dyDescent="0.25">
      <c r="A943">
        <v>25</v>
      </c>
      <c r="B943">
        <v>4</v>
      </c>
      <c r="C943">
        <v>19</v>
      </c>
      <c r="D943">
        <f t="shared" si="14"/>
        <v>4.9856587091491362E-12</v>
      </c>
    </row>
    <row r="944" spans="1:4" x14ac:dyDescent="0.25">
      <c r="A944">
        <v>25</v>
      </c>
      <c r="B944">
        <v>5</v>
      </c>
      <c r="C944">
        <v>18</v>
      </c>
      <c r="D944">
        <f t="shared" si="14"/>
        <v>5.3100776279698301E-11</v>
      </c>
    </row>
    <row r="945" spans="1:4" x14ac:dyDescent="0.25">
      <c r="A945">
        <v>25</v>
      </c>
      <c r="B945">
        <v>6</v>
      </c>
      <c r="C945">
        <v>17</v>
      </c>
      <c r="D945">
        <f t="shared" si="14"/>
        <v>4.3808140430751055E-10</v>
      </c>
    </row>
    <row r="946" spans="1:4" x14ac:dyDescent="0.25">
      <c r="A946">
        <v>25</v>
      </c>
      <c r="B946">
        <v>7</v>
      </c>
      <c r="C946">
        <v>16</v>
      </c>
      <c r="D946">
        <f t="shared" si="14"/>
        <v>2.8711049374282841E-9</v>
      </c>
    </row>
    <row r="947" spans="1:4" x14ac:dyDescent="0.25">
      <c r="A947">
        <v>25</v>
      </c>
      <c r="B947">
        <v>8</v>
      </c>
      <c r="C947">
        <v>15</v>
      </c>
      <c r="D947">
        <f t="shared" si="14"/>
        <v>1.520909642529578E-8</v>
      </c>
    </row>
    <row r="948" spans="1:4" x14ac:dyDescent="0.25">
      <c r="A948">
        <v>25</v>
      </c>
      <c r="B948">
        <v>9</v>
      </c>
      <c r="C948">
        <v>14</v>
      </c>
      <c r="D948">
        <f t="shared" si="14"/>
        <v>6.5906084509614999E-8</v>
      </c>
    </row>
    <row r="949" spans="1:4" x14ac:dyDescent="0.25">
      <c r="A949">
        <v>25</v>
      </c>
      <c r="B949">
        <v>10</v>
      </c>
      <c r="C949">
        <v>13</v>
      </c>
      <c r="D949">
        <f t="shared" si="14"/>
        <v>2.3552753358962428E-7</v>
      </c>
    </row>
    <row r="950" spans="1:4" x14ac:dyDescent="0.25">
      <c r="A950">
        <v>25</v>
      </c>
      <c r="B950">
        <v>11</v>
      </c>
      <c r="C950">
        <v>12</v>
      </c>
      <c r="D950">
        <f t="shared" si="14"/>
        <v>6.9768427600515646E-7</v>
      </c>
    </row>
    <row r="951" spans="1:4" x14ac:dyDescent="0.25">
      <c r="A951">
        <v>25</v>
      </c>
      <c r="B951">
        <v>12</v>
      </c>
      <c r="C951">
        <v>11</v>
      </c>
      <c r="D951">
        <f t="shared" si="14"/>
        <v>1.7173766793973081E-6</v>
      </c>
    </row>
    <row r="952" spans="1:4" x14ac:dyDescent="0.25">
      <c r="A952">
        <v>25</v>
      </c>
      <c r="B952">
        <v>13</v>
      </c>
      <c r="C952">
        <v>10</v>
      </c>
      <c r="D952">
        <f t="shared" si="14"/>
        <v>3.5133480072188344E-6</v>
      </c>
    </row>
    <row r="953" spans="1:4" x14ac:dyDescent="0.25">
      <c r="A953">
        <v>25</v>
      </c>
      <c r="B953">
        <v>14</v>
      </c>
      <c r="C953">
        <v>9</v>
      </c>
      <c r="D953">
        <f t="shared" si="14"/>
        <v>5.9601439408176693E-6</v>
      </c>
    </row>
    <row r="954" spans="1:4" x14ac:dyDescent="0.25">
      <c r="A954">
        <v>25</v>
      </c>
      <c r="B954">
        <v>15</v>
      </c>
      <c r="C954">
        <v>8</v>
      </c>
      <c r="D954">
        <f t="shared" si="14"/>
        <v>8.3442015171447325E-6</v>
      </c>
    </row>
    <row r="955" spans="1:4" x14ac:dyDescent="0.25">
      <c r="A955">
        <v>25</v>
      </c>
      <c r="B955">
        <v>16</v>
      </c>
      <c r="C955">
        <v>7</v>
      </c>
      <c r="D955">
        <f t="shared" si="14"/>
        <v>9.5653041781903031E-6</v>
      </c>
    </row>
    <row r="956" spans="1:4" x14ac:dyDescent="0.25">
      <c r="A956">
        <v>25</v>
      </c>
      <c r="B956">
        <v>17</v>
      </c>
      <c r="C956">
        <v>6</v>
      </c>
      <c r="D956">
        <f t="shared" si="14"/>
        <v>8.8738364062729273E-6</v>
      </c>
    </row>
    <row r="957" spans="1:4" x14ac:dyDescent="0.25">
      <c r="A957">
        <v>25</v>
      </c>
      <c r="B957">
        <v>18</v>
      </c>
      <c r="C957">
        <v>5</v>
      </c>
      <c r="D957">
        <f t="shared" si="14"/>
        <v>6.5497363951062113E-6</v>
      </c>
    </row>
    <row r="958" spans="1:4" x14ac:dyDescent="0.25">
      <c r="A958">
        <v>25</v>
      </c>
      <c r="B958">
        <v>19</v>
      </c>
      <c r="C958">
        <v>4</v>
      </c>
      <c r="D958">
        <f t="shared" si="14"/>
        <v>3.751397006484982E-6</v>
      </c>
    </row>
    <row r="959" spans="1:4" x14ac:dyDescent="0.25">
      <c r="A959">
        <v>25</v>
      </c>
      <c r="B959">
        <v>20</v>
      </c>
      <c r="C959">
        <v>3</v>
      </c>
      <c r="D959">
        <f t="shared" si="14"/>
        <v>1.6052489516121775E-6</v>
      </c>
    </row>
    <row r="960" spans="1:4" x14ac:dyDescent="0.25">
      <c r="A960">
        <v>25</v>
      </c>
      <c r="B960">
        <v>21</v>
      </c>
      <c r="C960">
        <v>2</v>
      </c>
      <c r="D960">
        <f t="shared" si="14"/>
        <v>4.8236544851400432E-7</v>
      </c>
    </row>
    <row r="961" spans="1:4" x14ac:dyDescent="0.25">
      <c r="A961">
        <v>25</v>
      </c>
      <c r="B961">
        <v>22</v>
      </c>
      <c r="C961">
        <v>1</v>
      </c>
      <c r="D961">
        <f t="shared" si="14"/>
        <v>9.0692677303252893E-8</v>
      </c>
    </row>
    <row r="962" spans="1:4" x14ac:dyDescent="0.25">
      <c r="A962">
        <v>25</v>
      </c>
      <c r="B962">
        <v>23</v>
      </c>
      <c r="C962">
        <v>0</v>
      </c>
      <c r="D962">
        <f t="shared" si="14"/>
        <v>8.0192352671659849E-9</v>
      </c>
    </row>
    <row r="963" spans="1:4" x14ac:dyDescent="0.25">
      <c r="A963">
        <v>26</v>
      </c>
      <c r="B963">
        <v>0</v>
      </c>
      <c r="C963">
        <v>22</v>
      </c>
      <c r="D963">
        <f t="shared" si="14"/>
        <v>8.2366221543633727E-18</v>
      </c>
    </row>
    <row r="964" spans="1:4" x14ac:dyDescent="0.25">
      <c r="A964">
        <v>26</v>
      </c>
      <c r="B964">
        <v>1</v>
      </c>
      <c r="C964">
        <v>21</v>
      </c>
      <c r="D964">
        <f t="shared" si="14"/>
        <v>5.4095227266745301E-16</v>
      </c>
    </row>
    <row r="965" spans="1:4" x14ac:dyDescent="0.25">
      <c r="A965">
        <v>26</v>
      </c>
      <c r="B965">
        <v>2</v>
      </c>
      <c r="C965">
        <v>20</v>
      </c>
      <c r="D965">
        <f t="shared" si="14"/>
        <v>1.6628402468516916E-14</v>
      </c>
    </row>
    <row r="966" spans="1:4" x14ac:dyDescent="0.25">
      <c r="A966">
        <v>26</v>
      </c>
      <c r="B966">
        <v>3</v>
      </c>
      <c r="C966">
        <v>19</v>
      </c>
      <c r="D966">
        <f t="shared" si="14"/>
        <v>3.1831513296875259E-13</v>
      </c>
    </row>
    <row r="967" spans="1:4" x14ac:dyDescent="0.25">
      <c r="A967">
        <v>26</v>
      </c>
      <c r="B967">
        <v>4</v>
      </c>
      <c r="C967">
        <v>18</v>
      </c>
      <c r="D967">
        <f t="shared" si="14"/>
        <v>4.2591461453565512E-12</v>
      </c>
    </row>
    <row r="968" spans="1:4" x14ac:dyDescent="0.25">
      <c r="A968">
        <v>26</v>
      </c>
      <c r="B968">
        <v>5</v>
      </c>
      <c r="C968">
        <v>17</v>
      </c>
      <c r="D968">
        <f t="shared" si="14"/>
        <v>4.2378504146297679E-11</v>
      </c>
    </row>
    <row r="969" spans="1:4" x14ac:dyDescent="0.25">
      <c r="A969">
        <v>26</v>
      </c>
      <c r="B969">
        <v>6</v>
      </c>
      <c r="C969">
        <v>16</v>
      </c>
      <c r="D969">
        <f t="shared" si="14"/>
        <v>3.2567590172702707E-10</v>
      </c>
    </row>
    <row r="970" spans="1:4" x14ac:dyDescent="0.25">
      <c r="A970">
        <v>26</v>
      </c>
      <c r="B970">
        <v>7</v>
      </c>
      <c r="C970">
        <v>15</v>
      </c>
      <c r="D970">
        <f t="shared" si="14"/>
        <v>1.9817190004702511E-9</v>
      </c>
    </row>
    <row r="971" spans="1:4" x14ac:dyDescent="0.25">
      <c r="A971">
        <v>26</v>
      </c>
      <c r="B971">
        <v>8</v>
      </c>
      <c r="C971">
        <v>14</v>
      </c>
      <c r="D971">
        <f t="shared" si="14"/>
        <v>9.7104231023042322E-9</v>
      </c>
    </row>
    <row r="972" spans="1:4" x14ac:dyDescent="0.25">
      <c r="A972">
        <v>26</v>
      </c>
      <c r="B972">
        <v>9</v>
      </c>
      <c r="C972">
        <v>13</v>
      </c>
      <c r="D972">
        <f t="shared" si="14"/>
        <v>3.8756513259196689E-8</v>
      </c>
    </row>
    <row r="973" spans="1:4" x14ac:dyDescent="0.25">
      <c r="A973">
        <v>26</v>
      </c>
      <c r="B973">
        <v>10</v>
      </c>
      <c r="C973">
        <v>12</v>
      </c>
      <c r="D973">
        <f t="shared" si="14"/>
        <v>1.2694016420739492E-7</v>
      </c>
    </row>
    <row r="974" spans="1:4" x14ac:dyDescent="0.25">
      <c r="A974">
        <v>26</v>
      </c>
      <c r="B974">
        <v>11</v>
      </c>
      <c r="C974">
        <v>11</v>
      </c>
      <c r="D974">
        <f t="shared" ref="D974:D1037" si="15">COMBIN(A$4,A974)*COMBIN(B$4,B974)*COMBIN(C$4,C974)/COMBIN($F$4,$E$4)</f>
        <v>3.4264967401436695E-7</v>
      </c>
    </row>
    <row r="975" spans="1:4" x14ac:dyDescent="0.25">
      <c r="A975">
        <v>26</v>
      </c>
      <c r="B975">
        <v>12</v>
      </c>
      <c r="C975">
        <v>10</v>
      </c>
      <c r="D975">
        <f t="shared" si="15"/>
        <v>7.6337142565226023E-7</v>
      </c>
    </row>
    <row r="976" spans="1:4" x14ac:dyDescent="0.25">
      <c r="A976">
        <v>26</v>
      </c>
      <c r="B976">
        <v>13</v>
      </c>
      <c r="C976">
        <v>9</v>
      </c>
      <c r="D976">
        <f t="shared" si="15"/>
        <v>1.4019609836498237E-6</v>
      </c>
    </row>
    <row r="977" spans="1:4" x14ac:dyDescent="0.25">
      <c r="A977">
        <v>26</v>
      </c>
      <c r="B977">
        <v>14</v>
      </c>
      <c r="C977">
        <v>8</v>
      </c>
      <c r="D977">
        <f t="shared" si="15"/>
        <v>2.1140681499481481E-6</v>
      </c>
    </row>
    <row r="978" spans="1:4" x14ac:dyDescent="0.25">
      <c r="A978">
        <v>26</v>
      </c>
      <c r="B978">
        <v>15</v>
      </c>
      <c r="C978">
        <v>7</v>
      </c>
      <c r="D978">
        <f t="shared" si="15"/>
        <v>2.5987569453021121E-6</v>
      </c>
    </row>
    <row r="979" spans="1:4" x14ac:dyDescent="0.25">
      <c r="A979">
        <v>26</v>
      </c>
      <c r="B979">
        <v>16</v>
      </c>
      <c r="C979">
        <v>6</v>
      </c>
      <c r="D979">
        <f t="shared" si="15"/>
        <v>2.5752742018204662E-6</v>
      </c>
    </row>
    <row r="980" spans="1:4" x14ac:dyDescent="0.25">
      <c r="A980">
        <v>26</v>
      </c>
      <c r="B980">
        <v>17</v>
      </c>
      <c r="C980">
        <v>5</v>
      </c>
      <c r="D980">
        <f t="shared" si="15"/>
        <v>2.0234297300017949E-6</v>
      </c>
    </row>
    <row r="981" spans="1:4" x14ac:dyDescent="0.25">
      <c r="A981">
        <v>26</v>
      </c>
      <c r="B981">
        <v>18</v>
      </c>
      <c r="C981">
        <v>4</v>
      </c>
      <c r="D981">
        <f t="shared" si="15"/>
        <v>1.2299278750991302E-6</v>
      </c>
    </row>
    <row r="982" spans="1:4" x14ac:dyDescent="0.25">
      <c r="A982">
        <v>26</v>
      </c>
      <c r="B982">
        <v>19</v>
      </c>
      <c r="C982">
        <v>3</v>
      </c>
      <c r="D982">
        <f t="shared" si="15"/>
        <v>5.5700528003265398E-7</v>
      </c>
    </row>
    <row r="983" spans="1:4" x14ac:dyDescent="0.25">
      <c r="A983">
        <v>26</v>
      </c>
      <c r="B983">
        <v>20</v>
      </c>
      <c r="C983">
        <v>2</v>
      </c>
      <c r="D983">
        <f t="shared" si="15"/>
        <v>1.7670512332070392E-7</v>
      </c>
    </row>
    <row r="984" spans="1:4" x14ac:dyDescent="0.25">
      <c r="A984">
        <v>26</v>
      </c>
      <c r="B984">
        <v>21</v>
      </c>
      <c r="C984">
        <v>1</v>
      </c>
      <c r="D984">
        <f t="shared" si="15"/>
        <v>3.4996793904425143E-8</v>
      </c>
    </row>
    <row r="985" spans="1:4" x14ac:dyDescent="0.25">
      <c r="A985">
        <v>26</v>
      </c>
      <c r="B985">
        <v>22</v>
      </c>
      <c r="C985">
        <v>0</v>
      </c>
      <c r="D985">
        <f t="shared" si="15"/>
        <v>3.253021701024197E-9</v>
      </c>
    </row>
    <row r="986" spans="1:4" x14ac:dyDescent="0.25">
      <c r="A986">
        <v>27</v>
      </c>
      <c r="B986">
        <v>0</v>
      </c>
      <c r="C986">
        <v>21</v>
      </c>
      <c r="D986">
        <f t="shared" si="15"/>
        <v>8.093064469755734E-18</v>
      </c>
    </row>
    <row r="987" spans="1:4" x14ac:dyDescent="0.25">
      <c r="A987">
        <v>27</v>
      </c>
      <c r="B987">
        <v>1</v>
      </c>
      <c r="C987">
        <v>20</v>
      </c>
      <c r="D987">
        <f t="shared" si="15"/>
        <v>5.0001063528360397E-16</v>
      </c>
    </row>
    <row r="988" spans="1:4" x14ac:dyDescent="0.25">
      <c r="A988">
        <v>27</v>
      </c>
      <c r="B988">
        <v>2</v>
      </c>
      <c r="C988">
        <v>19</v>
      </c>
      <c r="D988">
        <f t="shared" si="15"/>
        <v>1.4428878332469721E-14</v>
      </c>
    </row>
    <row r="989" spans="1:4" x14ac:dyDescent="0.25">
      <c r="A989">
        <v>27</v>
      </c>
      <c r="B989">
        <v>3</v>
      </c>
      <c r="C989">
        <v>18</v>
      </c>
      <c r="D989">
        <f t="shared" si="15"/>
        <v>2.5870369179202765E-13</v>
      </c>
    </row>
    <row r="990" spans="1:4" x14ac:dyDescent="0.25">
      <c r="A990">
        <v>27</v>
      </c>
      <c r="B990">
        <v>4</v>
      </c>
      <c r="C990">
        <v>17</v>
      </c>
      <c r="D990">
        <f t="shared" si="15"/>
        <v>3.233796147400345E-12</v>
      </c>
    </row>
    <row r="991" spans="1:4" x14ac:dyDescent="0.25">
      <c r="A991">
        <v>27</v>
      </c>
      <c r="B991">
        <v>5</v>
      </c>
      <c r="C991">
        <v>16</v>
      </c>
      <c r="D991">
        <f t="shared" si="15"/>
        <v>2.9972417442891416E-11</v>
      </c>
    </row>
    <row r="992" spans="1:4" x14ac:dyDescent="0.25">
      <c r="A992">
        <v>27</v>
      </c>
      <c r="B992">
        <v>6</v>
      </c>
      <c r="C992">
        <v>15</v>
      </c>
      <c r="D992">
        <f t="shared" si="15"/>
        <v>2.1385724878171164E-10</v>
      </c>
    </row>
    <row r="993" spans="1:4" x14ac:dyDescent="0.25">
      <c r="A993">
        <v>27</v>
      </c>
      <c r="B993">
        <v>7</v>
      </c>
      <c r="C993">
        <v>14</v>
      </c>
      <c r="D993">
        <f t="shared" si="15"/>
        <v>1.2037108002856344E-9</v>
      </c>
    </row>
    <row r="994" spans="1:4" x14ac:dyDescent="0.25">
      <c r="A994">
        <v>27</v>
      </c>
      <c r="B994">
        <v>8</v>
      </c>
      <c r="C994">
        <v>13</v>
      </c>
      <c r="D994">
        <f t="shared" si="15"/>
        <v>5.4325369012891149E-9</v>
      </c>
    </row>
    <row r="995" spans="1:4" x14ac:dyDescent="0.25">
      <c r="A995">
        <v>27</v>
      </c>
      <c r="B995">
        <v>9</v>
      </c>
      <c r="C995">
        <v>12</v>
      </c>
      <c r="D995">
        <f t="shared" si="15"/>
        <v>1.9872267019867095E-8</v>
      </c>
    </row>
    <row r="996" spans="1:4" x14ac:dyDescent="0.25">
      <c r="A996">
        <v>27</v>
      </c>
      <c r="B996">
        <v>10</v>
      </c>
      <c r="C996">
        <v>11</v>
      </c>
      <c r="D996">
        <f t="shared" si="15"/>
        <v>5.9311073874680296E-8</v>
      </c>
    </row>
    <row r="997" spans="1:4" x14ac:dyDescent="0.25">
      <c r="A997">
        <v>27</v>
      </c>
      <c r="B997">
        <v>11</v>
      </c>
      <c r="C997">
        <v>10</v>
      </c>
      <c r="D997">
        <f t="shared" si="15"/>
        <v>1.4489920579510507E-7</v>
      </c>
    </row>
    <row r="998" spans="1:4" x14ac:dyDescent="0.25">
      <c r="A998">
        <v>27</v>
      </c>
      <c r="B998">
        <v>12</v>
      </c>
      <c r="C998">
        <v>9</v>
      </c>
      <c r="D998">
        <f t="shared" si="15"/>
        <v>2.8979841159021004E-7</v>
      </c>
    </row>
    <row r="999" spans="1:4" x14ac:dyDescent="0.25">
      <c r="A999">
        <v>27</v>
      </c>
      <c r="B999">
        <v>13</v>
      </c>
      <c r="C999">
        <v>8</v>
      </c>
      <c r="D999">
        <f t="shared" si="15"/>
        <v>4.7308971464726587E-7</v>
      </c>
    </row>
    <row r="1000" spans="1:4" x14ac:dyDescent="0.25">
      <c r="A1000">
        <v>27</v>
      </c>
      <c r="B1000">
        <v>14</v>
      </c>
      <c r="C1000">
        <v>7</v>
      </c>
      <c r="D1000">
        <f t="shared" si="15"/>
        <v>6.263905629475997E-7</v>
      </c>
    </row>
    <row r="1001" spans="1:4" x14ac:dyDescent="0.25">
      <c r="A1001">
        <v>27</v>
      </c>
      <c r="B1001">
        <v>15</v>
      </c>
      <c r="C1001">
        <v>6</v>
      </c>
      <c r="D1001">
        <f t="shared" si="15"/>
        <v>6.6563430905997869E-7</v>
      </c>
    </row>
    <row r="1002" spans="1:4" x14ac:dyDescent="0.25">
      <c r="A1002">
        <v>27</v>
      </c>
      <c r="B1002">
        <v>16</v>
      </c>
      <c r="C1002">
        <v>5</v>
      </c>
      <c r="D1002">
        <f t="shared" si="15"/>
        <v>5.5865736653248268E-7</v>
      </c>
    </row>
    <row r="1003" spans="1:4" x14ac:dyDescent="0.25">
      <c r="A1003">
        <v>27</v>
      </c>
      <c r="B1003">
        <v>17</v>
      </c>
      <c r="C1003">
        <v>4</v>
      </c>
      <c r="D1003">
        <f t="shared" si="15"/>
        <v>3.6148417834454743E-7</v>
      </c>
    </row>
    <row r="1004" spans="1:4" x14ac:dyDescent="0.25">
      <c r="A1004">
        <v>27</v>
      </c>
      <c r="B1004">
        <v>18</v>
      </c>
      <c r="C1004">
        <v>3</v>
      </c>
      <c r="D1004">
        <f t="shared" si="15"/>
        <v>1.7373658184001505E-7</v>
      </c>
    </row>
    <row r="1005" spans="1:4" x14ac:dyDescent="0.25">
      <c r="A1005">
        <v>27</v>
      </c>
      <c r="B1005">
        <v>19</v>
      </c>
      <c r="C1005">
        <v>2</v>
      </c>
      <c r="D1005">
        <f t="shared" si="15"/>
        <v>5.833260914773647E-8</v>
      </c>
    </row>
    <row r="1006" spans="1:4" x14ac:dyDescent="0.25">
      <c r="A1006">
        <v>27</v>
      </c>
      <c r="B1006">
        <v>20</v>
      </c>
      <c r="C1006">
        <v>1</v>
      </c>
      <c r="D1006">
        <f t="shared" si="15"/>
        <v>1.2196818276344891E-8</v>
      </c>
    </row>
    <row r="1007" spans="1:4" x14ac:dyDescent="0.25">
      <c r="A1007">
        <v>27</v>
      </c>
      <c r="B1007">
        <v>21</v>
      </c>
      <c r="C1007">
        <v>0</v>
      </c>
      <c r="D1007">
        <f t="shared" si="15"/>
        <v>1.1942310029808002E-9</v>
      </c>
    </row>
    <row r="1008" spans="1:4" x14ac:dyDescent="0.25">
      <c r="A1008">
        <v>28</v>
      </c>
      <c r="B1008">
        <v>0</v>
      </c>
      <c r="C1008">
        <v>20</v>
      </c>
      <c r="D1008">
        <f t="shared" si="15"/>
        <v>7.1254154570675441E-18</v>
      </c>
    </row>
    <row r="1009" spans="1:4" x14ac:dyDescent="0.25">
      <c r="A1009">
        <v>28</v>
      </c>
      <c r="B1009">
        <v>1</v>
      </c>
      <c r="C1009">
        <v>19</v>
      </c>
      <c r="D1009">
        <f t="shared" si="15"/>
        <v>4.1327409650991789E-16</v>
      </c>
    </row>
    <row r="1010" spans="1:4" x14ac:dyDescent="0.25">
      <c r="A1010">
        <v>28</v>
      </c>
      <c r="B1010">
        <v>2</v>
      </c>
      <c r="C1010">
        <v>18</v>
      </c>
      <c r="D1010">
        <f t="shared" si="15"/>
        <v>1.1170042129613138E-14</v>
      </c>
    </row>
    <row r="1011" spans="1:4" x14ac:dyDescent="0.25">
      <c r="A1011">
        <v>28</v>
      </c>
      <c r="B1011">
        <v>3</v>
      </c>
      <c r="C1011">
        <v>17</v>
      </c>
      <c r="D1011">
        <f t="shared" si="15"/>
        <v>1.8709820567101992E-13</v>
      </c>
    </row>
    <row r="1012" spans="1:4" x14ac:dyDescent="0.25">
      <c r="A1012">
        <v>28</v>
      </c>
      <c r="B1012">
        <v>4</v>
      </c>
      <c r="C1012">
        <v>16</v>
      </c>
      <c r="D1012">
        <f t="shared" si="15"/>
        <v>2.1785407509639305E-12</v>
      </c>
    </row>
    <row r="1013" spans="1:4" x14ac:dyDescent="0.25">
      <c r="A1013">
        <v>28</v>
      </c>
      <c r="B1013">
        <v>5</v>
      </c>
      <c r="C1013">
        <v>15</v>
      </c>
      <c r="D1013">
        <f t="shared" si="15"/>
        <v>1.8747226354240968E-11</v>
      </c>
    </row>
    <row r="1014" spans="1:4" x14ac:dyDescent="0.25">
      <c r="A1014">
        <v>28</v>
      </c>
      <c r="B1014">
        <v>6</v>
      </c>
      <c r="C1014">
        <v>14</v>
      </c>
      <c r="D1014">
        <f t="shared" si="15"/>
        <v>1.2373169393799031E-10</v>
      </c>
    </row>
    <row r="1015" spans="1:4" x14ac:dyDescent="0.25">
      <c r="A1015">
        <v>28</v>
      </c>
      <c r="B1015">
        <v>7</v>
      </c>
      <c r="C1015">
        <v>13</v>
      </c>
      <c r="D1015">
        <f t="shared" si="15"/>
        <v>6.4145115015221317E-10</v>
      </c>
    </row>
    <row r="1016" spans="1:4" x14ac:dyDescent="0.25">
      <c r="A1016">
        <v>28</v>
      </c>
      <c r="B1016">
        <v>8</v>
      </c>
      <c r="C1016">
        <v>12</v>
      </c>
      <c r="D1016">
        <f t="shared" si="15"/>
        <v>2.6532752119932457E-9</v>
      </c>
    </row>
    <row r="1017" spans="1:4" x14ac:dyDescent="0.25">
      <c r="A1017">
        <v>28</v>
      </c>
      <c r="B1017">
        <v>9</v>
      </c>
      <c r="C1017">
        <v>11</v>
      </c>
      <c r="D1017">
        <f t="shared" si="15"/>
        <v>8.8442507066441514E-9</v>
      </c>
    </row>
    <row r="1018" spans="1:4" x14ac:dyDescent="0.25">
      <c r="A1018">
        <v>28</v>
      </c>
      <c r="B1018">
        <v>10</v>
      </c>
      <c r="C1018">
        <v>10</v>
      </c>
      <c r="D1018">
        <f t="shared" si="15"/>
        <v>2.3890672161998257E-8</v>
      </c>
    </row>
    <row r="1019" spans="1:4" x14ac:dyDescent="0.25">
      <c r="A1019">
        <v>28</v>
      </c>
      <c r="B1019">
        <v>11</v>
      </c>
      <c r="C1019">
        <v>9</v>
      </c>
      <c r="D1019">
        <f t="shared" si="15"/>
        <v>5.2396587809837117E-8</v>
      </c>
    </row>
    <row r="1020" spans="1:4" x14ac:dyDescent="0.25">
      <c r="A1020">
        <v>28</v>
      </c>
      <c r="B1020">
        <v>12</v>
      </c>
      <c r="C1020">
        <v>8</v>
      </c>
      <c r="D1020">
        <f t="shared" si="15"/>
        <v>9.314948943971039E-8</v>
      </c>
    </row>
    <row r="1021" spans="1:4" x14ac:dyDescent="0.25">
      <c r="A1021">
        <v>28</v>
      </c>
      <c r="B1021">
        <v>13</v>
      </c>
      <c r="C1021">
        <v>7</v>
      </c>
      <c r="D1021">
        <f t="shared" si="15"/>
        <v>1.3352009368093565E-7</v>
      </c>
    </row>
    <row r="1022" spans="1:4" x14ac:dyDescent="0.25">
      <c r="A1022">
        <v>28</v>
      </c>
      <c r="B1022">
        <v>14</v>
      </c>
      <c r="C1022">
        <v>6</v>
      </c>
      <c r="D1022">
        <f t="shared" si="15"/>
        <v>1.5282420361070955E-7</v>
      </c>
    </row>
    <row r="1023" spans="1:4" x14ac:dyDescent="0.25">
      <c r="A1023">
        <v>28</v>
      </c>
      <c r="B1023">
        <v>15</v>
      </c>
      <c r="C1023">
        <v>5</v>
      </c>
      <c r="D1023">
        <f t="shared" si="15"/>
        <v>1.3754178324963856E-7</v>
      </c>
    </row>
    <row r="1024" spans="1:4" x14ac:dyDescent="0.25">
      <c r="A1024">
        <v>28</v>
      </c>
      <c r="B1024">
        <v>16</v>
      </c>
      <c r="C1024">
        <v>4</v>
      </c>
      <c r="D1024">
        <f t="shared" si="15"/>
        <v>9.5065644304897256E-8</v>
      </c>
    </row>
    <row r="1025" spans="1:4" x14ac:dyDescent="0.25">
      <c r="A1025">
        <v>28</v>
      </c>
      <c r="B1025">
        <v>17</v>
      </c>
      <c r="C1025">
        <v>3</v>
      </c>
      <c r="D1025">
        <f t="shared" si="15"/>
        <v>4.8638236621110206E-8</v>
      </c>
    </row>
    <row r="1026" spans="1:4" x14ac:dyDescent="0.25">
      <c r="A1026">
        <v>28</v>
      </c>
      <c r="B1026">
        <v>18</v>
      </c>
      <c r="C1026">
        <v>2</v>
      </c>
      <c r="D1026">
        <f t="shared" si="15"/>
        <v>1.7330865922464558E-8</v>
      </c>
    </row>
    <row r="1027" spans="1:4" x14ac:dyDescent="0.25">
      <c r="A1027">
        <v>28</v>
      </c>
      <c r="B1027">
        <v>19</v>
      </c>
      <c r="C1027">
        <v>1</v>
      </c>
      <c r="D1027">
        <f t="shared" si="15"/>
        <v>3.8351796598755309E-9</v>
      </c>
    </row>
    <row r="1028" spans="1:4" x14ac:dyDescent="0.25">
      <c r="A1028">
        <v>28</v>
      </c>
      <c r="B1028">
        <v>20</v>
      </c>
      <c r="C1028">
        <v>0</v>
      </c>
      <c r="D1028">
        <f t="shared" si="15"/>
        <v>3.9644553787477376E-10</v>
      </c>
    </row>
    <row r="1029" spans="1:4" x14ac:dyDescent="0.25">
      <c r="A1029">
        <v>29</v>
      </c>
      <c r="B1029">
        <v>0</v>
      </c>
      <c r="C1029">
        <v>19</v>
      </c>
      <c r="D1029">
        <f t="shared" si="15"/>
        <v>5.6160910006443748E-18</v>
      </c>
    </row>
    <row r="1030" spans="1:4" x14ac:dyDescent="0.25">
      <c r="A1030">
        <v>29</v>
      </c>
      <c r="B1030">
        <v>1</v>
      </c>
      <c r="C1030">
        <v>18</v>
      </c>
      <c r="D1030">
        <f t="shared" si="15"/>
        <v>3.0508821111951217E-16</v>
      </c>
    </row>
    <row r="1031" spans="1:4" x14ac:dyDescent="0.25">
      <c r="A1031">
        <v>29</v>
      </c>
      <c r="B1031">
        <v>2</v>
      </c>
      <c r="C1031">
        <v>17</v>
      </c>
      <c r="D1031">
        <f t="shared" si="15"/>
        <v>7.70347733076768E-15</v>
      </c>
    </row>
    <row r="1032" spans="1:4" x14ac:dyDescent="0.25">
      <c r="A1032">
        <v>29</v>
      </c>
      <c r="B1032">
        <v>3</v>
      </c>
      <c r="C1032">
        <v>16</v>
      </c>
      <c r="D1032">
        <f t="shared" si="15"/>
        <v>1.201953517773203E-13</v>
      </c>
    </row>
    <row r="1033" spans="1:4" x14ac:dyDescent="0.25">
      <c r="A1033">
        <v>29</v>
      </c>
      <c r="B1033">
        <v>4</v>
      </c>
      <c r="C1033">
        <v>15</v>
      </c>
      <c r="D1033">
        <f t="shared" si="15"/>
        <v>1.2994092084034635E-12</v>
      </c>
    </row>
    <row r="1034" spans="1:4" x14ac:dyDescent="0.25">
      <c r="A1034">
        <v>29</v>
      </c>
      <c r="B1034">
        <v>5</v>
      </c>
      <c r="C1034">
        <v>14</v>
      </c>
      <c r="D1034">
        <f t="shared" si="15"/>
        <v>1.034329729889157E-11</v>
      </c>
    </row>
    <row r="1035" spans="1:4" x14ac:dyDescent="0.25">
      <c r="A1035">
        <v>29</v>
      </c>
      <c r="B1035">
        <v>6</v>
      </c>
      <c r="C1035">
        <v>13</v>
      </c>
      <c r="D1035">
        <f t="shared" si="15"/>
        <v>6.2876359895893464E-11</v>
      </c>
    </row>
    <row r="1036" spans="1:4" x14ac:dyDescent="0.25">
      <c r="A1036">
        <v>29</v>
      </c>
      <c r="B1036">
        <v>7</v>
      </c>
      <c r="C1036">
        <v>12</v>
      </c>
      <c r="D1036">
        <f t="shared" si="15"/>
        <v>2.987501998021952E-10</v>
      </c>
    </row>
    <row r="1037" spans="1:4" x14ac:dyDescent="0.25">
      <c r="A1037">
        <v>29</v>
      </c>
      <c r="B1037">
        <v>8</v>
      </c>
      <c r="C1037">
        <v>11</v>
      </c>
      <c r="D1037">
        <f t="shared" si="15"/>
        <v>1.1260584454082746E-9</v>
      </c>
    </row>
    <row r="1038" spans="1:4" x14ac:dyDescent="0.25">
      <c r="A1038">
        <v>29</v>
      </c>
      <c r="B1038">
        <v>9</v>
      </c>
      <c r="C1038">
        <v>10</v>
      </c>
      <c r="D1038">
        <f t="shared" ref="D1038:D1101" si="16">COMBIN(A$4,A1038)*COMBIN(B$4,B1038)*COMBIN(C$4,C1038)/COMBIN($F$4,$E$4)</f>
        <v>3.3971805420544974E-9</v>
      </c>
    </row>
    <row r="1039" spans="1:4" x14ac:dyDescent="0.25">
      <c r="A1039">
        <v>29</v>
      </c>
      <c r="B1039">
        <v>10</v>
      </c>
      <c r="C1039">
        <v>9</v>
      </c>
      <c r="D1039">
        <f t="shared" si="16"/>
        <v>8.2381628144821604E-9</v>
      </c>
    </row>
    <row r="1040" spans="1:4" x14ac:dyDescent="0.25">
      <c r="A1040">
        <v>29</v>
      </c>
      <c r="B1040">
        <v>11</v>
      </c>
      <c r="C1040">
        <v>8</v>
      </c>
      <c r="D1040">
        <f t="shared" si="16"/>
        <v>1.6060256799950077E-8</v>
      </c>
    </row>
    <row r="1041" spans="1:4" x14ac:dyDescent="0.25">
      <c r="A1041">
        <v>29</v>
      </c>
      <c r="B1041">
        <v>12</v>
      </c>
      <c r="C1041">
        <v>7</v>
      </c>
      <c r="D1041">
        <f t="shared" si="16"/>
        <v>2.5069669151141564E-8</v>
      </c>
    </row>
    <row r="1042" spans="1:4" x14ac:dyDescent="0.25">
      <c r="A1042">
        <v>29</v>
      </c>
      <c r="B1042">
        <v>13</v>
      </c>
      <c r="C1042">
        <v>6</v>
      </c>
      <c r="D1042">
        <f t="shared" si="16"/>
        <v>3.106408494446364E-8</v>
      </c>
    </row>
    <row r="1043" spans="1:4" x14ac:dyDescent="0.25">
      <c r="A1043">
        <v>29</v>
      </c>
      <c r="B1043">
        <v>14</v>
      </c>
      <c r="C1043">
        <v>5</v>
      </c>
      <c r="D1043">
        <f t="shared" si="16"/>
        <v>3.0113143568612737E-8</v>
      </c>
    </row>
    <row r="1044" spans="1:4" x14ac:dyDescent="0.25">
      <c r="A1044">
        <v>29</v>
      </c>
      <c r="B1044">
        <v>15</v>
      </c>
      <c r="C1044">
        <v>4</v>
      </c>
      <c r="D1044">
        <f t="shared" si="16"/>
        <v>2.2319153468501184E-8</v>
      </c>
    </row>
    <row r="1045" spans="1:4" x14ac:dyDescent="0.25">
      <c r="A1045">
        <v>29</v>
      </c>
      <c r="B1045">
        <v>16</v>
      </c>
      <c r="C1045">
        <v>3</v>
      </c>
      <c r="D1045">
        <f t="shared" si="16"/>
        <v>1.2197676895576234E-8</v>
      </c>
    </row>
    <row r="1046" spans="1:4" x14ac:dyDescent="0.25">
      <c r="A1046">
        <v>29</v>
      </c>
      <c r="B1046">
        <v>17</v>
      </c>
      <c r="C1046">
        <v>2</v>
      </c>
      <c r="D1046">
        <f t="shared" si="16"/>
        <v>4.6267050293565002E-9</v>
      </c>
    </row>
    <row r="1047" spans="1:4" x14ac:dyDescent="0.25">
      <c r="A1047">
        <v>29</v>
      </c>
      <c r="B1047">
        <v>18</v>
      </c>
      <c r="C1047">
        <v>1</v>
      </c>
      <c r="D1047">
        <f t="shared" si="16"/>
        <v>1.086574665985239E-9</v>
      </c>
    </row>
    <row r="1048" spans="1:4" x14ac:dyDescent="0.25">
      <c r="A1048">
        <v>29</v>
      </c>
      <c r="B1048">
        <v>19</v>
      </c>
      <c r="C1048">
        <v>0</v>
      </c>
      <c r="D1048">
        <f t="shared" si="16"/>
        <v>1.1887422425030706E-10</v>
      </c>
    </row>
    <row r="1049" spans="1:4" x14ac:dyDescent="0.25">
      <c r="A1049">
        <v>30</v>
      </c>
      <c r="B1049">
        <v>0</v>
      </c>
      <c r="C1049">
        <v>18</v>
      </c>
      <c r="D1049">
        <f t="shared" si="16"/>
        <v>3.9576303248672347E-18</v>
      </c>
    </row>
    <row r="1050" spans="1:4" x14ac:dyDescent="0.25">
      <c r="A1050">
        <v>30</v>
      </c>
      <c r="B1050">
        <v>1</v>
      </c>
      <c r="C1050">
        <v>17</v>
      </c>
      <c r="D1050">
        <f t="shared" si="16"/>
        <v>2.0084973898701207E-16</v>
      </c>
    </row>
    <row r="1051" spans="1:4" x14ac:dyDescent="0.25">
      <c r="A1051">
        <v>30</v>
      </c>
      <c r="B1051">
        <v>2</v>
      </c>
      <c r="C1051">
        <v>16</v>
      </c>
      <c r="D1051">
        <f t="shared" si="16"/>
        <v>4.724095915626023E-15</v>
      </c>
    </row>
    <row r="1052" spans="1:4" x14ac:dyDescent="0.25">
      <c r="A1052">
        <v>30</v>
      </c>
      <c r="B1052">
        <v>3</v>
      </c>
      <c r="C1052">
        <v>15</v>
      </c>
      <c r="D1052">
        <f t="shared" si="16"/>
        <v>6.8435551642582386E-14</v>
      </c>
    </row>
    <row r="1053" spans="1:4" x14ac:dyDescent="0.25">
      <c r="A1053">
        <v>30</v>
      </c>
      <c r="B1053">
        <v>4</v>
      </c>
      <c r="C1053">
        <v>14</v>
      </c>
      <c r="D1053">
        <f t="shared" si="16"/>
        <v>6.8435551642582398E-13</v>
      </c>
    </row>
    <row r="1054" spans="1:4" x14ac:dyDescent="0.25">
      <c r="A1054">
        <v>30</v>
      </c>
      <c r="B1054">
        <v>5</v>
      </c>
      <c r="C1054">
        <v>13</v>
      </c>
      <c r="D1054">
        <f t="shared" si="16"/>
        <v>5.0174064967430148E-12</v>
      </c>
    </row>
    <row r="1055" spans="1:4" x14ac:dyDescent="0.25">
      <c r="A1055">
        <v>30</v>
      </c>
      <c r="B1055">
        <v>6</v>
      </c>
      <c r="C1055">
        <v>12</v>
      </c>
      <c r="D1055">
        <f t="shared" si="16"/>
        <v>2.7954121910425354E-11</v>
      </c>
    </row>
    <row r="1056" spans="1:4" x14ac:dyDescent="0.25">
      <c r="A1056">
        <v>30</v>
      </c>
      <c r="B1056">
        <v>7</v>
      </c>
      <c r="C1056">
        <v>11</v>
      </c>
      <c r="D1056">
        <f t="shared" si="16"/>
        <v>1.21032132227556E-10</v>
      </c>
    </row>
    <row r="1057" spans="1:4" x14ac:dyDescent="0.25">
      <c r="A1057">
        <v>30</v>
      </c>
      <c r="B1057">
        <v>8</v>
      </c>
      <c r="C1057">
        <v>10</v>
      </c>
      <c r="D1057">
        <f t="shared" si="16"/>
        <v>4.1288809664970063E-10</v>
      </c>
    </row>
    <row r="1058" spans="1:4" x14ac:dyDescent="0.25">
      <c r="A1058">
        <v>30</v>
      </c>
      <c r="B1058">
        <v>9</v>
      </c>
      <c r="C1058">
        <v>9</v>
      </c>
      <c r="D1058">
        <f t="shared" si="16"/>
        <v>1.1182385950929386E-9</v>
      </c>
    </row>
    <row r="1059" spans="1:4" x14ac:dyDescent="0.25">
      <c r="A1059">
        <v>30</v>
      </c>
      <c r="B1059">
        <v>10</v>
      </c>
      <c r="C1059">
        <v>8</v>
      </c>
      <c r="D1059">
        <f t="shared" si="16"/>
        <v>2.4104254160892243E-9</v>
      </c>
    </row>
    <row r="1060" spans="1:4" x14ac:dyDescent="0.25">
      <c r="A1060">
        <v>30</v>
      </c>
      <c r="B1060">
        <v>11</v>
      </c>
      <c r="C1060">
        <v>7</v>
      </c>
      <c r="D1060">
        <f t="shared" si="16"/>
        <v>4.1260497144587169E-9</v>
      </c>
    </row>
    <row r="1061" spans="1:4" x14ac:dyDescent="0.25">
      <c r="A1061">
        <v>30</v>
      </c>
      <c r="B1061">
        <v>12</v>
      </c>
      <c r="C1061">
        <v>6</v>
      </c>
      <c r="D1061">
        <f t="shared" si="16"/>
        <v>5.5676815424021203E-9</v>
      </c>
    </row>
    <row r="1062" spans="1:4" x14ac:dyDescent="0.25">
      <c r="A1062">
        <v>30</v>
      </c>
      <c r="B1062">
        <v>13</v>
      </c>
      <c r="C1062">
        <v>5</v>
      </c>
      <c r="D1062">
        <f t="shared" si="16"/>
        <v>5.8430064538395898E-9</v>
      </c>
    </row>
    <row r="1063" spans="1:4" x14ac:dyDescent="0.25">
      <c r="A1063">
        <v>30</v>
      </c>
      <c r="B1063">
        <v>14</v>
      </c>
      <c r="C1063">
        <v>4</v>
      </c>
      <c r="D1063">
        <f t="shared" si="16"/>
        <v>4.6645849841576574E-9</v>
      </c>
    </row>
    <row r="1064" spans="1:4" x14ac:dyDescent="0.25">
      <c r="A1064">
        <v>30</v>
      </c>
      <c r="B1064">
        <v>15</v>
      </c>
      <c r="C1064">
        <v>3</v>
      </c>
      <c r="D1064">
        <f t="shared" si="16"/>
        <v>2.7336637581575094E-9</v>
      </c>
    </row>
    <row r="1065" spans="1:4" x14ac:dyDescent="0.25">
      <c r="A1065">
        <v>30</v>
      </c>
      <c r="B1065">
        <v>16</v>
      </c>
      <c r="C1065">
        <v>2</v>
      </c>
      <c r="D1065">
        <f t="shared" si="16"/>
        <v>1.1076051433914049E-9</v>
      </c>
    </row>
    <row r="1066" spans="1:4" x14ac:dyDescent="0.25">
      <c r="A1066">
        <v>30</v>
      </c>
      <c r="B1066">
        <v>17</v>
      </c>
      <c r="C1066">
        <v>1</v>
      </c>
      <c r="D1066">
        <f t="shared" si="16"/>
        <v>2.7690128584785111E-10</v>
      </c>
    </row>
    <row r="1067" spans="1:4" x14ac:dyDescent="0.25">
      <c r="A1067">
        <v>30</v>
      </c>
      <c r="B1067">
        <v>18</v>
      </c>
      <c r="C1067">
        <v>0</v>
      </c>
      <c r="D1067">
        <f t="shared" si="16"/>
        <v>3.2149587495443396E-11</v>
      </c>
    </row>
    <row r="1068" spans="1:4" x14ac:dyDescent="0.25">
      <c r="A1068">
        <v>31</v>
      </c>
      <c r="B1068">
        <v>0</v>
      </c>
      <c r="C1068">
        <v>17</v>
      </c>
      <c r="D1068">
        <f t="shared" si="16"/>
        <v>2.4894771398358377E-18</v>
      </c>
    </row>
    <row r="1069" spans="1:4" x14ac:dyDescent="0.25">
      <c r="A1069">
        <v>31</v>
      </c>
      <c r="B1069">
        <v>1</v>
      </c>
      <c r="C1069">
        <v>16</v>
      </c>
      <c r="D1069">
        <f t="shared" si="16"/>
        <v>1.1768747410374622E-16</v>
      </c>
    </row>
    <row r="1070" spans="1:4" x14ac:dyDescent="0.25">
      <c r="A1070">
        <v>31</v>
      </c>
      <c r="B1070">
        <v>2</v>
      </c>
      <c r="C1070">
        <v>15</v>
      </c>
      <c r="D1070">
        <f t="shared" si="16"/>
        <v>2.5700399750223499E-15</v>
      </c>
    </row>
    <row r="1071" spans="1:4" x14ac:dyDescent="0.25">
      <c r="A1071">
        <v>31</v>
      </c>
      <c r="B1071">
        <v>3</v>
      </c>
      <c r="C1071">
        <v>14</v>
      </c>
      <c r="D1071">
        <f t="shared" si="16"/>
        <v>3.443853566529949E-14</v>
      </c>
    </row>
    <row r="1072" spans="1:4" x14ac:dyDescent="0.25">
      <c r="A1072">
        <v>31</v>
      </c>
      <c r="B1072">
        <v>4</v>
      </c>
      <c r="C1072">
        <v>13</v>
      </c>
      <c r="D1072">
        <f t="shared" si="16"/>
        <v>3.1719703902249529E-13</v>
      </c>
    </row>
    <row r="1073" spans="1:4" x14ac:dyDescent="0.25">
      <c r="A1073">
        <v>31</v>
      </c>
      <c r="B1073">
        <v>5</v>
      </c>
      <c r="C1073">
        <v>12</v>
      </c>
      <c r="D1073">
        <f t="shared" si="16"/>
        <v>2.1313993245485601E-12</v>
      </c>
    </row>
    <row r="1074" spans="1:4" x14ac:dyDescent="0.25">
      <c r="A1074">
        <v>31</v>
      </c>
      <c r="B1074">
        <v>6</v>
      </c>
      <c r="C1074">
        <v>11</v>
      </c>
      <c r="D1074">
        <f t="shared" si="16"/>
        <v>1.0820950416938839E-11</v>
      </c>
    </row>
    <row r="1075" spans="1:4" x14ac:dyDescent="0.25">
      <c r="A1075">
        <v>31</v>
      </c>
      <c r="B1075">
        <v>7</v>
      </c>
      <c r="C1075">
        <v>10</v>
      </c>
      <c r="D1075">
        <f t="shared" si="16"/>
        <v>4.240325416547283E-11</v>
      </c>
    </row>
    <row r="1076" spans="1:4" x14ac:dyDescent="0.25">
      <c r="A1076">
        <v>31</v>
      </c>
      <c r="B1076">
        <v>8</v>
      </c>
      <c r="C1076">
        <v>9</v>
      </c>
      <c r="D1076">
        <f t="shared" si="16"/>
        <v>1.2985996588176055E-10</v>
      </c>
    </row>
    <row r="1077" spans="1:4" x14ac:dyDescent="0.25">
      <c r="A1077">
        <v>31</v>
      </c>
      <c r="B1077">
        <v>9</v>
      </c>
      <c r="C1077">
        <v>8</v>
      </c>
      <c r="D1077">
        <f t="shared" si="16"/>
        <v>3.1262584378942338E-10</v>
      </c>
    </row>
    <row r="1078" spans="1:4" x14ac:dyDescent="0.25">
      <c r="A1078">
        <v>31</v>
      </c>
      <c r="B1078">
        <v>10</v>
      </c>
      <c r="C1078">
        <v>7</v>
      </c>
      <c r="D1078">
        <f t="shared" si="16"/>
        <v>5.9170159702583553E-10</v>
      </c>
    </row>
    <row r="1079" spans="1:4" x14ac:dyDescent="0.25">
      <c r="A1079">
        <v>31</v>
      </c>
      <c r="B1079">
        <v>11</v>
      </c>
      <c r="C1079">
        <v>6</v>
      </c>
      <c r="D1079">
        <f t="shared" si="16"/>
        <v>8.7556282320033302E-10</v>
      </c>
    </row>
    <row r="1080" spans="1:4" x14ac:dyDescent="0.25">
      <c r="A1080">
        <v>31</v>
      </c>
      <c r="B1080">
        <v>12</v>
      </c>
      <c r="C1080">
        <v>5</v>
      </c>
      <c r="D1080">
        <f t="shared" si="16"/>
        <v>1.0006432265146663E-9</v>
      </c>
    </row>
    <row r="1081" spans="1:4" x14ac:dyDescent="0.25">
      <c r="A1081">
        <v>31</v>
      </c>
      <c r="B1081">
        <v>13</v>
      </c>
      <c r="C1081">
        <v>4</v>
      </c>
      <c r="D1081">
        <f t="shared" si="16"/>
        <v>8.6480930436335387E-10</v>
      </c>
    </row>
    <row r="1082" spans="1:4" x14ac:dyDescent="0.25">
      <c r="A1082">
        <v>31</v>
      </c>
      <c r="B1082">
        <v>14</v>
      </c>
      <c r="C1082">
        <v>3</v>
      </c>
      <c r="D1082">
        <f t="shared" si="16"/>
        <v>5.4589291637553924E-10</v>
      </c>
    </row>
    <row r="1083" spans="1:4" x14ac:dyDescent="0.25">
      <c r="A1083">
        <v>31</v>
      </c>
      <c r="B1083">
        <v>15</v>
      </c>
      <c r="C1083">
        <v>2</v>
      </c>
      <c r="D1083">
        <f t="shared" si="16"/>
        <v>2.371810602183376E-10</v>
      </c>
    </row>
    <row r="1084" spans="1:4" x14ac:dyDescent="0.25">
      <c r="A1084">
        <v>31</v>
      </c>
      <c r="B1084">
        <v>16</v>
      </c>
      <c r="C1084">
        <v>1</v>
      </c>
      <c r="D1084">
        <f t="shared" si="16"/>
        <v>6.3338124035578809E-11</v>
      </c>
    </row>
    <row r="1085" spans="1:4" x14ac:dyDescent="0.25">
      <c r="A1085">
        <v>31</v>
      </c>
      <c r="B1085">
        <v>17</v>
      </c>
      <c r="C1085">
        <v>0</v>
      </c>
      <c r="D1085">
        <f t="shared" si="16"/>
        <v>7.8283074650715352E-12</v>
      </c>
    </row>
    <row r="1086" spans="1:4" x14ac:dyDescent="0.25">
      <c r="A1086">
        <v>32</v>
      </c>
      <c r="B1086">
        <v>0</v>
      </c>
      <c r="C1086">
        <v>16</v>
      </c>
      <c r="D1086">
        <f t="shared" si="16"/>
        <v>1.3950023870056135E-18</v>
      </c>
    </row>
    <row r="1087" spans="1:4" x14ac:dyDescent="0.25">
      <c r="A1087">
        <v>32</v>
      </c>
      <c r="B1087">
        <v>1</v>
      </c>
      <c r="C1087">
        <v>15</v>
      </c>
      <c r="D1087">
        <f t="shared" si="16"/>
        <v>6.1229293959381547E-17</v>
      </c>
    </row>
    <row r="1088" spans="1:4" x14ac:dyDescent="0.25">
      <c r="A1088">
        <v>32</v>
      </c>
      <c r="B1088">
        <v>2</v>
      </c>
      <c r="C1088">
        <v>14</v>
      </c>
      <c r="D1088">
        <f t="shared" si="16"/>
        <v>1.2368317379795072E-15</v>
      </c>
    </row>
    <row r="1089" spans="1:4" x14ac:dyDescent="0.25">
      <c r="A1089">
        <v>32</v>
      </c>
      <c r="B1089">
        <v>3</v>
      </c>
      <c r="C1089">
        <v>13</v>
      </c>
      <c r="D1089">
        <f t="shared" si="16"/>
        <v>1.5265107502957599E-14</v>
      </c>
    </row>
    <row r="1090" spans="1:4" x14ac:dyDescent="0.25">
      <c r="A1090">
        <v>32</v>
      </c>
      <c r="B1090">
        <v>4</v>
      </c>
      <c r="C1090">
        <v>12</v>
      </c>
      <c r="D1090">
        <f t="shared" si="16"/>
        <v>1.2886129710288885E-13</v>
      </c>
    </row>
    <row r="1091" spans="1:4" x14ac:dyDescent="0.25">
      <c r="A1091">
        <v>32</v>
      </c>
      <c r="B1091">
        <v>5</v>
      </c>
      <c r="C1091">
        <v>11</v>
      </c>
      <c r="D1091">
        <f t="shared" si="16"/>
        <v>7.8902763456845815E-13</v>
      </c>
    </row>
    <row r="1092" spans="1:4" x14ac:dyDescent="0.25">
      <c r="A1092">
        <v>32</v>
      </c>
      <c r="B1092">
        <v>6</v>
      </c>
      <c r="C1092">
        <v>10</v>
      </c>
      <c r="D1092">
        <f t="shared" si="16"/>
        <v>3.625532042384179E-12</v>
      </c>
    </row>
    <row r="1093" spans="1:4" x14ac:dyDescent="0.25">
      <c r="A1093">
        <v>32</v>
      </c>
      <c r="B1093">
        <v>7</v>
      </c>
      <c r="C1093">
        <v>9</v>
      </c>
      <c r="D1093">
        <f t="shared" si="16"/>
        <v>1.2754103791958633E-11</v>
      </c>
    </row>
    <row r="1094" spans="1:4" x14ac:dyDescent="0.25">
      <c r="A1094">
        <v>32</v>
      </c>
      <c r="B1094">
        <v>8</v>
      </c>
      <c r="C1094">
        <v>8</v>
      </c>
      <c r="D1094">
        <f t="shared" si="16"/>
        <v>3.4719504766998514E-11</v>
      </c>
    </row>
    <row r="1095" spans="1:4" x14ac:dyDescent="0.25">
      <c r="A1095">
        <v>32</v>
      </c>
      <c r="B1095">
        <v>9</v>
      </c>
      <c r="C1095">
        <v>7</v>
      </c>
      <c r="D1095">
        <f t="shared" si="16"/>
        <v>7.3390823084712246E-11</v>
      </c>
    </row>
    <row r="1096" spans="1:4" x14ac:dyDescent="0.25">
      <c r="A1096">
        <v>32</v>
      </c>
      <c r="B1096">
        <v>10</v>
      </c>
      <c r="C1096">
        <v>6</v>
      </c>
      <c r="D1096">
        <f t="shared" si="16"/>
        <v>1.200779972879991E-10</v>
      </c>
    </row>
    <row r="1097" spans="1:4" x14ac:dyDescent="0.25">
      <c r="A1097">
        <v>32</v>
      </c>
      <c r="B1097">
        <v>11</v>
      </c>
      <c r="C1097">
        <v>5</v>
      </c>
      <c r="D1097">
        <f t="shared" si="16"/>
        <v>1.5048736023755742E-10</v>
      </c>
    </row>
    <row r="1098" spans="1:4" x14ac:dyDescent="0.25">
      <c r="A1098">
        <v>32</v>
      </c>
      <c r="B1098">
        <v>12</v>
      </c>
      <c r="C1098">
        <v>4</v>
      </c>
      <c r="D1098">
        <f t="shared" si="16"/>
        <v>1.4163516257652454E-10</v>
      </c>
    </row>
    <row r="1099" spans="1:4" x14ac:dyDescent="0.25">
      <c r="A1099">
        <v>32</v>
      </c>
      <c r="B1099">
        <v>13</v>
      </c>
      <c r="C1099">
        <v>3</v>
      </c>
      <c r="D1099">
        <f t="shared" si="16"/>
        <v>9.67882506336894E-11</v>
      </c>
    </row>
    <row r="1100" spans="1:4" x14ac:dyDescent="0.25">
      <c r="A1100">
        <v>32</v>
      </c>
      <c r="B1100">
        <v>14</v>
      </c>
      <c r="C1100">
        <v>2</v>
      </c>
      <c r="D1100">
        <f t="shared" si="16"/>
        <v>4.5294994138918703E-11</v>
      </c>
    </row>
    <row r="1101" spans="1:4" x14ac:dyDescent="0.25">
      <c r="A1101">
        <v>32</v>
      </c>
      <c r="B1101">
        <v>15</v>
      </c>
      <c r="C1101">
        <v>1</v>
      </c>
      <c r="D1101">
        <f t="shared" si="16"/>
        <v>1.2970839230690349E-11</v>
      </c>
    </row>
    <row r="1102" spans="1:4" x14ac:dyDescent="0.25">
      <c r="A1102">
        <v>32</v>
      </c>
      <c r="B1102">
        <v>16</v>
      </c>
      <c r="C1102">
        <v>0</v>
      </c>
      <c r="D1102">
        <f t="shared" ref="D1102:D1165" si="17">COMBIN(A$4,A1102)*COMBIN(B$4,B1102)*COMBIN(C$4,C1102)/COMBIN($F$4,$E$4)</f>
        <v>1.7124422579844005E-12</v>
      </c>
    </row>
    <row r="1103" spans="1:4" x14ac:dyDescent="0.25">
      <c r="A1103">
        <v>33</v>
      </c>
      <c r="B1103">
        <v>0</v>
      </c>
      <c r="C1103">
        <v>15</v>
      </c>
      <c r="D1103">
        <f t="shared" si="17"/>
        <v>6.946449232591424E-19</v>
      </c>
    </row>
    <row r="1104" spans="1:4" x14ac:dyDescent="0.25">
      <c r="A1104">
        <v>33</v>
      </c>
      <c r="B1104">
        <v>1</v>
      </c>
      <c r="C1104">
        <v>14</v>
      </c>
      <c r="D1104">
        <f t="shared" si="17"/>
        <v>2.8202583884321181E-17</v>
      </c>
    </row>
    <row r="1105" spans="1:4" x14ac:dyDescent="0.25">
      <c r="A1105">
        <v>33</v>
      </c>
      <c r="B1105">
        <v>2</v>
      </c>
      <c r="C1105">
        <v>13</v>
      </c>
      <c r="D1105">
        <f t="shared" si="17"/>
        <v>5.2471649490039666E-16</v>
      </c>
    </row>
    <row r="1106" spans="1:4" x14ac:dyDescent="0.25">
      <c r="A1106">
        <v>33</v>
      </c>
      <c r="B1106">
        <v>3</v>
      </c>
      <c r="C1106">
        <v>12</v>
      </c>
      <c r="D1106">
        <f t="shared" si="17"/>
        <v>5.9354294423148756E-15</v>
      </c>
    </row>
    <row r="1107" spans="1:4" x14ac:dyDescent="0.25">
      <c r="A1107">
        <v>33</v>
      </c>
      <c r="B1107">
        <v>4</v>
      </c>
      <c r="C1107">
        <v>11</v>
      </c>
      <c r="D1107">
        <f t="shared" si="17"/>
        <v>4.5657149556268297E-14</v>
      </c>
    </row>
    <row r="1108" spans="1:4" x14ac:dyDescent="0.25">
      <c r="A1108">
        <v>33</v>
      </c>
      <c r="B1108">
        <v>5</v>
      </c>
      <c r="C1108">
        <v>10</v>
      </c>
      <c r="D1108">
        <f t="shared" si="17"/>
        <v>2.5302151994600334E-13</v>
      </c>
    </row>
    <row r="1109" spans="1:4" x14ac:dyDescent="0.25">
      <c r="A1109">
        <v>33</v>
      </c>
      <c r="B1109">
        <v>6</v>
      </c>
      <c r="C1109">
        <v>9</v>
      </c>
      <c r="D1109">
        <f t="shared" si="17"/>
        <v>1.0437137697772632E-12</v>
      </c>
    </row>
    <row r="1110" spans="1:4" x14ac:dyDescent="0.25">
      <c r="A1110">
        <v>33</v>
      </c>
      <c r="B1110">
        <v>7</v>
      </c>
      <c r="C1110">
        <v>8</v>
      </c>
      <c r="D1110">
        <f t="shared" si="17"/>
        <v>3.2636763912082685E-12</v>
      </c>
    </row>
    <row r="1111" spans="1:4" x14ac:dyDescent="0.25">
      <c r="A1111">
        <v>33</v>
      </c>
      <c r="B1111">
        <v>8</v>
      </c>
      <c r="C1111">
        <v>7</v>
      </c>
      <c r="D1111">
        <f t="shared" si="17"/>
        <v>7.8009825936197637E-12</v>
      </c>
    </row>
    <row r="1112" spans="1:4" x14ac:dyDescent="0.25">
      <c r="A1112">
        <v>33</v>
      </c>
      <c r="B1112">
        <v>9</v>
      </c>
      <c r="C1112">
        <v>6</v>
      </c>
      <c r="D1112">
        <f t="shared" si="17"/>
        <v>1.4254807550590322E-11</v>
      </c>
    </row>
    <row r="1113" spans="1:4" x14ac:dyDescent="0.25">
      <c r="A1113">
        <v>33</v>
      </c>
      <c r="B1113">
        <v>10</v>
      </c>
      <c r="C1113">
        <v>5</v>
      </c>
      <c r="D1113">
        <f t="shared" si="17"/>
        <v>1.9753090462960888E-11</v>
      </c>
    </row>
    <row r="1114" spans="1:4" x14ac:dyDescent="0.25">
      <c r="A1114">
        <v>33</v>
      </c>
      <c r="B1114">
        <v>11</v>
      </c>
      <c r="C1114">
        <v>4</v>
      </c>
      <c r="D1114">
        <f t="shared" si="17"/>
        <v>2.0386879461772473E-11</v>
      </c>
    </row>
    <row r="1115" spans="1:4" x14ac:dyDescent="0.25">
      <c r="A1115">
        <v>33</v>
      </c>
      <c r="B1115">
        <v>12</v>
      </c>
      <c r="C1115">
        <v>3</v>
      </c>
      <c r="D1115">
        <f t="shared" si="17"/>
        <v>1.5171631227365554E-11</v>
      </c>
    </row>
    <row r="1116" spans="1:4" x14ac:dyDescent="0.25">
      <c r="A1116">
        <v>33</v>
      </c>
      <c r="B1116">
        <v>13</v>
      </c>
      <c r="C1116">
        <v>2</v>
      </c>
      <c r="D1116">
        <f t="shared" si="17"/>
        <v>7.6864232478164998E-12</v>
      </c>
    </row>
    <row r="1117" spans="1:4" x14ac:dyDescent="0.25">
      <c r="A1117">
        <v>33</v>
      </c>
      <c r="B1117">
        <v>14</v>
      </c>
      <c r="C1117">
        <v>1</v>
      </c>
      <c r="D1117">
        <f t="shared" si="17"/>
        <v>2.3708123653979479E-12</v>
      </c>
    </row>
    <row r="1118" spans="1:4" x14ac:dyDescent="0.25">
      <c r="A1118">
        <v>33</v>
      </c>
      <c r="B1118">
        <v>15</v>
      </c>
      <c r="C1118">
        <v>0</v>
      </c>
      <c r="D1118">
        <f t="shared" si="17"/>
        <v>3.3564309892150698E-13</v>
      </c>
    </row>
    <row r="1119" spans="1:4" x14ac:dyDescent="0.25">
      <c r="A1119">
        <v>34</v>
      </c>
      <c r="B1119">
        <v>0</v>
      </c>
      <c r="C1119">
        <v>14</v>
      </c>
      <c r="D1119">
        <f t="shared" si="17"/>
        <v>3.0646099555550401E-19</v>
      </c>
    </row>
    <row r="1120" spans="1:4" x14ac:dyDescent="0.25">
      <c r="A1120">
        <v>34</v>
      </c>
      <c r="B1120">
        <v>1</v>
      </c>
      <c r="C1120">
        <v>13</v>
      </c>
      <c r="D1120">
        <f t="shared" si="17"/>
        <v>1.1460028281167661E-17</v>
      </c>
    </row>
    <row r="1121" spans="1:4" x14ac:dyDescent="0.25">
      <c r="A1121">
        <v>34</v>
      </c>
      <c r="B1121">
        <v>2</v>
      </c>
      <c r="C1121">
        <v>12</v>
      </c>
      <c r="D1121">
        <f t="shared" si="17"/>
        <v>1.954158069243265E-16</v>
      </c>
    </row>
    <row r="1122" spans="1:4" x14ac:dyDescent="0.25">
      <c r="A1122">
        <v>34</v>
      </c>
      <c r="B1122">
        <v>3</v>
      </c>
      <c r="C1122">
        <v>11</v>
      </c>
      <c r="D1122">
        <f t="shared" si="17"/>
        <v>2.0142860098353657E-15</v>
      </c>
    </row>
    <row r="1123" spans="1:4" x14ac:dyDescent="0.25">
      <c r="A1123">
        <v>34</v>
      </c>
      <c r="B1123">
        <v>4</v>
      </c>
      <c r="C1123">
        <v>10</v>
      </c>
      <c r="D1123">
        <f t="shared" si="17"/>
        <v>1.4023510195056343E-14</v>
      </c>
    </row>
    <row r="1124" spans="1:4" x14ac:dyDescent="0.25">
      <c r="A1124">
        <v>34</v>
      </c>
      <c r="B1124">
        <v>5</v>
      </c>
      <c r="C1124">
        <v>9</v>
      </c>
      <c r="D1124">
        <f t="shared" si="17"/>
        <v>6.9766963220405326E-14</v>
      </c>
    </row>
    <row r="1125" spans="1:4" x14ac:dyDescent="0.25">
      <c r="A1125">
        <v>34</v>
      </c>
      <c r="B1125">
        <v>6</v>
      </c>
      <c r="C1125">
        <v>8</v>
      </c>
      <c r="D1125">
        <f t="shared" si="17"/>
        <v>2.5581219847481941E-13</v>
      </c>
    </row>
    <row r="1126" spans="1:4" x14ac:dyDescent="0.25">
      <c r="A1126">
        <v>34</v>
      </c>
      <c r="B1126">
        <v>7</v>
      </c>
      <c r="C1126">
        <v>7</v>
      </c>
      <c r="D1126">
        <f t="shared" si="17"/>
        <v>7.0236938117824977E-13</v>
      </c>
    </row>
    <row r="1127" spans="1:4" x14ac:dyDescent="0.25">
      <c r="A1127">
        <v>34</v>
      </c>
      <c r="B1127">
        <v>8</v>
      </c>
      <c r="C1127">
        <v>6</v>
      </c>
      <c r="D1127">
        <f t="shared" si="17"/>
        <v>1.4512813117116852E-12</v>
      </c>
    </row>
    <row r="1128" spans="1:4" x14ac:dyDescent="0.25">
      <c r="A1128">
        <v>34</v>
      </c>
      <c r="B1128">
        <v>9</v>
      </c>
      <c r="C1128">
        <v>5</v>
      </c>
      <c r="D1128">
        <f t="shared" si="17"/>
        <v>2.2460306014585596E-12</v>
      </c>
    </row>
    <row r="1129" spans="1:4" x14ac:dyDescent="0.25">
      <c r="A1129">
        <v>34</v>
      </c>
      <c r="B1129">
        <v>10</v>
      </c>
      <c r="C1129">
        <v>4</v>
      </c>
      <c r="D1129">
        <f t="shared" si="17"/>
        <v>2.5631172746056507E-12</v>
      </c>
    </row>
    <row r="1130" spans="1:4" x14ac:dyDescent="0.25">
      <c r="A1130">
        <v>34</v>
      </c>
      <c r="B1130">
        <v>11</v>
      </c>
      <c r="C1130">
        <v>3</v>
      </c>
      <c r="D1130">
        <f t="shared" si="17"/>
        <v>2.0916770993610609E-12</v>
      </c>
    </row>
    <row r="1131" spans="1:4" x14ac:dyDescent="0.25">
      <c r="A1131">
        <v>34</v>
      </c>
      <c r="B1131">
        <v>12</v>
      </c>
      <c r="C1131">
        <v>2</v>
      </c>
      <c r="D1131">
        <f t="shared" si="17"/>
        <v>1.1540287444750676E-12</v>
      </c>
    </row>
    <row r="1132" spans="1:4" x14ac:dyDescent="0.25">
      <c r="A1132">
        <v>34</v>
      </c>
      <c r="B1132">
        <v>13</v>
      </c>
      <c r="C1132">
        <v>1</v>
      </c>
      <c r="D1132">
        <f t="shared" si="17"/>
        <v>3.853487590817096E-13</v>
      </c>
    </row>
    <row r="1133" spans="1:4" x14ac:dyDescent="0.25">
      <c r="A1133">
        <v>34</v>
      </c>
      <c r="B1133">
        <v>14</v>
      </c>
      <c r="C1133">
        <v>0</v>
      </c>
      <c r="D1133">
        <f t="shared" si="17"/>
        <v>5.8761046729955735E-14</v>
      </c>
    </row>
    <row r="1134" spans="1:4" x14ac:dyDescent="0.25">
      <c r="A1134">
        <v>35</v>
      </c>
      <c r="B1134">
        <v>0</v>
      </c>
      <c r="C1134">
        <v>13</v>
      </c>
      <c r="D1134">
        <f t="shared" si="17"/>
        <v>1.1935849300582785E-19</v>
      </c>
    </row>
    <row r="1135" spans="1:4" x14ac:dyDescent="0.25">
      <c r="A1135">
        <v>35</v>
      </c>
      <c r="B1135">
        <v>1</v>
      </c>
      <c r="C1135">
        <v>12</v>
      </c>
      <c r="D1135">
        <f t="shared" si="17"/>
        <v>4.0907410784724633E-18</v>
      </c>
    </row>
    <row r="1136" spans="1:4" x14ac:dyDescent="0.25">
      <c r="A1136">
        <v>35</v>
      </c>
      <c r="B1136">
        <v>2</v>
      </c>
      <c r="C1136">
        <v>11</v>
      </c>
      <c r="D1136">
        <f t="shared" si="17"/>
        <v>6.3563822911649061E-17</v>
      </c>
    </row>
    <row r="1137" spans="1:4" x14ac:dyDescent="0.25">
      <c r="A1137">
        <v>35</v>
      </c>
      <c r="B1137">
        <v>3</v>
      </c>
      <c r="C1137">
        <v>10</v>
      </c>
      <c r="D1137">
        <f t="shared" si="17"/>
        <v>5.9299414539095379E-16</v>
      </c>
    </row>
    <row r="1138" spans="1:4" x14ac:dyDescent="0.25">
      <c r="A1138">
        <v>35</v>
      </c>
      <c r="B1138">
        <v>4</v>
      </c>
      <c r="C1138">
        <v>9</v>
      </c>
      <c r="D1138">
        <f t="shared" si="17"/>
        <v>3.7062134086934619E-15</v>
      </c>
    </row>
    <row r="1139" spans="1:4" x14ac:dyDescent="0.25">
      <c r="A1139">
        <v>35</v>
      </c>
      <c r="B1139">
        <v>5</v>
      </c>
      <c r="C1139">
        <v>8</v>
      </c>
      <c r="D1139">
        <f t="shared" si="17"/>
        <v>1.6389699296222203E-14</v>
      </c>
    </row>
    <row r="1140" spans="1:4" x14ac:dyDescent="0.25">
      <c r="A1140">
        <v>35</v>
      </c>
      <c r="B1140">
        <v>6</v>
      </c>
      <c r="C1140">
        <v>7</v>
      </c>
      <c r="D1140">
        <f t="shared" si="17"/>
        <v>5.2766836758569E-14</v>
      </c>
    </row>
    <row r="1141" spans="1:4" x14ac:dyDescent="0.25">
      <c r="A1141">
        <v>35</v>
      </c>
      <c r="B1141">
        <v>7</v>
      </c>
      <c r="C1141">
        <v>6</v>
      </c>
      <c r="D1141">
        <f t="shared" si="17"/>
        <v>1.2524176917395295E-13</v>
      </c>
    </row>
    <row r="1142" spans="1:4" x14ac:dyDescent="0.25">
      <c r="A1142">
        <v>35</v>
      </c>
      <c r="B1142">
        <v>8</v>
      </c>
      <c r="C1142">
        <v>5</v>
      </c>
      <c r="D1142">
        <f t="shared" si="17"/>
        <v>2.1917309605441778E-13</v>
      </c>
    </row>
    <row r="1143" spans="1:4" x14ac:dyDescent="0.25">
      <c r="A1143">
        <v>35</v>
      </c>
      <c r="B1143">
        <v>9</v>
      </c>
      <c r="C1143">
        <v>4</v>
      </c>
      <c r="D1143">
        <f t="shared" si="17"/>
        <v>2.7933825967719891E-13</v>
      </c>
    </row>
    <row r="1144" spans="1:4" x14ac:dyDescent="0.25">
      <c r="A1144">
        <v>35</v>
      </c>
      <c r="B1144">
        <v>10</v>
      </c>
      <c r="C1144">
        <v>3</v>
      </c>
      <c r="D1144">
        <f t="shared" si="17"/>
        <v>2.5205405756919358E-13</v>
      </c>
    </row>
    <row r="1145" spans="1:4" x14ac:dyDescent="0.25">
      <c r="A1145">
        <v>35</v>
      </c>
      <c r="B1145">
        <v>11</v>
      </c>
      <c r="C1145">
        <v>2</v>
      </c>
      <c r="D1145">
        <f t="shared" si="17"/>
        <v>1.524966555199197E-13</v>
      </c>
    </row>
    <row r="1146" spans="1:4" x14ac:dyDescent="0.25">
      <c r="A1146">
        <v>35</v>
      </c>
      <c r="B1146">
        <v>12</v>
      </c>
      <c r="C1146">
        <v>1</v>
      </c>
      <c r="D1146">
        <f t="shared" si="17"/>
        <v>5.5453329279970762E-14</v>
      </c>
    </row>
    <row r="1147" spans="1:4" x14ac:dyDescent="0.25">
      <c r="A1147">
        <v>35</v>
      </c>
      <c r="B1147">
        <v>13</v>
      </c>
      <c r="C1147">
        <v>0</v>
      </c>
      <c r="D1147">
        <f t="shared" si="17"/>
        <v>9.1543525431930988E-15</v>
      </c>
    </row>
    <row r="1148" spans="1:4" x14ac:dyDescent="0.25">
      <c r="A1148">
        <v>36</v>
      </c>
      <c r="B1148">
        <v>0</v>
      </c>
      <c r="C1148">
        <v>12</v>
      </c>
      <c r="D1148">
        <f t="shared" si="17"/>
        <v>4.0862629820537767E-20</v>
      </c>
    </row>
    <row r="1149" spans="1:4" x14ac:dyDescent="0.25">
      <c r="A1149">
        <v>36</v>
      </c>
      <c r="B1149">
        <v>1</v>
      </c>
      <c r="C1149">
        <v>11</v>
      </c>
      <c r="D1149">
        <f t="shared" si="17"/>
        <v>1.2761713620875645E-18</v>
      </c>
    </row>
    <row r="1150" spans="1:4" x14ac:dyDescent="0.25">
      <c r="A1150">
        <v>36</v>
      </c>
      <c r="B1150">
        <v>2</v>
      </c>
      <c r="C1150">
        <v>10</v>
      </c>
      <c r="D1150">
        <f t="shared" si="17"/>
        <v>1.7947169408598534E-17</v>
      </c>
    </row>
    <row r="1151" spans="1:4" x14ac:dyDescent="0.25">
      <c r="A1151">
        <v>36</v>
      </c>
      <c r="B1151">
        <v>3</v>
      </c>
      <c r="C1151">
        <v>9</v>
      </c>
      <c r="D1151">
        <f t="shared" si="17"/>
        <v>1.503075437970127E-16</v>
      </c>
    </row>
    <row r="1152" spans="1:4" x14ac:dyDescent="0.25">
      <c r="A1152">
        <v>36</v>
      </c>
      <c r="B1152">
        <v>4</v>
      </c>
      <c r="C1152">
        <v>8</v>
      </c>
      <c r="D1152">
        <f t="shared" si="17"/>
        <v>8.3504190998340395E-16</v>
      </c>
    </row>
    <row r="1153" spans="1:4" x14ac:dyDescent="0.25">
      <c r="A1153">
        <v>36</v>
      </c>
      <c r="B1153">
        <v>5</v>
      </c>
      <c r="C1153">
        <v>7</v>
      </c>
      <c r="D1153">
        <f t="shared" si="17"/>
        <v>3.2424066358379975E-15</v>
      </c>
    </row>
    <row r="1154" spans="1:4" x14ac:dyDescent="0.25">
      <c r="A1154">
        <v>36</v>
      </c>
      <c r="B1154">
        <v>6</v>
      </c>
      <c r="C1154">
        <v>6</v>
      </c>
      <c r="D1154">
        <f t="shared" si="17"/>
        <v>9.0240473840792384E-15</v>
      </c>
    </row>
    <row r="1155" spans="1:4" x14ac:dyDescent="0.25">
      <c r="A1155">
        <v>36</v>
      </c>
      <c r="B1155">
        <v>7</v>
      </c>
      <c r="C1155">
        <v>5</v>
      </c>
      <c r="D1155">
        <f t="shared" si="17"/>
        <v>1.8140176884322565E-14</v>
      </c>
    </row>
    <row r="1156" spans="1:4" x14ac:dyDescent="0.25">
      <c r="A1156">
        <v>36</v>
      </c>
      <c r="B1156">
        <v>8</v>
      </c>
      <c r="C1156">
        <v>4</v>
      </c>
      <c r="D1156">
        <f t="shared" si="17"/>
        <v>2.6143196097994291E-14</v>
      </c>
    </row>
    <row r="1157" spans="1:4" x14ac:dyDescent="0.25">
      <c r="A1157">
        <v>36</v>
      </c>
      <c r="B1157">
        <v>9</v>
      </c>
      <c r="C1157">
        <v>3</v>
      </c>
      <c r="D1157">
        <f t="shared" si="17"/>
        <v>2.6345856532862447E-14</v>
      </c>
    </row>
    <row r="1158" spans="1:4" x14ac:dyDescent="0.25">
      <c r="A1158">
        <v>36</v>
      </c>
      <c r="B1158">
        <v>10</v>
      </c>
      <c r="C1158">
        <v>2</v>
      </c>
      <c r="D1158">
        <f t="shared" si="17"/>
        <v>1.7624469542673508E-14</v>
      </c>
    </row>
    <row r="1159" spans="1:4" x14ac:dyDescent="0.25">
      <c r="A1159">
        <v>36</v>
      </c>
      <c r="B1159">
        <v>11</v>
      </c>
      <c r="C1159">
        <v>1</v>
      </c>
      <c r="D1159">
        <f t="shared" si="17"/>
        <v>7.0279393011074129E-15</v>
      </c>
    </row>
    <row r="1160" spans="1:4" x14ac:dyDescent="0.25">
      <c r="A1160">
        <v>36</v>
      </c>
      <c r="B1160">
        <v>12</v>
      </c>
      <c r="C1160">
        <v>0</v>
      </c>
      <c r="D1160">
        <f t="shared" si="17"/>
        <v>1.2634497619968378E-15</v>
      </c>
    </row>
    <row r="1161" spans="1:4" x14ac:dyDescent="0.25">
      <c r="A1161">
        <v>37</v>
      </c>
      <c r="B1161">
        <v>0</v>
      </c>
      <c r="C1161">
        <v>11</v>
      </c>
      <c r="D1161">
        <f t="shared" si="17"/>
        <v>1.2233302898456219E-20</v>
      </c>
    </row>
    <row r="1162" spans="1:4" x14ac:dyDescent="0.25">
      <c r="A1162">
        <v>37</v>
      </c>
      <c r="B1162">
        <v>1</v>
      </c>
      <c r="C1162">
        <v>10</v>
      </c>
      <c r="D1162">
        <f t="shared" si="17"/>
        <v>3.4578437180066756E-19</v>
      </c>
    </row>
    <row r="1163" spans="1:4" x14ac:dyDescent="0.25">
      <c r="A1163">
        <v>37</v>
      </c>
      <c r="B1163">
        <v>2</v>
      </c>
      <c r="C1163">
        <v>9</v>
      </c>
      <c r="D1163">
        <f t="shared" si="17"/>
        <v>4.3655276939834281E-18</v>
      </c>
    </row>
    <row r="1164" spans="1:4" x14ac:dyDescent="0.25">
      <c r="A1164">
        <v>37</v>
      </c>
      <c r="B1164">
        <v>3</v>
      </c>
      <c r="C1164">
        <v>8</v>
      </c>
      <c r="D1164">
        <f t="shared" si="17"/>
        <v>3.2498928388543292E-17</v>
      </c>
    </row>
    <row r="1165" spans="1:4" x14ac:dyDescent="0.25">
      <c r="A1165">
        <v>37</v>
      </c>
      <c r="B1165">
        <v>4</v>
      </c>
      <c r="C1165">
        <v>7</v>
      </c>
      <c r="D1165">
        <f t="shared" si="17"/>
        <v>1.5853135799289411E-16</v>
      </c>
    </row>
    <row r="1166" spans="1:4" x14ac:dyDescent="0.25">
      <c r="A1166">
        <v>37</v>
      </c>
      <c r="B1166">
        <v>5</v>
      </c>
      <c r="C1166">
        <v>6</v>
      </c>
      <c r="D1166">
        <f t="shared" ref="D1166:D1229" si="18">COMBIN(A$4,A1166)*COMBIN(B$4,B1166)*COMBIN(C$4,C1166)/COMBIN($F$4,$E$4)</f>
        <v>5.3213055827494326E-16</v>
      </c>
    </row>
    <row r="1167" spans="1:4" x14ac:dyDescent="0.25">
      <c r="A1167">
        <v>37</v>
      </c>
      <c r="B1167">
        <v>6</v>
      </c>
      <c r="C1167">
        <v>5</v>
      </c>
      <c r="D1167">
        <f t="shared" si="18"/>
        <v>1.2543077445052232E-15</v>
      </c>
    </row>
    <row r="1168" spans="1:4" x14ac:dyDescent="0.25">
      <c r="A1168">
        <v>37</v>
      </c>
      <c r="B1168">
        <v>7</v>
      </c>
      <c r="C1168">
        <v>4</v>
      </c>
      <c r="D1168">
        <f t="shared" si="18"/>
        <v>2.076459039222933E-15</v>
      </c>
    </row>
    <row r="1169" spans="1:4" x14ac:dyDescent="0.25">
      <c r="A1169">
        <v>37</v>
      </c>
      <c r="B1169">
        <v>8</v>
      </c>
      <c r="C1169">
        <v>3</v>
      </c>
      <c r="D1169">
        <f t="shared" si="18"/>
        <v>2.3661975098121798E-15</v>
      </c>
    </row>
    <row r="1170" spans="1:4" x14ac:dyDescent="0.25">
      <c r="A1170">
        <v>37</v>
      </c>
      <c r="B1170">
        <v>9</v>
      </c>
      <c r="C1170">
        <v>2</v>
      </c>
      <c r="D1170">
        <f t="shared" si="18"/>
        <v>1.76784871422749E-15</v>
      </c>
    </row>
    <row r="1171" spans="1:4" x14ac:dyDescent="0.25">
      <c r="A1171">
        <v>37</v>
      </c>
      <c r="B1171">
        <v>10</v>
      </c>
      <c r="C1171">
        <v>1</v>
      </c>
      <c r="D1171">
        <f t="shared" si="18"/>
        <v>7.7946056945484815E-16</v>
      </c>
    </row>
    <row r="1172" spans="1:4" x14ac:dyDescent="0.25">
      <c r="A1172">
        <v>37</v>
      </c>
      <c r="B1172">
        <v>11</v>
      </c>
      <c r="C1172">
        <v>0</v>
      </c>
      <c r="D1172">
        <f t="shared" si="18"/>
        <v>1.536628088915074E-16</v>
      </c>
    </row>
    <row r="1173" spans="1:4" x14ac:dyDescent="0.25">
      <c r="A1173">
        <v>38</v>
      </c>
      <c r="B1173">
        <v>0</v>
      </c>
      <c r="C1173">
        <v>10</v>
      </c>
      <c r="D1173">
        <f t="shared" si="18"/>
        <v>3.1826147780460689E-21</v>
      </c>
    </row>
    <row r="1174" spans="1:4" x14ac:dyDescent="0.25">
      <c r="A1174">
        <v>38</v>
      </c>
      <c r="B1174">
        <v>1</v>
      </c>
      <c r="C1174">
        <v>9</v>
      </c>
      <c r="D1174">
        <f t="shared" si="18"/>
        <v>8.0758849992918996E-20</v>
      </c>
    </row>
    <row r="1175" spans="1:4" x14ac:dyDescent="0.25">
      <c r="A1175">
        <v>38</v>
      </c>
      <c r="B1175">
        <v>2</v>
      </c>
      <c r="C1175">
        <v>8</v>
      </c>
      <c r="D1175">
        <f t="shared" si="18"/>
        <v>9.0629376103164652E-19</v>
      </c>
    </row>
    <row r="1176" spans="1:4" x14ac:dyDescent="0.25">
      <c r="A1176">
        <v>38</v>
      </c>
      <c r="B1176">
        <v>3</v>
      </c>
      <c r="C1176">
        <v>7</v>
      </c>
      <c r="D1176">
        <f t="shared" si="18"/>
        <v>5.9240665355239312E-18</v>
      </c>
    </row>
    <row r="1177" spans="1:4" x14ac:dyDescent="0.25">
      <c r="A1177">
        <v>38</v>
      </c>
      <c r="B1177">
        <v>4</v>
      </c>
      <c r="C1177">
        <v>6</v>
      </c>
      <c r="D1177">
        <f t="shared" si="18"/>
        <v>2.4981003463052723E-17</v>
      </c>
    </row>
    <row r="1178" spans="1:4" x14ac:dyDescent="0.25">
      <c r="A1178">
        <v>38</v>
      </c>
      <c r="B1178">
        <v>5</v>
      </c>
      <c r="C1178">
        <v>5</v>
      </c>
      <c r="D1178">
        <f t="shared" si="18"/>
        <v>7.1017424130678488E-17</v>
      </c>
    </row>
    <row r="1179" spans="1:4" x14ac:dyDescent="0.25">
      <c r="A1179">
        <v>38</v>
      </c>
      <c r="B1179">
        <v>6</v>
      </c>
      <c r="C1179">
        <v>4</v>
      </c>
      <c r="D1179">
        <f t="shared" si="18"/>
        <v>1.3785735272425816E-16</v>
      </c>
    </row>
    <row r="1180" spans="1:4" x14ac:dyDescent="0.25">
      <c r="A1180">
        <v>38</v>
      </c>
      <c r="B1180">
        <v>7</v>
      </c>
      <c r="C1180">
        <v>3</v>
      </c>
      <c r="D1180">
        <f t="shared" si="18"/>
        <v>1.8045115273540775E-16</v>
      </c>
    </row>
    <row r="1181" spans="1:4" x14ac:dyDescent="0.25">
      <c r="A1181">
        <v>38</v>
      </c>
      <c r="B1181">
        <v>8</v>
      </c>
      <c r="C1181">
        <v>2</v>
      </c>
      <c r="D1181">
        <f t="shared" si="18"/>
        <v>1.5245011179370657E-16</v>
      </c>
    </row>
    <row r="1182" spans="1:4" x14ac:dyDescent="0.25">
      <c r="A1182">
        <v>38</v>
      </c>
      <c r="B1182">
        <v>9</v>
      </c>
      <c r="C1182">
        <v>1</v>
      </c>
      <c r="D1182">
        <f t="shared" si="18"/>
        <v>7.5070130807506982E-17</v>
      </c>
    </row>
    <row r="1183" spans="1:4" x14ac:dyDescent="0.25">
      <c r="A1183">
        <v>38</v>
      </c>
      <c r="B1183">
        <v>10</v>
      </c>
      <c r="C1183">
        <v>0</v>
      </c>
      <c r="D1183">
        <f t="shared" si="18"/>
        <v>1.6363601546804898E-17</v>
      </c>
    </row>
    <row r="1184" spans="1:4" x14ac:dyDescent="0.25">
      <c r="A1184">
        <v>39</v>
      </c>
      <c r="B1184">
        <v>0</v>
      </c>
      <c r="C1184">
        <v>9</v>
      </c>
      <c r="D1184">
        <f t="shared" si="18"/>
        <v>7.140481873821305E-22</v>
      </c>
    </row>
    <row r="1185" spans="1:4" x14ac:dyDescent="0.25">
      <c r="A1185">
        <v>39</v>
      </c>
      <c r="B1185">
        <v>1</v>
      </c>
      <c r="C1185">
        <v>8</v>
      </c>
      <c r="D1185">
        <f t="shared" si="18"/>
        <v>1.6105753559841389E-20</v>
      </c>
    </row>
    <row r="1186" spans="1:4" x14ac:dyDescent="0.25">
      <c r="A1186">
        <v>39</v>
      </c>
      <c r="B1186">
        <v>2</v>
      </c>
      <c r="C1186">
        <v>7</v>
      </c>
      <c r="D1186">
        <f t="shared" si="18"/>
        <v>1.587005960530712E-19</v>
      </c>
    </row>
    <row r="1187" spans="1:4" x14ac:dyDescent="0.25">
      <c r="A1187">
        <v>39</v>
      </c>
      <c r="B1187">
        <v>3</v>
      </c>
      <c r="C1187">
        <v>6</v>
      </c>
      <c r="D1187">
        <f t="shared" si="18"/>
        <v>8.9675397046855852E-19</v>
      </c>
    </row>
    <row r="1188" spans="1:4" x14ac:dyDescent="0.25">
      <c r="A1188">
        <v>39</v>
      </c>
      <c r="B1188">
        <v>4</v>
      </c>
      <c r="C1188">
        <v>5</v>
      </c>
      <c r="D1188">
        <f t="shared" si="18"/>
        <v>3.2026927516734255E-18</v>
      </c>
    </row>
    <row r="1189" spans="1:4" x14ac:dyDescent="0.25">
      <c r="A1189">
        <v>39</v>
      </c>
      <c r="B1189">
        <v>5</v>
      </c>
      <c r="C1189">
        <v>4</v>
      </c>
      <c r="D1189">
        <f t="shared" si="18"/>
        <v>7.4980689127413141E-18</v>
      </c>
    </row>
    <row r="1190" spans="1:4" x14ac:dyDescent="0.25">
      <c r="A1190">
        <v>39</v>
      </c>
      <c r="B1190">
        <v>6</v>
      </c>
      <c r="C1190">
        <v>3</v>
      </c>
      <c r="D1190">
        <f t="shared" si="18"/>
        <v>1.1508663912579684E-17</v>
      </c>
    </row>
    <row r="1191" spans="1:4" x14ac:dyDescent="0.25">
      <c r="A1191">
        <v>39</v>
      </c>
      <c r="B1191">
        <v>7</v>
      </c>
      <c r="C1191">
        <v>2</v>
      </c>
      <c r="D1191">
        <f t="shared" si="18"/>
        <v>1.1168506358513294E-17</v>
      </c>
    </row>
    <row r="1192" spans="1:4" x14ac:dyDescent="0.25">
      <c r="A1192">
        <v>39</v>
      </c>
      <c r="B1192">
        <v>8</v>
      </c>
      <c r="C1192">
        <v>1</v>
      </c>
      <c r="D1192">
        <f t="shared" si="18"/>
        <v>6.2188274041721763E-18</v>
      </c>
    </row>
    <row r="1193" spans="1:4" x14ac:dyDescent="0.25">
      <c r="A1193">
        <v>39</v>
      </c>
      <c r="B1193">
        <v>9</v>
      </c>
      <c r="C1193">
        <v>0</v>
      </c>
      <c r="D1193">
        <f t="shared" si="18"/>
        <v>1.5139467463340495E-18</v>
      </c>
    </row>
    <row r="1194" spans="1:4" x14ac:dyDescent="0.25">
      <c r="A1194">
        <v>40</v>
      </c>
      <c r="B1194">
        <v>0</v>
      </c>
      <c r="C1194">
        <v>8</v>
      </c>
      <c r="D1194">
        <f t="shared" si="18"/>
        <v>1.3685923591490846E-22</v>
      </c>
    </row>
    <row r="1195" spans="1:4" x14ac:dyDescent="0.25">
      <c r="A1195">
        <v>40</v>
      </c>
      <c r="B1195">
        <v>1</v>
      </c>
      <c r="C1195">
        <v>7</v>
      </c>
      <c r="D1195">
        <f t="shared" si="18"/>
        <v>2.7104804771440398E-21</v>
      </c>
    </row>
    <row r="1196" spans="1:4" x14ac:dyDescent="0.25">
      <c r="A1196">
        <v>40</v>
      </c>
      <c r="B1196">
        <v>2</v>
      </c>
      <c r="C1196">
        <v>6</v>
      </c>
      <c r="D1196">
        <f t="shared" si="18"/>
        <v>2.3088068642660675E-20</v>
      </c>
    </row>
    <row r="1197" spans="1:4" x14ac:dyDescent="0.25">
      <c r="A1197">
        <v>40</v>
      </c>
      <c r="B1197">
        <v>3</v>
      </c>
      <c r="C1197">
        <v>5</v>
      </c>
      <c r="D1197">
        <f t="shared" si="18"/>
        <v>1.1049289993273324E-19</v>
      </c>
    </row>
    <row r="1198" spans="1:4" x14ac:dyDescent="0.25">
      <c r="A1198">
        <v>40</v>
      </c>
      <c r="B1198">
        <v>4</v>
      </c>
      <c r="C1198">
        <v>4</v>
      </c>
      <c r="D1198">
        <f t="shared" si="18"/>
        <v>3.2497911744921542E-19</v>
      </c>
    </row>
    <row r="1199" spans="1:4" x14ac:dyDescent="0.25">
      <c r="A1199">
        <v>40</v>
      </c>
      <c r="B1199">
        <v>5</v>
      </c>
      <c r="C1199">
        <v>3</v>
      </c>
      <c r="D1199">
        <f t="shared" si="18"/>
        <v>6.0158924997575696E-19</v>
      </c>
    </row>
    <row r="1200" spans="1:4" x14ac:dyDescent="0.25">
      <c r="A1200">
        <v>40</v>
      </c>
      <c r="B1200">
        <v>6</v>
      </c>
      <c r="C1200">
        <v>2</v>
      </c>
      <c r="D1200">
        <f t="shared" si="18"/>
        <v>6.8456707755861965E-19</v>
      </c>
    </row>
    <row r="1201" spans="1:4" x14ac:dyDescent="0.25">
      <c r="A1201">
        <v>40</v>
      </c>
      <c r="B1201">
        <v>7</v>
      </c>
      <c r="C1201">
        <v>1</v>
      </c>
      <c r="D1201">
        <f t="shared" si="18"/>
        <v>4.3785621519171466E-19</v>
      </c>
    </row>
    <row r="1202" spans="1:4" x14ac:dyDescent="0.25">
      <c r="A1202">
        <v>40</v>
      </c>
      <c r="B1202">
        <v>8</v>
      </c>
      <c r="C1202">
        <v>0</v>
      </c>
      <c r="D1202">
        <f t="shared" si="18"/>
        <v>1.2053345249659563E-19</v>
      </c>
    </row>
    <row r="1203" spans="1:4" x14ac:dyDescent="0.25">
      <c r="A1203">
        <v>41</v>
      </c>
      <c r="B1203">
        <v>0</v>
      </c>
      <c r="C1203">
        <v>7</v>
      </c>
      <c r="D1203">
        <f t="shared" si="18"/>
        <v>2.2144980469277305E-23</v>
      </c>
    </row>
    <row r="1204" spans="1:4" x14ac:dyDescent="0.25">
      <c r="A1204">
        <v>41</v>
      </c>
      <c r="B1204">
        <v>1</v>
      </c>
      <c r="C1204">
        <v>6</v>
      </c>
      <c r="D1204">
        <f t="shared" si="18"/>
        <v>3.7913273791377162E-22</v>
      </c>
    </row>
    <row r="1205" spans="1:4" x14ac:dyDescent="0.25">
      <c r="A1205">
        <v>41</v>
      </c>
      <c r="B1205">
        <v>2</v>
      </c>
      <c r="C1205">
        <v>5</v>
      </c>
      <c r="D1205">
        <f t="shared" si="18"/>
        <v>2.735171894949353E-21</v>
      </c>
    </row>
    <row r="1206" spans="1:4" x14ac:dyDescent="0.25">
      <c r="A1206">
        <v>41</v>
      </c>
      <c r="B1206">
        <v>3</v>
      </c>
      <c r="C1206">
        <v>4</v>
      </c>
      <c r="D1206">
        <f t="shared" si="18"/>
        <v>1.0779795115388624E-20</v>
      </c>
    </row>
    <row r="1207" spans="1:4" x14ac:dyDescent="0.25">
      <c r="A1207">
        <v>41</v>
      </c>
      <c r="B1207">
        <v>4</v>
      </c>
      <c r="C1207">
        <v>3</v>
      </c>
      <c r="D1207">
        <f t="shared" si="18"/>
        <v>2.5069290966020059E-20</v>
      </c>
    </row>
    <row r="1208" spans="1:4" x14ac:dyDescent="0.25">
      <c r="A1208">
        <v>41</v>
      </c>
      <c r="B1208">
        <v>5</v>
      </c>
      <c r="C1208">
        <v>2</v>
      </c>
      <c r="D1208">
        <f t="shared" si="18"/>
        <v>3.4405440705089609E-20</v>
      </c>
    </row>
    <row r="1209" spans="1:4" x14ac:dyDescent="0.25">
      <c r="A1209">
        <v>41</v>
      </c>
      <c r="B1209">
        <v>6</v>
      </c>
      <c r="C1209">
        <v>1</v>
      </c>
      <c r="D1209">
        <f t="shared" si="18"/>
        <v>2.5804080528817192E-20</v>
      </c>
    </row>
    <row r="1210" spans="1:4" x14ac:dyDescent="0.25">
      <c r="A1210">
        <v>41</v>
      </c>
      <c r="B1210">
        <v>7</v>
      </c>
      <c r="C1210">
        <v>0</v>
      </c>
      <c r="D1210">
        <f t="shared" si="18"/>
        <v>8.1595567643290347E-21</v>
      </c>
    </row>
    <row r="1211" spans="1:4" x14ac:dyDescent="0.25">
      <c r="A1211">
        <v>42</v>
      </c>
      <c r="B1211">
        <v>0</v>
      </c>
      <c r="C1211">
        <v>6</v>
      </c>
      <c r="D1211">
        <f t="shared" si="18"/>
        <v>2.9793447619308767E-24</v>
      </c>
    </row>
    <row r="1212" spans="1:4" x14ac:dyDescent="0.25">
      <c r="A1212">
        <v>42</v>
      </c>
      <c r="B1212">
        <v>1</v>
      </c>
      <c r="C1212">
        <v>5</v>
      </c>
      <c r="D1212">
        <f t="shared" si="18"/>
        <v>4.3200499047997729E-23</v>
      </c>
    </row>
    <row r="1213" spans="1:4" x14ac:dyDescent="0.25">
      <c r="A1213">
        <v>42</v>
      </c>
      <c r="B1213">
        <v>2</v>
      </c>
      <c r="C1213">
        <v>4</v>
      </c>
      <c r="D1213">
        <f t="shared" si="18"/>
        <v>2.5666178846163349E-22</v>
      </c>
    </row>
    <row r="1214" spans="1:4" x14ac:dyDescent="0.25">
      <c r="A1214">
        <v>42</v>
      </c>
      <c r="B1214">
        <v>3</v>
      </c>
      <c r="C1214">
        <v>3</v>
      </c>
      <c r="D1214">
        <f t="shared" si="18"/>
        <v>7.9982975939206712E-22</v>
      </c>
    </row>
    <row r="1215" spans="1:4" x14ac:dyDescent="0.25">
      <c r="A1215">
        <v>42</v>
      </c>
      <c r="B1215">
        <v>4</v>
      </c>
      <c r="C1215">
        <v>2</v>
      </c>
      <c r="D1215">
        <f t="shared" si="18"/>
        <v>1.3790168265380468E-21</v>
      </c>
    </row>
    <row r="1216" spans="1:4" x14ac:dyDescent="0.25">
      <c r="A1216">
        <v>42</v>
      </c>
      <c r="B1216">
        <v>5</v>
      </c>
      <c r="C1216">
        <v>1</v>
      </c>
      <c r="D1216">
        <f t="shared" si="18"/>
        <v>1.247383402186688E-21</v>
      </c>
    </row>
    <row r="1217" spans="1:4" x14ac:dyDescent="0.25">
      <c r="A1217">
        <v>42</v>
      </c>
      <c r="B1217">
        <v>6</v>
      </c>
      <c r="C1217">
        <v>0</v>
      </c>
      <c r="D1217">
        <f t="shared" si="18"/>
        <v>4.6251294687821003E-22</v>
      </c>
    </row>
    <row r="1218" spans="1:4" x14ac:dyDescent="0.25">
      <c r="A1218">
        <v>43</v>
      </c>
      <c r="B1218">
        <v>0</v>
      </c>
      <c r="C1218">
        <v>5</v>
      </c>
      <c r="D1218">
        <f t="shared" si="18"/>
        <v>3.266391267233187E-25</v>
      </c>
    </row>
    <row r="1219" spans="1:4" x14ac:dyDescent="0.25">
      <c r="A1219">
        <v>43</v>
      </c>
      <c r="B1219">
        <v>1</v>
      </c>
      <c r="C1219">
        <v>4</v>
      </c>
      <c r="D1219">
        <f t="shared" si="18"/>
        <v>3.900455454401982E-24</v>
      </c>
    </row>
    <row r="1220" spans="1:4" x14ac:dyDescent="0.25">
      <c r="A1220">
        <v>43</v>
      </c>
      <c r="B1220">
        <v>2</v>
      </c>
      <c r="C1220">
        <v>3</v>
      </c>
      <c r="D1220">
        <f t="shared" si="18"/>
        <v>1.8323069809051173E-23</v>
      </c>
    </row>
    <row r="1221" spans="1:4" x14ac:dyDescent="0.25">
      <c r="A1221">
        <v>43</v>
      </c>
      <c r="B1221">
        <v>3</v>
      </c>
      <c r="C1221">
        <v>2</v>
      </c>
      <c r="D1221">
        <f t="shared" si="18"/>
        <v>4.2332609558842352E-23</v>
      </c>
    </row>
    <row r="1222" spans="1:4" x14ac:dyDescent="0.25">
      <c r="A1222">
        <v>43</v>
      </c>
      <c r="B1222">
        <v>4</v>
      </c>
      <c r="C1222">
        <v>1</v>
      </c>
      <c r="D1222">
        <f t="shared" si="18"/>
        <v>4.8105238135048138E-23</v>
      </c>
    </row>
    <row r="1223" spans="1:4" x14ac:dyDescent="0.25">
      <c r="A1223">
        <v>43</v>
      </c>
      <c r="B1223">
        <v>5</v>
      </c>
      <c r="C1223">
        <v>0</v>
      </c>
      <c r="D1223">
        <f t="shared" si="18"/>
        <v>2.1512230087358608E-23</v>
      </c>
    </row>
    <row r="1224" spans="1:4" x14ac:dyDescent="0.25">
      <c r="A1224">
        <v>44</v>
      </c>
      <c r="B1224">
        <v>0</v>
      </c>
      <c r="C1224">
        <v>4</v>
      </c>
      <c r="D1224">
        <f t="shared" si="18"/>
        <v>2.8384416092267014E-26</v>
      </c>
    </row>
    <row r="1225" spans="1:4" x14ac:dyDescent="0.25">
      <c r="A1225">
        <v>44</v>
      </c>
      <c r="B1225">
        <v>1</v>
      </c>
      <c r="C1225">
        <v>3</v>
      </c>
      <c r="D1225">
        <f t="shared" si="18"/>
        <v>2.6800169612698624E-25</v>
      </c>
    </row>
    <row r="1226" spans="1:4" x14ac:dyDescent="0.25">
      <c r="A1226">
        <v>44</v>
      </c>
      <c r="B1226">
        <v>2</v>
      </c>
      <c r="C1226">
        <v>2</v>
      </c>
      <c r="D1226">
        <f t="shared" si="18"/>
        <v>9.3338521754571071E-25</v>
      </c>
    </row>
    <row r="1227" spans="1:4" x14ac:dyDescent="0.25">
      <c r="A1227">
        <v>44</v>
      </c>
      <c r="B1227">
        <v>3</v>
      </c>
      <c r="C1227">
        <v>1</v>
      </c>
      <c r="D1227">
        <f t="shared" si="18"/>
        <v>1.4212911267173321E-24</v>
      </c>
    </row>
    <row r="1228" spans="1:4" x14ac:dyDescent="0.25">
      <c r="A1228">
        <v>44</v>
      </c>
      <c r="B1228">
        <v>4</v>
      </c>
      <c r="C1228">
        <v>0</v>
      </c>
      <c r="D1228">
        <f t="shared" si="18"/>
        <v>7.9847816107715287E-25</v>
      </c>
    </row>
    <row r="1229" spans="1:4" x14ac:dyDescent="0.25">
      <c r="A1229">
        <v>45</v>
      </c>
      <c r="B1229">
        <v>0</v>
      </c>
      <c r="C1229">
        <v>3</v>
      </c>
      <c r="D1229">
        <f t="shared" si="18"/>
        <v>1.8776254572662433E-27</v>
      </c>
    </row>
    <row r="1230" spans="1:4" x14ac:dyDescent="0.25">
      <c r="A1230">
        <v>45</v>
      </c>
      <c r="B1230">
        <v>1</v>
      </c>
      <c r="C1230">
        <v>2</v>
      </c>
      <c r="D1230">
        <f t="shared" ref="D1230:D1293" si="19">COMBIN(A$4,A1230)*COMBIN(B$4,B1230)*COMBIN(C$4,C1230)/COMBIN($F$4,$E$4)</f>
        <v>1.3143378200863704E-26</v>
      </c>
    </row>
    <row r="1231" spans="1:4" x14ac:dyDescent="0.25">
      <c r="A1231">
        <v>45</v>
      </c>
      <c r="B1231">
        <v>2</v>
      </c>
      <c r="C1231">
        <v>1</v>
      </c>
      <c r="D1231">
        <f t="shared" si="19"/>
        <v>3.0170027233800778E-26</v>
      </c>
    </row>
    <row r="1232" spans="1:4" x14ac:dyDescent="0.25">
      <c r="A1232">
        <v>45</v>
      </c>
      <c r="B1232">
        <v>3</v>
      </c>
      <c r="C1232">
        <v>0</v>
      </c>
      <c r="D1232">
        <f t="shared" si="19"/>
        <v>2.2712267692861252E-26</v>
      </c>
    </row>
    <row r="1233" spans="1:4" x14ac:dyDescent="0.25">
      <c r="A1233">
        <v>46</v>
      </c>
      <c r="B1233">
        <v>0</v>
      </c>
      <c r="C1233">
        <v>2</v>
      </c>
      <c r="D1233">
        <f t="shared" si="19"/>
        <v>8.8673466122768489E-29</v>
      </c>
    </row>
    <row r="1234" spans="1:4" x14ac:dyDescent="0.25">
      <c r="A1234">
        <v>46</v>
      </c>
      <c r="B1234">
        <v>1</v>
      </c>
      <c r="C1234">
        <v>1</v>
      </c>
      <c r="D1234">
        <f t="shared" si="19"/>
        <v>4.0910712779368191E-28</v>
      </c>
    </row>
    <row r="1235" spans="1:4" x14ac:dyDescent="0.25">
      <c r="A1235">
        <v>46</v>
      </c>
      <c r="B1235">
        <v>2</v>
      </c>
      <c r="C1235">
        <v>0</v>
      </c>
      <c r="D1235">
        <f t="shared" si="19"/>
        <v>4.6426763940631312E-28</v>
      </c>
    </row>
    <row r="1236" spans="1:4" x14ac:dyDescent="0.25">
      <c r="A1236">
        <v>47</v>
      </c>
      <c r="B1236">
        <v>0</v>
      </c>
      <c r="C1236">
        <v>1</v>
      </c>
      <c r="D1236">
        <f t="shared" si="19"/>
        <v>2.6584888295994435E-30</v>
      </c>
    </row>
    <row r="1237" spans="1:4" x14ac:dyDescent="0.25">
      <c r="A1237">
        <v>47</v>
      </c>
      <c r="B1237">
        <v>1</v>
      </c>
      <c r="C1237">
        <v>0</v>
      </c>
      <c r="D1237">
        <f t="shared" si="19"/>
        <v>6.0637441843672702E-30</v>
      </c>
    </row>
    <row r="1238" spans="1:4" x14ac:dyDescent="0.25">
      <c r="A1238">
        <v>48</v>
      </c>
      <c r="B1238">
        <v>0</v>
      </c>
      <c r="C1238">
        <v>0</v>
      </c>
      <c r="D1238">
        <f t="shared" si="19"/>
        <v>3.7960631696059477E-32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Lisez-moi</vt:lpstr>
      <vt:lpstr>Donnees</vt:lpstr>
      <vt:lpstr>Dictionnaire</vt:lpstr>
      <vt:lpstr>1_Exploration</vt:lpstr>
      <vt:lpstr>2_Description</vt:lpstr>
      <vt:lpstr>3_Frequence</vt:lpstr>
      <vt:lpstr>4_Facteurs</vt:lpstr>
      <vt:lpstr>5_Comparaison</vt:lpstr>
      <vt:lpstr>6_Tableaux</vt:lpstr>
      <vt:lpstr>7_Graphiques</vt:lpstr>
      <vt:lpstr>8_Synthese</vt:lpstr>
      <vt:lpstr>Fisher_2x2</vt:lpstr>
      <vt:lpstr>Fisher_Q5</vt:lpstr>
      <vt:lpstr>Fisher_Q8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Analyse TFE prééclampsie – Excel (données synthétiques)</dc:title>
  <dc:creator>Omicaa Lab</dc:creator>
  <cp:lastModifiedBy>Abdoul DEDJI</cp:lastModifiedBy>
  <dcterms:created xsi:type="dcterms:W3CDTF">2026-10-27T19:55:32Z</dcterms:created>
  <dcterms:modified xsi:type="dcterms:W3CDTF">2026-10-28T19:17:13Z</dcterms:modified>
</cp:coreProperties>
</file>